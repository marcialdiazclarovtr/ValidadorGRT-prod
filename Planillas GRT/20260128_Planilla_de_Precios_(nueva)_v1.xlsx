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bravo\Documents\GRT\GRT 28-01-2025\"/>
    </mc:Choice>
  </mc:AlternateContent>
  <xr:revisionPtr revIDLastSave="0" documentId="13_ncr:1_{562B254C-5F78-4401-A5AE-4B5F98EDFF01}" xr6:coauthVersionLast="47" xr6:coauthVersionMax="47" xr10:uidLastSave="{00000000-0000-0000-0000-000000000000}"/>
  <bookViews>
    <workbookView xWindow="-120" yWindow="-120" windowWidth="29040" windowHeight="15720" tabRatio="876" xr2:uid="{00000000-000D-0000-FFFF-FFFF00000000}"/>
  </bookViews>
  <sheets>
    <sheet name="Planilla de Precios" sheetId="1" r:id="rId1"/>
    <sheet name="Accesorios + IOT+ BAM" sheetId="2" r:id="rId2"/>
    <sheet name="Hoja1" sheetId="6" r:id="rId3"/>
    <sheet name="Prima Mensual Protección Móvil" sheetId="3" r:id="rId4"/>
    <sheet name="Histórico" sheetId="4" r:id="rId5"/>
    <sheet name="Prepago DAC" sheetId="5" r:id="rId6"/>
  </sheets>
  <definedNames>
    <definedName name="_xlnm._FilterDatabase" localSheetId="1" hidden="1">'Accesorios + IOT+ BAM'!$A$2:$AB$410</definedName>
    <definedName name="_xlnm._FilterDatabase" localSheetId="4" hidden="1">Histórico!$A$1:$G$1365</definedName>
    <definedName name="_xlnm._FilterDatabase" localSheetId="0" hidden="1">'Planilla de Precios'!$A$3:$AS$1134</definedName>
    <definedName name="_xlnm._FilterDatabase" localSheetId="5" hidden="1">'Prepago DAC'!$A$1:$F$654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" i="1" l="1"/>
  <c r="AG5" i="1"/>
  <c r="AD5" i="1"/>
  <c r="AC5" i="1"/>
  <c r="AB5" i="1" s="1"/>
  <c r="AA5" i="1"/>
  <c r="AH4" i="1"/>
  <c r="AG4" i="1"/>
  <c r="AD4" i="1"/>
  <c r="AC4" i="1"/>
  <c r="AB4" i="1" s="1"/>
  <c r="AA4" i="1"/>
  <c r="AH18" i="1"/>
  <c r="AG18" i="1"/>
  <c r="AD18" i="1"/>
  <c r="AC18" i="1"/>
  <c r="AB18" i="1" s="1"/>
  <c r="AA18" i="1"/>
  <c r="AH12" i="1"/>
  <c r="AG12" i="1"/>
  <c r="AD12" i="1"/>
  <c r="AC12" i="1"/>
  <c r="AB12" i="1" s="1"/>
  <c r="AA12" i="1"/>
  <c r="AH11" i="1"/>
  <c r="AG11" i="1"/>
  <c r="AD11" i="1"/>
  <c r="AC11" i="1"/>
  <c r="AB11" i="1" s="1"/>
  <c r="AA11" i="1"/>
  <c r="AH17" i="1"/>
  <c r="AG17" i="1"/>
  <c r="AD17" i="1"/>
  <c r="AC17" i="1"/>
  <c r="AB17" i="1" s="1"/>
  <c r="AA17" i="1"/>
  <c r="AH16" i="1"/>
  <c r="AG16" i="1"/>
  <c r="AD16" i="1"/>
  <c r="AC16" i="1"/>
  <c r="AB16" i="1" s="1"/>
  <c r="AA16" i="1"/>
  <c r="AH15" i="1"/>
  <c r="AG15" i="1"/>
  <c r="AD15" i="1"/>
  <c r="AC15" i="1"/>
  <c r="AB15" i="1" s="1"/>
  <c r="AA15" i="1"/>
  <c r="AH14" i="1"/>
  <c r="AG14" i="1"/>
  <c r="AD14" i="1"/>
  <c r="AC14" i="1"/>
  <c r="AB14" i="1" s="1"/>
  <c r="AA14" i="1"/>
  <c r="AH13" i="1"/>
  <c r="AG13" i="1"/>
  <c r="AD13" i="1"/>
  <c r="AC13" i="1"/>
  <c r="AB13" i="1" s="1"/>
  <c r="AA13" i="1"/>
  <c r="AH21" i="1"/>
  <c r="AG21" i="1"/>
  <c r="AD21" i="1"/>
  <c r="AC21" i="1"/>
  <c r="AB21" i="1" s="1"/>
  <c r="AA21" i="1"/>
  <c r="AH19" i="1"/>
  <c r="AG19" i="1"/>
  <c r="AD19" i="1"/>
  <c r="AC19" i="1"/>
  <c r="AB19" i="1" s="1"/>
  <c r="AA19" i="1"/>
  <c r="AH20" i="1"/>
  <c r="AG20" i="1"/>
  <c r="AD20" i="1"/>
  <c r="AC20" i="1"/>
  <c r="AB20" i="1" s="1"/>
  <c r="AA20" i="1"/>
  <c r="AH10" i="1"/>
  <c r="AG10" i="1"/>
  <c r="AD10" i="1"/>
  <c r="AC10" i="1"/>
  <c r="AB10" i="1" s="1"/>
  <c r="AA10" i="1"/>
  <c r="AH9" i="1"/>
  <c r="AG9" i="1"/>
  <c r="AD9" i="1"/>
  <c r="AC9" i="1"/>
  <c r="AB9" i="1" s="1"/>
  <c r="AA9" i="1"/>
  <c r="AH8" i="1"/>
  <c r="AG8" i="1"/>
  <c r="AD8" i="1"/>
  <c r="AC8" i="1"/>
  <c r="AB8" i="1" s="1"/>
  <c r="AA8" i="1"/>
  <c r="AH7" i="1"/>
  <c r="AG7" i="1"/>
  <c r="AD7" i="1"/>
  <c r="AC7" i="1"/>
  <c r="AB7" i="1" s="1"/>
  <c r="AA7" i="1"/>
  <c r="AH6" i="1"/>
  <c r="AG6" i="1"/>
  <c r="AD6" i="1"/>
  <c r="AC6" i="1"/>
  <c r="AB6" i="1" s="1"/>
  <c r="AA6" i="1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AA714" i="1"/>
  <c r="AC714" i="1"/>
  <c r="AB714" i="1" s="1"/>
  <c r="AD714" i="1"/>
  <c r="AG714" i="1"/>
  <c r="AH714" i="1"/>
  <c r="AA75" i="1"/>
  <c r="AC75" i="1"/>
  <c r="AB75" i="1" s="1"/>
  <c r="AD75" i="1"/>
  <c r="AG75" i="1"/>
  <c r="AH75" i="1"/>
  <c r="AH711" i="1"/>
  <c r="AG711" i="1"/>
  <c r="AD711" i="1"/>
  <c r="AC711" i="1"/>
  <c r="AB711" i="1" s="1"/>
  <c r="AA711" i="1"/>
  <c r="AH40" i="1" l="1"/>
  <c r="AG40" i="1"/>
  <c r="AD40" i="1"/>
  <c r="AC40" i="1"/>
  <c r="AB40" i="1" s="1"/>
  <c r="AA40" i="1"/>
  <c r="AH713" i="1"/>
  <c r="AG713" i="1"/>
  <c r="AD713" i="1"/>
  <c r="AC713" i="1"/>
  <c r="AB713" i="1" s="1"/>
  <c r="AA713" i="1"/>
  <c r="AH39" i="1"/>
  <c r="AG39" i="1"/>
  <c r="AD39" i="1"/>
  <c r="AC39" i="1"/>
  <c r="AB39" i="1" s="1"/>
  <c r="AA39" i="1"/>
  <c r="AH712" i="1"/>
  <c r="AG712" i="1"/>
  <c r="AD712" i="1"/>
  <c r="AC712" i="1"/>
  <c r="AB712" i="1" s="1"/>
  <c r="AA712" i="1"/>
  <c r="AH74" i="1"/>
  <c r="AG74" i="1"/>
  <c r="AD74" i="1"/>
  <c r="AC74" i="1"/>
  <c r="AB74" i="1" s="1"/>
  <c r="AA74" i="1"/>
  <c r="AH715" i="1"/>
  <c r="AG715" i="1"/>
  <c r="AD715" i="1"/>
  <c r="AC715" i="1"/>
  <c r="AB715" i="1" s="1"/>
  <c r="AA715" i="1"/>
  <c r="AH76" i="1"/>
  <c r="AG76" i="1"/>
  <c r="AD76" i="1"/>
  <c r="AC76" i="1"/>
  <c r="AB76" i="1" s="1"/>
  <c r="AA76" i="1"/>
  <c r="AH716" i="1"/>
  <c r="AG716" i="1"/>
  <c r="AD716" i="1"/>
  <c r="AC716" i="1"/>
  <c r="AB716" i="1" s="1"/>
  <c r="AA716" i="1"/>
  <c r="AH717" i="1"/>
  <c r="AG717" i="1"/>
  <c r="AD717" i="1"/>
  <c r="AC717" i="1"/>
  <c r="AB717" i="1" s="1"/>
  <c r="AA717" i="1"/>
  <c r="AH77" i="1"/>
  <c r="AG77" i="1"/>
  <c r="AD77" i="1"/>
  <c r="AC77" i="1"/>
  <c r="AB77" i="1" s="1"/>
  <c r="AA77" i="1"/>
  <c r="AH832" i="1" l="1"/>
  <c r="AG832" i="1"/>
  <c r="AD832" i="1"/>
  <c r="AC832" i="1"/>
  <c r="AB832" i="1" s="1"/>
  <c r="AA832" i="1"/>
  <c r="I42" i="2"/>
  <c r="G42" i="2"/>
  <c r="AH812" i="1"/>
  <c r="AG812" i="1"/>
  <c r="AD812" i="1"/>
  <c r="AC812" i="1"/>
  <c r="AB812" i="1" s="1"/>
  <c r="AA812" i="1"/>
  <c r="AH811" i="1"/>
  <c r="AG811" i="1"/>
  <c r="AD811" i="1"/>
  <c r="AC811" i="1"/>
  <c r="AB811" i="1" s="1"/>
  <c r="AA811" i="1"/>
  <c r="AH810" i="1"/>
  <c r="AG810" i="1"/>
  <c r="AD810" i="1"/>
  <c r="AC810" i="1"/>
  <c r="AB810" i="1" s="1"/>
  <c r="AA810" i="1"/>
  <c r="AH872" i="1"/>
  <c r="AG872" i="1"/>
  <c r="AD872" i="1"/>
  <c r="AC872" i="1"/>
  <c r="AB872" i="1" s="1"/>
  <c r="AA872" i="1"/>
  <c r="AH871" i="1"/>
  <c r="AG871" i="1"/>
  <c r="AD871" i="1"/>
  <c r="AC871" i="1"/>
  <c r="AB871" i="1" s="1"/>
  <c r="AA871" i="1"/>
  <c r="AH870" i="1"/>
  <c r="AG870" i="1"/>
  <c r="AD870" i="1"/>
  <c r="AC870" i="1"/>
  <c r="AB870" i="1" s="1"/>
  <c r="AA870" i="1"/>
  <c r="AH869" i="1"/>
  <c r="AG869" i="1"/>
  <c r="AD869" i="1"/>
  <c r="AC869" i="1"/>
  <c r="AB869" i="1" s="1"/>
  <c r="AA869" i="1"/>
  <c r="AH874" i="1"/>
  <c r="AG874" i="1"/>
  <c r="AD874" i="1"/>
  <c r="AC874" i="1"/>
  <c r="AB874" i="1" s="1"/>
  <c r="AA874" i="1"/>
  <c r="AH873" i="1"/>
  <c r="AG873" i="1"/>
  <c r="AD873" i="1"/>
  <c r="AC873" i="1"/>
  <c r="AB873" i="1" s="1"/>
  <c r="AA873" i="1"/>
  <c r="AH875" i="1"/>
  <c r="AG875" i="1"/>
  <c r="AD875" i="1"/>
  <c r="AC875" i="1"/>
  <c r="AB875" i="1" s="1"/>
  <c r="AA875" i="1"/>
  <c r="AH877" i="1" l="1"/>
  <c r="AH878" i="1"/>
  <c r="AH879" i="1"/>
  <c r="AH880" i="1"/>
  <c r="AH881" i="1"/>
  <c r="AH882" i="1"/>
  <c r="AH883" i="1"/>
  <c r="AH884" i="1"/>
  <c r="AH833" i="1"/>
  <c r="AH885" i="1"/>
  <c r="AH834" i="1"/>
  <c r="AH835" i="1"/>
  <c r="AH886" i="1"/>
  <c r="AH836" i="1"/>
  <c r="AH837" i="1"/>
  <c r="AH838" i="1"/>
  <c r="AH839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840" i="1"/>
  <c r="AH841" i="1"/>
  <c r="AH842" i="1"/>
  <c r="AH843" i="1"/>
  <c r="AH937" i="1"/>
  <c r="AH844" i="1"/>
  <c r="AH845" i="1"/>
  <c r="AH846" i="1"/>
  <c r="AH938" i="1"/>
  <c r="AH939" i="1"/>
  <c r="AH940" i="1"/>
  <c r="AH941" i="1"/>
  <c r="AH942" i="1"/>
  <c r="AH943" i="1"/>
  <c r="AH944" i="1"/>
  <c r="AH847" i="1"/>
  <c r="AH848" i="1"/>
  <c r="AH945" i="1"/>
  <c r="AH946" i="1"/>
  <c r="AH947" i="1"/>
  <c r="AH948" i="1"/>
  <c r="AH949" i="1"/>
  <c r="AH950" i="1"/>
  <c r="AH951" i="1"/>
  <c r="AH952" i="1"/>
  <c r="AH953" i="1"/>
  <c r="AH954" i="1"/>
  <c r="AH955" i="1"/>
  <c r="AH849" i="1"/>
  <c r="AH850" i="1"/>
  <c r="AH851" i="1"/>
  <c r="AH852" i="1"/>
  <c r="AH853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854" i="1"/>
  <c r="AH855" i="1"/>
  <c r="AH856" i="1"/>
  <c r="AH857" i="1"/>
  <c r="AH858" i="1"/>
  <c r="AH859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114" i="1"/>
  <c r="AH1115" i="1"/>
  <c r="AH865" i="1"/>
  <c r="AH866" i="1"/>
  <c r="AH867" i="1"/>
  <c r="AH868" i="1"/>
  <c r="AH1053" i="1"/>
  <c r="AH1054" i="1"/>
  <c r="AH1055" i="1"/>
  <c r="AH1056" i="1"/>
  <c r="AH1057" i="1"/>
  <c r="AH1058" i="1"/>
  <c r="AH1059" i="1"/>
  <c r="AH1060" i="1"/>
  <c r="AH1061" i="1"/>
  <c r="AH1116" i="1"/>
  <c r="AH1117" i="1"/>
  <c r="AH1118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860" i="1"/>
  <c r="AH861" i="1"/>
  <c r="AH862" i="1"/>
  <c r="AH863" i="1"/>
  <c r="AH864" i="1"/>
  <c r="AH1075" i="1"/>
  <c r="AH1076" i="1"/>
  <c r="AH1077" i="1"/>
  <c r="AH1078" i="1"/>
  <c r="AH1079" i="1"/>
  <c r="AH1119" i="1"/>
  <c r="AH1120" i="1"/>
  <c r="AH1121" i="1"/>
  <c r="AH1122" i="1"/>
  <c r="AH1132" i="1"/>
  <c r="AH1133" i="1"/>
  <c r="AH1134" i="1"/>
  <c r="AH1123" i="1"/>
  <c r="AH1130" i="1"/>
  <c r="AH1131" i="1"/>
  <c r="AH1080" i="1"/>
  <c r="AH1081" i="1"/>
  <c r="AH1082" i="1"/>
  <c r="AH1124" i="1"/>
  <c r="AH1083" i="1"/>
  <c r="AH1084" i="1"/>
  <c r="AH1085" i="1"/>
  <c r="AH1125" i="1"/>
  <c r="AH1086" i="1"/>
  <c r="AH1126" i="1"/>
  <c r="AH1087" i="1"/>
  <c r="AH1088" i="1"/>
  <c r="AH1089" i="1"/>
  <c r="AH1127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28" i="1"/>
  <c r="AH1129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876" i="1"/>
  <c r="AD877" i="1"/>
  <c r="AD878" i="1"/>
  <c r="AD879" i="1"/>
  <c r="AD880" i="1"/>
  <c r="AD881" i="1"/>
  <c r="AD882" i="1"/>
  <c r="AD883" i="1"/>
  <c r="AD884" i="1"/>
  <c r="AD833" i="1"/>
  <c r="AD885" i="1"/>
  <c r="AD834" i="1"/>
  <c r="AD835" i="1"/>
  <c r="AD886" i="1"/>
  <c r="AD836" i="1"/>
  <c r="AD837" i="1"/>
  <c r="AD838" i="1"/>
  <c r="AD839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840" i="1"/>
  <c r="AD841" i="1"/>
  <c r="AD842" i="1"/>
  <c r="AD843" i="1"/>
  <c r="AD937" i="1"/>
  <c r="AD844" i="1"/>
  <c r="AD845" i="1"/>
  <c r="AD846" i="1"/>
  <c r="AD938" i="1"/>
  <c r="AD939" i="1"/>
  <c r="AD940" i="1"/>
  <c r="AD941" i="1"/>
  <c r="AD942" i="1"/>
  <c r="AD943" i="1"/>
  <c r="AD944" i="1"/>
  <c r="AD847" i="1"/>
  <c r="AD848" i="1"/>
  <c r="AD945" i="1"/>
  <c r="AD946" i="1"/>
  <c r="AD947" i="1"/>
  <c r="AD948" i="1"/>
  <c r="AD949" i="1"/>
  <c r="AD950" i="1"/>
  <c r="AD951" i="1"/>
  <c r="AD952" i="1"/>
  <c r="AD953" i="1"/>
  <c r="AD954" i="1"/>
  <c r="AD955" i="1"/>
  <c r="AD849" i="1"/>
  <c r="AD850" i="1"/>
  <c r="AD851" i="1"/>
  <c r="AD852" i="1"/>
  <c r="AD853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854" i="1"/>
  <c r="AD855" i="1"/>
  <c r="AD856" i="1"/>
  <c r="AD857" i="1"/>
  <c r="AD858" i="1"/>
  <c r="AD859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114" i="1"/>
  <c r="AD1115" i="1"/>
  <c r="AD865" i="1"/>
  <c r="AD866" i="1"/>
  <c r="AD867" i="1"/>
  <c r="AD868" i="1"/>
  <c r="AD1053" i="1"/>
  <c r="AD1054" i="1"/>
  <c r="AD1055" i="1"/>
  <c r="AD1056" i="1"/>
  <c r="AD1057" i="1"/>
  <c r="AD1058" i="1"/>
  <c r="AD1059" i="1"/>
  <c r="AD1060" i="1"/>
  <c r="AD1061" i="1"/>
  <c r="AD1116" i="1"/>
  <c r="AD1117" i="1"/>
  <c r="AD1118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860" i="1"/>
  <c r="AD861" i="1"/>
  <c r="AD862" i="1"/>
  <c r="AD863" i="1"/>
  <c r="AD864" i="1"/>
  <c r="AD1075" i="1"/>
  <c r="AD1076" i="1"/>
  <c r="AD1077" i="1"/>
  <c r="AD1078" i="1"/>
  <c r="AD1079" i="1"/>
  <c r="AD1119" i="1"/>
  <c r="AD1120" i="1"/>
  <c r="AD1121" i="1"/>
  <c r="AD1122" i="1"/>
  <c r="AD1132" i="1"/>
  <c r="AD1133" i="1"/>
  <c r="AD1134" i="1"/>
  <c r="AD1123" i="1"/>
  <c r="AD1130" i="1"/>
  <c r="AD1131" i="1"/>
  <c r="AD1080" i="1"/>
  <c r="AD1081" i="1"/>
  <c r="AD1082" i="1"/>
  <c r="AD1124" i="1"/>
  <c r="AD1083" i="1"/>
  <c r="AD1084" i="1"/>
  <c r="AD1085" i="1"/>
  <c r="AD1125" i="1"/>
  <c r="AD1086" i="1"/>
  <c r="AD1126" i="1"/>
  <c r="AD1087" i="1"/>
  <c r="AD1088" i="1"/>
  <c r="AD1089" i="1"/>
  <c r="AD1127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28" i="1"/>
  <c r="AD1129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876" i="1"/>
  <c r="AS23" i="1"/>
  <c r="AP23" i="1"/>
  <c r="AM23" i="1"/>
  <c r="AH23" i="1"/>
  <c r="AG23" i="1"/>
  <c r="AD23" i="1"/>
  <c r="AC23" i="1"/>
  <c r="AB23" i="1" s="1"/>
  <c r="AA23" i="1"/>
  <c r="W23" i="1"/>
  <c r="U23" i="1"/>
  <c r="S23" i="1"/>
  <c r="AS22" i="1"/>
  <c r="AP22" i="1"/>
  <c r="AM22" i="1"/>
  <c r="AH22" i="1"/>
  <c r="AG22" i="1"/>
  <c r="AD22" i="1"/>
  <c r="AC22" i="1"/>
  <c r="AB22" i="1" s="1"/>
  <c r="AA22" i="1"/>
  <c r="W22" i="1"/>
  <c r="U22" i="1"/>
  <c r="S22" i="1"/>
  <c r="AS740" i="1"/>
  <c r="AP740" i="1"/>
  <c r="AM740" i="1"/>
  <c r="AH740" i="1"/>
  <c r="AG740" i="1"/>
  <c r="AD740" i="1"/>
  <c r="AC740" i="1"/>
  <c r="AB740" i="1" s="1"/>
  <c r="AA740" i="1"/>
  <c r="W740" i="1"/>
  <c r="U740" i="1"/>
  <c r="S740" i="1"/>
  <c r="AS741" i="1"/>
  <c r="AP741" i="1"/>
  <c r="AM741" i="1"/>
  <c r="AH741" i="1"/>
  <c r="AG741" i="1"/>
  <c r="AD741" i="1"/>
  <c r="AC741" i="1"/>
  <c r="AB741" i="1" s="1"/>
  <c r="AA741" i="1"/>
  <c r="W741" i="1"/>
  <c r="U741" i="1"/>
  <c r="S741" i="1"/>
  <c r="AG909" i="1"/>
  <c r="AC909" i="1"/>
  <c r="AB909" i="1" s="1"/>
  <c r="AA909" i="1"/>
  <c r="AA48" i="1" l="1"/>
  <c r="AA49" i="1"/>
  <c r="AA50" i="1"/>
  <c r="AA694" i="1"/>
  <c r="AA695" i="1"/>
  <c r="AA696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5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" i="1"/>
  <c r="AA569" i="1"/>
  <c r="AA57" i="1"/>
  <c r="AA58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60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1" i="1"/>
  <c r="AA62" i="1"/>
  <c r="AA645" i="1"/>
  <c r="AA63" i="1"/>
  <c r="AA646" i="1"/>
  <c r="AA647" i="1"/>
  <c r="AA648" i="1"/>
  <c r="AA64" i="1"/>
  <c r="AA65" i="1"/>
  <c r="AA649" i="1"/>
  <c r="AA650" i="1"/>
  <c r="AA651" i="1"/>
  <c r="AA652" i="1"/>
  <c r="AA653" i="1"/>
  <c r="AA654" i="1"/>
  <c r="AA66" i="1"/>
  <c r="AA67" i="1"/>
  <c r="AA68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9" i="1"/>
  <c r="AA669" i="1"/>
  <c r="AA670" i="1"/>
  <c r="AA70" i="1"/>
  <c r="AA71" i="1"/>
  <c r="AA72" i="1"/>
  <c r="AA73" i="1"/>
  <c r="AA671" i="1"/>
  <c r="AA672" i="1"/>
  <c r="AA673" i="1"/>
  <c r="AA674" i="1"/>
  <c r="AA675" i="1"/>
  <c r="AA676" i="1"/>
  <c r="AA677" i="1"/>
  <c r="AA678" i="1"/>
  <c r="AA679" i="1"/>
  <c r="AA680" i="1"/>
  <c r="AA681" i="1"/>
  <c r="AA44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7" i="1"/>
  <c r="AA698" i="1"/>
  <c r="AA699" i="1"/>
  <c r="AA700" i="1"/>
  <c r="AA701" i="1"/>
  <c r="AA702" i="1"/>
  <c r="AA703" i="1"/>
  <c r="AA35" i="1"/>
  <c r="AA36" i="1"/>
  <c r="AA37" i="1"/>
  <c r="AA704" i="1"/>
  <c r="AA41" i="1"/>
  <c r="AA42" i="1"/>
  <c r="AA43" i="1"/>
  <c r="AA705" i="1"/>
  <c r="AA706" i="1"/>
  <c r="AA707" i="1"/>
  <c r="AA708" i="1"/>
  <c r="AA709" i="1"/>
  <c r="AA710" i="1"/>
  <c r="AA818" i="1"/>
  <c r="AA738" i="1"/>
  <c r="AA739" i="1"/>
  <c r="AA78" i="1"/>
  <c r="AA79" i="1"/>
  <c r="AA817" i="1"/>
  <c r="AA785" i="1"/>
  <c r="AA784" i="1"/>
  <c r="AA59" i="1"/>
  <c r="AA786" i="1"/>
  <c r="AA788" i="1"/>
  <c r="AA789" i="1"/>
  <c r="AA790" i="1"/>
  <c r="AA772" i="1"/>
  <c r="AA731" i="1"/>
  <c r="AA732" i="1"/>
  <c r="AA733" i="1"/>
  <c r="AA734" i="1"/>
  <c r="AA766" i="1"/>
  <c r="AA814" i="1"/>
  <c r="AA815" i="1"/>
  <c r="AA813" i="1"/>
  <c r="AA791" i="1"/>
  <c r="AA792" i="1"/>
  <c r="AA793" i="1"/>
  <c r="AA770" i="1"/>
  <c r="AA722" i="1"/>
  <c r="AA723" i="1"/>
  <c r="AA724" i="1"/>
  <c r="AA797" i="1"/>
  <c r="AA829" i="1"/>
  <c r="AA830" i="1"/>
  <c r="AA798" i="1"/>
  <c r="AA799" i="1"/>
  <c r="AA800" i="1"/>
  <c r="AA801" i="1"/>
  <c r="AA823" i="1"/>
  <c r="AA824" i="1"/>
  <c r="AA825" i="1"/>
  <c r="AA826" i="1"/>
  <c r="AA828" i="1"/>
  <c r="AA783" i="1"/>
  <c r="AA822" i="1"/>
  <c r="AA45" i="1"/>
  <c r="AA46" i="1"/>
  <c r="AA816" i="1"/>
  <c r="AA774" i="1"/>
  <c r="AA775" i="1"/>
  <c r="AA776" i="1"/>
  <c r="AA777" i="1"/>
  <c r="AA819" i="1"/>
  <c r="AA820" i="1"/>
  <c r="AA821" i="1"/>
  <c r="AA718" i="1"/>
  <c r="AA719" i="1"/>
  <c r="AA720" i="1"/>
  <c r="AA721" i="1"/>
  <c r="AA735" i="1"/>
  <c r="AA736" i="1"/>
  <c r="AA737" i="1"/>
  <c r="AA24" i="1"/>
  <c r="AA25" i="1"/>
  <c r="AA26" i="1"/>
  <c r="AA27" i="1"/>
  <c r="AA28" i="1"/>
  <c r="AA29" i="1"/>
  <c r="AA787" i="1"/>
  <c r="AA53" i="1"/>
  <c r="AA54" i="1"/>
  <c r="AA794" i="1"/>
  <c r="AA795" i="1"/>
  <c r="AA796" i="1"/>
  <c r="AA51" i="1"/>
  <c r="AA52" i="1"/>
  <c r="AA773" i="1"/>
  <c r="AA742" i="1"/>
  <c r="AA743" i="1"/>
  <c r="AA744" i="1"/>
  <c r="AA807" i="1"/>
  <c r="AA808" i="1"/>
  <c r="AA809" i="1"/>
  <c r="AA802" i="1"/>
  <c r="AA803" i="1"/>
  <c r="AA804" i="1"/>
  <c r="AA805" i="1"/>
  <c r="AA806" i="1"/>
  <c r="AA38" i="1"/>
  <c r="AA30" i="1"/>
  <c r="AA31" i="1"/>
  <c r="AA32" i="1"/>
  <c r="AA33" i="1"/>
  <c r="AA34" i="1"/>
  <c r="AA725" i="1"/>
  <c r="AA726" i="1"/>
  <c r="AA727" i="1"/>
  <c r="AA728" i="1"/>
  <c r="AA729" i="1"/>
  <c r="AA831" i="1"/>
  <c r="AA781" i="1"/>
  <c r="AA782" i="1"/>
  <c r="AA779" i="1"/>
  <c r="AA780" i="1"/>
  <c r="AA730" i="1"/>
  <c r="AA827" i="1"/>
  <c r="AA778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7" i="1"/>
  <c r="AA768" i="1"/>
  <c r="AA769" i="1"/>
  <c r="AA771" i="1"/>
  <c r="AA986" i="1"/>
  <c r="AA987" i="1"/>
  <c r="AA988" i="1"/>
  <c r="AA1050" i="1"/>
  <c r="AA1051" i="1"/>
  <c r="AA1052" i="1"/>
  <c r="AA876" i="1"/>
  <c r="AA877" i="1"/>
  <c r="AA878" i="1"/>
  <c r="AA879" i="1"/>
  <c r="AA880" i="1"/>
  <c r="AA881" i="1"/>
  <c r="AA882" i="1"/>
  <c r="AA883" i="1"/>
  <c r="AA884" i="1"/>
  <c r="AA854" i="1"/>
  <c r="AA855" i="1"/>
  <c r="AA856" i="1"/>
  <c r="AA857" i="1"/>
  <c r="AA858" i="1"/>
  <c r="AA859" i="1"/>
  <c r="AA833" i="1"/>
  <c r="AA910" i="1"/>
  <c r="AA911" i="1"/>
  <c r="AA912" i="1"/>
  <c r="AA913" i="1"/>
  <c r="AA1057" i="1"/>
  <c r="AA1004" i="1"/>
  <c r="AA949" i="1"/>
  <c r="AA914" i="1"/>
  <c r="AA950" i="1"/>
  <c r="AA885" i="1"/>
  <c r="AA915" i="1"/>
  <c r="AA916" i="1"/>
  <c r="AA951" i="1"/>
  <c r="AA952" i="1"/>
  <c r="AA834" i="1"/>
  <c r="AA835" i="1"/>
  <c r="AA917" i="1"/>
  <c r="AA918" i="1"/>
  <c r="AA919" i="1"/>
  <c r="AA920" i="1"/>
  <c r="AA886" i="1"/>
  <c r="AA992" i="1"/>
  <c r="AA921" i="1"/>
  <c r="AA922" i="1"/>
  <c r="AA923" i="1"/>
  <c r="AA924" i="1"/>
  <c r="AA1058" i="1"/>
  <c r="AA993" i="1"/>
  <c r="AA994" i="1"/>
  <c r="AA836" i="1"/>
  <c r="AA837" i="1"/>
  <c r="AA838" i="1"/>
  <c r="AA839" i="1"/>
  <c r="AA1059" i="1"/>
  <c r="AA1060" i="1"/>
  <c r="AA925" i="1"/>
  <c r="AA926" i="1"/>
  <c r="AA1061" i="1"/>
  <c r="AA1005" i="1"/>
  <c r="AA956" i="1"/>
  <c r="AA957" i="1"/>
  <c r="AA953" i="1"/>
  <c r="AA954" i="1"/>
  <c r="AA980" i="1"/>
  <c r="AA1006" i="1"/>
  <c r="AA1007" i="1"/>
  <c r="AA1008" i="1"/>
  <c r="AA1009" i="1"/>
  <c r="AA1010" i="1"/>
  <c r="AA1011" i="1"/>
  <c r="AA1012" i="1"/>
  <c r="AA1013" i="1"/>
  <c r="AA1114" i="1"/>
  <c r="AA1115" i="1"/>
  <c r="AA1014" i="1"/>
  <c r="AA1029" i="1"/>
  <c r="AA1015" i="1"/>
  <c r="AA1116" i="1"/>
  <c r="AA978" i="1"/>
  <c r="AA964" i="1"/>
  <c r="AA965" i="1"/>
  <c r="AA1030" i="1"/>
  <c r="AA966" i="1"/>
  <c r="AA967" i="1"/>
  <c r="AA968" i="1"/>
  <c r="AA1016" i="1"/>
  <c r="AA1017" i="1"/>
  <c r="AA1018" i="1"/>
  <c r="AA1031" i="1"/>
  <c r="AA865" i="1"/>
  <c r="AA866" i="1"/>
  <c r="AA969" i="1"/>
  <c r="AA981" i="1"/>
  <c r="AA982" i="1"/>
  <c r="AA983" i="1"/>
  <c r="AA984" i="1"/>
  <c r="AA985" i="1"/>
  <c r="AA1032" i="1"/>
  <c r="AA1033" i="1"/>
  <c r="AA970" i="1"/>
  <c r="AA971" i="1"/>
  <c r="AA1117" i="1"/>
  <c r="AA1046" i="1"/>
  <c r="AA1047" i="1"/>
  <c r="AA1048" i="1"/>
  <c r="AA1049" i="1"/>
  <c r="AA972" i="1"/>
  <c r="AA973" i="1"/>
  <c r="AA1019" i="1"/>
  <c r="AA1020" i="1"/>
  <c r="AA1021" i="1"/>
  <c r="AA1118" i="1"/>
  <c r="AA974" i="1"/>
  <c r="AA975" i="1"/>
  <c r="AA927" i="1"/>
  <c r="AA887" i="1"/>
  <c r="AA928" i="1"/>
  <c r="AA929" i="1"/>
  <c r="AA930" i="1"/>
  <c r="AA867" i="1"/>
  <c r="AA868" i="1"/>
  <c r="AA948" i="1"/>
  <c r="AA931" i="1"/>
  <c r="AA932" i="1"/>
  <c r="AA933" i="1"/>
  <c r="AA934" i="1"/>
  <c r="AA935" i="1"/>
  <c r="AA936" i="1"/>
  <c r="AA958" i="1"/>
  <c r="AA1045" i="1"/>
  <c r="AA976" i="1"/>
  <c r="AA995" i="1"/>
  <c r="AA996" i="1"/>
  <c r="AA997" i="1"/>
  <c r="AA998" i="1"/>
  <c r="AA999" i="1"/>
  <c r="AA1000" i="1"/>
  <c r="AA1001" i="1"/>
  <c r="AA888" i="1"/>
  <c r="AA889" i="1"/>
  <c r="AA890" i="1"/>
  <c r="AA891" i="1"/>
  <c r="AA892" i="1"/>
  <c r="AA893" i="1"/>
  <c r="AA894" i="1"/>
  <c r="AA1022" i="1"/>
  <c r="AA1023" i="1"/>
  <c r="AA1024" i="1"/>
  <c r="AA959" i="1"/>
  <c r="AA960" i="1"/>
  <c r="AA961" i="1"/>
  <c r="AA962" i="1"/>
  <c r="AA1025" i="1"/>
  <c r="AA1062" i="1"/>
  <c r="AA1063" i="1"/>
  <c r="AA1064" i="1"/>
  <c r="AA1065" i="1"/>
  <c r="AA1053" i="1"/>
  <c r="AA1034" i="1"/>
  <c r="AA979" i="1"/>
  <c r="AA1035" i="1"/>
  <c r="AA1036" i="1"/>
  <c r="AA1037" i="1"/>
  <c r="AA1038" i="1"/>
  <c r="AA1039" i="1"/>
  <c r="AA1054" i="1"/>
  <c r="AA1055" i="1"/>
  <c r="AA1056" i="1"/>
  <c r="AA989" i="1"/>
  <c r="AA990" i="1"/>
  <c r="AA991" i="1"/>
  <c r="AA849" i="1"/>
  <c r="AA850" i="1"/>
  <c r="AA851" i="1"/>
  <c r="AA852" i="1"/>
  <c r="AA853" i="1"/>
  <c r="AA895" i="1"/>
  <c r="AA896" i="1"/>
  <c r="AA897" i="1"/>
  <c r="AA840" i="1"/>
  <c r="AA841" i="1"/>
  <c r="AA842" i="1"/>
  <c r="AA843" i="1"/>
  <c r="AA937" i="1"/>
  <c r="AA1002" i="1"/>
  <c r="AA1003" i="1"/>
  <c r="AA955" i="1"/>
  <c r="AA977" i="1"/>
  <c r="AA844" i="1"/>
  <c r="AA845" i="1"/>
  <c r="AA846" i="1"/>
  <c r="AA898" i="1"/>
  <c r="AA899" i="1"/>
  <c r="AA900" i="1"/>
  <c r="AA901" i="1"/>
  <c r="AA902" i="1"/>
  <c r="AA903" i="1"/>
  <c r="AA938" i="1"/>
  <c r="AA904" i="1"/>
  <c r="AA905" i="1"/>
  <c r="AA906" i="1"/>
  <c r="AA907" i="1"/>
  <c r="AA908" i="1"/>
  <c r="AA939" i="1"/>
  <c r="AA940" i="1"/>
  <c r="AA941" i="1"/>
  <c r="AA1066" i="1"/>
  <c r="AA1067" i="1"/>
  <c r="AA1068" i="1"/>
  <c r="AA1069" i="1"/>
  <c r="AA1070" i="1"/>
  <c r="AA1071" i="1"/>
  <c r="AA1072" i="1"/>
  <c r="AA1073" i="1"/>
  <c r="AA1074" i="1"/>
  <c r="AA860" i="1"/>
  <c r="AA861" i="1"/>
  <c r="AA862" i="1"/>
  <c r="AA863" i="1"/>
  <c r="AA864" i="1"/>
  <c r="AA1075" i="1"/>
  <c r="AA1076" i="1"/>
  <c r="AA1077" i="1"/>
  <c r="AA1078" i="1"/>
  <c r="AA1026" i="1"/>
  <c r="AA1027" i="1"/>
  <c r="AA1028" i="1"/>
  <c r="AA1119" i="1"/>
  <c r="AA1120" i="1"/>
  <c r="AA1121" i="1"/>
  <c r="AA1122" i="1"/>
  <c r="AA942" i="1"/>
  <c r="AA943" i="1"/>
  <c r="AA944" i="1"/>
  <c r="AA847" i="1"/>
  <c r="AA848" i="1"/>
  <c r="AA963" i="1"/>
  <c r="AA1040" i="1"/>
  <c r="AA1041" i="1"/>
  <c r="AA945" i="1"/>
  <c r="AA946" i="1"/>
  <c r="AA1079" i="1"/>
  <c r="AA947" i="1"/>
  <c r="AA1042" i="1"/>
  <c r="AA1043" i="1"/>
  <c r="AA1044" i="1"/>
  <c r="AA1132" i="1"/>
  <c r="AA1133" i="1"/>
  <c r="AA1134" i="1"/>
  <c r="AA1123" i="1"/>
  <c r="AA1130" i="1"/>
  <c r="AA1131" i="1"/>
  <c r="AA1080" i="1"/>
  <c r="AA1081" i="1"/>
  <c r="AA1082" i="1"/>
  <c r="AA1124" i="1"/>
  <c r="AA1083" i="1"/>
  <c r="AA1084" i="1"/>
  <c r="AA1085" i="1"/>
  <c r="AA1125" i="1"/>
  <c r="AA1086" i="1"/>
  <c r="AA1126" i="1"/>
  <c r="AA1087" i="1"/>
  <c r="AA1088" i="1"/>
  <c r="AA1089" i="1"/>
  <c r="AA1127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28" i="1"/>
  <c r="AA1129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47" i="1"/>
  <c r="I36" i="2" l="1"/>
  <c r="G36" i="2"/>
  <c r="I69" i="2"/>
  <c r="G69" i="2"/>
  <c r="AS722" i="1"/>
  <c r="AP722" i="1"/>
  <c r="AM722" i="1"/>
  <c r="AH722" i="1"/>
  <c r="AG722" i="1"/>
  <c r="AD722" i="1"/>
  <c r="AC722" i="1"/>
  <c r="AB722" i="1" s="1"/>
  <c r="W722" i="1"/>
  <c r="U722" i="1"/>
  <c r="S722" i="1"/>
  <c r="AS986" i="1"/>
  <c r="AP986" i="1"/>
  <c r="AM986" i="1"/>
  <c r="AG986" i="1"/>
  <c r="AC986" i="1"/>
  <c r="AB986" i="1" s="1"/>
  <c r="W986" i="1"/>
  <c r="U986" i="1"/>
  <c r="S986" i="1"/>
  <c r="AS988" i="1"/>
  <c r="AP988" i="1"/>
  <c r="AM988" i="1"/>
  <c r="AG988" i="1"/>
  <c r="AC988" i="1"/>
  <c r="AB988" i="1" s="1"/>
  <c r="W988" i="1"/>
  <c r="U988" i="1"/>
  <c r="S988" i="1"/>
  <c r="AS987" i="1"/>
  <c r="AP987" i="1"/>
  <c r="AM987" i="1"/>
  <c r="AG987" i="1"/>
  <c r="AC987" i="1"/>
  <c r="AB987" i="1" s="1"/>
  <c r="W987" i="1"/>
  <c r="U987" i="1"/>
  <c r="S987" i="1"/>
  <c r="AS724" i="1"/>
  <c r="AP724" i="1"/>
  <c r="AM724" i="1"/>
  <c r="AH724" i="1"/>
  <c r="AG724" i="1"/>
  <c r="AD724" i="1"/>
  <c r="AC724" i="1"/>
  <c r="AB724" i="1" s="1"/>
  <c r="W724" i="1"/>
  <c r="U724" i="1"/>
  <c r="S724" i="1"/>
  <c r="AS723" i="1"/>
  <c r="AP723" i="1"/>
  <c r="AM723" i="1"/>
  <c r="AH723" i="1"/>
  <c r="AG723" i="1"/>
  <c r="AD723" i="1"/>
  <c r="AC723" i="1"/>
  <c r="AB723" i="1" s="1"/>
  <c r="W723" i="1"/>
  <c r="U723" i="1"/>
  <c r="S723" i="1"/>
  <c r="AH798" i="1" l="1"/>
  <c r="AH799" i="1"/>
  <c r="AH800" i="1"/>
  <c r="AH801" i="1"/>
  <c r="AH818" i="1"/>
  <c r="AH823" i="1"/>
  <c r="AH824" i="1"/>
  <c r="AH731" i="1"/>
  <c r="AH732" i="1"/>
  <c r="AH733" i="1"/>
  <c r="AH734" i="1"/>
  <c r="AH825" i="1"/>
  <c r="AH826" i="1"/>
  <c r="AH828" i="1"/>
  <c r="AH829" i="1"/>
  <c r="AH830" i="1"/>
  <c r="AH783" i="1"/>
  <c r="AH822" i="1"/>
  <c r="AH63" i="1"/>
  <c r="AH64" i="1"/>
  <c r="AH65" i="1"/>
  <c r="AH590" i="1"/>
  <c r="AH591" i="1"/>
  <c r="AH592" i="1"/>
  <c r="AH615" i="1"/>
  <c r="AH60" i="1"/>
  <c r="AH642" i="1"/>
  <c r="AH643" i="1"/>
  <c r="AH649" i="1"/>
  <c r="AH650" i="1"/>
  <c r="AH651" i="1"/>
  <c r="AH66" i="1"/>
  <c r="AH67" i="1"/>
  <c r="AH68" i="1"/>
  <c r="AH662" i="1"/>
  <c r="AH69" i="1"/>
  <c r="AH70" i="1"/>
  <c r="AH71" i="1"/>
  <c r="AH680" i="1"/>
  <c r="AH681" i="1"/>
  <c r="AH742" i="1"/>
  <c r="AH743" i="1"/>
  <c r="AH744" i="1"/>
  <c r="AH738" i="1"/>
  <c r="AH739" i="1"/>
  <c r="AH51" i="1"/>
  <c r="AH52" i="1"/>
  <c r="AH817" i="1"/>
  <c r="AH814" i="1"/>
  <c r="AH815" i="1"/>
  <c r="AH605" i="1"/>
  <c r="AH813" i="1"/>
  <c r="AH609" i="1"/>
  <c r="AH610" i="1"/>
  <c r="AH611" i="1"/>
  <c r="AH766" i="1"/>
  <c r="AH791" i="1"/>
  <c r="AH792" i="1"/>
  <c r="AH793" i="1"/>
  <c r="AH807" i="1"/>
  <c r="AH808" i="1"/>
  <c r="AH809" i="1"/>
  <c r="AH785" i="1"/>
  <c r="AH784" i="1"/>
  <c r="AH172" i="1"/>
  <c r="AH173" i="1"/>
  <c r="AH174" i="1"/>
  <c r="AH216" i="1"/>
  <c r="AH588" i="1"/>
  <c r="AH619" i="1"/>
  <c r="AH623" i="1"/>
  <c r="AH624" i="1"/>
  <c r="AH816" i="1"/>
  <c r="AH560" i="1"/>
  <c r="AH561" i="1"/>
  <c r="AH585" i="1"/>
  <c r="AH645" i="1"/>
  <c r="AH646" i="1"/>
  <c r="AH655" i="1"/>
  <c r="AH663" i="1"/>
  <c r="AH664" i="1"/>
  <c r="AH665" i="1"/>
  <c r="AH666" i="1"/>
  <c r="AH667" i="1"/>
  <c r="AH668" i="1"/>
  <c r="AH682" i="1"/>
  <c r="AH683" i="1"/>
  <c r="AH687" i="1"/>
  <c r="AH38" i="1"/>
  <c r="AH819" i="1"/>
  <c r="AH820" i="1"/>
  <c r="AH821" i="1"/>
  <c r="AH718" i="1"/>
  <c r="AH719" i="1"/>
  <c r="AH720" i="1"/>
  <c r="AH721" i="1"/>
  <c r="AH53" i="1"/>
  <c r="AH54" i="1"/>
  <c r="AH24" i="1"/>
  <c r="AH25" i="1"/>
  <c r="AH26" i="1"/>
  <c r="AH27" i="1"/>
  <c r="AH30" i="1"/>
  <c r="AH31" i="1"/>
  <c r="AH32" i="1"/>
  <c r="AH33" i="1"/>
  <c r="AH34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5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2" i="1"/>
  <c r="AH563" i="1"/>
  <c r="AH564" i="1"/>
  <c r="AH565" i="1"/>
  <c r="AH566" i="1"/>
  <c r="AH567" i="1"/>
  <c r="AH568" i="1"/>
  <c r="AH56" i="1"/>
  <c r="AH569" i="1"/>
  <c r="AH57" i="1"/>
  <c r="AH58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6" i="1"/>
  <c r="AH587" i="1"/>
  <c r="AH589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6" i="1"/>
  <c r="AH607" i="1"/>
  <c r="AH608" i="1"/>
  <c r="AH612" i="1"/>
  <c r="AH613" i="1"/>
  <c r="AH614" i="1"/>
  <c r="AH616" i="1"/>
  <c r="AH617" i="1"/>
  <c r="AH618" i="1"/>
  <c r="AH620" i="1"/>
  <c r="AH621" i="1"/>
  <c r="AH622" i="1"/>
  <c r="AH625" i="1"/>
  <c r="AH626" i="1"/>
  <c r="AH627" i="1"/>
  <c r="AH628" i="1"/>
  <c r="AH629" i="1"/>
  <c r="AH630" i="1"/>
  <c r="AH631" i="1"/>
  <c r="AH632" i="1"/>
  <c r="AH633" i="1"/>
  <c r="AH634" i="1"/>
  <c r="AH635" i="1"/>
  <c r="AH47" i="1"/>
  <c r="AH636" i="1"/>
  <c r="AH637" i="1"/>
  <c r="AH638" i="1"/>
  <c r="AH639" i="1"/>
  <c r="AH640" i="1"/>
  <c r="AH641" i="1"/>
  <c r="AH644" i="1"/>
  <c r="AH61" i="1"/>
  <c r="AH62" i="1"/>
  <c r="AH647" i="1"/>
  <c r="AH648" i="1"/>
  <c r="AH48" i="1"/>
  <c r="AH652" i="1"/>
  <c r="AH49" i="1"/>
  <c r="AH50" i="1"/>
  <c r="AH653" i="1"/>
  <c r="AH654" i="1"/>
  <c r="AH656" i="1"/>
  <c r="AH657" i="1"/>
  <c r="AH658" i="1"/>
  <c r="AH659" i="1"/>
  <c r="AH660" i="1"/>
  <c r="AH661" i="1"/>
  <c r="AH669" i="1"/>
  <c r="AH670" i="1"/>
  <c r="AH72" i="1"/>
  <c r="AH73" i="1"/>
  <c r="AH671" i="1"/>
  <c r="AH672" i="1"/>
  <c r="AH673" i="1"/>
  <c r="AH674" i="1"/>
  <c r="AH675" i="1"/>
  <c r="AH676" i="1"/>
  <c r="AH677" i="1"/>
  <c r="AH678" i="1"/>
  <c r="AH679" i="1"/>
  <c r="AH44" i="1"/>
  <c r="AH684" i="1"/>
  <c r="AH685" i="1"/>
  <c r="AH686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35" i="1"/>
  <c r="AH36" i="1"/>
  <c r="AH37" i="1"/>
  <c r="AH704" i="1"/>
  <c r="AH41" i="1"/>
  <c r="AH42" i="1"/>
  <c r="AH43" i="1"/>
  <c r="AH705" i="1"/>
  <c r="AH706" i="1"/>
  <c r="AH707" i="1"/>
  <c r="AH708" i="1"/>
  <c r="AH709" i="1"/>
  <c r="AH710" i="1"/>
  <c r="AH735" i="1"/>
  <c r="AH28" i="1"/>
  <c r="AH29" i="1"/>
  <c r="AH78" i="1"/>
  <c r="AH79" i="1"/>
  <c r="AH45" i="1"/>
  <c r="AH46" i="1"/>
  <c r="AH786" i="1"/>
  <c r="AH736" i="1"/>
  <c r="AH737" i="1"/>
  <c r="AH774" i="1"/>
  <c r="AH794" i="1"/>
  <c r="AH795" i="1"/>
  <c r="AH796" i="1"/>
  <c r="AH725" i="1"/>
  <c r="AH726" i="1"/>
  <c r="AH727" i="1"/>
  <c r="AH728" i="1"/>
  <c r="AH729" i="1"/>
  <c r="AH59" i="1"/>
  <c r="AH831" i="1"/>
  <c r="AH788" i="1"/>
  <c r="AH789" i="1"/>
  <c r="AH790" i="1"/>
  <c r="AH773" i="1"/>
  <c r="AH787" i="1"/>
  <c r="AH802" i="1"/>
  <c r="AH803" i="1"/>
  <c r="AH804" i="1"/>
  <c r="AH805" i="1"/>
  <c r="AH806" i="1"/>
  <c r="AH781" i="1"/>
  <c r="AH782" i="1"/>
  <c r="AH779" i="1"/>
  <c r="AH780" i="1"/>
  <c r="AH730" i="1"/>
  <c r="AH827" i="1"/>
  <c r="AH772" i="1"/>
  <c r="AH778" i="1"/>
  <c r="AH775" i="1"/>
  <c r="AH776" i="1"/>
  <c r="AH777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7" i="1"/>
  <c r="AH768" i="1"/>
  <c r="AH769" i="1"/>
  <c r="AH770" i="1"/>
  <c r="AH771" i="1"/>
  <c r="AH797" i="1"/>
  <c r="AD798" i="1"/>
  <c r="AD799" i="1"/>
  <c r="AD800" i="1"/>
  <c r="AD801" i="1"/>
  <c r="AD818" i="1"/>
  <c r="AD823" i="1"/>
  <c r="AD824" i="1"/>
  <c r="AD731" i="1"/>
  <c r="AD732" i="1"/>
  <c r="AD733" i="1"/>
  <c r="AD734" i="1"/>
  <c r="AD825" i="1"/>
  <c r="AD826" i="1"/>
  <c r="AD828" i="1"/>
  <c r="AD829" i="1"/>
  <c r="AD830" i="1"/>
  <c r="AD783" i="1"/>
  <c r="AD822" i="1"/>
  <c r="AD63" i="1"/>
  <c r="AD64" i="1"/>
  <c r="AD65" i="1"/>
  <c r="AD590" i="1"/>
  <c r="AD591" i="1"/>
  <c r="AD592" i="1"/>
  <c r="AD615" i="1"/>
  <c r="AD60" i="1"/>
  <c r="AD642" i="1"/>
  <c r="AD643" i="1"/>
  <c r="AD649" i="1"/>
  <c r="AD650" i="1"/>
  <c r="AD651" i="1"/>
  <c r="AD66" i="1"/>
  <c r="AD67" i="1"/>
  <c r="AD68" i="1"/>
  <c r="AD662" i="1"/>
  <c r="AD69" i="1"/>
  <c r="AD70" i="1"/>
  <c r="AD71" i="1"/>
  <c r="AD680" i="1"/>
  <c r="AD681" i="1"/>
  <c r="AD742" i="1"/>
  <c r="AD743" i="1"/>
  <c r="AD744" i="1"/>
  <c r="AD738" i="1"/>
  <c r="AD739" i="1"/>
  <c r="AD51" i="1"/>
  <c r="AD52" i="1"/>
  <c r="AD817" i="1"/>
  <c r="AD814" i="1"/>
  <c r="AD815" i="1"/>
  <c r="AD605" i="1"/>
  <c r="AD813" i="1"/>
  <c r="AD609" i="1"/>
  <c r="AD610" i="1"/>
  <c r="AD611" i="1"/>
  <c r="AD766" i="1"/>
  <c r="AD791" i="1"/>
  <c r="AD792" i="1"/>
  <c r="AD793" i="1"/>
  <c r="AD807" i="1"/>
  <c r="AD808" i="1"/>
  <c r="AD809" i="1"/>
  <c r="AD785" i="1"/>
  <c r="AD784" i="1"/>
  <c r="AD172" i="1"/>
  <c r="AD173" i="1"/>
  <c r="AD174" i="1"/>
  <c r="AD216" i="1"/>
  <c r="AD588" i="1"/>
  <c r="AD619" i="1"/>
  <c r="AD623" i="1"/>
  <c r="AD624" i="1"/>
  <c r="AD816" i="1"/>
  <c r="AD560" i="1"/>
  <c r="AD561" i="1"/>
  <c r="AD585" i="1"/>
  <c r="AD645" i="1"/>
  <c r="AD646" i="1"/>
  <c r="AD655" i="1"/>
  <c r="AD663" i="1"/>
  <c r="AD664" i="1"/>
  <c r="AD665" i="1"/>
  <c r="AD666" i="1"/>
  <c r="AD667" i="1"/>
  <c r="AD668" i="1"/>
  <c r="AD682" i="1"/>
  <c r="AD683" i="1"/>
  <c r="AD687" i="1"/>
  <c r="AD38" i="1"/>
  <c r="AD819" i="1"/>
  <c r="AD820" i="1"/>
  <c r="AD821" i="1"/>
  <c r="AD718" i="1"/>
  <c r="AD719" i="1"/>
  <c r="AD720" i="1"/>
  <c r="AD721" i="1"/>
  <c r="AD53" i="1"/>
  <c r="AD54" i="1"/>
  <c r="AD24" i="1"/>
  <c r="AD25" i="1"/>
  <c r="AD26" i="1"/>
  <c r="AD27" i="1"/>
  <c r="AD30" i="1"/>
  <c r="AD31" i="1"/>
  <c r="AD32" i="1"/>
  <c r="AD33" i="1"/>
  <c r="AD34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5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2" i="1"/>
  <c r="AD563" i="1"/>
  <c r="AD564" i="1"/>
  <c r="AD565" i="1"/>
  <c r="AD566" i="1"/>
  <c r="AD567" i="1"/>
  <c r="AD568" i="1"/>
  <c r="AD56" i="1"/>
  <c r="AD569" i="1"/>
  <c r="AD57" i="1"/>
  <c r="AD58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6" i="1"/>
  <c r="AD587" i="1"/>
  <c r="AD589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6" i="1"/>
  <c r="AD607" i="1"/>
  <c r="AD608" i="1"/>
  <c r="AD612" i="1"/>
  <c r="AD613" i="1"/>
  <c r="AD614" i="1"/>
  <c r="AD616" i="1"/>
  <c r="AD617" i="1"/>
  <c r="AD618" i="1"/>
  <c r="AD620" i="1"/>
  <c r="AD621" i="1"/>
  <c r="AD622" i="1"/>
  <c r="AD625" i="1"/>
  <c r="AD626" i="1"/>
  <c r="AD627" i="1"/>
  <c r="AD628" i="1"/>
  <c r="AD629" i="1"/>
  <c r="AD630" i="1"/>
  <c r="AD631" i="1"/>
  <c r="AD632" i="1"/>
  <c r="AD633" i="1"/>
  <c r="AD634" i="1"/>
  <c r="AD635" i="1"/>
  <c r="AD47" i="1"/>
  <c r="AD636" i="1"/>
  <c r="AD637" i="1"/>
  <c r="AD638" i="1"/>
  <c r="AD639" i="1"/>
  <c r="AD640" i="1"/>
  <c r="AD641" i="1"/>
  <c r="AD644" i="1"/>
  <c r="AD61" i="1"/>
  <c r="AD62" i="1"/>
  <c r="AD647" i="1"/>
  <c r="AD648" i="1"/>
  <c r="AD48" i="1"/>
  <c r="AD652" i="1"/>
  <c r="AD49" i="1"/>
  <c r="AD50" i="1"/>
  <c r="AD653" i="1"/>
  <c r="AD654" i="1"/>
  <c r="AD656" i="1"/>
  <c r="AD657" i="1"/>
  <c r="AD658" i="1"/>
  <c r="AD659" i="1"/>
  <c r="AD660" i="1"/>
  <c r="AD661" i="1"/>
  <c r="AD669" i="1"/>
  <c r="AD670" i="1"/>
  <c r="AD72" i="1"/>
  <c r="AD73" i="1"/>
  <c r="AD671" i="1"/>
  <c r="AD672" i="1"/>
  <c r="AD673" i="1"/>
  <c r="AD674" i="1"/>
  <c r="AD675" i="1"/>
  <c r="AD676" i="1"/>
  <c r="AD677" i="1"/>
  <c r="AD678" i="1"/>
  <c r="AD679" i="1"/>
  <c r="AD44" i="1"/>
  <c r="AD684" i="1"/>
  <c r="AD685" i="1"/>
  <c r="AD686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35" i="1"/>
  <c r="AD36" i="1"/>
  <c r="AD37" i="1"/>
  <c r="AD704" i="1"/>
  <c r="AD41" i="1"/>
  <c r="AD42" i="1"/>
  <c r="AD43" i="1"/>
  <c r="AD705" i="1"/>
  <c r="AD706" i="1"/>
  <c r="AD707" i="1"/>
  <c r="AD708" i="1"/>
  <c r="AD709" i="1"/>
  <c r="AD710" i="1"/>
  <c r="AD735" i="1"/>
  <c r="AD28" i="1"/>
  <c r="AD29" i="1"/>
  <c r="AD78" i="1"/>
  <c r="AD79" i="1"/>
  <c r="AD45" i="1"/>
  <c r="AD46" i="1"/>
  <c r="AD786" i="1"/>
  <c r="AD736" i="1"/>
  <c r="AD737" i="1"/>
  <c r="AD774" i="1"/>
  <c r="AD794" i="1"/>
  <c r="AD795" i="1"/>
  <c r="AD796" i="1"/>
  <c r="AD725" i="1"/>
  <c r="AD726" i="1"/>
  <c r="AD727" i="1"/>
  <c r="AD728" i="1"/>
  <c r="AD729" i="1"/>
  <c r="AD59" i="1"/>
  <c r="AD831" i="1"/>
  <c r="AD788" i="1"/>
  <c r="AD789" i="1"/>
  <c r="AD790" i="1"/>
  <c r="AD773" i="1"/>
  <c r="AD787" i="1"/>
  <c r="AD802" i="1"/>
  <c r="AD803" i="1"/>
  <c r="AD804" i="1"/>
  <c r="AD805" i="1"/>
  <c r="AD806" i="1"/>
  <c r="AD781" i="1"/>
  <c r="AD782" i="1"/>
  <c r="AD779" i="1"/>
  <c r="AD780" i="1"/>
  <c r="AD730" i="1"/>
  <c r="AD827" i="1"/>
  <c r="AD772" i="1"/>
  <c r="AD778" i="1"/>
  <c r="AD775" i="1"/>
  <c r="AD776" i="1"/>
  <c r="AD777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7" i="1"/>
  <c r="AD768" i="1"/>
  <c r="AD769" i="1"/>
  <c r="AD770" i="1"/>
  <c r="AD771" i="1"/>
  <c r="AD797" i="1"/>
  <c r="AS828" i="1"/>
  <c r="AP828" i="1"/>
  <c r="AM828" i="1"/>
  <c r="AG828" i="1"/>
  <c r="AC828" i="1"/>
  <c r="AB828" i="1" s="1"/>
  <c r="W828" i="1"/>
  <c r="U828" i="1"/>
  <c r="S828" i="1"/>
  <c r="AS826" i="1"/>
  <c r="AP826" i="1"/>
  <c r="AM826" i="1"/>
  <c r="AG826" i="1"/>
  <c r="AC826" i="1"/>
  <c r="AB826" i="1" s="1"/>
  <c r="W826" i="1"/>
  <c r="U826" i="1"/>
  <c r="S826" i="1"/>
  <c r="AS825" i="1"/>
  <c r="AP825" i="1"/>
  <c r="AM825" i="1"/>
  <c r="AG825" i="1"/>
  <c r="AC825" i="1"/>
  <c r="AB825" i="1" s="1"/>
  <c r="W825" i="1"/>
  <c r="U825" i="1"/>
  <c r="S825" i="1"/>
  <c r="AS734" i="1"/>
  <c r="AP734" i="1"/>
  <c r="AM734" i="1"/>
  <c r="AG734" i="1"/>
  <c r="AC734" i="1"/>
  <c r="AB734" i="1" s="1"/>
  <c r="W734" i="1"/>
  <c r="U734" i="1"/>
  <c r="S734" i="1"/>
  <c r="AS733" i="1"/>
  <c r="AP733" i="1"/>
  <c r="AM733" i="1"/>
  <c r="AG733" i="1"/>
  <c r="AC733" i="1"/>
  <c r="AB733" i="1" s="1"/>
  <c r="W733" i="1"/>
  <c r="U733" i="1"/>
  <c r="S733" i="1"/>
  <c r="AS732" i="1"/>
  <c r="AP732" i="1"/>
  <c r="AM732" i="1"/>
  <c r="AG732" i="1"/>
  <c r="AC732" i="1"/>
  <c r="AB732" i="1" s="1"/>
  <c r="W732" i="1"/>
  <c r="U732" i="1"/>
  <c r="S732" i="1"/>
  <c r="AS731" i="1"/>
  <c r="AP731" i="1"/>
  <c r="AM731" i="1"/>
  <c r="AG731" i="1"/>
  <c r="AC731" i="1"/>
  <c r="AB731" i="1" s="1"/>
  <c r="W731" i="1"/>
  <c r="U731" i="1"/>
  <c r="S731" i="1"/>
  <c r="AS824" i="1"/>
  <c r="AP824" i="1"/>
  <c r="AM824" i="1"/>
  <c r="AG824" i="1"/>
  <c r="AC824" i="1"/>
  <c r="AB824" i="1" s="1"/>
  <c r="W824" i="1"/>
  <c r="U824" i="1"/>
  <c r="S824" i="1"/>
  <c r="AS823" i="1"/>
  <c r="AP823" i="1"/>
  <c r="AM823" i="1"/>
  <c r="AG823" i="1"/>
  <c r="AC823" i="1"/>
  <c r="AB823" i="1" s="1"/>
  <c r="W823" i="1"/>
  <c r="U823" i="1"/>
  <c r="S823" i="1"/>
  <c r="AS818" i="1"/>
  <c r="AP818" i="1"/>
  <c r="AM818" i="1"/>
  <c r="AG818" i="1"/>
  <c r="AC818" i="1"/>
  <c r="AB818" i="1" s="1"/>
  <c r="W818" i="1"/>
  <c r="U818" i="1"/>
  <c r="S818" i="1"/>
  <c r="AS801" i="1"/>
  <c r="AP801" i="1"/>
  <c r="AM801" i="1"/>
  <c r="AG801" i="1"/>
  <c r="AC801" i="1"/>
  <c r="AB801" i="1" s="1"/>
  <c r="W801" i="1"/>
  <c r="U801" i="1"/>
  <c r="S801" i="1"/>
  <c r="AS800" i="1"/>
  <c r="AP800" i="1"/>
  <c r="AM800" i="1"/>
  <c r="AG800" i="1"/>
  <c r="AC800" i="1"/>
  <c r="AB800" i="1" s="1"/>
  <c r="W800" i="1"/>
  <c r="U800" i="1"/>
  <c r="S800" i="1"/>
  <c r="AS799" i="1"/>
  <c r="AP799" i="1"/>
  <c r="AM799" i="1"/>
  <c r="AG799" i="1"/>
  <c r="AC799" i="1"/>
  <c r="AB799" i="1" s="1"/>
  <c r="W799" i="1"/>
  <c r="U799" i="1"/>
  <c r="S799" i="1"/>
  <c r="AS798" i="1"/>
  <c r="AP798" i="1"/>
  <c r="AM798" i="1"/>
  <c r="AG798" i="1"/>
  <c r="AC798" i="1"/>
  <c r="AB798" i="1" s="1"/>
  <c r="W798" i="1"/>
  <c r="U798" i="1"/>
  <c r="S798" i="1"/>
  <c r="AS797" i="1"/>
  <c r="AP797" i="1"/>
  <c r="AM797" i="1"/>
  <c r="AG797" i="1"/>
  <c r="AC797" i="1"/>
  <c r="AB797" i="1" s="1"/>
  <c r="W797" i="1"/>
  <c r="U797" i="1"/>
  <c r="S797" i="1"/>
  <c r="AS822" i="1"/>
  <c r="AP822" i="1"/>
  <c r="AM822" i="1"/>
  <c r="AG822" i="1"/>
  <c r="AC822" i="1"/>
  <c r="AB822" i="1" s="1"/>
  <c r="W822" i="1"/>
  <c r="U822" i="1"/>
  <c r="S822" i="1"/>
  <c r="AS783" i="1"/>
  <c r="AP783" i="1"/>
  <c r="AM783" i="1"/>
  <c r="AG783" i="1"/>
  <c r="AC783" i="1"/>
  <c r="AB783" i="1" s="1"/>
  <c r="W783" i="1"/>
  <c r="U783" i="1"/>
  <c r="S783" i="1"/>
  <c r="AS830" i="1"/>
  <c r="AP830" i="1"/>
  <c r="AM830" i="1"/>
  <c r="AG830" i="1"/>
  <c r="AC830" i="1"/>
  <c r="AB830" i="1" s="1"/>
  <c r="W830" i="1"/>
  <c r="U830" i="1"/>
  <c r="S830" i="1"/>
  <c r="AS829" i="1"/>
  <c r="AP829" i="1"/>
  <c r="AM829" i="1"/>
  <c r="AG829" i="1"/>
  <c r="AC829" i="1"/>
  <c r="AB829" i="1" s="1"/>
  <c r="W829" i="1"/>
  <c r="U829" i="1"/>
  <c r="S829" i="1"/>
  <c r="AS721" i="1"/>
  <c r="AP721" i="1"/>
  <c r="AM721" i="1"/>
  <c r="AG721" i="1"/>
  <c r="AC721" i="1"/>
  <c r="AB721" i="1" s="1"/>
  <c r="W721" i="1"/>
  <c r="U721" i="1"/>
  <c r="S721" i="1"/>
  <c r="AS720" i="1"/>
  <c r="AP720" i="1"/>
  <c r="AM720" i="1"/>
  <c r="AG720" i="1"/>
  <c r="AC720" i="1"/>
  <c r="AB720" i="1" s="1"/>
  <c r="W720" i="1"/>
  <c r="U720" i="1"/>
  <c r="S720" i="1"/>
  <c r="AS719" i="1"/>
  <c r="AP719" i="1"/>
  <c r="AM719" i="1"/>
  <c r="AG719" i="1"/>
  <c r="AC719" i="1"/>
  <c r="AB719" i="1" s="1"/>
  <c r="W719" i="1"/>
  <c r="U719" i="1"/>
  <c r="S719" i="1"/>
  <c r="AS718" i="1"/>
  <c r="AP718" i="1"/>
  <c r="AM718" i="1"/>
  <c r="AG718" i="1"/>
  <c r="AC718" i="1"/>
  <c r="AB718" i="1" s="1"/>
  <c r="W718" i="1"/>
  <c r="U718" i="1"/>
  <c r="S718" i="1"/>
  <c r="AS785" i="1" l="1"/>
  <c r="AP785" i="1"/>
  <c r="AM785" i="1"/>
  <c r="AG785" i="1"/>
  <c r="AC785" i="1"/>
  <c r="AB785" i="1" s="1"/>
  <c r="W785" i="1"/>
  <c r="U785" i="1"/>
  <c r="S785" i="1"/>
  <c r="AS46" i="1"/>
  <c r="AP46" i="1"/>
  <c r="AM46" i="1"/>
  <c r="AG46" i="1"/>
  <c r="AC46" i="1"/>
  <c r="AB46" i="1" s="1"/>
  <c r="W46" i="1"/>
  <c r="U46" i="1"/>
  <c r="S46" i="1"/>
  <c r="AS45" i="1"/>
  <c r="AP45" i="1"/>
  <c r="AM45" i="1"/>
  <c r="AG45" i="1"/>
  <c r="AC45" i="1"/>
  <c r="AB45" i="1" s="1"/>
  <c r="W45" i="1"/>
  <c r="U45" i="1"/>
  <c r="S45" i="1"/>
  <c r="AS79" i="1"/>
  <c r="AP79" i="1"/>
  <c r="AM79" i="1"/>
  <c r="AG79" i="1"/>
  <c r="AC79" i="1"/>
  <c r="AB79" i="1" s="1"/>
  <c r="W79" i="1"/>
  <c r="U79" i="1"/>
  <c r="S79" i="1"/>
  <c r="AS78" i="1"/>
  <c r="AP78" i="1"/>
  <c r="AM78" i="1"/>
  <c r="AG78" i="1"/>
  <c r="AC78" i="1"/>
  <c r="AB78" i="1" s="1"/>
  <c r="W78" i="1"/>
  <c r="U78" i="1"/>
  <c r="S78" i="1"/>
  <c r="AS813" i="1"/>
  <c r="AP813" i="1"/>
  <c r="AM813" i="1"/>
  <c r="AG813" i="1"/>
  <c r="AC813" i="1"/>
  <c r="AB813" i="1" s="1"/>
  <c r="W813" i="1"/>
  <c r="U813" i="1"/>
  <c r="S813" i="1"/>
  <c r="AS52" i="1"/>
  <c r="AP52" i="1"/>
  <c r="AM52" i="1"/>
  <c r="AG52" i="1"/>
  <c r="AC52" i="1"/>
  <c r="AB52" i="1" s="1"/>
  <c r="W52" i="1"/>
  <c r="U52" i="1"/>
  <c r="S52" i="1"/>
  <c r="AS51" i="1"/>
  <c r="AP51" i="1"/>
  <c r="AM51" i="1"/>
  <c r="AG51" i="1"/>
  <c r="AC51" i="1"/>
  <c r="AB51" i="1" s="1"/>
  <c r="W51" i="1"/>
  <c r="U51" i="1"/>
  <c r="S51" i="1"/>
  <c r="AS29" i="1"/>
  <c r="AP29" i="1"/>
  <c r="AM29" i="1"/>
  <c r="AG29" i="1"/>
  <c r="AC29" i="1"/>
  <c r="AB29" i="1" s="1"/>
  <c r="W29" i="1"/>
  <c r="U29" i="1"/>
  <c r="S29" i="1"/>
  <c r="AS28" i="1"/>
  <c r="AP28" i="1"/>
  <c r="AM28" i="1"/>
  <c r="AG28" i="1"/>
  <c r="AC28" i="1"/>
  <c r="AB28" i="1" s="1"/>
  <c r="W28" i="1"/>
  <c r="U28" i="1"/>
  <c r="S28" i="1"/>
  <c r="AS38" i="1"/>
  <c r="AP38" i="1"/>
  <c r="AM38" i="1"/>
  <c r="AG38" i="1"/>
  <c r="AC38" i="1"/>
  <c r="AB38" i="1" s="1"/>
  <c r="W38" i="1"/>
  <c r="U38" i="1"/>
  <c r="S38" i="1"/>
  <c r="AS735" i="1"/>
  <c r="AP735" i="1"/>
  <c r="AM735" i="1"/>
  <c r="AG735" i="1"/>
  <c r="AC735" i="1"/>
  <c r="AB735" i="1" s="1"/>
  <c r="W735" i="1"/>
  <c r="U735" i="1"/>
  <c r="S735" i="1"/>
  <c r="AS1005" i="1"/>
  <c r="AP1005" i="1"/>
  <c r="AM1005" i="1"/>
  <c r="AG1005" i="1"/>
  <c r="AC1005" i="1"/>
  <c r="AB1005" i="1" s="1"/>
  <c r="W1005" i="1"/>
  <c r="U1005" i="1"/>
  <c r="S1005" i="1"/>
  <c r="AG1055" i="1" l="1"/>
  <c r="AG1056" i="1"/>
  <c r="AG865" i="1"/>
  <c r="AG866" i="1"/>
  <c r="AG927" i="1"/>
  <c r="AG989" i="1"/>
  <c r="AG990" i="1"/>
  <c r="AG991" i="1"/>
  <c r="AG1050" i="1"/>
  <c r="AG1051" i="1"/>
  <c r="AG1052" i="1"/>
  <c r="AG876" i="1"/>
  <c r="AG877" i="1"/>
  <c r="AG878" i="1"/>
  <c r="AG879" i="1"/>
  <c r="AG880" i="1"/>
  <c r="AG849" i="1"/>
  <c r="AG850" i="1"/>
  <c r="AG851" i="1"/>
  <c r="AG852" i="1"/>
  <c r="AG853" i="1"/>
  <c r="AG895" i="1"/>
  <c r="AG896" i="1"/>
  <c r="AG897" i="1"/>
  <c r="AG887" i="1"/>
  <c r="AG928" i="1"/>
  <c r="AG881" i="1"/>
  <c r="AG882" i="1"/>
  <c r="AG883" i="1"/>
  <c r="AG884" i="1"/>
  <c r="AG840" i="1"/>
  <c r="AG841" i="1"/>
  <c r="AG842" i="1"/>
  <c r="AG843" i="1"/>
  <c r="AG854" i="1"/>
  <c r="AG855" i="1"/>
  <c r="AG856" i="1"/>
  <c r="AG857" i="1"/>
  <c r="AG858" i="1"/>
  <c r="AG859" i="1"/>
  <c r="AG833" i="1"/>
  <c r="AG929" i="1"/>
  <c r="AG930" i="1"/>
  <c r="AG937" i="1"/>
  <c r="AG910" i="1"/>
  <c r="AG911" i="1"/>
  <c r="AG1002" i="1"/>
  <c r="AG1003" i="1"/>
  <c r="AG912" i="1"/>
  <c r="AG913" i="1"/>
  <c r="AG867" i="1"/>
  <c r="AG868" i="1"/>
  <c r="AG955" i="1"/>
  <c r="AG1057" i="1"/>
  <c r="AG1004" i="1"/>
  <c r="AG956" i="1"/>
  <c r="AG957" i="1"/>
  <c r="AG953" i="1"/>
  <c r="AG954" i="1"/>
  <c r="AG980" i="1"/>
  <c r="AG976" i="1"/>
  <c r="AG995" i="1"/>
  <c r="AG996" i="1"/>
  <c r="AG997" i="1"/>
  <c r="AG998" i="1"/>
  <c r="AG999" i="1"/>
  <c r="AG1000" i="1"/>
  <c r="AG1001" i="1"/>
  <c r="AG888" i="1"/>
  <c r="AG889" i="1"/>
  <c r="AG890" i="1"/>
  <c r="AG891" i="1"/>
  <c r="AG892" i="1"/>
  <c r="AG949" i="1"/>
  <c r="AG958" i="1"/>
  <c r="AG893" i="1"/>
  <c r="AG894" i="1"/>
  <c r="AG1045" i="1"/>
  <c r="AG1022" i="1"/>
  <c r="AG1023" i="1"/>
  <c r="AG1024" i="1"/>
  <c r="AG969" i="1"/>
  <c r="AG959" i="1"/>
  <c r="AG960" i="1"/>
  <c r="AG961" i="1"/>
  <c r="AG962" i="1"/>
  <c r="AG981" i="1"/>
  <c r="AG982" i="1"/>
  <c r="AG977" i="1"/>
  <c r="AG983" i="1"/>
  <c r="AG984" i="1"/>
  <c r="AG985" i="1"/>
  <c r="AG1032" i="1"/>
  <c r="AG1033" i="1"/>
  <c r="AG970" i="1"/>
  <c r="AG844" i="1"/>
  <c r="AG845" i="1"/>
  <c r="AG846" i="1"/>
  <c r="AG898" i="1"/>
  <c r="AG914" i="1"/>
  <c r="AG899" i="1"/>
  <c r="AG900" i="1"/>
  <c r="AG901" i="1"/>
  <c r="AG902" i="1"/>
  <c r="AG903" i="1"/>
  <c r="AG950" i="1"/>
  <c r="AG938" i="1"/>
  <c r="AG885" i="1"/>
  <c r="AG915" i="1"/>
  <c r="AG916" i="1"/>
  <c r="AG1006" i="1"/>
  <c r="AG1007" i="1"/>
  <c r="AG1008" i="1"/>
  <c r="AG1009" i="1"/>
  <c r="AG1010" i="1"/>
  <c r="AG1011" i="1"/>
  <c r="AG1025" i="1"/>
  <c r="AG904" i="1"/>
  <c r="AG905" i="1"/>
  <c r="AG906" i="1"/>
  <c r="AG907" i="1"/>
  <c r="AG908" i="1"/>
  <c r="AG939" i="1"/>
  <c r="AG940" i="1"/>
  <c r="AG941" i="1"/>
  <c r="AG1066" i="1"/>
  <c r="AG1067" i="1"/>
  <c r="AG1068" i="1"/>
  <c r="AG1069" i="1"/>
  <c r="AG1070" i="1"/>
  <c r="AG1071" i="1"/>
  <c r="AG1072" i="1"/>
  <c r="AG1073" i="1"/>
  <c r="AG1074" i="1"/>
  <c r="AG860" i="1"/>
  <c r="AG861" i="1"/>
  <c r="AG862" i="1"/>
  <c r="AG863" i="1"/>
  <c r="AG864" i="1"/>
  <c r="AG1075" i="1"/>
  <c r="AG1076" i="1"/>
  <c r="AG1077" i="1"/>
  <c r="AG1078" i="1"/>
  <c r="AG1026" i="1"/>
  <c r="AG1027" i="1"/>
  <c r="AG1028" i="1"/>
  <c r="AG971" i="1"/>
  <c r="AG1119" i="1"/>
  <c r="AG951" i="1"/>
  <c r="AG952" i="1"/>
  <c r="AG1120" i="1"/>
  <c r="AG1121" i="1"/>
  <c r="AG1122" i="1"/>
  <c r="AG1117" i="1"/>
  <c r="AG974" i="1"/>
  <c r="AG942" i="1"/>
  <c r="AG943" i="1"/>
  <c r="AG944" i="1"/>
  <c r="AG847" i="1"/>
  <c r="AG848" i="1"/>
  <c r="AG963" i="1"/>
  <c r="AG975" i="1"/>
  <c r="AG1046" i="1"/>
  <c r="AG1047" i="1"/>
  <c r="AG1048" i="1"/>
  <c r="AG1049" i="1"/>
  <c r="AG972" i="1"/>
  <c r="AG1040" i="1"/>
  <c r="AG1041" i="1"/>
  <c r="AG973" i="1"/>
  <c r="AG1019" i="1"/>
  <c r="AG1020" i="1"/>
  <c r="AG1021" i="1"/>
  <c r="AG1016" i="1"/>
  <c r="AG1017" i="1"/>
  <c r="AG1018" i="1"/>
  <c r="AG1012" i="1"/>
  <c r="AG1013" i="1"/>
  <c r="AG1114" i="1"/>
  <c r="AG1115" i="1"/>
  <c r="AG1014" i="1"/>
  <c r="AG834" i="1"/>
  <c r="AG835" i="1"/>
  <c r="AG917" i="1"/>
  <c r="AG918" i="1"/>
  <c r="AG919" i="1"/>
  <c r="AG945" i="1"/>
  <c r="AG946" i="1"/>
  <c r="AG948" i="1"/>
  <c r="AG931" i="1"/>
  <c r="AG1062" i="1"/>
  <c r="AG1079" i="1"/>
  <c r="AG932" i="1"/>
  <c r="AG933" i="1"/>
  <c r="AG934" i="1"/>
  <c r="AG935" i="1"/>
  <c r="AG920" i="1"/>
  <c r="AG947" i="1"/>
  <c r="AG936" i="1"/>
  <c r="AG1063" i="1"/>
  <c r="AG1064" i="1"/>
  <c r="AG1065" i="1"/>
  <c r="AG1053" i="1"/>
  <c r="AG1034" i="1"/>
  <c r="AG1042" i="1"/>
  <c r="AG1132" i="1"/>
  <c r="AG1133" i="1"/>
  <c r="AG1134" i="1"/>
  <c r="AG979" i="1"/>
  <c r="AG1035" i="1"/>
  <c r="AG1118" i="1"/>
  <c r="AG1036" i="1"/>
  <c r="AG1037" i="1"/>
  <c r="AG1038" i="1"/>
  <c r="AG1039" i="1"/>
  <c r="AG1123" i="1"/>
  <c r="AG1043" i="1"/>
  <c r="AG1044" i="1"/>
  <c r="AG886" i="1"/>
  <c r="AG1130" i="1"/>
  <c r="AG1131" i="1"/>
  <c r="AG1080" i="1"/>
  <c r="AG1081" i="1"/>
  <c r="AG1082" i="1"/>
  <c r="AG1124" i="1"/>
  <c r="AG1083" i="1"/>
  <c r="AG1084" i="1"/>
  <c r="AG1085" i="1"/>
  <c r="AG1125" i="1"/>
  <c r="AG1029" i="1"/>
  <c r="AG1086" i="1"/>
  <c r="AG992" i="1"/>
  <c r="AG1126" i="1"/>
  <c r="AG921" i="1"/>
  <c r="AG922" i="1"/>
  <c r="AG923" i="1"/>
  <c r="AG924" i="1"/>
  <c r="AG1087" i="1"/>
  <c r="AG1088" i="1"/>
  <c r="AG1089" i="1"/>
  <c r="AG1031" i="1"/>
  <c r="AG1015" i="1"/>
  <c r="AG1127" i="1"/>
  <c r="AG1116" i="1"/>
  <c r="AG1090" i="1"/>
  <c r="AG1091" i="1"/>
  <c r="AG1058" i="1"/>
  <c r="AG1061" i="1"/>
  <c r="AG993" i="1"/>
  <c r="AG994" i="1"/>
  <c r="AG978" i="1"/>
  <c r="AG964" i="1"/>
  <c r="AG1092" i="1"/>
  <c r="AG1093" i="1"/>
  <c r="AG1094" i="1"/>
  <c r="AG1095" i="1"/>
  <c r="AG1096" i="1"/>
  <c r="AG1097" i="1"/>
  <c r="AG1098" i="1"/>
  <c r="AG1099" i="1"/>
  <c r="AG1100" i="1"/>
  <c r="AG965" i="1"/>
  <c r="AG1128" i="1"/>
  <c r="AG1129" i="1"/>
  <c r="AG1030" i="1"/>
  <c r="AG836" i="1"/>
  <c r="AG837" i="1"/>
  <c r="AG838" i="1"/>
  <c r="AG839" i="1"/>
  <c r="AG1101" i="1"/>
  <c r="AG1102" i="1"/>
  <c r="AG1103" i="1"/>
  <c r="AG1104" i="1"/>
  <c r="AG966" i="1"/>
  <c r="AG1105" i="1"/>
  <c r="AG1106" i="1"/>
  <c r="AG1107" i="1"/>
  <c r="AG1108" i="1"/>
  <c r="AG1109" i="1"/>
  <c r="AG1110" i="1"/>
  <c r="AG1111" i="1"/>
  <c r="AG1112" i="1"/>
  <c r="AG1059" i="1"/>
  <c r="AG1060" i="1"/>
  <c r="AG967" i="1"/>
  <c r="AG968" i="1"/>
  <c r="AG925" i="1"/>
  <c r="AG926" i="1"/>
  <c r="AG1113" i="1"/>
  <c r="AG24" i="1"/>
  <c r="AG774" i="1"/>
  <c r="AG794" i="1"/>
  <c r="AG795" i="1"/>
  <c r="AG796" i="1"/>
  <c r="AG30" i="1"/>
  <c r="AG31" i="1"/>
  <c r="AG32" i="1"/>
  <c r="AG33" i="1"/>
  <c r="AG34" i="1"/>
  <c r="AG725" i="1"/>
  <c r="AG726" i="1"/>
  <c r="AG727" i="1"/>
  <c r="AG728" i="1"/>
  <c r="AG729" i="1"/>
  <c r="AG791" i="1"/>
  <c r="AG792" i="1"/>
  <c r="AG793" i="1"/>
  <c r="AG814" i="1"/>
  <c r="AG815" i="1"/>
  <c r="AG59" i="1"/>
  <c r="AG831" i="1"/>
  <c r="AG788" i="1"/>
  <c r="AG789" i="1"/>
  <c r="AG786" i="1"/>
  <c r="AG790" i="1"/>
  <c r="AG817" i="1"/>
  <c r="AG819" i="1"/>
  <c r="AG820" i="1"/>
  <c r="AG742" i="1"/>
  <c r="AG743" i="1"/>
  <c r="AG821" i="1"/>
  <c r="AG744" i="1"/>
  <c r="AG736" i="1"/>
  <c r="AG737" i="1"/>
  <c r="AG738" i="1"/>
  <c r="AG739" i="1"/>
  <c r="AG816" i="1"/>
  <c r="AG773" i="1"/>
  <c r="AG787" i="1"/>
  <c r="AG766" i="1"/>
  <c r="AG53" i="1"/>
  <c r="AG54" i="1"/>
  <c r="AG25" i="1"/>
  <c r="AG26" i="1"/>
  <c r="AG27" i="1"/>
  <c r="AG784" i="1"/>
  <c r="AG807" i="1"/>
  <c r="AG808" i="1"/>
  <c r="AG809" i="1"/>
  <c r="AG802" i="1"/>
  <c r="AG803" i="1"/>
  <c r="AG804" i="1"/>
  <c r="AG805" i="1"/>
  <c r="AG806" i="1"/>
  <c r="AG781" i="1"/>
  <c r="AG782" i="1"/>
  <c r="AG779" i="1"/>
  <c r="AG780" i="1"/>
  <c r="AG730" i="1"/>
  <c r="AG827" i="1"/>
  <c r="AG772" i="1"/>
  <c r="AG778" i="1"/>
  <c r="AG775" i="1"/>
  <c r="AG776" i="1"/>
  <c r="AG777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7" i="1"/>
  <c r="AG768" i="1"/>
  <c r="AG769" i="1"/>
  <c r="AG770" i="1"/>
  <c r="AG771" i="1"/>
  <c r="AG710" i="1"/>
  <c r="AG709" i="1"/>
  <c r="AG708" i="1"/>
  <c r="AG707" i="1"/>
  <c r="AG706" i="1"/>
  <c r="AG705" i="1"/>
  <c r="AG43" i="1"/>
  <c r="AG42" i="1"/>
  <c r="AG41" i="1"/>
  <c r="AG704" i="1"/>
  <c r="AG37" i="1"/>
  <c r="AG36" i="1"/>
  <c r="AG35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44" i="1"/>
  <c r="AG681" i="1"/>
  <c r="AG680" i="1"/>
  <c r="AG679" i="1"/>
  <c r="AG678" i="1"/>
  <c r="AG677" i="1"/>
  <c r="AG676" i="1"/>
  <c r="AG675" i="1"/>
  <c r="AG674" i="1"/>
  <c r="AG673" i="1"/>
  <c r="AG672" i="1"/>
  <c r="AG671" i="1"/>
  <c r="AG73" i="1"/>
  <c r="AG72" i="1"/>
  <c r="AG71" i="1"/>
  <c r="AG70" i="1"/>
  <c r="AG670" i="1"/>
  <c r="AG669" i="1"/>
  <c r="AG69" i="1"/>
  <c r="AG668" i="1"/>
  <c r="AG667" i="1"/>
  <c r="AG666" i="1"/>
  <c r="AG665" i="1"/>
  <c r="AG664" i="1"/>
  <c r="AG663" i="1"/>
  <c r="AG662" i="1"/>
  <c r="AG660" i="1"/>
  <c r="AG661" i="1"/>
  <c r="AG659" i="1"/>
  <c r="AG658" i="1"/>
  <c r="AG657" i="1"/>
  <c r="AG656" i="1"/>
  <c r="AG655" i="1"/>
  <c r="AG68" i="1"/>
  <c r="AG67" i="1"/>
  <c r="AG66" i="1"/>
  <c r="AG654" i="1"/>
  <c r="AG653" i="1"/>
  <c r="AG50" i="1"/>
  <c r="AG49" i="1"/>
  <c r="AG652" i="1"/>
  <c r="AG48" i="1"/>
  <c r="AG651" i="1"/>
  <c r="AG650" i="1"/>
  <c r="AG649" i="1"/>
  <c r="AG65" i="1"/>
  <c r="AG64" i="1"/>
  <c r="AG648" i="1"/>
  <c r="AG647" i="1"/>
  <c r="AG646" i="1"/>
  <c r="AG63" i="1"/>
  <c r="AG645" i="1"/>
  <c r="AG62" i="1"/>
  <c r="AG61" i="1"/>
  <c r="AG644" i="1"/>
  <c r="AG643" i="1"/>
  <c r="AG642" i="1"/>
  <c r="AG641" i="1"/>
  <c r="AG640" i="1"/>
  <c r="AG639" i="1"/>
  <c r="AG638" i="1"/>
  <c r="AG637" i="1"/>
  <c r="AG636" i="1"/>
  <c r="AG47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60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8" i="1"/>
  <c r="AG57" i="1"/>
  <c r="AG569" i="1"/>
  <c r="AG56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3" i="1"/>
  <c r="AG554" i="1"/>
  <c r="AG552" i="1"/>
  <c r="AG551" i="1"/>
  <c r="AG550" i="1"/>
  <c r="AG549" i="1"/>
  <c r="AG547" i="1"/>
  <c r="AG548" i="1"/>
  <c r="AG546" i="1"/>
  <c r="AG545" i="1"/>
  <c r="AG544" i="1"/>
  <c r="AG543" i="1"/>
  <c r="AG542" i="1"/>
  <c r="AG541" i="1"/>
  <c r="AG540" i="1"/>
  <c r="AG539" i="1"/>
  <c r="AG538" i="1"/>
  <c r="AG55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C1055" i="1"/>
  <c r="AB1055" i="1" s="1"/>
  <c r="AC1056" i="1"/>
  <c r="AB1056" i="1" s="1"/>
  <c r="AC865" i="1"/>
  <c r="AB865" i="1" s="1"/>
  <c r="AC866" i="1"/>
  <c r="AB866" i="1" s="1"/>
  <c r="AC927" i="1"/>
  <c r="AB927" i="1" s="1"/>
  <c r="AC989" i="1"/>
  <c r="AB989" i="1" s="1"/>
  <c r="AC990" i="1"/>
  <c r="AB990" i="1" s="1"/>
  <c r="AC991" i="1"/>
  <c r="AB991" i="1" s="1"/>
  <c r="AC1050" i="1"/>
  <c r="AB1050" i="1" s="1"/>
  <c r="AC1051" i="1"/>
  <c r="AB1051" i="1" s="1"/>
  <c r="AC1052" i="1"/>
  <c r="AB1052" i="1" s="1"/>
  <c r="AC876" i="1"/>
  <c r="AB876" i="1" s="1"/>
  <c r="AC877" i="1"/>
  <c r="AB877" i="1" s="1"/>
  <c r="AC878" i="1"/>
  <c r="AB878" i="1" s="1"/>
  <c r="AC879" i="1"/>
  <c r="AB879" i="1" s="1"/>
  <c r="AC880" i="1"/>
  <c r="AB880" i="1" s="1"/>
  <c r="AC849" i="1"/>
  <c r="AB849" i="1" s="1"/>
  <c r="AC850" i="1"/>
  <c r="AB850" i="1" s="1"/>
  <c r="AC851" i="1"/>
  <c r="AB851" i="1" s="1"/>
  <c r="AC852" i="1"/>
  <c r="AB852" i="1" s="1"/>
  <c r="AC853" i="1"/>
  <c r="AB853" i="1" s="1"/>
  <c r="AC895" i="1"/>
  <c r="AB895" i="1" s="1"/>
  <c r="AC896" i="1"/>
  <c r="AB896" i="1" s="1"/>
  <c r="AC897" i="1"/>
  <c r="AB897" i="1" s="1"/>
  <c r="AC887" i="1"/>
  <c r="AB887" i="1" s="1"/>
  <c r="AC928" i="1"/>
  <c r="AB928" i="1" s="1"/>
  <c r="AC881" i="1"/>
  <c r="AB881" i="1" s="1"/>
  <c r="AC882" i="1"/>
  <c r="AB882" i="1" s="1"/>
  <c r="AC883" i="1"/>
  <c r="AB883" i="1" s="1"/>
  <c r="AC884" i="1"/>
  <c r="AB884" i="1" s="1"/>
  <c r="AC840" i="1"/>
  <c r="AB840" i="1" s="1"/>
  <c r="AC841" i="1"/>
  <c r="AB841" i="1" s="1"/>
  <c r="AC842" i="1"/>
  <c r="AB842" i="1" s="1"/>
  <c r="AC843" i="1"/>
  <c r="AB843" i="1" s="1"/>
  <c r="AC854" i="1"/>
  <c r="AB854" i="1" s="1"/>
  <c r="AC855" i="1"/>
  <c r="AB855" i="1" s="1"/>
  <c r="AC856" i="1"/>
  <c r="AB856" i="1" s="1"/>
  <c r="AC857" i="1"/>
  <c r="AB857" i="1" s="1"/>
  <c r="AC858" i="1"/>
  <c r="AB858" i="1" s="1"/>
  <c r="AC859" i="1"/>
  <c r="AB859" i="1" s="1"/>
  <c r="AC833" i="1"/>
  <c r="AB833" i="1" s="1"/>
  <c r="AC929" i="1"/>
  <c r="AB929" i="1" s="1"/>
  <c r="AC930" i="1"/>
  <c r="AB930" i="1" s="1"/>
  <c r="AC937" i="1"/>
  <c r="AB937" i="1" s="1"/>
  <c r="AC910" i="1"/>
  <c r="AB910" i="1" s="1"/>
  <c r="AC911" i="1"/>
  <c r="AB911" i="1" s="1"/>
  <c r="AC1002" i="1"/>
  <c r="AB1002" i="1" s="1"/>
  <c r="AC1003" i="1"/>
  <c r="AB1003" i="1" s="1"/>
  <c r="AC912" i="1"/>
  <c r="AB912" i="1" s="1"/>
  <c r="AC913" i="1"/>
  <c r="AB913" i="1" s="1"/>
  <c r="AC867" i="1"/>
  <c r="AB867" i="1" s="1"/>
  <c r="AC868" i="1"/>
  <c r="AB868" i="1" s="1"/>
  <c r="AC955" i="1"/>
  <c r="AB955" i="1" s="1"/>
  <c r="AC1057" i="1"/>
  <c r="AB1057" i="1" s="1"/>
  <c r="AC1004" i="1"/>
  <c r="AB1004" i="1" s="1"/>
  <c r="AC956" i="1"/>
  <c r="AB956" i="1" s="1"/>
  <c r="AC957" i="1"/>
  <c r="AB957" i="1" s="1"/>
  <c r="AC953" i="1"/>
  <c r="AB953" i="1" s="1"/>
  <c r="AC954" i="1"/>
  <c r="AB954" i="1" s="1"/>
  <c r="AC980" i="1"/>
  <c r="AB980" i="1" s="1"/>
  <c r="AC976" i="1"/>
  <c r="AB976" i="1" s="1"/>
  <c r="AC995" i="1"/>
  <c r="AB995" i="1" s="1"/>
  <c r="AC996" i="1"/>
  <c r="AB996" i="1" s="1"/>
  <c r="AC997" i="1"/>
  <c r="AB997" i="1" s="1"/>
  <c r="AC998" i="1"/>
  <c r="AB998" i="1" s="1"/>
  <c r="AC999" i="1"/>
  <c r="AB999" i="1" s="1"/>
  <c r="AC1000" i="1"/>
  <c r="AB1000" i="1" s="1"/>
  <c r="AC1001" i="1"/>
  <c r="AB1001" i="1" s="1"/>
  <c r="AC888" i="1"/>
  <c r="AB888" i="1" s="1"/>
  <c r="AC889" i="1"/>
  <c r="AB889" i="1" s="1"/>
  <c r="AC890" i="1"/>
  <c r="AB890" i="1" s="1"/>
  <c r="AC891" i="1"/>
  <c r="AB891" i="1" s="1"/>
  <c r="AC892" i="1"/>
  <c r="AB892" i="1" s="1"/>
  <c r="AC949" i="1"/>
  <c r="AB949" i="1" s="1"/>
  <c r="AC958" i="1"/>
  <c r="AB958" i="1" s="1"/>
  <c r="AC893" i="1"/>
  <c r="AB893" i="1" s="1"/>
  <c r="AC894" i="1"/>
  <c r="AB894" i="1" s="1"/>
  <c r="AC1045" i="1"/>
  <c r="AB1045" i="1" s="1"/>
  <c r="AC1022" i="1"/>
  <c r="AB1022" i="1" s="1"/>
  <c r="AC1023" i="1"/>
  <c r="AB1023" i="1" s="1"/>
  <c r="AC1024" i="1"/>
  <c r="AB1024" i="1" s="1"/>
  <c r="AC969" i="1"/>
  <c r="AB969" i="1" s="1"/>
  <c r="AC959" i="1"/>
  <c r="AB959" i="1" s="1"/>
  <c r="AC960" i="1"/>
  <c r="AB960" i="1" s="1"/>
  <c r="AC961" i="1"/>
  <c r="AB961" i="1" s="1"/>
  <c r="AC962" i="1"/>
  <c r="AB962" i="1" s="1"/>
  <c r="AC981" i="1"/>
  <c r="AB981" i="1" s="1"/>
  <c r="AC982" i="1"/>
  <c r="AB982" i="1" s="1"/>
  <c r="AC977" i="1"/>
  <c r="AB977" i="1" s="1"/>
  <c r="AC983" i="1"/>
  <c r="AB983" i="1" s="1"/>
  <c r="AC984" i="1"/>
  <c r="AB984" i="1" s="1"/>
  <c r="AC985" i="1"/>
  <c r="AB985" i="1" s="1"/>
  <c r="AC1032" i="1"/>
  <c r="AB1032" i="1" s="1"/>
  <c r="AC1033" i="1"/>
  <c r="AB1033" i="1" s="1"/>
  <c r="AC970" i="1"/>
  <c r="AB970" i="1" s="1"/>
  <c r="AC844" i="1"/>
  <c r="AB844" i="1" s="1"/>
  <c r="AC845" i="1"/>
  <c r="AB845" i="1" s="1"/>
  <c r="AC846" i="1"/>
  <c r="AB846" i="1" s="1"/>
  <c r="AC898" i="1"/>
  <c r="AB898" i="1" s="1"/>
  <c r="AC914" i="1"/>
  <c r="AB914" i="1" s="1"/>
  <c r="AC899" i="1"/>
  <c r="AB899" i="1" s="1"/>
  <c r="AC900" i="1"/>
  <c r="AB900" i="1" s="1"/>
  <c r="AC901" i="1"/>
  <c r="AB901" i="1" s="1"/>
  <c r="AC902" i="1"/>
  <c r="AB902" i="1" s="1"/>
  <c r="AC903" i="1"/>
  <c r="AB903" i="1" s="1"/>
  <c r="AC950" i="1"/>
  <c r="AB950" i="1" s="1"/>
  <c r="AC938" i="1"/>
  <c r="AB938" i="1" s="1"/>
  <c r="AC885" i="1"/>
  <c r="AB885" i="1" s="1"/>
  <c r="AC915" i="1"/>
  <c r="AB915" i="1" s="1"/>
  <c r="AC916" i="1"/>
  <c r="AB916" i="1" s="1"/>
  <c r="AC1006" i="1"/>
  <c r="AB1006" i="1" s="1"/>
  <c r="AC1007" i="1"/>
  <c r="AB1007" i="1" s="1"/>
  <c r="AC1008" i="1"/>
  <c r="AB1008" i="1" s="1"/>
  <c r="AC1009" i="1"/>
  <c r="AB1009" i="1" s="1"/>
  <c r="AC1010" i="1"/>
  <c r="AB1010" i="1" s="1"/>
  <c r="AC1011" i="1"/>
  <c r="AB1011" i="1" s="1"/>
  <c r="AC1025" i="1"/>
  <c r="AB1025" i="1" s="1"/>
  <c r="AC904" i="1"/>
  <c r="AB904" i="1" s="1"/>
  <c r="AC905" i="1"/>
  <c r="AB905" i="1" s="1"/>
  <c r="AC906" i="1"/>
  <c r="AB906" i="1" s="1"/>
  <c r="AC907" i="1"/>
  <c r="AB907" i="1" s="1"/>
  <c r="AC908" i="1"/>
  <c r="AB908" i="1" s="1"/>
  <c r="AC939" i="1"/>
  <c r="AB939" i="1" s="1"/>
  <c r="AC940" i="1"/>
  <c r="AB940" i="1" s="1"/>
  <c r="AC941" i="1"/>
  <c r="AB941" i="1" s="1"/>
  <c r="AC1066" i="1"/>
  <c r="AB1066" i="1" s="1"/>
  <c r="AC1067" i="1"/>
  <c r="AB1067" i="1" s="1"/>
  <c r="AC1068" i="1"/>
  <c r="AB1068" i="1" s="1"/>
  <c r="AC1069" i="1"/>
  <c r="AB1069" i="1" s="1"/>
  <c r="AC1070" i="1"/>
  <c r="AB1070" i="1" s="1"/>
  <c r="AC1071" i="1"/>
  <c r="AB1071" i="1" s="1"/>
  <c r="AC1072" i="1"/>
  <c r="AB1072" i="1" s="1"/>
  <c r="AC1073" i="1"/>
  <c r="AB1073" i="1" s="1"/>
  <c r="AC1074" i="1"/>
  <c r="AB1074" i="1" s="1"/>
  <c r="AC860" i="1"/>
  <c r="AB860" i="1" s="1"/>
  <c r="AC861" i="1"/>
  <c r="AB861" i="1" s="1"/>
  <c r="AC862" i="1"/>
  <c r="AB862" i="1" s="1"/>
  <c r="AC863" i="1"/>
  <c r="AB863" i="1" s="1"/>
  <c r="AC864" i="1"/>
  <c r="AB864" i="1" s="1"/>
  <c r="AC1075" i="1"/>
  <c r="AB1075" i="1" s="1"/>
  <c r="AC1076" i="1"/>
  <c r="AB1076" i="1" s="1"/>
  <c r="AC1077" i="1"/>
  <c r="AB1077" i="1" s="1"/>
  <c r="AC1078" i="1"/>
  <c r="AB1078" i="1" s="1"/>
  <c r="AC1026" i="1"/>
  <c r="AB1026" i="1" s="1"/>
  <c r="AC1027" i="1"/>
  <c r="AB1027" i="1" s="1"/>
  <c r="AC1028" i="1"/>
  <c r="AB1028" i="1" s="1"/>
  <c r="AC971" i="1"/>
  <c r="AB971" i="1" s="1"/>
  <c r="AC1119" i="1"/>
  <c r="AB1119" i="1" s="1"/>
  <c r="AC951" i="1"/>
  <c r="AB951" i="1" s="1"/>
  <c r="AC952" i="1"/>
  <c r="AB952" i="1" s="1"/>
  <c r="AC1120" i="1"/>
  <c r="AB1120" i="1" s="1"/>
  <c r="AC1121" i="1"/>
  <c r="AB1121" i="1" s="1"/>
  <c r="AC1122" i="1"/>
  <c r="AB1122" i="1" s="1"/>
  <c r="AC1117" i="1"/>
  <c r="AB1117" i="1" s="1"/>
  <c r="AC974" i="1"/>
  <c r="AB974" i="1" s="1"/>
  <c r="AC942" i="1"/>
  <c r="AB942" i="1" s="1"/>
  <c r="AC943" i="1"/>
  <c r="AB943" i="1" s="1"/>
  <c r="AC944" i="1"/>
  <c r="AB944" i="1" s="1"/>
  <c r="AC847" i="1"/>
  <c r="AB847" i="1" s="1"/>
  <c r="AC848" i="1"/>
  <c r="AB848" i="1" s="1"/>
  <c r="AC963" i="1"/>
  <c r="AB963" i="1" s="1"/>
  <c r="AC975" i="1"/>
  <c r="AB975" i="1" s="1"/>
  <c r="AC1046" i="1"/>
  <c r="AB1046" i="1" s="1"/>
  <c r="AC1047" i="1"/>
  <c r="AB1047" i="1" s="1"/>
  <c r="AC1048" i="1"/>
  <c r="AB1048" i="1" s="1"/>
  <c r="AC1049" i="1"/>
  <c r="AB1049" i="1" s="1"/>
  <c r="AC972" i="1"/>
  <c r="AB972" i="1" s="1"/>
  <c r="AC1040" i="1"/>
  <c r="AB1040" i="1" s="1"/>
  <c r="AC1041" i="1"/>
  <c r="AB1041" i="1" s="1"/>
  <c r="AC973" i="1"/>
  <c r="AB973" i="1" s="1"/>
  <c r="AC1019" i="1"/>
  <c r="AB1019" i="1" s="1"/>
  <c r="AC1020" i="1"/>
  <c r="AB1020" i="1" s="1"/>
  <c r="AC1021" i="1"/>
  <c r="AB1021" i="1" s="1"/>
  <c r="AC1016" i="1"/>
  <c r="AB1016" i="1" s="1"/>
  <c r="AC1017" i="1"/>
  <c r="AB1017" i="1" s="1"/>
  <c r="AC1018" i="1"/>
  <c r="AB1018" i="1" s="1"/>
  <c r="AC1012" i="1"/>
  <c r="AB1012" i="1" s="1"/>
  <c r="AC1013" i="1"/>
  <c r="AB1013" i="1" s="1"/>
  <c r="AC1114" i="1"/>
  <c r="AB1114" i="1" s="1"/>
  <c r="AC1115" i="1"/>
  <c r="AB1115" i="1" s="1"/>
  <c r="AC1014" i="1"/>
  <c r="AB1014" i="1" s="1"/>
  <c r="AC834" i="1"/>
  <c r="AB834" i="1" s="1"/>
  <c r="AC835" i="1"/>
  <c r="AB835" i="1" s="1"/>
  <c r="AC917" i="1"/>
  <c r="AB917" i="1" s="1"/>
  <c r="AC918" i="1"/>
  <c r="AB918" i="1" s="1"/>
  <c r="AC919" i="1"/>
  <c r="AB919" i="1" s="1"/>
  <c r="AC945" i="1"/>
  <c r="AB945" i="1" s="1"/>
  <c r="AC946" i="1"/>
  <c r="AB946" i="1" s="1"/>
  <c r="AC948" i="1"/>
  <c r="AB948" i="1" s="1"/>
  <c r="AC931" i="1"/>
  <c r="AB931" i="1" s="1"/>
  <c r="AC1062" i="1"/>
  <c r="AB1062" i="1" s="1"/>
  <c r="AC1079" i="1"/>
  <c r="AB1079" i="1" s="1"/>
  <c r="AC932" i="1"/>
  <c r="AB932" i="1" s="1"/>
  <c r="AC933" i="1"/>
  <c r="AB933" i="1" s="1"/>
  <c r="AC934" i="1"/>
  <c r="AB934" i="1" s="1"/>
  <c r="AC935" i="1"/>
  <c r="AB935" i="1" s="1"/>
  <c r="AC920" i="1"/>
  <c r="AB920" i="1" s="1"/>
  <c r="AC947" i="1"/>
  <c r="AB947" i="1" s="1"/>
  <c r="AC936" i="1"/>
  <c r="AB936" i="1" s="1"/>
  <c r="AC1063" i="1"/>
  <c r="AB1063" i="1" s="1"/>
  <c r="AC1064" i="1"/>
  <c r="AB1064" i="1" s="1"/>
  <c r="AC1065" i="1"/>
  <c r="AB1065" i="1" s="1"/>
  <c r="AC1053" i="1"/>
  <c r="AB1053" i="1" s="1"/>
  <c r="AC1034" i="1"/>
  <c r="AB1034" i="1" s="1"/>
  <c r="AC1042" i="1"/>
  <c r="AB1042" i="1" s="1"/>
  <c r="AC1132" i="1"/>
  <c r="AB1132" i="1" s="1"/>
  <c r="AC1133" i="1"/>
  <c r="AB1133" i="1" s="1"/>
  <c r="AC1134" i="1"/>
  <c r="AB1134" i="1" s="1"/>
  <c r="AC979" i="1"/>
  <c r="AB979" i="1" s="1"/>
  <c r="AC1035" i="1"/>
  <c r="AB1035" i="1" s="1"/>
  <c r="AC1118" i="1"/>
  <c r="AB1118" i="1" s="1"/>
  <c r="AC1036" i="1"/>
  <c r="AB1036" i="1" s="1"/>
  <c r="AC1037" i="1"/>
  <c r="AB1037" i="1" s="1"/>
  <c r="AC1038" i="1"/>
  <c r="AB1038" i="1" s="1"/>
  <c r="AC1039" i="1"/>
  <c r="AB1039" i="1" s="1"/>
  <c r="AC1123" i="1"/>
  <c r="AB1123" i="1" s="1"/>
  <c r="AC1043" i="1"/>
  <c r="AB1043" i="1" s="1"/>
  <c r="AC1044" i="1"/>
  <c r="AB1044" i="1" s="1"/>
  <c r="AC886" i="1"/>
  <c r="AB886" i="1" s="1"/>
  <c r="AC1130" i="1"/>
  <c r="AB1130" i="1" s="1"/>
  <c r="AC1131" i="1"/>
  <c r="AB1131" i="1" s="1"/>
  <c r="AC1080" i="1"/>
  <c r="AB1080" i="1" s="1"/>
  <c r="AC1081" i="1"/>
  <c r="AB1081" i="1" s="1"/>
  <c r="AC1082" i="1"/>
  <c r="AB1082" i="1" s="1"/>
  <c r="AC1124" i="1"/>
  <c r="AB1124" i="1" s="1"/>
  <c r="AC1083" i="1"/>
  <c r="AB1083" i="1" s="1"/>
  <c r="AC1084" i="1"/>
  <c r="AB1084" i="1" s="1"/>
  <c r="AC1085" i="1"/>
  <c r="AB1085" i="1" s="1"/>
  <c r="AC1125" i="1"/>
  <c r="AB1125" i="1" s="1"/>
  <c r="AC1029" i="1"/>
  <c r="AB1029" i="1" s="1"/>
  <c r="AC1086" i="1"/>
  <c r="AB1086" i="1" s="1"/>
  <c r="AC992" i="1"/>
  <c r="AB992" i="1" s="1"/>
  <c r="AC1126" i="1"/>
  <c r="AB1126" i="1" s="1"/>
  <c r="AC921" i="1"/>
  <c r="AB921" i="1" s="1"/>
  <c r="AC922" i="1"/>
  <c r="AB922" i="1" s="1"/>
  <c r="AC923" i="1"/>
  <c r="AB923" i="1" s="1"/>
  <c r="AC924" i="1"/>
  <c r="AB924" i="1" s="1"/>
  <c r="AC1087" i="1"/>
  <c r="AB1087" i="1" s="1"/>
  <c r="AC1088" i="1"/>
  <c r="AB1088" i="1" s="1"/>
  <c r="AC1089" i="1"/>
  <c r="AB1089" i="1" s="1"/>
  <c r="AC1031" i="1"/>
  <c r="AB1031" i="1" s="1"/>
  <c r="AC1015" i="1"/>
  <c r="AB1015" i="1" s="1"/>
  <c r="AC1127" i="1"/>
  <c r="AB1127" i="1" s="1"/>
  <c r="AC1116" i="1"/>
  <c r="AB1116" i="1" s="1"/>
  <c r="AC1090" i="1"/>
  <c r="AB1090" i="1" s="1"/>
  <c r="AC1091" i="1"/>
  <c r="AB1091" i="1" s="1"/>
  <c r="AC1058" i="1"/>
  <c r="AB1058" i="1" s="1"/>
  <c r="AC1061" i="1"/>
  <c r="AB1061" i="1" s="1"/>
  <c r="AC993" i="1"/>
  <c r="AB993" i="1" s="1"/>
  <c r="AC994" i="1"/>
  <c r="AB994" i="1" s="1"/>
  <c r="AC978" i="1"/>
  <c r="AB978" i="1" s="1"/>
  <c r="AC964" i="1"/>
  <c r="AB964" i="1" s="1"/>
  <c r="AC1092" i="1"/>
  <c r="AB1092" i="1" s="1"/>
  <c r="AC1093" i="1"/>
  <c r="AB1093" i="1" s="1"/>
  <c r="AC1094" i="1"/>
  <c r="AB1094" i="1" s="1"/>
  <c r="AC1095" i="1"/>
  <c r="AB1095" i="1" s="1"/>
  <c r="AC1096" i="1"/>
  <c r="AB1096" i="1" s="1"/>
  <c r="AC1097" i="1"/>
  <c r="AB1097" i="1" s="1"/>
  <c r="AC1098" i="1"/>
  <c r="AB1098" i="1" s="1"/>
  <c r="AC1099" i="1"/>
  <c r="AB1099" i="1" s="1"/>
  <c r="AC1100" i="1"/>
  <c r="AB1100" i="1" s="1"/>
  <c r="AC965" i="1"/>
  <c r="AB965" i="1" s="1"/>
  <c r="AC1128" i="1"/>
  <c r="AB1128" i="1" s="1"/>
  <c r="AC1129" i="1"/>
  <c r="AB1129" i="1" s="1"/>
  <c r="AC1030" i="1"/>
  <c r="AB1030" i="1" s="1"/>
  <c r="AC836" i="1"/>
  <c r="AB836" i="1" s="1"/>
  <c r="AC837" i="1"/>
  <c r="AB837" i="1" s="1"/>
  <c r="AC838" i="1"/>
  <c r="AB838" i="1" s="1"/>
  <c r="AC839" i="1"/>
  <c r="AB839" i="1" s="1"/>
  <c r="AC1101" i="1"/>
  <c r="AB1101" i="1" s="1"/>
  <c r="AC1102" i="1"/>
  <c r="AB1102" i="1" s="1"/>
  <c r="AC1103" i="1"/>
  <c r="AB1103" i="1" s="1"/>
  <c r="AC1104" i="1"/>
  <c r="AB1104" i="1" s="1"/>
  <c r="AC966" i="1"/>
  <c r="AB966" i="1" s="1"/>
  <c r="AC1105" i="1"/>
  <c r="AB1105" i="1" s="1"/>
  <c r="AC1106" i="1"/>
  <c r="AB1106" i="1" s="1"/>
  <c r="AC1107" i="1"/>
  <c r="AB1107" i="1" s="1"/>
  <c r="AC1108" i="1"/>
  <c r="AB1108" i="1" s="1"/>
  <c r="AC1109" i="1"/>
  <c r="AB1109" i="1" s="1"/>
  <c r="AC1110" i="1"/>
  <c r="AB1110" i="1" s="1"/>
  <c r="AC1111" i="1"/>
  <c r="AB1111" i="1" s="1"/>
  <c r="AC1112" i="1"/>
  <c r="AB1112" i="1" s="1"/>
  <c r="AC1059" i="1"/>
  <c r="AB1059" i="1" s="1"/>
  <c r="AC1060" i="1"/>
  <c r="AB1060" i="1" s="1"/>
  <c r="AC967" i="1"/>
  <c r="AB967" i="1" s="1"/>
  <c r="AC968" i="1"/>
  <c r="AB968" i="1" s="1"/>
  <c r="AC925" i="1"/>
  <c r="AB925" i="1" s="1"/>
  <c r="AC926" i="1"/>
  <c r="AB926" i="1" s="1"/>
  <c r="AC1113" i="1"/>
  <c r="AB1113" i="1" s="1"/>
  <c r="AC24" i="1"/>
  <c r="AB24" i="1" s="1"/>
  <c r="AC774" i="1"/>
  <c r="AB774" i="1" s="1"/>
  <c r="AC794" i="1"/>
  <c r="AB794" i="1" s="1"/>
  <c r="AC795" i="1"/>
  <c r="AB795" i="1" s="1"/>
  <c r="AC796" i="1"/>
  <c r="AB796" i="1" s="1"/>
  <c r="AC30" i="1"/>
  <c r="AB30" i="1" s="1"/>
  <c r="AC31" i="1"/>
  <c r="AB31" i="1" s="1"/>
  <c r="AC32" i="1"/>
  <c r="AB32" i="1" s="1"/>
  <c r="AC33" i="1"/>
  <c r="AB33" i="1" s="1"/>
  <c r="AC34" i="1"/>
  <c r="AB34" i="1" s="1"/>
  <c r="AC725" i="1"/>
  <c r="AB725" i="1" s="1"/>
  <c r="AC726" i="1"/>
  <c r="AB726" i="1" s="1"/>
  <c r="AC727" i="1"/>
  <c r="AB727" i="1" s="1"/>
  <c r="AC728" i="1"/>
  <c r="AB728" i="1" s="1"/>
  <c r="AC729" i="1"/>
  <c r="AB729" i="1" s="1"/>
  <c r="AC791" i="1"/>
  <c r="AB791" i="1" s="1"/>
  <c r="AC792" i="1"/>
  <c r="AB792" i="1" s="1"/>
  <c r="AC793" i="1"/>
  <c r="AB793" i="1" s="1"/>
  <c r="AC814" i="1"/>
  <c r="AB814" i="1" s="1"/>
  <c r="AC815" i="1"/>
  <c r="AB815" i="1" s="1"/>
  <c r="AC59" i="1"/>
  <c r="AB59" i="1" s="1"/>
  <c r="AC831" i="1"/>
  <c r="AB831" i="1" s="1"/>
  <c r="AC788" i="1"/>
  <c r="AB788" i="1" s="1"/>
  <c r="AC789" i="1"/>
  <c r="AB789" i="1" s="1"/>
  <c r="AC786" i="1"/>
  <c r="AB786" i="1" s="1"/>
  <c r="AC790" i="1"/>
  <c r="AB790" i="1" s="1"/>
  <c r="AC817" i="1"/>
  <c r="AB817" i="1" s="1"/>
  <c r="AC819" i="1"/>
  <c r="AB819" i="1" s="1"/>
  <c r="AC820" i="1"/>
  <c r="AB820" i="1" s="1"/>
  <c r="AC742" i="1"/>
  <c r="AB742" i="1" s="1"/>
  <c r="AC743" i="1"/>
  <c r="AB743" i="1" s="1"/>
  <c r="AC821" i="1"/>
  <c r="AB821" i="1" s="1"/>
  <c r="AC744" i="1"/>
  <c r="AB744" i="1" s="1"/>
  <c r="AC736" i="1"/>
  <c r="AB736" i="1" s="1"/>
  <c r="AC737" i="1"/>
  <c r="AB737" i="1" s="1"/>
  <c r="AC738" i="1"/>
  <c r="AB738" i="1" s="1"/>
  <c r="AC739" i="1"/>
  <c r="AB739" i="1" s="1"/>
  <c r="AC816" i="1"/>
  <c r="AB816" i="1" s="1"/>
  <c r="AC773" i="1"/>
  <c r="AB773" i="1" s="1"/>
  <c r="AC787" i="1"/>
  <c r="AB787" i="1" s="1"/>
  <c r="AC766" i="1"/>
  <c r="AB766" i="1" s="1"/>
  <c r="AC53" i="1"/>
  <c r="AB53" i="1" s="1"/>
  <c r="AC54" i="1"/>
  <c r="AB54" i="1" s="1"/>
  <c r="AC25" i="1"/>
  <c r="AB25" i="1" s="1"/>
  <c r="AC26" i="1"/>
  <c r="AB26" i="1" s="1"/>
  <c r="AC27" i="1"/>
  <c r="AB27" i="1" s="1"/>
  <c r="AC784" i="1"/>
  <c r="AB784" i="1" s="1"/>
  <c r="AC807" i="1"/>
  <c r="AB807" i="1" s="1"/>
  <c r="AC808" i="1"/>
  <c r="AB808" i="1" s="1"/>
  <c r="AC809" i="1"/>
  <c r="AB809" i="1" s="1"/>
  <c r="AC802" i="1"/>
  <c r="AB802" i="1" s="1"/>
  <c r="AC803" i="1"/>
  <c r="AB803" i="1" s="1"/>
  <c r="AC804" i="1"/>
  <c r="AB804" i="1" s="1"/>
  <c r="AC805" i="1"/>
  <c r="AB805" i="1" s="1"/>
  <c r="AC806" i="1"/>
  <c r="AB806" i="1" s="1"/>
  <c r="AC781" i="1"/>
  <c r="AB781" i="1" s="1"/>
  <c r="AC782" i="1"/>
  <c r="AB782" i="1" s="1"/>
  <c r="AC779" i="1"/>
  <c r="AB779" i="1" s="1"/>
  <c r="AC780" i="1"/>
  <c r="AB780" i="1" s="1"/>
  <c r="AC730" i="1"/>
  <c r="AB730" i="1" s="1"/>
  <c r="AC827" i="1"/>
  <c r="AB827" i="1" s="1"/>
  <c r="AC772" i="1"/>
  <c r="AB772" i="1" s="1"/>
  <c r="AC778" i="1"/>
  <c r="AB778" i="1" s="1"/>
  <c r="AC775" i="1"/>
  <c r="AB775" i="1" s="1"/>
  <c r="AC776" i="1"/>
  <c r="AB776" i="1" s="1"/>
  <c r="AC777" i="1"/>
  <c r="AB777" i="1" s="1"/>
  <c r="AC745" i="1"/>
  <c r="AB745" i="1" s="1"/>
  <c r="AC746" i="1"/>
  <c r="AB746" i="1" s="1"/>
  <c r="AC747" i="1"/>
  <c r="AB747" i="1" s="1"/>
  <c r="AC748" i="1"/>
  <c r="AB748" i="1" s="1"/>
  <c r="AC749" i="1"/>
  <c r="AB749" i="1" s="1"/>
  <c r="AC750" i="1"/>
  <c r="AB750" i="1" s="1"/>
  <c r="AC751" i="1"/>
  <c r="AB751" i="1" s="1"/>
  <c r="AC752" i="1"/>
  <c r="AB752" i="1" s="1"/>
  <c r="AC753" i="1"/>
  <c r="AB753" i="1" s="1"/>
  <c r="AC754" i="1"/>
  <c r="AB754" i="1" s="1"/>
  <c r="AC755" i="1"/>
  <c r="AB755" i="1" s="1"/>
  <c r="AC756" i="1"/>
  <c r="AB756" i="1" s="1"/>
  <c r="AC757" i="1"/>
  <c r="AB757" i="1" s="1"/>
  <c r="AC758" i="1"/>
  <c r="AB758" i="1" s="1"/>
  <c r="AC759" i="1"/>
  <c r="AB759" i="1" s="1"/>
  <c r="AC760" i="1"/>
  <c r="AB760" i="1" s="1"/>
  <c r="AC761" i="1"/>
  <c r="AB761" i="1" s="1"/>
  <c r="AC762" i="1"/>
  <c r="AB762" i="1" s="1"/>
  <c r="AC763" i="1"/>
  <c r="AB763" i="1" s="1"/>
  <c r="AC764" i="1"/>
  <c r="AB764" i="1" s="1"/>
  <c r="AC765" i="1"/>
  <c r="AB765" i="1" s="1"/>
  <c r="AC767" i="1"/>
  <c r="AB767" i="1" s="1"/>
  <c r="AC768" i="1"/>
  <c r="AB768" i="1" s="1"/>
  <c r="AC769" i="1"/>
  <c r="AB769" i="1" s="1"/>
  <c r="AC770" i="1"/>
  <c r="AB770" i="1" s="1"/>
  <c r="AC771" i="1"/>
  <c r="AB771" i="1" s="1"/>
  <c r="AC710" i="1"/>
  <c r="AB710" i="1" s="1"/>
  <c r="AC709" i="1"/>
  <c r="AB709" i="1" s="1"/>
  <c r="AC708" i="1"/>
  <c r="AB708" i="1" s="1"/>
  <c r="AC707" i="1"/>
  <c r="AB707" i="1" s="1"/>
  <c r="AC706" i="1"/>
  <c r="AB706" i="1" s="1"/>
  <c r="AC705" i="1"/>
  <c r="AB705" i="1" s="1"/>
  <c r="AC43" i="1"/>
  <c r="AB43" i="1" s="1"/>
  <c r="AC42" i="1"/>
  <c r="AB42" i="1" s="1"/>
  <c r="AC41" i="1"/>
  <c r="AB41" i="1" s="1"/>
  <c r="AC704" i="1"/>
  <c r="AB704" i="1" s="1"/>
  <c r="AC37" i="1"/>
  <c r="AB37" i="1" s="1"/>
  <c r="AC36" i="1"/>
  <c r="AB36" i="1" s="1"/>
  <c r="AC35" i="1"/>
  <c r="AB35" i="1" s="1"/>
  <c r="AC703" i="1"/>
  <c r="AB703" i="1" s="1"/>
  <c r="AC702" i="1"/>
  <c r="AB702" i="1" s="1"/>
  <c r="AC701" i="1"/>
  <c r="AB701" i="1" s="1"/>
  <c r="AC700" i="1"/>
  <c r="AB700" i="1" s="1"/>
  <c r="AC699" i="1"/>
  <c r="AB699" i="1" s="1"/>
  <c r="AC698" i="1"/>
  <c r="AB698" i="1" s="1"/>
  <c r="AC697" i="1"/>
  <c r="AB697" i="1" s="1"/>
  <c r="AC696" i="1"/>
  <c r="AB696" i="1" s="1"/>
  <c r="AC695" i="1"/>
  <c r="AB695" i="1" s="1"/>
  <c r="AC694" i="1"/>
  <c r="AB694" i="1" s="1"/>
  <c r="AC693" i="1"/>
  <c r="AB693" i="1" s="1"/>
  <c r="AC692" i="1"/>
  <c r="AB692" i="1" s="1"/>
  <c r="AC691" i="1"/>
  <c r="AB691" i="1" s="1"/>
  <c r="AC690" i="1"/>
  <c r="AB690" i="1" s="1"/>
  <c r="AC689" i="1"/>
  <c r="AB689" i="1" s="1"/>
  <c r="AC688" i="1"/>
  <c r="AB688" i="1" s="1"/>
  <c r="AC687" i="1"/>
  <c r="AB687" i="1" s="1"/>
  <c r="AC686" i="1"/>
  <c r="AB686" i="1" s="1"/>
  <c r="AC685" i="1"/>
  <c r="AB685" i="1" s="1"/>
  <c r="AC684" i="1"/>
  <c r="AB684" i="1" s="1"/>
  <c r="AC683" i="1"/>
  <c r="AB683" i="1" s="1"/>
  <c r="AC682" i="1"/>
  <c r="AB682" i="1" s="1"/>
  <c r="AC44" i="1"/>
  <c r="AB44" i="1" s="1"/>
  <c r="AC681" i="1"/>
  <c r="AB681" i="1" s="1"/>
  <c r="AC680" i="1"/>
  <c r="AB680" i="1" s="1"/>
  <c r="AC679" i="1"/>
  <c r="AB679" i="1" s="1"/>
  <c r="AC678" i="1"/>
  <c r="AB678" i="1" s="1"/>
  <c r="AC677" i="1"/>
  <c r="AB677" i="1" s="1"/>
  <c r="AC676" i="1"/>
  <c r="AB676" i="1" s="1"/>
  <c r="AC675" i="1"/>
  <c r="AB675" i="1" s="1"/>
  <c r="AC674" i="1"/>
  <c r="AB674" i="1" s="1"/>
  <c r="AC673" i="1"/>
  <c r="AB673" i="1" s="1"/>
  <c r="AC672" i="1"/>
  <c r="AB672" i="1" s="1"/>
  <c r="AC671" i="1"/>
  <c r="AB671" i="1" s="1"/>
  <c r="AC73" i="1"/>
  <c r="AB73" i="1" s="1"/>
  <c r="AC72" i="1"/>
  <c r="AB72" i="1" s="1"/>
  <c r="AC71" i="1"/>
  <c r="AB71" i="1" s="1"/>
  <c r="AC70" i="1"/>
  <c r="AB70" i="1" s="1"/>
  <c r="AC670" i="1"/>
  <c r="AB670" i="1" s="1"/>
  <c r="AC669" i="1"/>
  <c r="AB669" i="1" s="1"/>
  <c r="AC69" i="1"/>
  <c r="AB69" i="1" s="1"/>
  <c r="AC668" i="1"/>
  <c r="AB668" i="1" s="1"/>
  <c r="AC667" i="1"/>
  <c r="AB667" i="1" s="1"/>
  <c r="AC666" i="1"/>
  <c r="AB666" i="1" s="1"/>
  <c r="AC665" i="1"/>
  <c r="AB665" i="1" s="1"/>
  <c r="AC664" i="1"/>
  <c r="AB664" i="1" s="1"/>
  <c r="AC663" i="1"/>
  <c r="AB663" i="1" s="1"/>
  <c r="AC662" i="1"/>
  <c r="AB662" i="1" s="1"/>
  <c r="AC660" i="1"/>
  <c r="AB660" i="1" s="1"/>
  <c r="AC661" i="1"/>
  <c r="AB661" i="1" s="1"/>
  <c r="AC659" i="1"/>
  <c r="AB659" i="1" s="1"/>
  <c r="AC658" i="1"/>
  <c r="AB658" i="1" s="1"/>
  <c r="AC657" i="1"/>
  <c r="AB657" i="1" s="1"/>
  <c r="AC656" i="1"/>
  <c r="AB656" i="1" s="1"/>
  <c r="AC655" i="1"/>
  <c r="AB655" i="1" s="1"/>
  <c r="AC68" i="1"/>
  <c r="AB68" i="1" s="1"/>
  <c r="AC67" i="1"/>
  <c r="AB67" i="1" s="1"/>
  <c r="AC66" i="1"/>
  <c r="AB66" i="1" s="1"/>
  <c r="AC654" i="1"/>
  <c r="AB654" i="1" s="1"/>
  <c r="AC653" i="1"/>
  <c r="AB653" i="1" s="1"/>
  <c r="AC50" i="1"/>
  <c r="AB50" i="1" s="1"/>
  <c r="AC49" i="1"/>
  <c r="AB49" i="1" s="1"/>
  <c r="AC652" i="1"/>
  <c r="AB652" i="1" s="1"/>
  <c r="AC48" i="1"/>
  <c r="AB48" i="1" s="1"/>
  <c r="AC651" i="1"/>
  <c r="AB651" i="1" s="1"/>
  <c r="AC650" i="1"/>
  <c r="AB650" i="1" s="1"/>
  <c r="AC649" i="1"/>
  <c r="AB649" i="1" s="1"/>
  <c r="AC65" i="1"/>
  <c r="AB65" i="1" s="1"/>
  <c r="AC64" i="1"/>
  <c r="AB64" i="1" s="1"/>
  <c r="AC648" i="1"/>
  <c r="AB648" i="1" s="1"/>
  <c r="AC647" i="1"/>
  <c r="AB647" i="1" s="1"/>
  <c r="AC646" i="1"/>
  <c r="AB646" i="1" s="1"/>
  <c r="AC63" i="1"/>
  <c r="AB63" i="1" s="1"/>
  <c r="AC645" i="1"/>
  <c r="AB645" i="1" s="1"/>
  <c r="AC62" i="1"/>
  <c r="AB62" i="1" s="1"/>
  <c r="AC61" i="1"/>
  <c r="AB61" i="1" s="1"/>
  <c r="AC644" i="1"/>
  <c r="AB644" i="1" s="1"/>
  <c r="AC643" i="1"/>
  <c r="AB643" i="1" s="1"/>
  <c r="AC642" i="1"/>
  <c r="AB642" i="1" s="1"/>
  <c r="AC641" i="1"/>
  <c r="AB641" i="1" s="1"/>
  <c r="AC640" i="1"/>
  <c r="AB640" i="1" s="1"/>
  <c r="AC639" i="1"/>
  <c r="AB639" i="1" s="1"/>
  <c r="AC638" i="1"/>
  <c r="AB638" i="1" s="1"/>
  <c r="AC637" i="1"/>
  <c r="AB637" i="1" s="1"/>
  <c r="AC636" i="1"/>
  <c r="AB636" i="1" s="1"/>
  <c r="AC47" i="1"/>
  <c r="AB47" i="1" s="1"/>
  <c r="AC635" i="1"/>
  <c r="AB635" i="1" s="1"/>
  <c r="AC634" i="1"/>
  <c r="AB634" i="1" s="1"/>
  <c r="AC633" i="1"/>
  <c r="AB633" i="1" s="1"/>
  <c r="AC632" i="1"/>
  <c r="AB632" i="1" s="1"/>
  <c r="AC631" i="1"/>
  <c r="AB631" i="1" s="1"/>
  <c r="AC630" i="1"/>
  <c r="AB630" i="1" s="1"/>
  <c r="AC629" i="1"/>
  <c r="AB629" i="1" s="1"/>
  <c r="AC628" i="1"/>
  <c r="AB628" i="1" s="1"/>
  <c r="AC627" i="1"/>
  <c r="AB627" i="1" s="1"/>
  <c r="AC626" i="1"/>
  <c r="AB626" i="1" s="1"/>
  <c r="AC625" i="1"/>
  <c r="AB625" i="1" s="1"/>
  <c r="AC624" i="1"/>
  <c r="AB624" i="1" s="1"/>
  <c r="AC623" i="1"/>
  <c r="AB623" i="1" s="1"/>
  <c r="AC622" i="1"/>
  <c r="AB622" i="1" s="1"/>
  <c r="AC621" i="1"/>
  <c r="AB621" i="1" s="1"/>
  <c r="AC620" i="1"/>
  <c r="AB620" i="1" s="1"/>
  <c r="AC619" i="1"/>
  <c r="AB619" i="1" s="1"/>
  <c r="AC618" i="1"/>
  <c r="AB618" i="1" s="1"/>
  <c r="AC617" i="1"/>
  <c r="AB617" i="1" s="1"/>
  <c r="AC616" i="1"/>
  <c r="AB616" i="1" s="1"/>
  <c r="AC615" i="1"/>
  <c r="AB615" i="1" s="1"/>
  <c r="AC614" i="1"/>
  <c r="AB614" i="1" s="1"/>
  <c r="AC613" i="1"/>
  <c r="AB613" i="1" s="1"/>
  <c r="AC612" i="1"/>
  <c r="AB612" i="1" s="1"/>
  <c r="AC611" i="1"/>
  <c r="AB611" i="1" s="1"/>
  <c r="AC610" i="1"/>
  <c r="AB610" i="1" s="1"/>
  <c r="AC609" i="1"/>
  <c r="AB609" i="1" s="1"/>
  <c r="AC608" i="1"/>
  <c r="AB608" i="1" s="1"/>
  <c r="AC607" i="1"/>
  <c r="AB607" i="1" s="1"/>
  <c r="AC606" i="1"/>
  <c r="AB606" i="1" s="1"/>
  <c r="AC605" i="1"/>
  <c r="AB605" i="1" s="1"/>
  <c r="AC604" i="1"/>
  <c r="AB604" i="1" s="1"/>
  <c r="AC603" i="1"/>
  <c r="AB603" i="1" s="1"/>
  <c r="AC602" i="1"/>
  <c r="AB602" i="1" s="1"/>
  <c r="AC601" i="1"/>
  <c r="AB601" i="1" s="1"/>
  <c r="AC600" i="1"/>
  <c r="AB600" i="1" s="1"/>
  <c r="AC599" i="1"/>
  <c r="AB599" i="1" s="1"/>
  <c r="AC598" i="1"/>
  <c r="AB598" i="1" s="1"/>
  <c r="AC597" i="1"/>
  <c r="AB597" i="1" s="1"/>
  <c r="AC596" i="1"/>
  <c r="AB596" i="1" s="1"/>
  <c r="AC595" i="1"/>
  <c r="AB595" i="1" s="1"/>
  <c r="AC594" i="1"/>
  <c r="AB594" i="1" s="1"/>
  <c r="AC593" i="1"/>
  <c r="AB593" i="1" s="1"/>
  <c r="AC592" i="1"/>
  <c r="AB592" i="1" s="1"/>
  <c r="AC591" i="1"/>
  <c r="AB591" i="1" s="1"/>
  <c r="AC590" i="1"/>
  <c r="AB590" i="1" s="1"/>
  <c r="AC589" i="1"/>
  <c r="AB589" i="1" s="1"/>
  <c r="AC588" i="1"/>
  <c r="AB588" i="1" s="1"/>
  <c r="AC587" i="1"/>
  <c r="AB587" i="1" s="1"/>
  <c r="AC586" i="1"/>
  <c r="AB586" i="1" s="1"/>
  <c r="AC585" i="1"/>
  <c r="AB585" i="1" s="1"/>
  <c r="AC584" i="1"/>
  <c r="AB584" i="1" s="1"/>
  <c r="AC583" i="1"/>
  <c r="AB583" i="1" s="1"/>
  <c r="AC582" i="1"/>
  <c r="AB582" i="1" s="1"/>
  <c r="AC60" i="1"/>
  <c r="AB60" i="1" s="1"/>
  <c r="AC581" i="1"/>
  <c r="AB581" i="1" s="1"/>
  <c r="AC580" i="1"/>
  <c r="AB580" i="1" s="1"/>
  <c r="AC579" i="1"/>
  <c r="AB579" i="1" s="1"/>
  <c r="AC578" i="1"/>
  <c r="AB578" i="1" s="1"/>
  <c r="AC577" i="1"/>
  <c r="AB577" i="1" s="1"/>
  <c r="AC576" i="1"/>
  <c r="AB576" i="1" s="1"/>
  <c r="AC575" i="1"/>
  <c r="AB575" i="1" s="1"/>
  <c r="AC574" i="1"/>
  <c r="AB574" i="1" s="1"/>
  <c r="AC573" i="1"/>
  <c r="AB573" i="1" s="1"/>
  <c r="AC572" i="1"/>
  <c r="AB572" i="1" s="1"/>
  <c r="AC571" i="1"/>
  <c r="AB571" i="1" s="1"/>
  <c r="AC570" i="1"/>
  <c r="AB570" i="1" s="1"/>
  <c r="AC58" i="1"/>
  <c r="AB58" i="1" s="1"/>
  <c r="AC57" i="1"/>
  <c r="AB57" i="1" s="1"/>
  <c r="AC569" i="1"/>
  <c r="AB569" i="1" s="1"/>
  <c r="AC56" i="1"/>
  <c r="AB56" i="1" s="1"/>
  <c r="AC568" i="1"/>
  <c r="AB568" i="1" s="1"/>
  <c r="AC567" i="1"/>
  <c r="AB567" i="1" s="1"/>
  <c r="AC566" i="1"/>
  <c r="AB566" i="1" s="1"/>
  <c r="AC565" i="1"/>
  <c r="AB565" i="1" s="1"/>
  <c r="AC564" i="1"/>
  <c r="AB564" i="1" s="1"/>
  <c r="AC563" i="1"/>
  <c r="AB563" i="1" s="1"/>
  <c r="AC562" i="1"/>
  <c r="AB562" i="1" s="1"/>
  <c r="AC561" i="1"/>
  <c r="AB561" i="1" s="1"/>
  <c r="AC560" i="1"/>
  <c r="AB560" i="1" s="1"/>
  <c r="AC559" i="1"/>
  <c r="AB559" i="1" s="1"/>
  <c r="AC558" i="1"/>
  <c r="AB558" i="1" s="1"/>
  <c r="AC557" i="1"/>
  <c r="AB557" i="1" s="1"/>
  <c r="AC556" i="1"/>
  <c r="AB556" i="1" s="1"/>
  <c r="AC555" i="1"/>
  <c r="AB555" i="1" s="1"/>
  <c r="AC553" i="1"/>
  <c r="AB553" i="1" s="1"/>
  <c r="AC554" i="1"/>
  <c r="AB554" i="1" s="1"/>
  <c r="AC552" i="1"/>
  <c r="AB552" i="1" s="1"/>
  <c r="AC551" i="1"/>
  <c r="AB551" i="1" s="1"/>
  <c r="AC550" i="1"/>
  <c r="AB550" i="1" s="1"/>
  <c r="AC549" i="1"/>
  <c r="AB549" i="1" s="1"/>
  <c r="AC547" i="1"/>
  <c r="AB547" i="1" s="1"/>
  <c r="AC548" i="1"/>
  <c r="AB548" i="1" s="1"/>
  <c r="AC546" i="1"/>
  <c r="AB546" i="1" s="1"/>
  <c r="AC545" i="1"/>
  <c r="AB545" i="1" s="1"/>
  <c r="AC544" i="1"/>
  <c r="AB544" i="1" s="1"/>
  <c r="AC543" i="1"/>
  <c r="AB543" i="1" s="1"/>
  <c r="AC542" i="1"/>
  <c r="AB542" i="1" s="1"/>
  <c r="AC541" i="1"/>
  <c r="AB541" i="1" s="1"/>
  <c r="AC540" i="1"/>
  <c r="AB540" i="1" s="1"/>
  <c r="AC539" i="1"/>
  <c r="AB539" i="1" s="1"/>
  <c r="AC538" i="1"/>
  <c r="AB538" i="1" s="1"/>
  <c r="AC55" i="1"/>
  <c r="AB55" i="1" s="1"/>
  <c r="AC537" i="1"/>
  <c r="AB537" i="1" s="1"/>
  <c r="AC536" i="1"/>
  <c r="AB536" i="1" s="1"/>
  <c r="AC535" i="1"/>
  <c r="AB535" i="1" s="1"/>
  <c r="AC534" i="1"/>
  <c r="AB534" i="1" s="1"/>
  <c r="AC533" i="1"/>
  <c r="AB533" i="1" s="1"/>
  <c r="AC532" i="1"/>
  <c r="AB532" i="1" s="1"/>
  <c r="AC531" i="1"/>
  <c r="AB531" i="1" s="1"/>
  <c r="AC530" i="1"/>
  <c r="AB530" i="1" s="1"/>
  <c r="AC529" i="1"/>
  <c r="AB529" i="1" s="1"/>
  <c r="AC528" i="1"/>
  <c r="AB528" i="1" s="1"/>
  <c r="AC527" i="1"/>
  <c r="AB527" i="1" s="1"/>
  <c r="AC526" i="1"/>
  <c r="AB526" i="1" s="1"/>
  <c r="AC525" i="1"/>
  <c r="AB525" i="1" s="1"/>
  <c r="AC524" i="1"/>
  <c r="AB524" i="1" s="1"/>
  <c r="AC523" i="1"/>
  <c r="AB523" i="1" s="1"/>
  <c r="AC522" i="1"/>
  <c r="AB522" i="1" s="1"/>
  <c r="AC521" i="1"/>
  <c r="AB521" i="1" s="1"/>
  <c r="AC520" i="1"/>
  <c r="AB520" i="1" s="1"/>
  <c r="AC519" i="1"/>
  <c r="AB519" i="1" s="1"/>
  <c r="AC518" i="1"/>
  <c r="AB518" i="1" s="1"/>
  <c r="AC517" i="1"/>
  <c r="AB517" i="1" s="1"/>
  <c r="AC516" i="1"/>
  <c r="AB516" i="1" s="1"/>
  <c r="AC515" i="1"/>
  <c r="AB515" i="1" s="1"/>
  <c r="AC514" i="1"/>
  <c r="AB514" i="1" s="1"/>
  <c r="AC513" i="1"/>
  <c r="AB513" i="1" s="1"/>
  <c r="AC512" i="1"/>
  <c r="AB512" i="1" s="1"/>
  <c r="AC511" i="1"/>
  <c r="AB511" i="1" s="1"/>
  <c r="AC510" i="1"/>
  <c r="AB510" i="1" s="1"/>
  <c r="AC509" i="1"/>
  <c r="AB509" i="1" s="1"/>
  <c r="AC508" i="1"/>
  <c r="AB508" i="1" s="1"/>
  <c r="AC507" i="1"/>
  <c r="AB507" i="1" s="1"/>
  <c r="AC506" i="1"/>
  <c r="AB506" i="1" s="1"/>
  <c r="AC505" i="1"/>
  <c r="AB505" i="1" s="1"/>
  <c r="AC504" i="1"/>
  <c r="AB504" i="1" s="1"/>
  <c r="AC503" i="1"/>
  <c r="AB503" i="1" s="1"/>
  <c r="AC502" i="1"/>
  <c r="AB502" i="1" s="1"/>
  <c r="AC501" i="1"/>
  <c r="AB501" i="1" s="1"/>
  <c r="AC500" i="1"/>
  <c r="AB500" i="1" s="1"/>
  <c r="AC499" i="1"/>
  <c r="AB499" i="1" s="1"/>
  <c r="AC498" i="1"/>
  <c r="AB498" i="1" s="1"/>
  <c r="AC497" i="1"/>
  <c r="AB497" i="1" s="1"/>
  <c r="AC496" i="1"/>
  <c r="AB496" i="1" s="1"/>
  <c r="AC495" i="1"/>
  <c r="AB495" i="1" s="1"/>
  <c r="AC494" i="1"/>
  <c r="AB494" i="1" s="1"/>
  <c r="AC493" i="1"/>
  <c r="AB493" i="1" s="1"/>
  <c r="AC492" i="1"/>
  <c r="AB492" i="1" s="1"/>
  <c r="AC491" i="1"/>
  <c r="AB491" i="1" s="1"/>
  <c r="AC490" i="1"/>
  <c r="AB490" i="1" s="1"/>
  <c r="AC489" i="1"/>
  <c r="AB489" i="1" s="1"/>
  <c r="AC488" i="1"/>
  <c r="AB488" i="1" s="1"/>
  <c r="AC487" i="1"/>
  <c r="AB487" i="1" s="1"/>
  <c r="AC486" i="1"/>
  <c r="AB486" i="1" s="1"/>
  <c r="AC485" i="1"/>
  <c r="AB485" i="1" s="1"/>
  <c r="AC484" i="1"/>
  <c r="AB484" i="1" s="1"/>
  <c r="AC483" i="1"/>
  <c r="AB483" i="1" s="1"/>
  <c r="AC482" i="1"/>
  <c r="AB482" i="1" s="1"/>
  <c r="AC481" i="1"/>
  <c r="AB481" i="1" s="1"/>
  <c r="AC480" i="1"/>
  <c r="AB480" i="1" s="1"/>
  <c r="AC479" i="1"/>
  <c r="AB479" i="1" s="1"/>
  <c r="AC478" i="1"/>
  <c r="AB478" i="1" s="1"/>
  <c r="AC477" i="1"/>
  <c r="AB477" i="1" s="1"/>
  <c r="AC476" i="1"/>
  <c r="AB476" i="1" s="1"/>
  <c r="AC475" i="1"/>
  <c r="AB475" i="1" s="1"/>
  <c r="AC474" i="1"/>
  <c r="AB474" i="1" s="1"/>
  <c r="AC473" i="1"/>
  <c r="AB473" i="1" s="1"/>
  <c r="AC472" i="1"/>
  <c r="AB472" i="1" s="1"/>
  <c r="AC471" i="1"/>
  <c r="AB471" i="1" s="1"/>
  <c r="AC470" i="1"/>
  <c r="AB470" i="1" s="1"/>
  <c r="AC469" i="1"/>
  <c r="AB469" i="1" s="1"/>
  <c r="AC468" i="1"/>
  <c r="AB468" i="1" s="1"/>
  <c r="AC467" i="1"/>
  <c r="AB467" i="1" s="1"/>
  <c r="AC466" i="1"/>
  <c r="AB466" i="1" s="1"/>
  <c r="AC465" i="1"/>
  <c r="AB465" i="1" s="1"/>
  <c r="AC464" i="1"/>
  <c r="AB464" i="1" s="1"/>
  <c r="AC463" i="1"/>
  <c r="AB463" i="1" s="1"/>
  <c r="AC462" i="1"/>
  <c r="AB462" i="1" s="1"/>
  <c r="AC461" i="1"/>
  <c r="AB461" i="1" s="1"/>
  <c r="AC460" i="1"/>
  <c r="AB460" i="1" s="1"/>
  <c r="AC459" i="1"/>
  <c r="AB459" i="1" s="1"/>
  <c r="AC458" i="1"/>
  <c r="AB458" i="1" s="1"/>
  <c r="AC457" i="1"/>
  <c r="AB457" i="1" s="1"/>
  <c r="AC456" i="1"/>
  <c r="AB456" i="1" s="1"/>
  <c r="AC455" i="1"/>
  <c r="AB455" i="1" s="1"/>
  <c r="AC454" i="1"/>
  <c r="AB454" i="1" s="1"/>
  <c r="AC453" i="1"/>
  <c r="AB453" i="1" s="1"/>
  <c r="AC452" i="1"/>
  <c r="AB452" i="1" s="1"/>
  <c r="AC451" i="1"/>
  <c r="AB451" i="1" s="1"/>
  <c r="AC450" i="1"/>
  <c r="AB450" i="1" s="1"/>
  <c r="AC449" i="1"/>
  <c r="AB449" i="1" s="1"/>
  <c r="AC448" i="1"/>
  <c r="AB448" i="1" s="1"/>
  <c r="AC447" i="1"/>
  <c r="AB447" i="1" s="1"/>
  <c r="AC446" i="1"/>
  <c r="AB446" i="1" s="1"/>
  <c r="AC445" i="1"/>
  <c r="AB445" i="1" s="1"/>
  <c r="AC444" i="1"/>
  <c r="AB444" i="1" s="1"/>
  <c r="AC443" i="1"/>
  <c r="AB443" i="1" s="1"/>
  <c r="AC442" i="1"/>
  <c r="AB442" i="1" s="1"/>
  <c r="AC441" i="1"/>
  <c r="AB441" i="1" s="1"/>
  <c r="AC440" i="1"/>
  <c r="AB440" i="1" s="1"/>
  <c r="AC439" i="1"/>
  <c r="AB439" i="1" s="1"/>
  <c r="AC438" i="1"/>
  <c r="AB438" i="1" s="1"/>
  <c r="AC437" i="1"/>
  <c r="AB437" i="1" s="1"/>
  <c r="AC436" i="1"/>
  <c r="AB436" i="1" s="1"/>
  <c r="AC435" i="1"/>
  <c r="AB435" i="1" s="1"/>
  <c r="AC434" i="1"/>
  <c r="AB434" i="1" s="1"/>
  <c r="AC433" i="1"/>
  <c r="AB433" i="1" s="1"/>
  <c r="AC432" i="1"/>
  <c r="AB432" i="1" s="1"/>
  <c r="AC431" i="1"/>
  <c r="AB431" i="1" s="1"/>
  <c r="AC430" i="1"/>
  <c r="AB430" i="1" s="1"/>
  <c r="AC429" i="1"/>
  <c r="AB429" i="1" s="1"/>
  <c r="AC428" i="1"/>
  <c r="AB428" i="1" s="1"/>
  <c r="AC427" i="1"/>
  <c r="AB427" i="1" s="1"/>
  <c r="AC426" i="1"/>
  <c r="AB426" i="1" s="1"/>
  <c r="AC425" i="1"/>
  <c r="AB425" i="1" s="1"/>
  <c r="AC424" i="1"/>
  <c r="AB424" i="1" s="1"/>
  <c r="AC423" i="1"/>
  <c r="AB423" i="1" s="1"/>
  <c r="AC422" i="1"/>
  <c r="AB422" i="1" s="1"/>
  <c r="AC421" i="1"/>
  <c r="AB421" i="1" s="1"/>
  <c r="AC420" i="1"/>
  <c r="AB420" i="1" s="1"/>
  <c r="AC419" i="1"/>
  <c r="AB419" i="1" s="1"/>
  <c r="AC418" i="1"/>
  <c r="AB418" i="1" s="1"/>
  <c r="AC417" i="1"/>
  <c r="AB417" i="1" s="1"/>
  <c r="AC416" i="1"/>
  <c r="AB416" i="1" s="1"/>
  <c r="AC415" i="1"/>
  <c r="AB415" i="1" s="1"/>
  <c r="AC414" i="1"/>
  <c r="AB414" i="1" s="1"/>
  <c r="AC413" i="1"/>
  <c r="AB413" i="1" s="1"/>
  <c r="AC412" i="1"/>
  <c r="AB412" i="1" s="1"/>
  <c r="AC411" i="1"/>
  <c r="AB411" i="1" s="1"/>
  <c r="AC410" i="1"/>
  <c r="AB410" i="1" s="1"/>
  <c r="AC409" i="1"/>
  <c r="AB409" i="1" s="1"/>
  <c r="AC408" i="1"/>
  <c r="AB408" i="1" s="1"/>
  <c r="AC407" i="1"/>
  <c r="AB407" i="1" s="1"/>
  <c r="AC406" i="1"/>
  <c r="AB406" i="1" s="1"/>
  <c r="AC405" i="1"/>
  <c r="AB405" i="1" s="1"/>
  <c r="AC404" i="1"/>
  <c r="AB404" i="1" s="1"/>
  <c r="AC403" i="1"/>
  <c r="AB403" i="1" s="1"/>
  <c r="AC402" i="1"/>
  <c r="AB402" i="1" s="1"/>
  <c r="AC401" i="1"/>
  <c r="AB401" i="1" s="1"/>
  <c r="AC400" i="1"/>
  <c r="AB400" i="1" s="1"/>
  <c r="AC399" i="1"/>
  <c r="AB399" i="1" s="1"/>
  <c r="AC398" i="1"/>
  <c r="AB398" i="1" s="1"/>
  <c r="AC397" i="1"/>
  <c r="AB397" i="1" s="1"/>
  <c r="AC396" i="1"/>
  <c r="AB396" i="1" s="1"/>
  <c r="AC395" i="1"/>
  <c r="AB395" i="1" s="1"/>
  <c r="AC394" i="1"/>
  <c r="AB394" i="1" s="1"/>
  <c r="AC393" i="1"/>
  <c r="AB393" i="1" s="1"/>
  <c r="AC392" i="1"/>
  <c r="AB392" i="1" s="1"/>
  <c r="AC391" i="1"/>
  <c r="AB391" i="1" s="1"/>
  <c r="AC390" i="1"/>
  <c r="AB390" i="1" s="1"/>
  <c r="AC389" i="1"/>
  <c r="AB389" i="1" s="1"/>
  <c r="AC388" i="1"/>
  <c r="AB388" i="1" s="1"/>
  <c r="AC387" i="1"/>
  <c r="AB387" i="1" s="1"/>
  <c r="AC386" i="1"/>
  <c r="AB386" i="1" s="1"/>
  <c r="AC385" i="1"/>
  <c r="AB385" i="1" s="1"/>
  <c r="AC384" i="1"/>
  <c r="AB384" i="1" s="1"/>
  <c r="AC383" i="1"/>
  <c r="AB383" i="1" s="1"/>
  <c r="AC382" i="1"/>
  <c r="AB382" i="1" s="1"/>
  <c r="AC381" i="1"/>
  <c r="AB381" i="1" s="1"/>
  <c r="AC380" i="1"/>
  <c r="AB380" i="1" s="1"/>
  <c r="AC379" i="1"/>
  <c r="AB379" i="1" s="1"/>
  <c r="AC378" i="1"/>
  <c r="AB378" i="1" s="1"/>
  <c r="AC377" i="1"/>
  <c r="AB377" i="1" s="1"/>
  <c r="AC376" i="1"/>
  <c r="AB376" i="1" s="1"/>
  <c r="AC375" i="1"/>
  <c r="AB375" i="1" s="1"/>
  <c r="AC374" i="1"/>
  <c r="AB374" i="1" s="1"/>
  <c r="AC373" i="1"/>
  <c r="AB373" i="1" s="1"/>
  <c r="AC372" i="1"/>
  <c r="AB372" i="1" s="1"/>
  <c r="AC371" i="1"/>
  <c r="AB371" i="1" s="1"/>
  <c r="AC370" i="1"/>
  <c r="AB370" i="1" s="1"/>
  <c r="AC369" i="1"/>
  <c r="AB369" i="1" s="1"/>
  <c r="AC368" i="1"/>
  <c r="AB368" i="1" s="1"/>
  <c r="AC367" i="1"/>
  <c r="AB367" i="1" s="1"/>
  <c r="AC366" i="1"/>
  <c r="AB366" i="1" s="1"/>
  <c r="AC365" i="1"/>
  <c r="AB365" i="1" s="1"/>
  <c r="AC364" i="1"/>
  <c r="AB364" i="1" s="1"/>
  <c r="AC363" i="1"/>
  <c r="AB363" i="1" s="1"/>
  <c r="AC362" i="1"/>
  <c r="AB362" i="1" s="1"/>
  <c r="AC361" i="1"/>
  <c r="AB361" i="1" s="1"/>
  <c r="AC360" i="1"/>
  <c r="AB360" i="1" s="1"/>
  <c r="AC359" i="1"/>
  <c r="AB359" i="1" s="1"/>
  <c r="AC358" i="1"/>
  <c r="AB358" i="1" s="1"/>
  <c r="AC357" i="1"/>
  <c r="AB357" i="1" s="1"/>
  <c r="AC356" i="1"/>
  <c r="AB356" i="1" s="1"/>
  <c r="AC355" i="1"/>
  <c r="AB355" i="1" s="1"/>
  <c r="AC354" i="1"/>
  <c r="AB354" i="1" s="1"/>
  <c r="AC353" i="1"/>
  <c r="AB353" i="1" s="1"/>
  <c r="AC352" i="1"/>
  <c r="AB352" i="1" s="1"/>
  <c r="AC351" i="1"/>
  <c r="AB351" i="1" s="1"/>
  <c r="AC350" i="1"/>
  <c r="AB350" i="1" s="1"/>
  <c r="AC349" i="1"/>
  <c r="AB349" i="1" s="1"/>
  <c r="AC348" i="1"/>
  <c r="AB348" i="1" s="1"/>
  <c r="AC347" i="1"/>
  <c r="AB347" i="1" s="1"/>
  <c r="AC346" i="1"/>
  <c r="AB346" i="1" s="1"/>
  <c r="AC345" i="1"/>
  <c r="AB345" i="1" s="1"/>
  <c r="AC344" i="1"/>
  <c r="AB344" i="1" s="1"/>
  <c r="AC343" i="1"/>
  <c r="AB343" i="1" s="1"/>
  <c r="AC342" i="1"/>
  <c r="AB342" i="1" s="1"/>
  <c r="AC341" i="1"/>
  <c r="AB341" i="1" s="1"/>
  <c r="AC340" i="1"/>
  <c r="AB340" i="1" s="1"/>
  <c r="AC339" i="1"/>
  <c r="AB339" i="1" s="1"/>
  <c r="AC338" i="1"/>
  <c r="AB338" i="1" s="1"/>
  <c r="AC337" i="1"/>
  <c r="AB337" i="1" s="1"/>
  <c r="AC336" i="1"/>
  <c r="AB336" i="1" s="1"/>
  <c r="AC335" i="1"/>
  <c r="AB335" i="1" s="1"/>
  <c r="AC334" i="1"/>
  <c r="AB334" i="1" s="1"/>
  <c r="AC333" i="1"/>
  <c r="AB333" i="1" s="1"/>
  <c r="AC332" i="1"/>
  <c r="AB332" i="1" s="1"/>
  <c r="AC331" i="1"/>
  <c r="AB331" i="1" s="1"/>
  <c r="AC330" i="1"/>
  <c r="AB330" i="1" s="1"/>
  <c r="AC329" i="1"/>
  <c r="AB329" i="1" s="1"/>
  <c r="AC328" i="1"/>
  <c r="AB328" i="1" s="1"/>
  <c r="AC327" i="1"/>
  <c r="AB327" i="1" s="1"/>
  <c r="AC326" i="1"/>
  <c r="AB326" i="1" s="1"/>
  <c r="AC325" i="1"/>
  <c r="AB325" i="1" s="1"/>
  <c r="AC324" i="1"/>
  <c r="AB324" i="1" s="1"/>
  <c r="AC323" i="1"/>
  <c r="AB323" i="1" s="1"/>
  <c r="AC322" i="1"/>
  <c r="AB322" i="1" s="1"/>
  <c r="AC321" i="1"/>
  <c r="AB321" i="1" s="1"/>
  <c r="AC320" i="1"/>
  <c r="AB320" i="1" s="1"/>
  <c r="AC319" i="1"/>
  <c r="AB319" i="1" s="1"/>
  <c r="AC318" i="1"/>
  <c r="AB318" i="1" s="1"/>
  <c r="AC317" i="1"/>
  <c r="AB317" i="1" s="1"/>
  <c r="AC316" i="1"/>
  <c r="AB316" i="1" s="1"/>
  <c r="AC315" i="1"/>
  <c r="AB315" i="1" s="1"/>
  <c r="AC314" i="1"/>
  <c r="AB314" i="1" s="1"/>
  <c r="AC313" i="1"/>
  <c r="AB313" i="1" s="1"/>
  <c r="AC312" i="1"/>
  <c r="AB312" i="1" s="1"/>
  <c r="AC311" i="1"/>
  <c r="AB311" i="1" s="1"/>
  <c r="AC310" i="1"/>
  <c r="AB310" i="1" s="1"/>
  <c r="AC309" i="1"/>
  <c r="AB309" i="1" s="1"/>
  <c r="AC308" i="1"/>
  <c r="AB308" i="1" s="1"/>
  <c r="AC307" i="1"/>
  <c r="AB307" i="1" s="1"/>
  <c r="AC306" i="1"/>
  <c r="AB306" i="1" s="1"/>
  <c r="AC305" i="1"/>
  <c r="AB305" i="1" s="1"/>
  <c r="AC304" i="1"/>
  <c r="AB304" i="1" s="1"/>
  <c r="AC303" i="1"/>
  <c r="AB303" i="1" s="1"/>
  <c r="AC302" i="1"/>
  <c r="AB302" i="1" s="1"/>
  <c r="AC301" i="1"/>
  <c r="AB301" i="1" s="1"/>
  <c r="AC300" i="1"/>
  <c r="AB300" i="1" s="1"/>
  <c r="AC299" i="1"/>
  <c r="AB299" i="1" s="1"/>
  <c r="AC298" i="1"/>
  <c r="AB298" i="1" s="1"/>
  <c r="AC297" i="1"/>
  <c r="AB297" i="1" s="1"/>
  <c r="AC296" i="1"/>
  <c r="AB296" i="1" s="1"/>
  <c r="AC295" i="1"/>
  <c r="AB295" i="1" s="1"/>
  <c r="AC294" i="1"/>
  <c r="AB294" i="1" s="1"/>
  <c r="AC293" i="1"/>
  <c r="AB293" i="1" s="1"/>
  <c r="AC292" i="1"/>
  <c r="AB292" i="1" s="1"/>
  <c r="AC291" i="1"/>
  <c r="AB291" i="1" s="1"/>
  <c r="AC290" i="1"/>
  <c r="AB290" i="1" s="1"/>
  <c r="AC289" i="1"/>
  <c r="AB289" i="1" s="1"/>
  <c r="AC288" i="1"/>
  <c r="AB288" i="1" s="1"/>
  <c r="AC287" i="1"/>
  <c r="AB287" i="1" s="1"/>
  <c r="AC286" i="1"/>
  <c r="AB286" i="1" s="1"/>
  <c r="AC285" i="1"/>
  <c r="AB285" i="1" s="1"/>
  <c r="AC284" i="1"/>
  <c r="AB284" i="1" s="1"/>
  <c r="AC283" i="1"/>
  <c r="AB283" i="1" s="1"/>
  <c r="AC282" i="1"/>
  <c r="AB282" i="1" s="1"/>
  <c r="AC281" i="1"/>
  <c r="AB281" i="1" s="1"/>
  <c r="AC280" i="1"/>
  <c r="AB280" i="1" s="1"/>
  <c r="AC279" i="1"/>
  <c r="AB279" i="1" s="1"/>
  <c r="AC278" i="1"/>
  <c r="AB278" i="1" s="1"/>
  <c r="AC277" i="1"/>
  <c r="AB277" i="1" s="1"/>
  <c r="AC276" i="1"/>
  <c r="AB276" i="1" s="1"/>
  <c r="AC275" i="1"/>
  <c r="AB275" i="1" s="1"/>
  <c r="AC274" i="1"/>
  <c r="AB274" i="1" s="1"/>
  <c r="AC273" i="1"/>
  <c r="AB273" i="1" s="1"/>
  <c r="AC272" i="1"/>
  <c r="AB272" i="1" s="1"/>
  <c r="AC271" i="1"/>
  <c r="AB271" i="1" s="1"/>
  <c r="AC270" i="1"/>
  <c r="AB270" i="1" s="1"/>
  <c r="AC269" i="1"/>
  <c r="AB269" i="1" s="1"/>
  <c r="AC268" i="1"/>
  <c r="AB268" i="1" s="1"/>
  <c r="AC267" i="1"/>
  <c r="AB267" i="1" s="1"/>
  <c r="AC266" i="1"/>
  <c r="AB266" i="1" s="1"/>
  <c r="AC265" i="1"/>
  <c r="AB265" i="1" s="1"/>
  <c r="AC264" i="1"/>
  <c r="AB264" i="1" s="1"/>
  <c r="AC263" i="1"/>
  <c r="AB263" i="1" s="1"/>
  <c r="AC262" i="1"/>
  <c r="AB262" i="1" s="1"/>
  <c r="AC261" i="1"/>
  <c r="AB261" i="1" s="1"/>
  <c r="AC260" i="1"/>
  <c r="AB260" i="1" s="1"/>
  <c r="AC259" i="1"/>
  <c r="AB259" i="1" s="1"/>
  <c r="AC258" i="1"/>
  <c r="AB258" i="1" s="1"/>
  <c r="AC257" i="1"/>
  <c r="AB257" i="1" s="1"/>
  <c r="AC256" i="1"/>
  <c r="AB256" i="1" s="1"/>
  <c r="AC255" i="1"/>
  <c r="AB255" i="1" s="1"/>
  <c r="AC254" i="1"/>
  <c r="AB254" i="1" s="1"/>
  <c r="AC253" i="1"/>
  <c r="AB253" i="1" s="1"/>
  <c r="AC252" i="1"/>
  <c r="AB252" i="1" s="1"/>
  <c r="AC251" i="1"/>
  <c r="AB251" i="1" s="1"/>
  <c r="AC250" i="1"/>
  <c r="AB250" i="1" s="1"/>
  <c r="AC249" i="1"/>
  <c r="AB249" i="1" s="1"/>
  <c r="AC248" i="1"/>
  <c r="AB248" i="1" s="1"/>
  <c r="AC247" i="1"/>
  <c r="AB247" i="1" s="1"/>
  <c r="AC246" i="1"/>
  <c r="AB246" i="1" s="1"/>
  <c r="AC245" i="1"/>
  <c r="AB245" i="1" s="1"/>
  <c r="AC244" i="1"/>
  <c r="AB244" i="1" s="1"/>
  <c r="AC243" i="1"/>
  <c r="AB243" i="1" s="1"/>
  <c r="AC242" i="1"/>
  <c r="AB242" i="1" s="1"/>
  <c r="AC241" i="1"/>
  <c r="AB241" i="1" s="1"/>
  <c r="AC240" i="1"/>
  <c r="AB240" i="1" s="1"/>
  <c r="AC239" i="1"/>
  <c r="AB239" i="1" s="1"/>
  <c r="AC238" i="1"/>
  <c r="AB238" i="1" s="1"/>
  <c r="AC237" i="1"/>
  <c r="AB237" i="1" s="1"/>
  <c r="AC236" i="1"/>
  <c r="AB236" i="1" s="1"/>
  <c r="AC235" i="1"/>
  <c r="AB235" i="1" s="1"/>
  <c r="AC234" i="1"/>
  <c r="AB234" i="1" s="1"/>
  <c r="AC233" i="1"/>
  <c r="AB233" i="1" s="1"/>
  <c r="AC232" i="1"/>
  <c r="AB232" i="1" s="1"/>
  <c r="AC231" i="1"/>
  <c r="AB231" i="1" s="1"/>
  <c r="AC230" i="1"/>
  <c r="AB230" i="1" s="1"/>
  <c r="AC229" i="1"/>
  <c r="AB229" i="1" s="1"/>
  <c r="AC228" i="1"/>
  <c r="AB228" i="1" s="1"/>
  <c r="AC227" i="1"/>
  <c r="AB227" i="1" s="1"/>
  <c r="AC226" i="1"/>
  <c r="AB226" i="1" s="1"/>
  <c r="AC225" i="1"/>
  <c r="AB225" i="1" s="1"/>
  <c r="AC224" i="1"/>
  <c r="AB224" i="1" s="1"/>
  <c r="AC223" i="1"/>
  <c r="AB223" i="1" s="1"/>
  <c r="AC222" i="1"/>
  <c r="AB222" i="1" s="1"/>
  <c r="AC221" i="1"/>
  <c r="AB221" i="1" s="1"/>
  <c r="AC220" i="1"/>
  <c r="AB220" i="1" s="1"/>
  <c r="AC219" i="1"/>
  <c r="AB219" i="1" s="1"/>
  <c r="AC218" i="1"/>
  <c r="AB218" i="1" s="1"/>
  <c r="AC217" i="1"/>
  <c r="AB217" i="1" s="1"/>
  <c r="AC216" i="1"/>
  <c r="AB216" i="1" s="1"/>
  <c r="AC215" i="1"/>
  <c r="AB215" i="1" s="1"/>
  <c r="AC214" i="1"/>
  <c r="AB214" i="1" s="1"/>
  <c r="AC213" i="1"/>
  <c r="AB213" i="1" s="1"/>
  <c r="AC212" i="1"/>
  <c r="AB212" i="1" s="1"/>
  <c r="AC211" i="1"/>
  <c r="AB211" i="1" s="1"/>
  <c r="AC210" i="1"/>
  <c r="AB210" i="1" s="1"/>
  <c r="AC209" i="1"/>
  <c r="AB209" i="1" s="1"/>
  <c r="AC208" i="1"/>
  <c r="AB208" i="1" s="1"/>
  <c r="AC207" i="1"/>
  <c r="AB207" i="1" s="1"/>
  <c r="AC206" i="1"/>
  <c r="AB206" i="1" s="1"/>
  <c r="AC205" i="1"/>
  <c r="AB205" i="1" s="1"/>
  <c r="AC204" i="1"/>
  <c r="AB204" i="1" s="1"/>
  <c r="AC203" i="1"/>
  <c r="AB203" i="1" s="1"/>
  <c r="AC202" i="1"/>
  <c r="AB202" i="1" s="1"/>
  <c r="AC201" i="1"/>
  <c r="AB201" i="1" s="1"/>
  <c r="AC200" i="1"/>
  <c r="AB200" i="1" s="1"/>
  <c r="AC199" i="1"/>
  <c r="AB199" i="1" s="1"/>
  <c r="AC198" i="1"/>
  <c r="AB198" i="1" s="1"/>
  <c r="AC197" i="1"/>
  <c r="AB197" i="1" s="1"/>
  <c r="AC196" i="1"/>
  <c r="AB196" i="1" s="1"/>
  <c r="AC195" i="1"/>
  <c r="AB195" i="1" s="1"/>
  <c r="AC194" i="1"/>
  <c r="AB194" i="1" s="1"/>
  <c r="AC193" i="1"/>
  <c r="AB193" i="1" s="1"/>
  <c r="AC192" i="1"/>
  <c r="AB192" i="1" s="1"/>
  <c r="AC191" i="1"/>
  <c r="AB191" i="1" s="1"/>
  <c r="AC190" i="1"/>
  <c r="AB190" i="1" s="1"/>
  <c r="AC189" i="1"/>
  <c r="AB189" i="1" s="1"/>
  <c r="AC188" i="1"/>
  <c r="AB188" i="1" s="1"/>
  <c r="AC187" i="1"/>
  <c r="AB187" i="1" s="1"/>
  <c r="AC186" i="1"/>
  <c r="AB186" i="1" s="1"/>
  <c r="AC185" i="1"/>
  <c r="AB185" i="1" s="1"/>
  <c r="AC184" i="1"/>
  <c r="AB184" i="1" s="1"/>
  <c r="AC183" i="1"/>
  <c r="AB183" i="1" s="1"/>
  <c r="AC182" i="1"/>
  <c r="AB182" i="1" s="1"/>
  <c r="AC181" i="1"/>
  <c r="AB181" i="1" s="1"/>
  <c r="AC180" i="1"/>
  <c r="AB180" i="1" s="1"/>
  <c r="AC179" i="1"/>
  <c r="AB179" i="1" s="1"/>
  <c r="AC178" i="1"/>
  <c r="AB178" i="1" s="1"/>
  <c r="AC177" i="1"/>
  <c r="AB177" i="1" s="1"/>
  <c r="AC176" i="1"/>
  <c r="AB176" i="1" s="1"/>
  <c r="AC175" i="1"/>
  <c r="AB175" i="1" s="1"/>
  <c r="AC174" i="1"/>
  <c r="AB174" i="1" s="1"/>
  <c r="AC173" i="1"/>
  <c r="AB173" i="1" s="1"/>
  <c r="AC172" i="1"/>
  <c r="AB172" i="1" s="1"/>
  <c r="AC171" i="1"/>
  <c r="AB171" i="1" s="1"/>
  <c r="AC170" i="1"/>
  <c r="AB170" i="1" s="1"/>
  <c r="AC169" i="1"/>
  <c r="AB169" i="1" s="1"/>
  <c r="AC168" i="1"/>
  <c r="AB168" i="1" s="1"/>
  <c r="AC167" i="1"/>
  <c r="AB167" i="1" s="1"/>
  <c r="AC166" i="1"/>
  <c r="AB166" i="1" s="1"/>
  <c r="AC165" i="1"/>
  <c r="AB165" i="1" s="1"/>
  <c r="AC164" i="1"/>
  <c r="AB164" i="1" s="1"/>
  <c r="AC163" i="1"/>
  <c r="AB163" i="1" s="1"/>
  <c r="AC162" i="1"/>
  <c r="AB162" i="1" s="1"/>
  <c r="AC161" i="1"/>
  <c r="AB161" i="1" s="1"/>
  <c r="AC160" i="1"/>
  <c r="AB160" i="1" s="1"/>
  <c r="AC159" i="1"/>
  <c r="AB159" i="1" s="1"/>
  <c r="AC158" i="1"/>
  <c r="AB158" i="1" s="1"/>
  <c r="AC157" i="1"/>
  <c r="AB157" i="1" s="1"/>
  <c r="AC156" i="1"/>
  <c r="AB156" i="1" s="1"/>
  <c r="AC155" i="1"/>
  <c r="AB155" i="1" s="1"/>
  <c r="AC154" i="1"/>
  <c r="AB154" i="1" s="1"/>
  <c r="AC153" i="1"/>
  <c r="AB153" i="1" s="1"/>
  <c r="AC152" i="1"/>
  <c r="AB152" i="1" s="1"/>
  <c r="AC151" i="1"/>
  <c r="AB151" i="1" s="1"/>
  <c r="AC150" i="1"/>
  <c r="AB150" i="1" s="1"/>
  <c r="AC149" i="1"/>
  <c r="AB149" i="1" s="1"/>
  <c r="AC148" i="1"/>
  <c r="AB148" i="1" s="1"/>
  <c r="AC147" i="1"/>
  <c r="AB147" i="1" s="1"/>
  <c r="AC146" i="1"/>
  <c r="AB146" i="1" s="1"/>
  <c r="AC145" i="1"/>
  <c r="AB145" i="1" s="1"/>
  <c r="AC144" i="1"/>
  <c r="AB144" i="1" s="1"/>
  <c r="AC143" i="1"/>
  <c r="AB143" i="1" s="1"/>
  <c r="AC142" i="1"/>
  <c r="AB142" i="1" s="1"/>
  <c r="AC141" i="1"/>
  <c r="AB141" i="1" s="1"/>
  <c r="AC140" i="1"/>
  <c r="AB140" i="1" s="1"/>
  <c r="AC139" i="1"/>
  <c r="AB139" i="1" s="1"/>
  <c r="AC138" i="1"/>
  <c r="AB138" i="1" s="1"/>
  <c r="AC137" i="1"/>
  <c r="AB137" i="1" s="1"/>
  <c r="AC136" i="1"/>
  <c r="AB136" i="1" s="1"/>
  <c r="AC135" i="1"/>
  <c r="AB135" i="1" s="1"/>
  <c r="AC134" i="1"/>
  <c r="AB134" i="1" s="1"/>
  <c r="AC133" i="1"/>
  <c r="AB133" i="1" s="1"/>
  <c r="AC132" i="1"/>
  <c r="AB132" i="1" s="1"/>
  <c r="AC131" i="1"/>
  <c r="AB131" i="1" s="1"/>
  <c r="AC130" i="1"/>
  <c r="AB130" i="1" s="1"/>
  <c r="AC129" i="1"/>
  <c r="AB129" i="1" s="1"/>
  <c r="AC128" i="1"/>
  <c r="AB128" i="1" s="1"/>
  <c r="AC127" i="1"/>
  <c r="AB127" i="1" s="1"/>
  <c r="AC126" i="1"/>
  <c r="AB126" i="1" s="1"/>
  <c r="AC125" i="1"/>
  <c r="AB125" i="1" s="1"/>
  <c r="AC124" i="1"/>
  <c r="AB124" i="1" s="1"/>
  <c r="AC123" i="1"/>
  <c r="AB123" i="1" s="1"/>
  <c r="AC122" i="1"/>
  <c r="AB122" i="1" s="1"/>
  <c r="AC121" i="1"/>
  <c r="AB121" i="1" s="1"/>
  <c r="AC120" i="1"/>
  <c r="AB120" i="1" s="1"/>
  <c r="AC119" i="1"/>
  <c r="AB119" i="1" s="1"/>
  <c r="AC118" i="1"/>
  <c r="AB118" i="1" s="1"/>
  <c r="AC117" i="1"/>
  <c r="AB117" i="1" s="1"/>
  <c r="AC116" i="1"/>
  <c r="AB116" i="1" s="1"/>
  <c r="AC115" i="1"/>
  <c r="AB115" i="1" s="1"/>
  <c r="AC114" i="1"/>
  <c r="AB114" i="1" s="1"/>
  <c r="AC113" i="1"/>
  <c r="AB113" i="1" s="1"/>
  <c r="AC112" i="1"/>
  <c r="AB112" i="1" s="1"/>
  <c r="AC111" i="1"/>
  <c r="AB111" i="1" s="1"/>
  <c r="AC110" i="1"/>
  <c r="AB110" i="1" s="1"/>
  <c r="AC109" i="1"/>
  <c r="AB109" i="1" s="1"/>
  <c r="AC108" i="1"/>
  <c r="AB108" i="1" s="1"/>
  <c r="AC107" i="1"/>
  <c r="AB107" i="1" s="1"/>
  <c r="AC106" i="1"/>
  <c r="AB106" i="1" s="1"/>
  <c r="AC105" i="1"/>
  <c r="AB105" i="1" s="1"/>
  <c r="AC104" i="1"/>
  <c r="AB104" i="1" s="1"/>
  <c r="AC103" i="1"/>
  <c r="AB103" i="1" s="1"/>
  <c r="AC102" i="1"/>
  <c r="AB102" i="1" s="1"/>
  <c r="AC101" i="1"/>
  <c r="AB101" i="1" s="1"/>
  <c r="AC100" i="1"/>
  <c r="AB100" i="1" s="1"/>
  <c r="AC99" i="1"/>
  <c r="AB99" i="1" s="1"/>
  <c r="AC98" i="1"/>
  <c r="AB98" i="1" s="1"/>
  <c r="AC97" i="1"/>
  <c r="AB97" i="1" s="1"/>
  <c r="AC96" i="1"/>
  <c r="AB96" i="1" s="1"/>
  <c r="AC95" i="1"/>
  <c r="AB95" i="1" s="1"/>
  <c r="AC94" i="1"/>
  <c r="AB94" i="1" s="1"/>
  <c r="AC93" i="1"/>
  <c r="AB93" i="1" s="1"/>
  <c r="AC92" i="1"/>
  <c r="AB92" i="1" s="1"/>
  <c r="AC91" i="1"/>
  <c r="AB91" i="1" s="1"/>
  <c r="AC90" i="1"/>
  <c r="AB90" i="1" s="1"/>
  <c r="AC89" i="1"/>
  <c r="AB89" i="1" s="1"/>
  <c r="AC88" i="1"/>
  <c r="AB88" i="1" s="1"/>
  <c r="AC87" i="1"/>
  <c r="AB87" i="1" s="1"/>
  <c r="AC86" i="1"/>
  <c r="AB86" i="1" s="1"/>
  <c r="AC85" i="1"/>
  <c r="AB85" i="1" s="1"/>
  <c r="AC84" i="1"/>
  <c r="AB84" i="1" s="1"/>
  <c r="AC83" i="1"/>
  <c r="AB83" i="1" s="1"/>
  <c r="AC82" i="1"/>
  <c r="AB82" i="1" s="1"/>
  <c r="AC81" i="1"/>
  <c r="AB81" i="1" s="1"/>
  <c r="AC80" i="1"/>
  <c r="AB80" i="1" s="1"/>
  <c r="AG1054" i="1"/>
  <c r="AC1054" i="1"/>
  <c r="AB1054" i="1" s="1"/>
  <c r="AS1055" i="1" l="1"/>
  <c r="AP1055" i="1"/>
  <c r="AM1055" i="1"/>
  <c r="AS1054" i="1"/>
  <c r="AP1054" i="1"/>
  <c r="AM1054" i="1"/>
  <c r="AS865" i="1"/>
  <c r="AP865" i="1"/>
  <c r="AM865" i="1"/>
  <c r="AS1056" i="1"/>
  <c r="AP1056" i="1"/>
  <c r="AM1056" i="1"/>
  <c r="AS866" i="1"/>
  <c r="AP866" i="1"/>
  <c r="AM866" i="1"/>
  <c r="AS774" i="1" l="1"/>
  <c r="AP774" i="1"/>
  <c r="AM774" i="1"/>
  <c r="AS24" i="1"/>
  <c r="AP24" i="1"/>
  <c r="AM24" i="1"/>
  <c r="AS794" i="1"/>
  <c r="AP794" i="1"/>
  <c r="AM794" i="1"/>
  <c r="W794" i="1"/>
  <c r="U794" i="1"/>
  <c r="S794" i="1"/>
  <c r="AS1021" i="1" l="1"/>
  <c r="AP1021" i="1"/>
  <c r="AM1021" i="1"/>
  <c r="W1021" i="1"/>
  <c r="U1021" i="1"/>
  <c r="S1021" i="1"/>
  <c r="AS1020" i="1"/>
  <c r="AP1020" i="1"/>
  <c r="AM1020" i="1"/>
  <c r="W1020" i="1"/>
  <c r="U1020" i="1"/>
  <c r="S1020" i="1"/>
  <c r="AS796" i="1"/>
  <c r="AP796" i="1"/>
  <c r="AM796" i="1"/>
  <c r="W796" i="1"/>
  <c r="U796" i="1"/>
  <c r="S796" i="1"/>
  <c r="AS795" i="1"/>
  <c r="AP795" i="1"/>
  <c r="AM795" i="1"/>
  <c r="W795" i="1"/>
  <c r="U795" i="1"/>
  <c r="S795" i="1"/>
  <c r="AS1019" i="1"/>
  <c r="AP1019" i="1"/>
  <c r="AM1019" i="1"/>
  <c r="W1019" i="1"/>
  <c r="U1019" i="1"/>
  <c r="S1019" i="1"/>
  <c r="AS737" i="1"/>
  <c r="AP737" i="1"/>
  <c r="AM737" i="1"/>
  <c r="W737" i="1"/>
  <c r="U737" i="1"/>
  <c r="S737" i="1"/>
  <c r="AS736" i="1"/>
  <c r="AP736" i="1"/>
  <c r="AM736" i="1"/>
  <c r="W736" i="1"/>
  <c r="U736" i="1"/>
  <c r="S736" i="1"/>
  <c r="AS1018" i="1"/>
  <c r="AP1018" i="1"/>
  <c r="AM1018" i="1"/>
  <c r="W1018" i="1"/>
  <c r="U1018" i="1"/>
  <c r="S1018" i="1"/>
  <c r="AS1017" i="1"/>
  <c r="AP1017" i="1"/>
  <c r="AM1017" i="1"/>
  <c r="W1017" i="1"/>
  <c r="U1017" i="1"/>
  <c r="S1017" i="1"/>
  <c r="AS744" i="1"/>
  <c r="AP744" i="1"/>
  <c r="AM744" i="1"/>
  <c r="W744" i="1"/>
  <c r="U744" i="1"/>
  <c r="S744" i="1"/>
  <c r="AS1024" i="1"/>
  <c r="AP1024" i="1"/>
  <c r="AM1024" i="1"/>
  <c r="W1024" i="1"/>
  <c r="U1024" i="1"/>
  <c r="S1024" i="1"/>
  <c r="AS821" i="1"/>
  <c r="AP821" i="1"/>
  <c r="AM821" i="1"/>
  <c r="W821" i="1"/>
  <c r="U821" i="1"/>
  <c r="S821" i="1"/>
  <c r="AS1023" i="1"/>
  <c r="AP1023" i="1"/>
  <c r="AM1023" i="1"/>
  <c r="W1023" i="1"/>
  <c r="U1023" i="1"/>
  <c r="S1023" i="1"/>
  <c r="AS743" i="1"/>
  <c r="AP743" i="1"/>
  <c r="AM743" i="1"/>
  <c r="W743" i="1"/>
  <c r="U743" i="1"/>
  <c r="S743" i="1"/>
  <c r="AS1016" i="1"/>
  <c r="AP1016" i="1"/>
  <c r="AM1016" i="1"/>
  <c r="W1016" i="1"/>
  <c r="U1016" i="1"/>
  <c r="S1016" i="1"/>
  <c r="AS742" i="1"/>
  <c r="AP742" i="1"/>
  <c r="AM742" i="1"/>
  <c r="W742" i="1"/>
  <c r="U742" i="1"/>
  <c r="S742" i="1"/>
  <c r="AS820" i="1"/>
  <c r="AP820" i="1"/>
  <c r="AM820" i="1"/>
  <c r="W820" i="1"/>
  <c r="U820" i="1"/>
  <c r="S820" i="1"/>
  <c r="AS1022" i="1"/>
  <c r="AP1022" i="1"/>
  <c r="AM1022" i="1"/>
  <c r="W1022" i="1"/>
  <c r="U1022" i="1"/>
  <c r="S1022" i="1"/>
  <c r="AS819" i="1"/>
  <c r="AP819" i="1"/>
  <c r="AM819" i="1"/>
  <c r="W819" i="1"/>
  <c r="U819" i="1"/>
  <c r="S819" i="1"/>
  <c r="AS958" i="1"/>
  <c r="AP958" i="1"/>
  <c r="AM958" i="1"/>
  <c r="W958" i="1"/>
  <c r="U958" i="1"/>
  <c r="S958" i="1"/>
  <c r="AS817" i="1"/>
  <c r="AP817" i="1"/>
  <c r="AM817" i="1"/>
  <c r="W817" i="1"/>
  <c r="U817" i="1"/>
  <c r="S817" i="1"/>
  <c r="AS1114" i="1"/>
  <c r="AP1114" i="1"/>
  <c r="AM1114" i="1"/>
  <c r="W1114" i="1"/>
  <c r="U1114" i="1"/>
  <c r="S1114" i="1"/>
  <c r="AS738" i="1"/>
  <c r="AP738" i="1"/>
  <c r="AM738" i="1"/>
  <c r="W738" i="1"/>
  <c r="U738" i="1"/>
  <c r="S738" i="1"/>
  <c r="AS1013" i="1"/>
  <c r="AP1013" i="1"/>
  <c r="AM1013" i="1"/>
  <c r="W1013" i="1"/>
  <c r="U1013" i="1"/>
  <c r="S1013" i="1"/>
  <c r="AS1012" i="1"/>
  <c r="AP1012" i="1"/>
  <c r="AM1012" i="1"/>
  <c r="W1012" i="1"/>
  <c r="U1012" i="1"/>
  <c r="S1012" i="1"/>
  <c r="AS1115" i="1"/>
  <c r="AP1115" i="1"/>
  <c r="AM1115" i="1"/>
  <c r="W1115" i="1"/>
  <c r="U1115" i="1"/>
  <c r="S1115" i="1"/>
  <c r="AS739" i="1"/>
  <c r="AP739" i="1"/>
  <c r="AM739" i="1"/>
  <c r="W739" i="1"/>
  <c r="U739" i="1"/>
  <c r="S739" i="1"/>
  <c r="AS793" i="1"/>
  <c r="AP793" i="1"/>
  <c r="AM793" i="1"/>
  <c r="W793" i="1"/>
  <c r="U793" i="1"/>
  <c r="S793" i="1"/>
  <c r="AS792" i="1"/>
  <c r="AP792" i="1"/>
  <c r="AM792" i="1"/>
  <c r="W792" i="1"/>
  <c r="U792" i="1"/>
  <c r="S792" i="1"/>
  <c r="AS791" i="1"/>
  <c r="AP791" i="1"/>
  <c r="AM791" i="1"/>
  <c r="W791" i="1"/>
  <c r="U791" i="1"/>
  <c r="S791" i="1"/>
  <c r="AS54" i="1"/>
  <c r="AP54" i="1"/>
  <c r="AM54" i="1"/>
  <c r="W54" i="1"/>
  <c r="U54" i="1"/>
  <c r="S54" i="1"/>
  <c r="AS53" i="1"/>
  <c r="AP53" i="1"/>
  <c r="AM53" i="1"/>
  <c r="W53" i="1"/>
  <c r="U53" i="1"/>
  <c r="S53" i="1"/>
  <c r="AS784" i="1"/>
  <c r="AP784" i="1"/>
  <c r="AM784" i="1"/>
  <c r="W784" i="1"/>
  <c r="U784" i="1"/>
  <c r="S784" i="1"/>
  <c r="AS831" i="1" l="1"/>
  <c r="AP831" i="1"/>
  <c r="AM831" i="1"/>
  <c r="W831" i="1"/>
  <c r="U831" i="1"/>
  <c r="S831" i="1"/>
  <c r="AS806" i="1"/>
  <c r="AP806" i="1"/>
  <c r="AM806" i="1"/>
  <c r="W806" i="1"/>
  <c r="U806" i="1"/>
  <c r="S806" i="1"/>
  <c r="AS805" i="1"/>
  <c r="AP805" i="1"/>
  <c r="AM805" i="1"/>
  <c r="W805" i="1"/>
  <c r="U805" i="1"/>
  <c r="S805" i="1"/>
  <c r="AS804" i="1"/>
  <c r="AP804" i="1"/>
  <c r="AM804" i="1"/>
  <c r="W804" i="1"/>
  <c r="U804" i="1"/>
  <c r="S804" i="1"/>
  <c r="AS803" i="1"/>
  <c r="AP803" i="1"/>
  <c r="AM803" i="1"/>
  <c r="W803" i="1"/>
  <c r="U803" i="1"/>
  <c r="S803" i="1"/>
  <c r="AS802" i="1"/>
  <c r="AP802" i="1"/>
  <c r="AM802" i="1"/>
  <c r="W802" i="1"/>
  <c r="U802" i="1"/>
  <c r="S802" i="1"/>
  <c r="AS809" i="1"/>
  <c r="AP809" i="1"/>
  <c r="AM809" i="1"/>
  <c r="W809" i="1"/>
  <c r="U809" i="1"/>
  <c r="S809" i="1"/>
  <c r="AS808" i="1"/>
  <c r="AP808" i="1"/>
  <c r="AM808" i="1"/>
  <c r="W808" i="1"/>
  <c r="U808" i="1"/>
  <c r="S808" i="1"/>
  <c r="AS807" i="1"/>
  <c r="AP807" i="1"/>
  <c r="AM807" i="1"/>
  <c r="W807" i="1"/>
  <c r="U807" i="1"/>
  <c r="S807" i="1"/>
  <c r="AS787" i="1" l="1"/>
  <c r="AP787" i="1"/>
  <c r="AM787" i="1"/>
  <c r="W787" i="1"/>
  <c r="U787" i="1"/>
  <c r="S787" i="1"/>
  <c r="AS726" i="1"/>
  <c r="AP726" i="1"/>
  <c r="AM726" i="1"/>
  <c r="W726" i="1"/>
  <c r="U726" i="1"/>
  <c r="S726" i="1"/>
  <c r="AS725" i="1"/>
  <c r="AP725" i="1"/>
  <c r="AM725" i="1"/>
  <c r="W725" i="1"/>
  <c r="U725" i="1"/>
  <c r="S725" i="1"/>
  <c r="AS777" i="1"/>
  <c r="AP777" i="1"/>
  <c r="AM777" i="1"/>
  <c r="W777" i="1"/>
  <c r="U777" i="1"/>
  <c r="S777" i="1"/>
  <c r="AS776" i="1"/>
  <c r="AP776" i="1"/>
  <c r="AM776" i="1"/>
  <c r="W776" i="1"/>
  <c r="U776" i="1"/>
  <c r="S776" i="1"/>
  <c r="AS775" i="1"/>
  <c r="AP775" i="1"/>
  <c r="AM775" i="1"/>
  <c r="W775" i="1"/>
  <c r="U775" i="1"/>
  <c r="S775" i="1"/>
  <c r="AS27" i="1"/>
  <c r="AP27" i="1"/>
  <c r="AM27" i="1"/>
  <c r="W27" i="1"/>
  <c r="U27" i="1"/>
  <c r="S27" i="1"/>
  <c r="AS26" i="1"/>
  <c r="AP26" i="1"/>
  <c r="AM26" i="1"/>
  <c r="W26" i="1"/>
  <c r="U26" i="1"/>
  <c r="S26" i="1"/>
  <c r="AS25" i="1"/>
  <c r="AP25" i="1"/>
  <c r="AM25" i="1"/>
  <c r="W25" i="1"/>
  <c r="U25" i="1"/>
  <c r="S25" i="1"/>
  <c r="AS34" i="1"/>
  <c r="AP34" i="1"/>
  <c r="AM34" i="1"/>
  <c r="W34" i="1"/>
  <c r="U34" i="1"/>
  <c r="S34" i="1"/>
  <c r="AS33" i="1"/>
  <c r="AP33" i="1"/>
  <c r="AM33" i="1"/>
  <c r="W33" i="1"/>
  <c r="U33" i="1"/>
  <c r="S33" i="1"/>
  <c r="AS32" i="1"/>
  <c r="AP32" i="1"/>
  <c r="AM32" i="1"/>
  <c r="W32" i="1"/>
  <c r="U32" i="1"/>
  <c r="S32" i="1"/>
  <c r="AS31" i="1"/>
  <c r="AP31" i="1"/>
  <c r="AM31" i="1"/>
  <c r="W31" i="1"/>
  <c r="U31" i="1"/>
  <c r="S31" i="1"/>
  <c r="AS30" i="1"/>
  <c r="AP30" i="1"/>
  <c r="AM30" i="1"/>
  <c r="W30" i="1"/>
  <c r="U30" i="1"/>
  <c r="S30" i="1"/>
  <c r="AS729" i="1"/>
  <c r="AP729" i="1"/>
  <c r="AM729" i="1"/>
  <c r="W729" i="1"/>
  <c r="U729" i="1"/>
  <c r="S729" i="1"/>
  <c r="AS728" i="1"/>
  <c r="AP728" i="1"/>
  <c r="AM728" i="1"/>
  <c r="W728" i="1"/>
  <c r="U728" i="1"/>
  <c r="S728" i="1"/>
  <c r="AS727" i="1"/>
  <c r="AP727" i="1"/>
  <c r="AM727" i="1"/>
  <c r="W727" i="1"/>
  <c r="U727" i="1"/>
  <c r="S727" i="1"/>
  <c r="AS692" i="1"/>
  <c r="AP692" i="1"/>
  <c r="AM692" i="1"/>
  <c r="W692" i="1"/>
  <c r="U692" i="1"/>
  <c r="S692" i="1"/>
  <c r="AS691" i="1"/>
  <c r="AP691" i="1"/>
  <c r="AM691" i="1"/>
  <c r="W691" i="1"/>
  <c r="U691" i="1"/>
  <c r="S691" i="1"/>
  <c r="AS694" i="1"/>
  <c r="AP694" i="1"/>
  <c r="AM694" i="1"/>
  <c r="W694" i="1"/>
  <c r="U694" i="1"/>
  <c r="S694" i="1"/>
  <c r="AS693" i="1"/>
  <c r="AP693" i="1"/>
  <c r="AM693" i="1"/>
  <c r="W693" i="1"/>
  <c r="U693" i="1"/>
  <c r="S693" i="1"/>
  <c r="AS695" i="1"/>
  <c r="AP695" i="1"/>
  <c r="AM695" i="1"/>
  <c r="W695" i="1"/>
  <c r="U695" i="1"/>
  <c r="S695" i="1"/>
  <c r="AS696" i="1"/>
  <c r="AP696" i="1"/>
  <c r="AM696" i="1"/>
  <c r="W696" i="1"/>
  <c r="U696" i="1"/>
  <c r="S696" i="1"/>
  <c r="I103" i="2"/>
  <c r="G103" i="2"/>
  <c r="I83" i="2"/>
  <c r="G83" i="2"/>
  <c r="I79" i="2"/>
  <c r="G79" i="2"/>
  <c r="I163" i="2"/>
  <c r="I162" i="2"/>
  <c r="AS41" i="1" l="1"/>
  <c r="AP41" i="1"/>
  <c r="AM41" i="1"/>
  <c r="W41" i="1"/>
  <c r="U41" i="1"/>
  <c r="S41" i="1"/>
  <c r="AS43" i="1"/>
  <c r="AP43" i="1"/>
  <c r="AM43" i="1"/>
  <c r="W43" i="1"/>
  <c r="U43" i="1"/>
  <c r="S43" i="1"/>
  <c r="AS42" i="1"/>
  <c r="AP42" i="1"/>
  <c r="AM42" i="1"/>
  <c r="W42" i="1"/>
  <c r="U42" i="1"/>
  <c r="S42" i="1"/>
  <c r="AS699" i="1"/>
  <c r="AP699" i="1"/>
  <c r="AM699" i="1"/>
  <c r="W699" i="1"/>
  <c r="U699" i="1"/>
  <c r="S699" i="1"/>
  <c r="AS697" i="1"/>
  <c r="AP697" i="1"/>
  <c r="AM697" i="1"/>
  <c r="W697" i="1"/>
  <c r="U697" i="1"/>
  <c r="S697" i="1"/>
  <c r="AS704" i="1"/>
  <c r="AP704" i="1"/>
  <c r="AM704" i="1"/>
  <c r="W704" i="1"/>
  <c r="U704" i="1"/>
  <c r="S704" i="1"/>
  <c r="AS703" i="1"/>
  <c r="AP703" i="1"/>
  <c r="AM703" i="1"/>
  <c r="W703" i="1"/>
  <c r="U703" i="1"/>
  <c r="S703" i="1"/>
  <c r="AS702" i="1"/>
  <c r="AP702" i="1"/>
  <c r="AM702" i="1"/>
  <c r="W702" i="1"/>
  <c r="U702" i="1"/>
  <c r="S702" i="1"/>
  <c r="AS35" i="1"/>
  <c r="AP35" i="1"/>
  <c r="AM35" i="1"/>
  <c r="W35" i="1"/>
  <c r="U35" i="1"/>
  <c r="S35" i="1"/>
  <c r="AS37" i="1"/>
  <c r="AP37" i="1"/>
  <c r="AM37" i="1"/>
  <c r="W37" i="1"/>
  <c r="U37" i="1"/>
  <c r="S37" i="1"/>
  <c r="AS36" i="1"/>
  <c r="AP36" i="1"/>
  <c r="AM36" i="1"/>
  <c r="W36" i="1"/>
  <c r="U36" i="1"/>
  <c r="S36" i="1"/>
  <c r="AS706" i="1"/>
  <c r="AP706" i="1"/>
  <c r="AM706" i="1"/>
  <c r="W706" i="1"/>
  <c r="U706" i="1"/>
  <c r="S706" i="1"/>
  <c r="AS698" i="1"/>
  <c r="AP698" i="1"/>
  <c r="AM698" i="1"/>
  <c r="W698" i="1"/>
  <c r="U698" i="1"/>
  <c r="S698" i="1"/>
  <c r="AS700" i="1"/>
  <c r="AP700" i="1"/>
  <c r="AM700" i="1"/>
  <c r="W700" i="1"/>
  <c r="U700" i="1"/>
  <c r="S700" i="1"/>
  <c r="AS701" i="1"/>
  <c r="AP701" i="1"/>
  <c r="AM701" i="1"/>
  <c r="W701" i="1"/>
  <c r="U701" i="1"/>
  <c r="S701" i="1"/>
  <c r="AS708" i="1"/>
  <c r="AP708" i="1"/>
  <c r="AM708" i="1"/>
  <c r="W708" i="1"/>
  <c r="U708" i="1"/>
  <c r="S708" i="1"/>
  <c r="AS707" i="1"/>
  <c r="AP707" i="1"/>
  <c r="AM707" i="1"/>
  <c r="W707" i="1"/>
  <c r="U707" i="1"/>
  <c r="S707" i="1"/>
  <c r="AS705" i="1"/>
  <c r="AP705" i="1"/>
  <c r="AM705" i="1"/>
  <c r="W705" i="1"/>
  <c r="U705" i="1"/>
  <c r="S705" i="1"/>
  <c r="I35" i="2"/>
  <c r="G35" i="2"/>
  <c r="I60" i="2"/>
  <c r="G60" i="2"/>
  <c r="I64" i="2"/>
  <c r="G64" i="2"/>
  <c r="I115" i="2"/>
  <c r="G115" i="2"/>
  <c r="I114" i="2"/>
  <c r="G114" i="2"/>
  <c r="I56" i="2"/>
  <c r="G56" i="2"/>
  <c r="I55" i="2"/>
  <c r="G55" i="2"/>
  <c r="I54" i="2"/>
  <c r="G54" i="2"/>
  <c r="I53" i="2"/>
  <c r="G53" i="2"/>
  <c r="I88" i="2"/>
  <c r="G88" i="2"/>
  <c r="I87" i="2"/>
  <c r="G87" i="2"/>
  <c r="I125" i="2"/>
  <c r="G125" i="2"/>
  <c r="I90" i="2"/>
  <c r="G90" i="2"/>
  <c r="I108" i="2"/>
  <c r="G108" i="2"/>
  <c r="AS684" i="1"/>
  <c r="AP684" i="1"/>
  <c r="AM684" i="1"/>
  <c r="W684" i="1"/>
  <c r="U684" i="1"/>
  <c r="S684" i="1"/>
  <c r="AS687" i="1"/>
  <c r="AP687" i="1"/>
  <c r="AM687" i="1"/>
  <c r="W687" i="1"/>
  <c r="U687" i="1"/>
  <c r="S687" i="1"/>
  <c r="AM690" i="1"/>
  <c r="AM685" i="1"/>
  <c r="AM686" i="1"/>
  <c r="AM688" i="1"/>
  <c r="AM683" i="1"/>
  <c r="AM682" i="1"/>
  <c r="AS690" i="1"/>
  <c r="AP690" i="1"/>
  <c r="W690" i="1"/>
  <c r="U690" i="1"/>
  <c r="S690" i="1"/>
  <c r="AS685" i="1"/>
  <c r="AP685" i="1"/>
  <c r="W685" i="1"/>
  <c r="U685" i="1"/>
  <c r="S685" i="1"/>
  <c r="AS686" i="1"/>
  <c r="AP686" i="1"/>
  <c r="W686" i="1"/>
  <c r="U686" i="1"/>
  <c r="S686" i="1"/>
  <c r="AS688" i="1"/>
  <c r="AP688" i="1"/>
  <c r="W688" i="1"/>
  <c r="U688" i="1"/>
  <c r="S688" i="1"/>
  <c r="AS683" i="1"/>
  <c r="AP683" i="1"/>
  <c r="W683" i="1"/>
  <c r="U683" i="1"/>
  <c r="S683" i="1"/>
  <c r="AS682" i="1"/>
  <c r="AP682" i="1"/>
  <c r="W682" i="1"/>
  <c r="U682" i="1"/>
  <c r="S682" i="1"/>
  <c r="AS689" i="1"/>
  <c r="AP689" i="1"/>
  <c r="AM689" i="1"/>
  <c r="W689" i="1"/>
  <c r="U689" i="1"/>
  <c r="S689" i="1"/>
  <c r="AS44" i="1"/>
  <c r="AP44" i="1"/>
  <c r="AM44" i="1"/>
  <c r="W44" i="1"/>
  <c r="U44" i="1"/>
  <c r="S44" i="1"/>
  <c r="AS680" i="1"/>
  <c r="AP680" i="1"/>
  <c r="AM680" i="1"/>
  <c r="W680" i="1"/>
  <c r="U680" i="1"/>
  <c r="S680" i="1"/>
  <c r="AS681" i="1"/>
  <c r="AP681" i="1"/>
  <c r="AM681" i="1"/>
  <c r="W681" i="1"/>
  <c r="U681" i="1"/>
  <c r="S681" i="1"/>
  <c r="AS676" i="1"/>
  <c r="AP676" i="1"/>
  <c r="AM676" i="1"/>
  <c r="W676" i="1"/>
  <c r="U676" i="1"/>
  <c r="S676" i="1"/>
  <c r="AS677" i="1"/>
  <c r="AP677" i="1"/>
  <c r="AM677" i="1"/>
  <c r="W677" i="1"/>
  <c r="U677" i="1"/>
  <c r="S677" i="1"/>
  <c r="AS675" i="1"/>
  <c r="AP675" i="1"/>
  <c r="AM675" i="1"/>
  <c r="W675" i="1"/>
  <c r="U675" i="1"/>
  <c r="S675" i="1"/>
  <c r="AS674" i="1"/>
  <c r="AS673" i="1"/>
  <c r="AS672" i="1"/>
  <c r="AS671" i="1"/>
  <c r="AP674" i="1"/>
  <c r="AP673" i="1"/>
  <c r="AP672" i="1"/>
  <c r="AP671" i="1"/>
  <c r="AM672" i="1"/>
  <c r="AM673" i="1"/>
  <c r="AM674" i="1"/>
  <c r="AM671" i="1"/>
  <c r="AS678" i="1"/>
  <c r="AP678" i="1"/>
  <c r="AM678" i="1"/>
  <c r="AS679" i="1"/>
  <c r="AP679" i="1"/>
  <c r="AM679" i="1"/>
  <c r="W678" i="1"/>
  <c r="W679" i="1"/>
  <c r="U678" i="1"/>
  <c r="U679" i="1"/>
  <c r="S678" i="1"/>
  <c r="S679" i="1"/>
  <c r="AS773" i="1"/>
  <c r="AP773" i="1"/>
  <c r="W773" i="1"/>
  <c r="U773" i="1"/>
  <c r="S773" i="1"/>
  <c r="AS59" i="1"/>
  <c r="AP59" i="1"/>
  <c r="AM59" i="1"/>
  <c r="W59" i="1"/>
  <c r="U59" i="1"/>
  <c r="S59" i="1"/>
  <c r="I57" i="2"/>
  <c r="G57" i="2"/>
  <c r="AM773" i="1" l="1"/>
  <c r="AS552" i="1"/>
  <c r="AP552" i="1"/>
  <c r="AM552" i="1"/>
  <c r="W552" i="1"/>
  <c r="U552" i="1"/>
  <c r="S552" i="1"/>
  <c r="AS778" i="1"/>
  <c r="AP778" i="1"/>
  <c r="AM778" i="1"/>
  <c r="W778" i="1"/>
  <c r="U778" i="1"/>
  <c r="S778" i="1"/>
  <c r="AS755" i="1"/>
  <c r="AP755" i="1"/>
  <c r="AM755" i="1"/>
  <c r="W755" i="1"/>
  <c r="U755" i="1"/>
  <c r="S755" i="1"/>
  <c r="AS761" i="1"/>
  <c r="AP761" i="1"/>
  <c r="AM761" i="1"/>
  <c r="W761" i="1"/>
  <c r="U761" i="1"/>
  <c r="S761" i="1"/>
  <c r="AS760" i="1"/>
  <c r="AP760" i="1"/>
  <c r="AM760" i="1"/>
  <c r="W760" i="1"/>
  <c r="U760" i="1"/>
  <c r="S760" i="1"/>
  <c r="AS759" i="1"/>
  <c r="AP759" i="1"/>
  <c r="AM759" i="1"/>
  <c r="W759" i="1"/>
  <c r="U759" i="1"/>
  <c r="S759" i="1"/>
  <c r="AS758" i="1"/>
  <c r="AP758" i="1"/>
  <c r="AM758" i="1"/>
  <c r="W758" i="1"/>
  <c r="U758" i="1"/>
  <c r="S758" i="1"/>
  <c r="AS749" i="1"/>
  <c r="AP749" i="1"/>
  <c r="AM749" i="1"/>
  <c r="W749" i="1"/>
  <c r="U749" i="1"/>
  <c r="S749" i="1"/>
  <c r="AS748" i="1"/>
  <c r="AP748" i="1"/>
  <c r="AM748" i="1"/>
  <c r="W748" i="1"/>
  <c r="U748" i="1"/>
  <c r="S748" i="1"/>
  <c r="AS747" i="1"/>
  <c r="AP747" i="1"/>
  <c r="AM747" i="1"/>
  <c r="W747" i="1"/>
  <c r="U747" i="1"/>
  <c r="S747" i="1"/>
  <c r="AS746" i="1"/>
  <c r="AP746" i="1"/>
  <c r="AM746" i="1"/>
  <c r="W746" i="1"/>
  <c r="U746" i="1"/>
  <c r="S746" i="1"/>
  <c r="AS745" i="1"/>
  <c r="AP745" i="1"/>
  <c r="AM745" i="1"/>
  <c r="W745" i="1"/>
  <c r="U745" i="1"/>
  <c r="S745" i="1"/>
  <c r="AS757" i="1"/>
  <c r="AP757" i="1"/>
  <c r="AM757" i="1"/>
  <c r="W757" i="1"/>
  <c r="U757" i="1"/>
  <c r="S757" i="1"/>
  <c r="AS763" i="1"/>
  <c r="AP763" i="1"/>
  <c r="AM763" i="1"/>
  <c r="W763" i="1"/>
  <c r="U763" i="1"/>
  <c r="S763" i="1"/>
  <c r="AS762" i="1"/>
  <c r="AP762" i="1"/>
  <c r="AM762" i="1"/>
  <c r="W762" i="1"/>
  <c r="U762" i="1"/>
  <c r="S762" i="1"/>
  <c r="AS282" i="1"/>
  <c r="AP282" i="1"/>
  <c r="AM282" i="1"/>
  <c r="W282" i="1"/>
  <c r="U282" i="1"/>
  <c r="S282" i="1"/>
  <c r="AS283" i="1"/>
  <c r="AP283" i="1"/>
  <c r="AM283" i="1"/>
  <c r="W283" i="1"/>
  <c r="U283" i="1"/>
  <c r="S283" i="1"/>
  <c r="AS768" i="1"/>
  <c r="AP768" i="1"/>
  <c r="AM768" i="1"/>
  <c r="W768" i="1"/>
  <c r="U768" i="1"/>
  <c r="S768" i="1"/>
  <c r="AS767" i="1"/>
  <c r="AP767" i="1"/>
  <c r="AM767" i="1"/>
  <c r="W767" i="1"/>
  <c r="U767" i="1"/>
  <c r="S767" i="1"/>
  <c r="AS753" i="1"/>
  <c r="AP753" i="1"/>
  <c r="AM753" i="1"/>
  <c r="W753" i="1"/>
  <c r="U753" i="1"/>
  <c r="S753" i="1"/>
  <c r="AS752" i="1"/>
  <c r="AP752" i="1"/>
  <c r="AM752" i="1"/>
  <c r="W752" i="1"/>
  <c r="U752" i="1"/>
  <c r="S752" i="1"/>
  <c r="AS751" i="1"/>
  <c r="AP751" i="1"/>
  <c r="AM751" i="1"/>
  <c r="W751" i="1"/>
  <c r="U751" i="1"/>
  <c r="S751" i="1"/>
  <c r="AS765" i="1"/>
  <c r="AP765" i="1"/>
  <c r="AM765" i="1"/>
  <c r="W765" i="1"/>
  <c r="U765" i="1"/>
  <c r="S765" i="1"/>
  <c r="AS764" i="1"/>
  <c r="AP764" i="1"/>
  <c r="AM764" i="1"/>
  <c r="W764" i="1"/>
  <c r="U764" i="1"/>
  <c r="S764" i="1"/>
  <c r="AS357" i="1"/>
  <c r="AP357" i="1"/>
  <c r="AM357" i="1"/>
  <c r="W357" i="1"/>
  <c r="U357" i="1"/>
  <c r="S357" i="1"/>
  <c r="AS354" i="1"/>
  <c r="AP354" i="1"/>
  <c r="AM354" i="1"/>
  <c r="W354" i="1"/>
  <c r="U354" i="1"/>
  <c r="S354" i="1"/>
  <c r="AS362" i="1"/>
  <c r="AP362" i="1"/>
  <c r="AM362" i="1"/>
  <c r="W362" i="1"/>
  <c r="U362" i="1"/>
  <c r="S362" i="1"/>
  <c r="AS364" i="1"/>
  <c r="AP364" i="1"/>
  <c r="AM364" i="1"/>
  <c r="W364" i="1"/>
  <c r="U364" i="1"/>
  <c r="S364" i="1"/>
  <c r="AS365" i="1"/>
  <c r="AP365" i="1"/>
  <c r="AM365" i="1"/>
  <c r="W365" i="1"/>
  <c r="U365" i="1"/>
  <c r="S365" i="1"/>
  <c r="AS366" i="1"/>
  <c r="AP366" i="1"/>
  <c r="AM366" i="1"/>
  <c r="W366" i="1"/>
  <c r="U366" i="1"/>
  <c r="S366" i="1"/>
  <c r="AS367" i="1"/>
  <c r="AP367" i="1"/>
  <c r="AM367" i="1"/>
  <c r="W367" i="1"/>
  <c r="U367" i="1"/>
  <c r="S367" i="1"/>
  <c r="AS786" i="1"/>
  <c r="AP786" i="1"/>
  <c r="AM786" i="1"/>
  <c r="W786" i="1"/>
  <c r="U786" i="1"/>
  <c r="S786" i="1"/>
  <c r="AS790" i="1"/>
  <c r="AP790" i="1"/>
  <c r="AM790" i="1"/>
  <c r="W790" i="1"/>
  <c r="U790" i="1"/>
  <c r="S790" i="1"/>
  <c r="AS756" i="1"/>
  <c r="AP756" i="1"/>
  <c r="AM756" i="1"/>
  <c r="W756" i="1"/>
  <c r="U756" i="1"/>
  <c r="S756" i="1"/>
  <c r="AS449" i="1"/>
  <c r="AP449" i="1"/>
  <c r="AM449" i="1"/>
  <c r="W449" i="1"/>
  <c r="U449" i="1"/>
  <c r="S449" i="1"/>
  <c r="AS450" i="1"/>
  <c r="AP450" i="1"/>
  <c r="AM450" i="1"/>
  <c r="W450" i="1"/>
  <c r="U450" i="1"/>
  <c r="S450" i="1"/>
  <c r="AS451" i="1"/>
  <c r="AP451" i="1"/>
  <c r="AM451" i="1"/>
  <c r="W451" i="1"/>
  <c r="U451" i="1"/>
  <c r="S451" i="1"/>
  <c r="AS452" i="1"/>
  <c r="AP452" i="1"/>
  <c r="AM452" i="1"/>
  <c r="W452" i="1"/>
  <c r="U452" i="1"/>
  <c r="S452" i="1"/>
  <c r="AS453" i="1"/>
  <c r="AP453" i="1"/>
  <c r="AM453" i="1"/>
  <c r="W453" i="1"/>
  <c r="U453" i="1"/>
  <c r="S453" i="1"/>
  <c r="AS512" i="1"/>
  <c r="AP512" i="1"/>
  <c r="AM512" i="1"/>
  <c r="W512" i="1"/>
  <c r="U512" i="1"/>
  <c r="S512" i="1"/>
  <c r="AS769" i="1"/>
  <c r="AP769" i="1"/>
  <c r="AM769" i="1"/>
  <c r="W769" i="1"/>
  <c r="U769" i="1"/>
  <c r="S769" i="1"/>
  <c r="AS770" i="1"/>
  <c r="AP770" i="1"/>
  <c r="AM770" i="1"/>
  <c r="W770" i="1"/>
  <c r="U770" i="1"/>
  <c r="S770" i="1"/>
  <c r="AS511" i="1"/>
  <c r="AP511" i="1"/>
  <c r="AM511" i="1"/>
  <c r="W511" i="1"/>
  <c r="U511" i="1"/>
  <c r="S511" i="1"/>
  <c r="AS771" i="1"/>
  <c r="AP771" i="1"/>
  <c r="AM771" i="1"/>
  <c r="W771" i="1"/>
  <c r="U771" i="1"/>
  <c r="S771" i="1"/>
  <c r="AS754" i="1"/>
  <c r="AP754" i="1"/>
  <c r="AM754" i="1"/>
  <c r="W754" i="1"/>
  <c r="U754" i="1"/>
  <c r="S754" i="1"/>
  <c r="AS510" i="1"/>
  <c r="AP510" i="1"/>
  <c r="AM510" i="1"/>
  <c r="W510" i="1"/>
  <c r="U510" i="1"/>
  <c r="S510" i="1"/>
  <c r="AS508" i="1"/>
  <c r="AP508" i="1"/>
  <c r="AM508" i="1"/>
  <c r="W508" i="1"/>
  <c r="U508" i="1"/>
  <c r="S508" i="1"/>
  <c r="AS514" i="1"/>
  <c r="AP514" i="1"/>
  <c r="AM514" i="1"/>
  <c r="W514" i="1"/>
  <c r="U514" i="1"/>
  <c r="S514" i="1"/>
  <c r="AS780" i="1"/>
  <c r="AP780" i="1"/>
  <c r="AM780" i="1"/>
  <c r="W780" i="1"/>
  <c r="U780" i="1"/>
  <c r="S780" i="1"/>
  <c r="AS779" i="1"/>
  <c r="AP779" i="1"/>
  <c r="AM779" i="1"/>
  <c r="W779" i="1"/>
  <c r="U779" i="1"/>
  <c r="S779" i="1"/>
  <c r="AS750" i="1"/>
  <c r="AP750" i="1"/>
  <c r="AM750" i="1"/>
  <c r="W750" i="1"/>
  <c r="U750" i="1"/>
  <c r="S750" i="1"/>
  <c r="AS789" i="1"/>
  <c r="AP789" i="1"/>
  <c r="AM789" i="1"/>
  <c r="W789" i="1"/>
  <c r="U789" i="1"/>
  <c r="S789" i="1"/>
  <c r="AS529" i="1"/>
  <c r="AP529" i="1"/>
  <c r="AM529" i="1"/>
  <c r="W529" i="1"/>
  <c r="U529" i="1"/>
  <c r="S529" i="1"/>
  <c r="AS530" i="1"/>
  <c r="AP530" i="1"/>
  <c r="AM530" i="1"/>
  <c r="W530" i="1"/>
  <c r="U530" i="1"/>
  <c r="S530" i="1"/>
  <c r="AS531" i="1"/>
  <c r="AP531" i="1"/>
  <c r="AM531" i="1"/>
  <c r="W531" i="1"/>
  <c r="U531" i="1"/>
  <c r="S531" i="1"/>
  <c r="AS788" i="1"/>
  <c r="AP788" i="1"/>
  <c r="AM788" i="1"/>
  <c r="W788" i="1"/>
  <c r="U788" i="1"/>
  <c r="S788" i="1"/>
  <c r="AS539" i="1"/>
  <c r="AP539" i="1"/>
  <c r="AM539" i="1"/>
  <c r="W539" i="1"/>
  <c r="U539" i="1"/>
  <c r="S539" i="1"/>
  <c r="AS542" i="1"/>
  <c r="AP542" i="1"/>
  <c r="AM542" i="1"/>
  <c r="W542" i="1"/>
  <c r="U542" i="1"/>
  <c r="S542" i="1"/>
  <c r="AS562" i="1"/>
  <c r="AP562" i="1"/>
  <c r="AM562" i="1"/>
  <c r="W562" i="1"/>
  <c r="U562" i="1"/>
  <c r="S562" i="1"/>
  <c r="AS567" i="1"/>
  <c r="AP567" i="1"/>
  <c r="AM567" i="1"/>
  <c r="W567" i="1"/>
  <c r="U567" i="1"/>
  <c r="S567" i="1"/>
  <c r="AS587" i="1"/>
  <c r="AP587" i="1"/>
  <c r="AM587" i="1"/>
  <c r="W587" i="1"/>
  <c r="U587" i="1"/>
  <c r="S587" i="1"/>
  <c r="AS568" i="1"/>
  <c r="AP568" i="1"/>
  <c r="AM568" i="1"/>
  <c r="W568" i="1"/>
  <c r="U568" i="1"/>
  <c r="S568" i="1"/>
  <c r="AS766" i="1"/>
  <c r="AP766" i="1"/>
  <c r="AM766" i="1"/>
  <c r="W766" i="1"/>
  <c r="U766" i="1"/>
  <c r="S766" i="1"/>
  <c r="AS617" i="1"/>
  <c r="AP617" i="1"/>
  <c r="AM617" i="1"/>
  <c r="W617" i="1"/>
  <c r="U617" i="1"/>
  <c r="S617" i="1"/>
  <c r="AS602" i="1"/>
  <c r="AP602" i="1"/>
  <c r="AM602" i="1"/>
  <c r="W602" i="1"/>
  <c r="U602" i="1"/>
  <c r="S602" i="1"/>
  <c r="AS601" i="1"/>
  <c r="AP601" i="1"/>
  <c r="AM601" i="1"/>
  <c r="W601" i="1"/>
  <c r="U601" i="1"/>
  <c r="S601" i="1"/>
  <c r="AS600" i="1"/>
  <c r="AP600" i="1"/>
  <c r="AM600" i="1"/>
  <c r="W600" i="1"/>
  <c r="U600" i="1"/>
  <c r="S600" i="1"/>
  <c r="AS595" i="1"/>
  <c r="AP595" i="1"/>
  <c r="AM595" i="1"/>
  <c r="W595" i="1"/>
  <c r="U595" i="1"/>
  <c r="S595" i="1"/>
  <c r="AS594" i="1"/>
  <c r="AP594" i="1"/>
  <c r="AM594" i="1"/>
  <c r="W594" i="1"/>
  <c r="U594" i="1"/>
  <c r="S594" i="1"/>
  <c r="AS593" i="1"/>
  <c r="AP593" i="1"/>
  <c r="AM593" i="1"/>
  <c r="W593" i="1"/>
  <c r="U593" i="1"/>
  <c r="S593" i="1"/>
  <c r="AS620" i="1"/>
  <c r="AP620" i="1"/>
  <c r="AM620" i="1"/>
  <c r="W620" i="1"/>
  <c r="U620" i="1"/>
  <c r="S620" i="1"/>
  <c r="AS609" i="1"/>
  <c r="AP609" i="1"/>
  <c r="AM609" i="1"/>
  <c r="W609" i="1"/>
  <c r="U609" i="1"/>
  <c r="S609" i="1"/>
  <c r="AS618" i="1"/>
  <c r="AP618" i="1"/>
  <c r="AM618" i="1"/>
  <c r="W618" i="1"/>
  <c r="U618" i="1"/>
  <c r="S618" i="1"/>
  <c r="AS582" i="1"/>
  <c r="AP582" i="1"/>
  <c r="AM582" i="1"/>
  <c r="W582" i="1"/>
  <c r="U582" i="1"/>
  <c r="S582" i="1"/>
  <c r="AS630" i="1"/>
  <c r="AP630" i="1"/>
  <c r="AM630" i="1"/>
  <c r="W630" i="1"/>
  <c r="U630" i="1"/>
  <c r="S630" i="1"/>
  <c r="AS631" i="1"/>
  <c r="AP631" i="1"/>
  <c r="AM631" i="1"/>
  <c r="W631" i="1"/>
  <c r="U631" i="1"/>
  <c r="S631" i="1"/>
  <c r="AS632" i="1"/>
  <c r="AP632" i="1"/>
  <c r="AM632" i="1"/>
  <c r="W632" i="1"/>
  <c r="U632" i="1"/>
  <c r="S632" i="1"/>
  <c r="AS633" i="1"/>
  <c r="AP633" i="1"/>
  <c r="AM633" i="1"/>
  <c r="W633" i="1"/>
  <c r="U633" i="1"/>
  <c r="S633" i="1"/>
  <c r="AS614" i="1"/>
  <c r="AP614" i="1"/>
  <c r="AM614" i="1"/>
  <c r="W614" i="1"/>
  <c r="U614" i="1"/>
  <c r="S614" i="1"/>
  <c r="AS581" i="1"/>
  <c r="AP581" i="1"/>
  <c r="AM581" i="1"/>
  <c r="W581" i="1"/>
  <c r="U581" i="1"/>
  <c r="S581" i="1"/>
  <c r="AS627" i="1"/>
  <c r="AP627" i="1"/>
  <c r="AM627" i="1"/>
  <c r="W627" i="1"/>
  <c r="U627" i="1"/>
  <c r="S627" i="1"/>
  <c r="AS625" i="1"/>
  <c r="AP625" i="1"/>
  <c r="AM625" i="1"/>
  <c r="W625" i="1"/>
  <c r="U625" i="1"/>
  <c r="S625" i="1"/>
  <c r="AS626" i="1"/>
  <c r="AP626" i="1"/>
  <c r="AM626" i="1"/>
  <c r="W626" i="1"/>
  <c r="U626" i="1"/>
  <c r="S626" i="1"/>
  <c r="AS557" i="1"/>
  <c r="AP557" i="1"/>
  <c r="AM557" i="1"/>
  <c r="W557" i="1"/>
  <c r="U557" i="1"/>
  <c r="S557" i="1"/>
  <c r="AS556" i="1"/>
  <c r="AP556" i="1"/>
  <c r="AM556" i="1"/>
  <c r="W556" i="1"/>
  <c r="U556" i="1"/>
  <c r="S556" i="1"/>
  <c r="AS555" i="1"/>
  <c r="AP555" i="1"/>
  <c r="AM555" i="1"/>
  <c r="W555" i="1"/>
  <c r="U555" i="1"/>
  <c r="S555" i="1"/>
  <c r="AS564" i="1"/>
  <c r="AP564" i="1"/>
  <c r="AM564" i="1"/>
  <c r="W564" i="1"/>
  <c r="U564" i="1"/>
  <c r="S564" i="1"/>
  <c r="AS563" i="1"/>
  <c r="AP563" i="1"/>
  <c r="AM563" i="1"/>
  <c r="W563" i="1"/>
  <c r="U563" i="1"/>
  <c r="S563" i="1"/>
  <c r="AS661" i="1"/>
  <c r="AP661" i="1"/>
  <c r="AM661" i="1"/>
  <c r="W661" i="1"/>
  <c r="U661" i="1"/>
  <c r="S661" i="1"/>
  <c r="AS648" i="1"/>
  <c r="AP648" i="1"/>
  <c r="AM648" i="1"/>
  <c r="W648" i="1"/>
  <c r="U648" i="1"/>
  <c r="S648" i="1"/>
  <c r="AS647" i="1"/>
  <c r="AP647" i="1"/>
  <c r="AM647" i="1"/>
  <c r="W647" i="1"/>
  <c r="U647" i="1"/>
  <c r="S647" i="1"/>
  <c r="AS583" i="1"/>
  <c r="AP583" i="1"/>
  <c r="AM583" i="1"/>
  <c r="W583" i="1"/>
  <c r="U583" i="1"/>
  <c r="S583" i="1"/>
  <c r="AS604" i="1"/>
  <c r="AP604" i="1"/>
  <c r="AM604" i="1"/>
  <c r="W604" i="1"/>
  <c r="U604" i="1"/>
  <c r="S604" i="1"/>
  <c r="AS603" i="1"/>
  <c r="AP603" i="1"/>
  <c r="AM603" i="1"/>
  <c r="W603" i="1"/>
  <c r="U603" i="1"/>
  <c r="S603" i="1"/>
  <c r="AS660" i="1"/>
  <c r="AP660" i="1"/>
  <c r="AM660" i="1"/>
  <c r="W660" i="1"/>
  <c r="U660" i="1"/>
  <c r="S660" i="1"/>
  <c r="AS635" i="1"/>
  <c r="AP635" i="1"/>
  <c r="AM635" i="1"/>
  <c r="W635" i="1"/>
  <c r="U635" i="1"/>
  <c r="S635" i="1"/>
  <c r="AS634" i="1"/>
  <c r="AP634" i="1"/>
  <c r="AM634" i="1"/>
  <c r="W634" i="1"/>
  <c r="U634" i="1"/>
  <c r="S634" i="1"/>
  <c r="AS636" i="1"/>
  <c r="AP636" i="1"/>
  <c r="AM636" i="1"/>
  <c r="W636" i="1"/>
  <c r="U636" i="1"/>
  <c r="S636" i="1"/>
  <c r="AS637" i="1"/>
  <c r="AP637" i="1"/>
  <c r="AM637" i="1"/>
  <c r="W637" i="1"/>
  <c r="U637" i="1"/>
  <c r="S637" i="1"/>
  <c r="AS659" i="1"/>
  <c r="AP659" i="1"/>
  <c r="AM659" i="1"/>
  <c r="W659" i="1"/>
  <c r="U659" i="1"/>
  <c r="S659" i="1"/>
  <c r="AS638" i="1"/>
  <c r="AP638" i="1"/>
  <c r="AM638" i="1"/>
  <c r="W638" i="1"/>
  <c r="U638" i="1"/>
  <c r="S638" i="1"/>
  <c r="AS658" i="1"/>
  <c r="AP658" i="1"/>
  <c r="AM658" i="1"/>
  <c r="W658" i="1"/>
  <c r="U658" i="1"/>
  <c r="S658" i="1"/>
  <c r="AS639" i="1"/>
  <c r="AP639" i="1"/>
  <c r="AM639" i="1"/>
  <c r="W639" i="1"/>
  <c r="U639" i="1"/>
  <c r="S639" i="1"/>
  <c r="AS669" i="1"/>
  <c r="AP669" i="1"/>
  <c r="AM669" i="1"/>
  <c r="W669" i="1"/>
  <c r="U669" i="1"/>
  <c r="S669" i="1"/>
  <c r="AS670" i="1"/>
  <c r="AP670" i="1"/>
  <c r="AM670" i="1"/>
  <c r="W670" i="1"/>
  <c r="U670" i="1"/>
  <c r="S670" i="1"/>
  <c r="AS619" i="1"/>
  <c r="AP619" i="1"/>
  <c r="AM619" i="1"/>
  <c r="W619" i="1"/>
  <c r="U619" i="1"/>
  <c r="S619" i="1"/>
  <c r="AS623" i="1"/>
  <c r="AP623" i="1"/>
  <c r="AM623" i="1"/>
  <c r="W623" i="1"/>
  <c r="U623" i="1"/>
  <c r="S623" i="1"/>
  <c r="AS605" i="1"/>
  <c r="AP605" i="1"/>
  <c r="AM605" i="1"/>
  <c r="W605" i="1"/>
  <c r="U605" i="1"/>
  <c r="S605" i="1"/>
  <c r="AS814" i="1"/>
  <c r="AP814" i="1"/>
  <c r="AM814" i="1"/>
  <c r="W814" i="1"/>
  <c r="U814" i="1"/>
  <c r="S814" i="1"/>
  <c r="AS815" i="1"/>
  <c r="AP815" i="1"/>
  <c r="AM815" i="1"/>
  <c r="W815" i="1"/>
  <c r="U815" i="1"/>
  <c r="S815" i="1"/>
  <c r="AS616" i="1"/>
  <c r="AP616" i="1"/>
  <c r="AM616" i="1"/>
  <c r="W616" i="1"/>
  <c r="U616" i="1"/>
  <c r="S616" i="1"/>
  <c r="AS599" i="1"/>
  <c r="AP599" i="1"/>
  <c r="AM599" i="1"/>
  <c r="W599" i="1"/>
  <c r="U599" i="1"/>
  <c r="S599" i="1"/>
  <c r="AS598" i="1"/>
  <c r="AP598" i="1"/>
  <c r="AM598" i="1"/>
  <c r="W598" i="1"/>
  <c r="U598" i="1"/>
  <c r="S598" i="1"/>
  <c r="AS597" i="1"/>
  <c r="AP597" i="1"/>
  <c r="AM597" i="1"/>
  <c r="W597" i="1"/>
  <c r="U597" i="1"/>
  <c r="S597" i="1"/>
  <c r="AS596" i="1"/>
  <c r="AP596" i="1"/>
  <c r="AM596" i="1"/>
  <c r="W596" i="1"/>
  <c r="U596" i="1"/>
  <c r="S596" i="1"/>
  <c r="AS611" i="1"/>
  <c r="AP611" i="1"/>
  <c r="AM611" i="1"/>
  <c r="W611" i="1"/>
  <c r="U611" i="1"/>
  <c r="S611" i="1"/>
  <c r="AS610" i="1"/>
  <c r="AP610" i="1"/>
  <c r="AM610" i="1"/>
  <c r="W610" i="1"/>
  <c r="U610" i="1"/>
  <c r="S610" i="1"/>
  <c r="AS570" i="1"/>
  <c r="AP570" i="1"/>
  <c r="AM570" i="1"/>
  <c r="W570" i="1"/>
  <c r="U570" i="1"/>
  <c r="S570" i="1"/>
  <c r="AS629" i="1"/>
  <c r="AP629" i="1"/>
  <c r="AM629" i="1"/>
  <c r="W629" i="1"/>
  <c r="U629" i="1"/>
  <c r="S629" i="1"/>
  <c r="AS628" i="1"/>
  <c r="AP628" i="1"/>
  <c r="AM628" i="1"/>
  <c r="W628" i="1"/>
  <c r="U628" i="1"/>
  <c r="S628" i="1"/>
  <c r="AS644" i="1"/>
  <c r="AP644" i="1"/>
  <c r="AM644" i="1"/>
  <c r="W644" i="1"/>
  <c r="U644" i="1"/>
  <c r="S644" i="1"/>
  <c r="AS730" i="1"/>
  <c r="AP730" i="1"/>
  <c r="AM730" i="1"/>
  <c r="W730" i="1"/>
  <c r="U730" i="1"/>
  <c r="S730" i="1"/>
  <c r="AS782" i="1"/>
  <c r="AP782" i="1"/>
  <c r="AM782" i="1"/>
  <c r="W782" i="1"/>
  <c r="U782" i="1"/>
  <c r="S782" i="1"/>
  <c r="AS781" i="1"/>
  <c r="AP781" i="1"/>
  <c r="AM781" i="1"/>
  <c r="W781" i="1"/>
  <c r="U781" i="1"/>
  <c r="S781" i="1"/>
  <c r="AS622" i="1"/>
  <c r="AP622" i="1"/>
  <c r="AM622" i="1"/>
  <c r="W622" i="1"/>
  <c r="U622" i="1"/>
  <c r="S622" i="1"/>
  <c r="AS654" i="1"/>
  <c r="AP654" i="1"/>
  <c r="AM654" i="1"/>
  <c r="W654" i="1"/>
  <c r="U654" i="1"/>
  <c r="S654" i="1"/>
  <c r="AS653" i="1"/>
  <c r="AP653" i="1"/>
  <c r="AM653" i="1"/>
  <c r="W653" i="1"/>
  <c r="U653" i="1"/>
  <c r="S653" i="1"/>
  <c r="AS641" i="1"/>
  <c r="AP641" i="1"/>
  <c r="AM641" i="1"/>
  <c r="W641" i="1"/>
  <c r="U641" i="1"/>
  <c r="S641" i="1"/>
  <c r="AS640" i="1"/>
  <c r="AP640" i="1"/>
  <c r="AM640" i="1"/>
  <c r="W640" i="1"/>
  <c r="U640" i="1"/>
  <c r="S640" i="1"/>
  <c r="AS656" i="1"/>
  <c r="AP656" i="1"/>
  <c r="AM656" i="1"/>
  <c r="W656" i="1"/>
  <c r="U656" i="1"/>
  <c r="S656" i="1"/>
  <c r="AS657" i="1"/>
  <c r="AP657" i="1"/>
  <c r="AM657" i="1"/>
  <c r="W657" i="1"/>
  <c r="U657" i="1"/>
  <c r="S657" i="1"/>
  <c r="W621" i="1"/>
  <c r="U621" i="1"/>
  <c r="S621" i="1"/>
  <c r="AS585" i="1"/>
  <c r="AP585" i="1"/>
  <c r="AM585" i="1"/>
  <c r="W585" i="1"/>
  <c r="U585" i="1"/>
  <c r="S585" i="1"/>
  <c r="AS65" i="1"/>
  <c r="AP65" i="1"/>
  <c r="AM65" i="1"/>
  <c r="W65" i="1"/>
  <c r="U65" i="1"/>
  <c r="S65" i="1"/>
  <c r="AS64" i="1"/>
  <c r="AP64" i="1"/>
  <c r="AM64" i="1"/>
  <c r="W64" i="1"/>
  <c r="U64" i="1"/>
  <c r="S64" i="1"/>
  <c r="AS63" i="1"/>
  <c r="AP63" i="1"/>
  <c r="AM63" i="1"/>
  <c r="W63" i="1"/>
  <c r="U63" i="1"/>
  <c r="S63" i="1"/>
  <c r="W674" i="1"/>
  <c r="U674" i="1"/>
  <c r="S674" i="1"/>
  <c r="W673" i="1"/>
  <c r="U673" i="1"/>
  <c r="S673" i="1"/>
  <c r="W672" i="1"/>
  <c r="U672" i="1"/>
  <c r="S672" i="1"/>
  <c r="W671" i="1"/>
  <c r="U671" i="1"/>
  <c r="S671" i="1"/>
  <c r="AS576" i="1"/>
  <c r="AP576" i="1"/>
  <c r="AM576" i="1"/>
  <c r="W576" i="1"/>
  <c r="U576" i="1"/>
  <c r="S576" i="1"/>
  <c r="AS827" i="1"/>
  <c r="AP827" i="1"/>
  <c r="AM827" i="1"/>
  <c r="W827" i="1"/>
  <c r="U827" i="1"/>
  <c r="S827" i="1"/>
  <c r="AS612" i="1"/>
  <c r="AP612" i="1"/>
  <c r="AM612" i="1"/>
  <c r="W612" i="1"/>
  <c r="U612" i="1"/>
  <c r="S612" i="1"/>
  <c r="AS613" i="1"/>
  <c r="AP613" i="1"/>
  <c r="AM613" i="1"/>
  <c r="W613" i="1"/>
  <c r="U613" i="1"/>
  <c r="S613" i="1"/>
  <c r="AS651" i="1"/>
  <c r="AP651" i="1"/>
  <c r="AM651" i="1"/>
  <c r="W651" i="1"/>
  <c r="U651" i="1"/>
  <c r="S651" i="1"/>
  <c r="AS650" i="1"/>
  <c r="AP650" i="1"/>
  <c r="AM650" i="1"/>
  <c r="W650" i="1"/>
  <c r="U650" i="1"/>
  <c r="S650" i="1"/>
  <c r="AS649" i="1"/>
  <c r="AP649" i="1"/>
  <c r="AM649" i="1"/>
  <c r="W649" i="1"/>
  <c r="U649" i="1"/>
  <c r="S649" i="1"/>
  <c r="AS643" i="1"/>
  <c r="AP643" i="1"/>
  <c r="AM643" i="1"/>
  <c r="W643" i="1"/>
  <c r="U643" i="1"/>
  <c r="S643" i="1"/>
  <c r="AS642" i="1"/>
  <c r="AP642" i="1"/>
  <c r="AM642" i="1"/>
  <c r="W642" i="1"/>
  <c r="U642" i="1"/>
  <c r="S642" i="1"/>
  <c r="AS662" i="1"/>
  <c r="AP662" i="1"/>
  <c r="AM662" i="1"/>
  <c r="W662" i="1"/>
  <c r="U662" i="1"/>
  <c r="S662" i="1"/>
  <c r="AS772" i="1"/>
  <c r="AP772" i="1"/>
  <c r="AM772" i="1"/>
  <c r="W772" i="1"/>
  <c r="U772" i="1"/>
  <c r="S772" i="1"/>
  <c r="AS586" i="1"/>
  <c r="AP586" i="1"/>
  <c r="AM586" i="1"/>
  <c r="W586" i="1"/>
  <c r="U586" i="1"/>
  <c r="S586" i="1"/>
  <c r="AS652" i="1"/>
  <c r="AP652" i="1"/>
  <c r="AM652" i="1"/>
  <c r="W652" i="1"/>
  <c r="U652" i="1"/>
  <c r="S652" i="1"/>
  <c r="AS589" i="1"/>
  <c r="AP589" i="1"/>
  <c r="AM589" i="1"/>
  <c r="W589" i="1"/>
  <c r="U589" i="1"/>
  <c r="S589" i="1"/>
  <c r="AS57" i="1"/>
  <c r="AP57" i="1"/>
  <c r="AM57" i="1"/>
  <c r="W57" i="1"/>
  <c r="U57" i="1"/>
  <c r="S57" i="1"/>
  <c r="AS615" i="1"/>
  <c r="AP615" i="1"/>
  <c r="AM615" i="1"/>
  <c r="W615" i="1"/>
  <c r="U615" i="1"/>
  <c r="S615" i="1"/>
  <c r="AS592" i="1"/>
  <c r="AP592" i="1"/>
  <c r="AM592" i="1"/>
  <c r="W592" i="1"/>
  <c r="U592" i="1"/>
  <c r="S592" i="1"/>
  <c r="AS591" i="1"/>
  <c r="AP591" i="1"/>
  <c r="AM591" i="1"/>
  <c r="W591" i="1"/>
  <c r="U591" i="1"/>
  <c r="S591" i="1"/>
  <c r="AS590" i="1"/>
  <c r="AP590" i="1"/>
  <c r="AM590" i="1"/>
  <c r="W590" i="1"/>
  <c r="U590" i="1"/>
  <c r="S590" i="1"/>
  <c r="AS668" i="1"/>
  <c r="AP668" i="1"/>
  <c r="AM668" i="1"/>
  <c r="W668" i="1"/>
  <c r="U668" i="1"/>
  <c r="S668" i="1"/>
  <c r="AS667" i="1"/>
  <c r="AP667" i="1"/>
  <c r="AM667" i="1"/>
  <c r="W667" i="1"/>
  <c r="U667" i="1"/>
  <c r="S667" i="1"/>
  <c r="AS666" i="1"/>
  <c r="AP666" i="1"/>
  <c r="AM666" i="1"/>
  <c r="W666" i="1"/>
  <c r="U666" i="1"/>
  <c r="S666" i="1"/>
  <c r="AS66" i="1"/>
  <c r="AP66" i="1"/>
  <c r="AM66" i="1"/>
  <c r="W66" i="1"/>
  <c r="U66" i="1"/>
  <c r="S66" i="1"/>
  <c r="AS67" i="1"/>
  <c r="AP67" i="1"/>
  <c r="AM67" i="1"/>
  <c r="W67" i="1"/>
  <c r="U67" i="1"/>
  <c r="S67" i="1"/>
  <c r="AS68" i="1"/>
  <c r="AP68" i="1"/>
  <c r="AM68" i="1"/>
  <c r="W68" i="1"/>
  <c r="U68" i="1"/>
  <c r="S68" i="1"/>
  <c r="AS69" i="1"/>
  <c r="AP69" i="1"/>
  <c r="AM69" i="1"/>
  <c r="W69" i="1"/>
  <c r="U69" i="1"/>
  <c r="S69" i="1"/>
  <c r="AS70" i="1"/>
  <c r="AP70" i="1"/>
  <c r="AM70" i="1"/>
  <c r="W70" i="1"/>
  <c r="U70" i="1"/>
  <c r="S70" i="1"/>
  <c r="AS71" i="1"/>
  <c r="AP71" i="1"/>
  <c r="AM71" i="1"/>
  <c r="W71" i="1"/>
  <c r="U71" i="1"/>
  <c r="S71" i="1"/>
  <c r="AS47" i="1"/>
  <c r="AP47" i="1"/>
  <c r="AM47" i="1"/>
  <c r="W47" i="1"/>
  <c r="U47" i="1"/>
  <c r="S47" i="1"/>
  <c r="AS50" i="1"/>
  <c r="AP50" i="1"/>
  <c r="AM50" i="1"/>
  <c r="W50" i="1"/>
  <c r="U50" i="1"/>
  <c r="S50" i="1"/>
  <c r="AS48" i="1"/>
  <c r="AP48" i="1"/>
  <c r="AM48" i="1"/>
  <c r="W48" i="1"/>
  <c r="U48" i="1"/>
  <c r="S48" i="1"/>
  <c r="AS49" i="1"/>
  <c r="AP49" i="1"/>
  <c r="AM49" i="1"/>
  <c r="W49" i="1"/>
  <c r="U49" i="1"/>
  <c r="S49" i="1"/>
  <c r="AS61" i="1"/>
  <c r="AP61" i="1"/>
  <c r="AM61" i="1"/>
  <c r="W61" i="1"/>
  <c r="U61" i="1"/>
  <c r="S61" i="1"/>
  <c r="AS62" i="1"/>
  <c r="AP62" i="1"/>
  <c r="AM62" i="1"/>
  <c r="W62" i="1"/>
  <c r="U62" i="1"/>
  <c r="S62" i="1"/>
  <c r="AS72" i="1"/>
  <c r="AP72" i="1"/>
  <c r="AM72" i="1"/>
  <c r="W72" i="1"/>
  <c r="U72" i="1"/>
  <c r="S72" i="1"/>
  <c r="AS73" i="1"/>
  <c r="AP73" i="1"/>
  <c r="AM73" i="1"/>
  <c r="W73" i="1"/>
  <c r="U73" i="1"/>
  <c r="S73" i="1"/>
  <c r="AS646" i="1"/>
  <c r="AP646" i="1"/>
  <c r="AM646" i="1"/>
  <c r="W646" i="1"/>
  <c r="U646" i="1"/>
  <c r="S646" i="1"/>
  <c r="AS645" i="1"/>
  <c r="AP645" i="1"/>
  <c r="AM645" i="1"/>
  <c r="W645" i="1"/>
  <c r="U645" i="1"/>
  <c r="S645" i="1"/>
  <c r="AS655" i="1"/>
  <c r="AP655" i="1"/>
  <c r="AM655" i="1"/>
  <c r="W655" i="1"/>
  <c r="U655" i="1"/>
  <c r="S655" i="1"/>
  <c r="AS665" i="1"/>
  <c r="AP665" i="1"/>
  <c r="AM665" i="1"/>
  <c r="W665" i="1"/>
  <c r="U665" i="1"/>
  <c r="S665" i="1"/>
  <c r="AS664" i="1"/>
  <c r="AP664" i="1"/>
  <c r="AM664" i="1"/>
  <c r="W664" i="1"/>
  <c r="U664" i="1"/>
  <c r="S664" i="1"/>
  <c r="AS663" i="1"/>
  <c r="AP663" i="1"/>
  <c r="AM663" i="1"/>
  <c r="W663" i="1"/>
  <c r="U663" i="1"/>
  <c r="S663" i="1"/>
  <c r="AS588" i="1"/>
  <c r="AP588" i="1"/>
  <c r="AM588" i="1"/>
  <c r="W588" i="1"/>
  <c r="U588" i="1"/>
  <c r="S588" i="1"/>
  <c r="AS816" i="1"/>
  <c r="AP816" i="1"/>
  <c r="AM816" i="1"/>
  <c r="W816" i="1"/>
  <c r="U816" i="1"/>
  <c r="S816" i="1"/>
  <c r="AS624" i="1"/>
  <c r="AP624" i="1"/>
  <c r="AM624" i="1"/>
  <c r="W624" i="1"/>
  <c r="U624" i="1"/>
  <c r="S624" i="1"/>
  <c r="AS584" i="1"/>
  <c r="AP584" i="1"/>
  <c r="AM584" i="1"/>
  <c r="W584" i="1"/>
  <c r="U584" i="1"/>
  <c r="S584" i="1"/>
  <c r="AS569" i="1"/>
  <c r="AP569" i="1"/>
  <c r="AM569" i="1"/>
  <c r="W569" i="1"/>
  <c r="U569" i="1"/>
  <c r="S569" i="1"/>
  <c r="AS608" i="1"/>
  <c r="AP608" i="1"/>
  <c r="AM608" i="1"/>
  <c r="W608" i="1"/>
  <c r="U608" i="1"/>
  <c r="S608" i="1"/>
  <c r="AS607" i="1"/>
  <c r="AP607" i="1"/>
  <c r="AM607" i="1"/>
  <c r="W607" i="1"/>
  <c r="U607" i="1"/>
  <c r="S607" i="1"/>
  <c r="AS606" i="1"/>
  <c r="AP606" i="1"/>
  <c r="AM606" i="1"/>
  <c r="W606" i="1"/>
  <c r="U606" i="1"/>
  <c r="S606" i="1"/>
  <c r="AS710" i="1"/>
  <c r="AP710" i="1"/>
  <c r="AM710" i="1"/>
  <c r="W710" i="1"/>
  <c r="U710" i="1"/>
  <c r="S710" i="1"/>
  <c r="AS709" i="1"/>
  <c r="AP709" i="1"/>
  <c r="AM709" i="1"/>
  <c r="W709" i="1"/>
  <c r="U709" i="1"/>
  <c r="S709" i="1"/>
  <c r="AS60" i="1"/>
  <c r="AP60" i="1"/>
  <c r="AM60" i="1"/>
  <c r="W60" i="1"/>
  <c r="U60" i="1"/>
  <c r="S60" i="1"/>
  <c r="AS580" i="1"/>
  <c r="AP580" i="1"/>
  <c r="AM580" i="1"/>
  <c r="W580" i="1"/>
  <c r="U580" i="1"/>
  <c r="S580" i="1"/>
  <c r="AS579" i="1"/>
  <c r="AP579" i="1"/>
  <c r="AM579" i="1"/>
  <c r="W579" i="1"/>
  <c r="U579" i="1"/>
  <c r="S579" i="1"/>
  <c r="AS578" i="1"/>
  <c r="AP578" i="1"/>
  <c r="AM578" i="1"/>
  <c r="W578" i="1"/>
  <c r="U578" i="1"/>
  <c r="S578" i="1"/>
  <c r="AS577" i="1"/>
  <c r="AP577" i="1"/>
  <c r="AM577" i="1"/>
  <c r="W577" i="1"/>
  <c r="U577" i="1"/>
  <c r="S577" i="1"/>
  <c r="AS575" i="1"/>
  <c r="AP575" i="1"/>
  <c r="AM575" i="1"/>
  <c r="W575" i="1"/>
  <c r="U575" i="1"/>
  <c r="S575" i="1"/>
  <c r="AS574" i="1"/>
  <c r="AP574" i="1"/>
  <c r="AM574" i="1"/>
  <c r="W574" i="1"/>
  <c r="U574" i="1"/>
  <c r="S574" i="1"/>
  <c r="AS573" i="1"/>
  <c r="AP573" i="1"/>
  <c r="AM573" i="1"/>
  <c r="W573" i="1"/>
  <c r="U573" i="1"/>
  <c r="S573" i="1"/>
  <c r="AS572" i="1"/>
  <c r="AP572" i="1"/>
  <c r="AM572" i="1"/>
  <c r="W572" i="1"/>
  <c r="U572" i="1"/>
  <c r="S572" i="1"/>
  <c r="AS571" i="1"/>
  <c r="AP571" i="1"/>
  <c r="AM571" i="1"/>
  <c r="W571" i="1"/>
  <c r="U571" i="1"/>
  <c r="S571" i="1"/>
  <c r="AS58" i="1"/>
  <c r="AP58" i="1"/>
  <c r="AM58" i="1"/>
  <c r="W58" i="1"/>
  <c r="U58" i="1"/>
  <c r="S58" i="1"/>
  <c r="AS56" i="1"/>
  <c r="AP56" i="1"/>
  <c r="AM56" i="1"/>
  <c r="W56" i="1"/>
  <c r="U56" i="1"/>
  <c r="S56" i="1"/>
  <c r="AS566" i="1"/>
  <c r="AP566" i="1"/>
  <c r="AM566" i="1"/>
  <c r="W566" i="1"/>
  <c r="U566" i="1"/>
  <c r="S566" i="1"/>
  <c r="AS565" i="1"/>
  <c r="AP565" i="1"/>
  <c r="AM565" i="1"/>
  <c r="W565" i="1"/>
  <c r="U565" i="1"/>
  <c r="S565" i="1"/>
  <c r="AS561" i="1"/>
  <c r="AP561" i="1"/>
  <c r="AM561" i="1"/>
  <c r="W561" i="1"/>
  <c r="U561" i="1"/>
  <c r="S561" i="1"/>
  <c r="AS560" i="1"/>
  <c r="AP560" i="1"/>
  <c r="AM560" i="1"/>
  <c r="W560" i="1"/>
  <c r="U560" i="1"/>
  <c r="S560" i="1"/>
  <c r="AS559" i="1"/>
  <c r="AP559" i="1"/>
  <c r="AM559" i="1"/>
  <c r="W559" i="1"/>
  <c r="U559" i="1"/>
  <c r="S559" i="1"/>
  <c r="AS558" i="1"/>
  <c r="AP558" i="1"/>
  <c r="AM558" i="1"/>
  <c r="W558" i="1"/>
  <c r="U558" i="1"/>
  <c r="S558" i="1"/>
  <c r="AS554" i="1"/>
  <c r="AP554" i="1"/>
  <c r="AM554" i="1"/>
  <c r="W554" i="1"/>
  <c r="U554" i="1"/>
  <c r="S554" i="1"/>
  <c r="AS553" i="1"/>
  <c r="AP553" i="1"/>
  <c r="AM553" i="1"/>
  <c r="W553" i="1"/>
  <c r="U553" i="1"/>
  <c r="S553" i="1"/>
  <c r="AS551" i="1"/>
  <c r="AP551" i="1"/>
  <c r="AM551" i="1"/>
  <c r="W551" i="1"/>
  <c r="U551" i="1"/>
  <c r="S551" i="1"/>
  <c r="AS550" i="1"/>
  <c r="AP550" i="1"/>
  <c r="AM550" i="1"/>
  <c r="W550" i="1"/>
  <c r="U550" i="1"/>
  <c r="S550" i="1"/>
  <c r="AS549" i="1"/>
  <c r="AP549" i="1"/>
  <c r="AM549" i="1"/>
  <c r="W549" i="1"/>
  <c r="U549" i="1"/>
  <c r="S549" i="1"/>
  <c r="AS548" i="1"/>
  <c r="AP548" i="1"/>
  <c r="AM548" i="1"/>
  <c r="W548" i="1"/>
  <c r="U548" i="1"/>
  <c r="S548" i="1"/>
  <c r="AS547" i="1"/>
  <c r="AP547" i="1"/>
  <c r="AM547" i="1"/>
  <c r="W547" i="1"/>
  <c r="U547" i="1"/>
  <c r="S547" i="1"/>
  <c r="AS546" i="1"/>
  <c r="AP546" i="1"/>
  <c r="AM546" i="1"/>
  <c r="W546" i="1"/>
  <c r="U546" i="1"/>
  <c r="S546" i="1"/>
  <c r="AS545" i="1"/>
  <c r="AP545" i="1"/>
  <c r="AM545" i="1"/>
  <c r="W545" i="1"/>
  <c r="U545" i="1"/>
  <c r="S545" i="1"/>
  <c r="AS544" i="1"/>
  <c r="AP544" i="1"/>
  <c r="AM544" i="1"/>
  <c r="W544" i="1"/>
  <c r="U544" i="1"/>
  <c r="S544" i="1"/>
  <c r="AS543" i="1"/>
  <c r="AP543" i="1"/>
  <c r="AM543" i="1"/>
  <c r="W543" i="1"/>
  <c r="U543" i="1"/>
  <c r="S543" i="1"/>
  <c r="AS541" i="1"/>
  <c r="AP541" i="1"/>
  <c r="AM541" i="1"/>
  <c r="W541" i="1"/>
  <c r="U541" i="1"/>
  <c r="S541" i="1"/>
  <c r="AS540" i="1"/>
  <c r="AP540" i="1"/>
  <c r="AM540" i="1"/>
  <c r="W540" i="1"/>
  <c r="U540" i="1"/>
  <c r="S540" i="1"/>
  <c r="AS538" i="1"/>
  <c r="AP538" i="1"/>
  <c r="AM538" i="1"/>
  <c r="W538" i="1"/>
  <c r="U538" i="1"/>
  <c r="S538" i="1"/>
  <c r="AS55" i="1"/>
  <c r="AP55" i="1"/>
  <c r="AM55" i="1"/>
  <c r="W55" i="1"/>
  <c r="U55" i="1"/>
  <c r="S55" i="1"/>
  <c r="AS537" i="1"/>
  <c r="AP537" i="1"/>
  <c r="AM537" i="1"/>
  <c r="W537" i="1"/>
  <c r="U537" i="1"/>
  <c r="S537" i="1"/>
  <c r="AS536" i="1"/>
  <c r="AP536" i="1"/>
  <c r="AM536" i="1"/>
  <c r="W536" i="1"/>
  <c r="U536" i="1"/>
  <c r="S536" i="1"/>
  <c r="AS535" i="1"/>
  <c r="AP535" i="1"/>
  <c r="AM535" i="1"/>
  <c r="W535" i="1"/>
  <c r="U535" i="1"/>
  <c r="S535" i="1"/>
  <c r="AS534" i="1"/>
  <c r="AP534" i="1"/>
  <c r="AM534" i="1"/>
  <c r="W534" i="1"/>
  <c r="U534" i="1"/>
  <c r="S534" i="1"/>
  <c r="AS533" i="1"/>
  <c r="AP533" i="1"/>
  <c r="AM533" i="1"/>
  <c r="W533" i="1"/>
  <c r="U533" i="1"/>
  <c r="S533" i="1"/>
  <c r="AS532" i="1"/>
  <c r="AP532" i="1"/>
  <c r="AM532" i="1"/>
  <c r="W532" i="1"/>
  <c r="U532" i="1"/>
  <c r="S532" i="1"/>
  <c r="AS528" i="1"/>
  <c r="AP528" i="1"/>
  <c r="AM528" i="1"/>
  <c r="W528" i="1"/>
  <c r="U528" i="1"/>
  <c r="S528" i="1"/>
  <c r="AS527" i="1"/>
  <c r="AP527" i="1"/>
  <c r="AM527" i="1"/>
  <c r="W527" i="1"/>
  <c r="U527" i="1"/>
  <c r="S527" i="1"/>
  <c r="AS526" i="1"/>
  <c r="AP526" i="1"/>
  <c r="AM526" i="1"/>
  <c r="W526" i="1"/>
  <c r="U526" i="1"/>
  <c r="S526" i="1"/>
  <c r="AS525" i="1"/>
  <c r="AP525" i="1"/>
  <c r="AM525" i="1"/>
  <c r="W525" i="1"/>
  <c r="U525" i="1"/>
  <c r="S525" i="1"/>
  <c r="AS524" i="1"/>
  <c r="AP524" i="1"/>
  <c r="AM524" i="1"/>
  <c r="W524" i="1"/>
  <c r="U524" i="1"/>
  <c r="S524" i="1"/>
  <c r="AS523" i="1"/>
  <c r="AP523" i="1"/>
  <c r="AM523" i="1"/>
  <c r="W523" i="1"/>
  <c r="U523" i="1"/>
  <c r="S523" i="1"/>
  <c r="AS522" i="1"/>
  <c r="AP522" i="1"/>
  <c r="AM522" i="1"/>
  <c r="W522" i="1"/>
  <c r="U522" i="1"/>
  <c r="S522" i="1"/>
  <c r="AS521" i="1"/>
  <c r="AP521" i="1"/>
  <c r="AM521" i="1"/>
  <c r="W521" i="1"/>
  <c r="U521" i="1"/>
  <c r="S521" i="1"/>
  <c r="AS520" i="1"/>
  <c r="AP520" i="1"/>
  <c r="AM520" i="1"/>
  <c r="W520" i="1"/>
  <c r="U520" i="1"/>
  <c r="S520" i="1"/>
  <c r="AS519" i="1"/>
  <c r="AP519" i="1"/>
  <c r="AM519" i="1"/>
  <c r="W519" i="1"/>
  <c r="U519" i="1"/>
  <c r="S519" i="1"/>
  <c r="AS518" i="1"/>
  <c r="AP518" i="1"/>
  <c r="AM518" i="1"/>
  <c r="W518" i="1"/>
  <c r="U518" i="1"/>
  <c r="S518" i="1"/>
  <c r="AS517" i="1"/>
  <c r="AP517" i="1"/>
  <c r="AM517" i="1"/>
  <c r="W517" i="1"/>
  <c r="U517" i="1"/>
  <c r="S517" i="1"/>
  <c r="AS516" i="1"/>
  <c r="AP516" i="1"/>
  <c r="AM516" i="1"/>
  <c r="W516" i="1"/>
  <c r="U516" i="1"/>
  <c r="S516" i="1"/>
  <c r="AS515" i="1"/>
  <c r="AP515" i="1"/>
  <c r="AM515" i="1"/>
  <c r="W515" i="1"/>
  <c r="U515" i="1"/>
  <c r="S515" i="1"/>
  <c r="AS513" i="1"/>
  <c r="AP513" i="1"/>
  <c r="AM513" i="1"/>
  <c r="W513" i="1"/>
  <c r="U513" i="1"/>
  <c r="S513" i="1"/>
  <c r="AS509" i="1"/>
  <c r="AP509" i="1"/>
  <c r="AM509" i="1"/>
  <c r="W509" i="1"/>
  <c r="U509" i="1"/>
  <c r="S509" i="1"/>
  <c r="AS507" i="1"/>
  <c r="AP507" i="1"/>
  <c r="AM507" i="1"/>
  <c r="W507" i="1"/>
  <c r="U507" i="1"/>
  <c r="S507" i="1"/>
  <c r="AS506" i="1"/>
  <c r="AP506" i="1"/>
  <c r="AM506" i="1"/>
  <c r="W506" i="1"/>
  <c r="U506" i="1"/>
  <c r="S506" i="1"/>
  <c r="AS505" i="1"/>
  <c r="AP505" i="1"/>
  <c r="AM505" i="1"/>
  <c r="W505" i="1"/>
  <c r="U505" i="1"/>
  <c r="S505" i="1"/>
  <c r="AS504" i="1"/>
  <c r="AP504" i="1"/>
  <c r="AM504" i="1"/>
  <c r="W504" i="1"/>
  <c r="U504" i="1"/>
  <c r="S504" i="1"/>
  <c r="AS503" i="1"/>
  <c r="AP503" i="1"/>
  <c r="AM503" i="1"/>
  <c r="W503" i="1"/>
  <c r="U503" i="1"/>
  <c r="S503" i="1"/>
  <c r="AS502" i="1"/>
  <c r="AP502" i="1"/>
  <c r="AM502" i="1"/>
  <c r="W502" i="1"/>
  <c r="U502" i="1"/>
  <c r="S502" i="1"/>
  <c r="AS501" i="1"/>
  <c r="AP501" i="1"/>
  <c r="AM501" i="1"/>
  <c r="W501" i="1"/>
  <c r="U501" i="1"/>
  <c r="S501" i="1"/>
  <c r="AS500" i="1"/>
  <c r="AP500" i="1"/>
  <c r="AM500" i="1"/>
  <c r="W500" i="1"/>
  <c r="U500" i="1"/>
  <c r="S500" i="1"/>
  <c r="AS499" i="1"/>
  <c r="AP499" i="1"/>
  <c r="AM499" i="1"/>
  <c r="W499" i="1"/>
  <c r="U499" i="1"/>
  <c r="S499" i="1"/>
  <c r="AS498" i="1"/>
  <c r="AP498" i="1"/>
  <c r="AM498" i="1"/>
  <c r="W498" i="1"/>
  <c r="U498" i="1"/>
  <c r="S498" i="1"/>
  <c r="AS497" i="1"/>
  <c r="AP497" i="1"/>
  <c r="AM497" i="1"/>
  <c r="W497" i="1"/>
  <c r="U497" i="1"/>
  <c r="S497" i="1"/>
  <c r="AS496" i="1"/>
  <c r="AP496" i="1"/>
  <c r="AM496" i="1"/>
  <c r="W496" i="1"/>
  <c r="U496" i="1"/>
  <c r="S496" i="1"/>
  <c r="AS495" i="1"/>
  <c r="AP495" i="1"/>
  <c r="AM495" i="1"/>
  <c r="W495" i="1"/>
  <c r="U495" i="1"/>
  <c r="S495" i="1"/>
  <c r="AS494" i="1"/>
  <c r="AP494" i="1"/>
  <c r="AM494" i="1"/>
  <c r="W494" i="1"/>
  <c r="U494" i="1"/>
  <c r="S494" i="1"/>
  <c r="AS493" i="1"/>
  <c r="AP493" i="1"/>
  <c r="AM493" i="1"/>
  <c r="W493" i="1"/>
  <c r="U493" i="1"/>
  <c r="S493" i="1"/>
  <c r="AS492" i="1"/>
  <c r="AP492" i="1"/>
  <c r="AM492" i="1"/>
  <c r="W492" i="1"/>
  <c r="U492" i="1"/>
  <c r="S492" i="1"/>
  <c r="AS491" i="1"/>
  <c r="AP491" i="1"/>
  <c r="AM491" i="1"/>
  <c r="W491" i="1"/>
  <c r="U491" i="1"/>
  <c r="S491" i="1"/>
  <c r="AS490" i="1"/>
  <c r="AP490" i="1"/>
  <c r="AM490" i="1"/>
  <c r="W490" i="1"/>
  <c r="U490" i="1"/>
  <c r="S490" i="1"/>
  <c r="AS489" i="1"/>
  <c r="AP489" i="1"/>
  <c r="AM489" i="1"/>
  <c r="W489" i="1"/>
  <c r="U489" i="1"/>
  <c r="S489" i="1"/>
  <c r="AS488" i="1"/>
  <c r="AP488" i="1"/>
  <c r="AM488" i="1"/>
  <c r="W488" i="1"/>
  <c r="U488" i="1"/>
  <c r="S488" i="1"/>
  <c r="AS487" i="1"/>
  <c r="AP487" i="1"/>
  <c r="AM487" i="1"/>
  <c r="W487" i="1"/>
  <c r="U487" i="1"/>
  <c r="S487" i="1"/>
  <c r="AS486" i="1"/>
  <c r="AP486" i="1"/>
  <c r="AM486" i="1"/>
  <c r="W486" i="1"/>
  <c r="U486" i="1"/>
  <c r="S486" i="1"/>
  <c r="AS485" i="1"/>
  <c r="AP485" i="1"/>
  <c r="AM485" i="1"/>
  <c r="W485" i="1"/>
  <c r="U485" i="1"/>
  <c r="S485" i="1"/>
  <c r="AS484" i="1"/>
  <c r="AP484" i="1"/>
  <c r="AM484" i="1"/>
  <c r="W484" i="1"/>
  <c r="U484" i="1"/>
  <c r="S484" i="1"/>
  <c r="AS483" i="1"/>
  <c r="AP483" i="1"/>
  <c r="AM483" i="1"/>
  <c r="W483" i="1"/>
  <c r="U483" i="1"/>
  <c r="S483" i="1"/>
  <c r="AS482" i="1"/>
  <c r="AP482" i="1"/>
  <c r="AM482" i="1"/>
  <c r="W482" i="1"/>
  <c r="U482" i="1"/>
  <c r="S482" i="1"/>
  <c r="AS481" i="1"/>
  <c r="AP481" i="1"/>
  <c r="AM481" i="1"/>
  <c r="W481" i="1"/>
  <c r="U481" i="1"/>
  <c r="S481" i="1"/>
  <c r="AS480" i="1"/>
  <c r="AP480" i="1"/>
  <c r="AM480" i="1"/>
  <c r="W480" i="1"/>
  <c r="U480" i="1"/>
  <c r="S480" i="1"/>
  <c r="AS479" i="1"/>
  <c r="AP479" i="1"/>
  <c r="AM479" i="1"/>
  <c r="W479" i="1"/>
  <c r="U479" i="1"/>
  <c r="S479" i="1"/>
  <c r="AS478" i="1"/>
  <c r="AP478" i="1"/>
  <c r="AM478" i="1"/>
  <c r="W478" i="1"/>
  <c r="U478" i="1"/>
  <c r="S478" i="1"/>
  <c r="AS477" i="1"/>
  <c r="AP477" i="1"/>
  <c r="AM477" i="1"/>
  <c r="W477" i="1"/>
  <c r="U477" i="1"/>
  <c r="S477" i="1"/>
  <c r="AS476" i="1"/>
  <c r="AP476" i="1"/>
  <c r="AM476" i="1"/>
  <c r="W476" i="1"/>
  <c r="U476" i="1"/>
  <c r="S476" i="1"/>
  <c r="AS475" i="1"/>
  <c r="AP475" i="1"/>
  <c r="AM475" i="1"/>
  <c r="W475" i="1"/>
  <c r="U475" i="1"/>
  <c r="S475" i="1"/>
  <c r="AS474" i="1"/>
  <c r="AP474" i="1"/>
  <c r="AM474" i="1"/>
  <c r="W474" i="1"/>
  <c r="U474" i="1"/>
  <c r="S474" i="1"/>
  <c r="AS473" i="1"/>
  <c r="AP473" i="1"/>
  <c r="AM473" i="1"/>
  <c r="W473" i="1"/>
  <c r="U473" i="1"/>
  <c r="S473" i="1"/>
  <c r="AS472" i="1"/>
  <c r="AP472" i="1"/>
  <c r="AM472" i="1"/>
  <c r="W472" i="1"/>
  <c r="U472" i="1"/>
  <c r="S472" i="1"/>
  <c r="AS471" i="1"/>
  <c r="AP471" i="1"/>
  <c r="AM471" i="1"/>
  <c r="W471" i="1"/>
  <c r="U471" i="1"/>
  <c r="S471" i="1"/>
  <c r="AS470" i="1"/>
  <c r="AP470" i="1"/>
  <c r="AM470" i="1"/>
  <c r="W470" i="1"/>
  <c r="U470" i="1"/>
  <c r="S470" i="1"/>
  <c r="AS469" i="1"/>
  <c r="AP469" i="1"/>
  <c r="AM469" i="1"/>
  <c r="W469" i="1"/>
  <c r="U469" i="1"/>
  <c r="S469" i="1"/>
  <c r="AS468" i="1"/>
  <c r="AP468" i="1"/>
  <c r="AM468" i="1"/>
  <c r="W468" i="1"/>
  <c r="U468" i="1"/>
  <c r="S468" i="1"/>
  <c r="AS467" i="1"/>
  <c r="AP467" i="1"/>
  <c r="AM467" i="1"/>
  <c r="W467" i="1"/>
  <c r="U467" i="1"/>
  <c r="S467" i="1"/>
  <c r="AS466" i="1"/>
  <c r="AP466" i="1"/>
  <c r="AM466" i="1"/>
  <c r="W466" i="1"/>
  <c r="U466" i="1"/>
  <c r="S466" i="1"/>
  <c r="AS465" i="1"/>
  <c r="AP465" i="1"/>
  <c r="AM465" i="1"/>
  <c r="W465" i="1"/>
  <c r="U465" i="1"/>
  <c r="S465" i="1"/>
  <c r="AS464" i="1"/>
  <c r="AP464" i="1"/>
  <c r="AM464" i="1"/>
  <c r="W464" i="1"/>
  <c r="U464" i="1"/>
  <c r="S464" i="1"/>
  <c r="AS463" i="1"/>
  <c r="AP463" i="1"/>
  <c r="AM463" i="1"/>
  <c r="W463" i="1"/>
  <c r="U463" i="1"/>
  <c r="S463" i="1"/>
  <c r="AS462" i="1"/>
  <c r="AP462" i="1"/>
  <c r="AM462" i="1"/>
  <c r="W462" i="1"/>
  <c r="U462" i="1"/>
  <c r="S462" i="1"/>
  <c r="AS461" i="1"/>
  <c r="AP461" i="1"/>
  <c r="AM461" i="1"/>
  <c r="W461" i="1"/>
  <c r="U461" i="1"/>
  <c r="S461" i="1"/>
  <c r="AS460" i="1"/>
  <c r="AP460" i="1"/>
  <c r="AM460" i="1"/>
  <c r="W460" i="1"/>
  <c r="U460" i="1"/>
  <c r="S460" i="1"/>
  <c r="AS459" i="1"/>
  <c r="AP459" i="1"/>
  <c r="AM459" i="1"/>
  <c r="W459" i="1"/>
  <c r="U459" i="1"/>
  <c r="S459" i="1"/>
  <c r="AS458" i="1"/>
  <c r="AP458" i="1"/>
  <c r="AM458" i="1"/>
  <c r="W458" i="1"/>
  <c r="U458" i="1"/>
  <c r="S458" i="1"/>
  <c r="AS457" i="1"/>
  <c r="AP457" i="1"/>
  <c r="AM457" i="1"/>
  <c r="W457" i="1"/>
  <c r="U457" i="1"/>
  <c r="S457" i="1"/>
  <c r="AS456" i="1"/>
  <c r="AP456" i="1"/>
  <c r="AM456" i="1"/>
  <c r="W456" i="1"/>
  <c r="U456" i="1"/>
  <c r="S456" i="1"/>
  <c r="AS455" i="1"/>
  <c r="AP455" i="1"/>
  <c r="AM455" i="1"/>
  <c r="W455" i="1"/>
  <c r="U455" i="1"/>
  <c r="S455" i="1"/>
  <c r="AS454" i="1"/>
  <c r="AP454" i="1"/>
  <c r="AM454" i="1"/>
  <c r="W454" i="1"/>
  <c r="U454" i="1"/>
  <c r="S454" i="1"/>
  <c r="AS448" i="1"/>
  <c r="AP448" i="1"/>
  <c r="AM448" i="1"/>
  <c r="W448" i="1"/>
  <c r="U448" i="1"/>
  <c r="S448" i="1"/>
  <c r="AS447" i="1"/>
  <c r="AP447" i="1"/>
  <c r="AM447" i="1"/>
  <c r="W447" i="1"/>
  <c r="U447" i="1"/>
  <c r="S447" i="1"/>
  <c r="AS446" i="1"/>
  <c r="AP446" i="1"/>
  <c r="AM446" i="1"/>
  <c r="W446" i="1"/>
  <c r="U446" i="1"/>
  <c r="S446" i="1"/>
  <c r="AS445" i="1"/>
  <c r="AP445" i="1"/>
  <c r="AM445" i="1"/>
  <c r="W445" i="1"/>
  <c r="U445" i="1"/>
  <c r="S445" i="1"/>
  <c r="AS444" i="1"/>
  <c r="AP444" i="1"/>
  <c r="AM444" i="1"/>
  <c r="W444" i="1"/>
  <c r="U444" i="1"/>
  <c r="S444" i="1"/>
  <c r="AS443" i="1"/>
  <c r="AP443" i="1"/>
  <c r="AM443" i="1"/>
  <c r="W443" i="1"/>
  <c r="U443" i="1"/>
  <c r="S443" i="1"/>
  <c r="AS442" i="1"/>
  <c r="AP442" i="1"/>
  <c r="AM442" i="1"/>
  <c r="W442" i="1"/>
  <c r="U442" i="1"/>
  <c r="S442" i="1"/>
  <c r="AS441" i="1"/>
  <c r="AP441" i="1"/>
  <c r="AM441" i="1"/>
  <c r="W441" i="1"/>
  <c r="U441" i="1"/>
  <c r="S441" i="1"/>
  <c r="AS440" i="1"/>
  <c r="AP440" i="1"/>
  <c r="AM440" i="1"/>
  <c r="W440" i="1"/>
  <c r="U440" i="1"/>
  <c r="S440" i="1"/>
  <c r="AS439" i="1"/>
  <c r="AP439" i="1"/>
  <c r="AM439" i="1"/>
  <c r="W439" i="1"/>
  <c r="U439" i="1"/>
  <c r="S439" i="1"/>
  <c r="AS438" i="1"/>
  <c r="AP438" i="1"/>
  <c r="AM438" i="1"/>
  <c r="W438" i="1"/>
  <c r="U438" i="1"/>
  <c r="S438" i="1"/>
  <c r="AS437" i="1"/>
  <c r="AP437" i="1"/>
  <c r="AM437" i="1"/>
  <c r="W437" i="1"/>
  <c r="U437" i="1"/>
  <c r="S437" i="1"/>
  <c r="AS436" i="1"/>
  <c r="AP436" i="1"/>
  <c r="AM436" i="1"/>
  <c r="W436" i="1"/>
  <c r="U436" i="1"/>
  <c r="S436" i="1"/>
  <c r="AS435" i="1"/>
  <c r="AP435" i="1"/>
  <c r="AM435" i="1"/>
  <c r="W435" i="1"/>
  <c r="U435" i="1"/>
  <c r="S435" i="1"/>
  <c r="AS434" i="1"/>
  <c r="AP434" i="1"/>
  <c r="AM434" i="1"/>
  <c r="W434" i="1"/>
  <c r="U434" i="1"/>
  <c r="S434" i="1"/>
  <c r="AS433" i="1"/>
  <c r="AP433" i="1"/>
  <c r="AM433" i="1"/>
  <c r="W433" i="1"/>
  <c r="U433" i="1"/>
  <c r="S433" i="1"/>
  <c r="AS432" i="1"/>
  <c r="AP432" i="1"/>
  <c r="AM432" i="1"/>
  <c r="W432" i="1"/>
  <c r="U432" i="1"/>
  <c r="S432" i="1"/>
  <c r="AS431" i="1"/>
  <c r="AP431" i="1"/>
  <c r="AM431" i="1"/>
  <c r="W431" i="1"/>
  <c r="U431" i="1"/>
  <c r="S431" i="1"/>
  <c r="AS430" i="1"/>
  <c r="AP430" i="1"/>
  <c r="AM430" i="1"/>
  <c r="W430" i="1"/>
  <c r="U430" i="1"/>
  <c r="S430" i="1"/>
  <c r="AS429" i="1"/>
  <c r="AP429" i="1"/>
  <c r="AM429" i="1"/>
  <c r="W429" i="1"/>
  <c r="U429" i="1"/>
  <c r="S429" i="1"/>
  <c r="AS428" i="1"/>
  <c r="AP428" i="1"/>
  <c r="AM428" i="1"/>
  <c r="W428" i="1"/>
  <c r="U428" i="1"/>
  <c r="S428" i="1"/>
  <c r="AS427" i="1"/>
  <c r="AP427" i="1"/>
  <c r="AM427" i="1"/>
  <c r="W427" i="1"/>
  <c r="U427" i="1"/>
  <c r="S427" i="1"/>
  <c r="AS426" i="1"/>
  <c r="AP426" i="1"/>
  <c r="AM426" i="1"/>
  <c r="W426" i="1"/>
  <c r="U426" i="1"/>
  <c r="S426" i="1"/>
  <c r="AS425" i="1"/>
  <c r="AP425" i="1"/>
  <c r="AM425" i="1"/>
  <c r="W425" i="1"/>
  <c r="U425" i="1"/>
  <c r="S425" i="1"/>
  <c r="AS424" i="1"/>
  <c r="AP424" i="1"/>
  <c r="AM424" i="1"/>
  <c r="W424" i="1"/>
  <c r="U424" i="1"/>
  <c r="S424" i="1"/>
  <c r="AS423" i="1"/>
  <c r="AP423" i="1"/>
  <c r="AM423" i="1"/>
  <c r="W423" i="1"/>
  <c r="U423" i="1"/>
  <c r="S423" i="1"/>
  <c r="AS422" i="1"/>
  <c r="AP422" i="1"/>
  <c r="AM422" i="1"/>
  <c r="W422" i="1"/>
  <c r="U422" i="1"/>
  <c r="S422" i="1"/>
  <c r="AS421" i="1"/>
  <c r="AP421" i="1"/>
  <c r="AM421" i="1"/>
  <c r="W421" i="1"/>
  <c r="U421" i="1"/>
  <c r="S421" i="1"/>
  <c r="AS420" i="1"/>
  <c r="AP420" i="1"/>
  <c r="AM420" i="1"/>
  <c r="W420" i="1"/>
  <c r="U420" i="1"/>
  <c r="S420" i="1"/>
  <c r="AS419" i="1"/>
  <c r="AP419" i="1"/>
  <c r="AM419" i="1"/>
  <c r="W419" i="1"/>
  <c r="U419" i="1"/>
  <c r="S419" i="1"/>
  <c r="AS418" i="1"/>
  <c r="AP418" i="1"/>
  <c r="AM418" i="1"/>
  <c r="W418" i="1"/>
  <c r="U418" i="1"/>
  <c r="S418" i="1"/>
  <c r="AS417" i="1"/>
  <c r="AP417" i="1"/>
  <c r="AM417" i="1"/>
  <c r="W417" i="1"/>
  <c r="U417" i="1"/>
  <c r="S417" i="1"/>
  <c r="AS416" i="1"/>
  <c r="AP416" i="1"/>
  <c r="AM416" i="1"/>
  <c r="W416" i="1"/>
  <c r="U416" i="1"/>
  <c r="S416" i="1"/>
  <c r="AS415" i="1"/>
  <c r="AP415" i="1"/>
  <c r="AM415" i="1"/>
  <c r="W415" i="1"/>
  <c r="U415" i="1"/>
  <c r="S415" i="1"/>
  <c r="AS414" i="1"/>
  <c r="AP414" i="1"/>
  <c r="AM414" i="1"/>
  <c r="W414" i="1"/>
  <c r="U414" i="1"/>
  <c r="S414" i="1"/>
  <c r="AS413" i="1"/>
  <c r="AP413" i="1"/>
  <c r="AM413" i="1"/>
  <c r="W413" i="1"/>
  <c r="U413" i="1"/>
  <c r="S413" i="1"/>
  <c r="AS412" i="1"/>
  <c r="AP412" i="1"/>
  <c r="AM412" i="1"/>
  <c r="W412" i="1"/>
  <c r="U412" i="1"/>
  <c r="S412" i="1"/>
  <c r="AS411" i="1"/>
  <c r="AP411" i="1"/>
  <c r="AM411" i="1"/>
  <c r="W411" i="1"/>
  <c r="U411" i="1"/>
  <c r="S411" i="1"/>
  <c r="AS410" i="1"/>
  <c r="AP410" i="1"/>
  <c r="AM410" i="1"/>
  <c r="W410" i="1"/>
  <c r="U410" i="1"/>
  <c r="S410" i="1"/>
  <c r="AS409" i="1"/>
  <c r="AP409" i="1"/>
  <c r="AM409" i="1"/>
  <c r="W409" i="1"/>
  <c r="U409" i="1"/>
  <c r="S409" i="1"/>
  <c r="AS408" i="1"/>
  <c r="AP408" i="1"/>
  <c r="AM408" i="1"/>
  <c r="W408" i="1"/>
  <c r="U408" i="1"/>
  <c r="S408" i="1"/>
  <c r="AS407" i="1"/>
  <c r="AP407" i="1"/>
  <c r="AM407" i="1"/>
  <c r="W407" i="1"/>
  <c r="U407" i="1"/>
  <c r="S407" i="1"/>
  <c r="AS406" i="1"/>
  <c r="AP406" i="1"/>
  <c r="AM406" i="1"/>
  <c r="W406" i="1"/>
  <c r="U406" i="1"/>
  <c r="S406" i="1"/>
  <c r="AS405" i="1"/>
  <c r="AP405" i="1"/>
  <c r="AM405" i="1"/>
  <c r="W405" i="1"/>
  <c r="U405" i="1"/>
  <c r="S405" i="1"/>
  <c r="AS404" i="1"/>
  <c r="AP404" i="1"/>
  <c r="AM404" i="1"/>
  <c r="W404" i="1"/>
  <c r="U404" i="1"/>
  <c r="S404" i="1"/>
  <c r="AS403" i="1"/>
  <c r="AP403" i="1"/>
  <c r="AM403" i="1"/>
  <c r="W403" i="1"/>
  <c r="U403" i="1"/>
  <c r="S403" i="1"/>
  <c r="AS402" i="1"/>
  <c r="AP402" i="1"/>
  <c r="AM402" i="1"/>
  <c r="W402" i="1"/>
  <c r="U402" i="1"/>
  <c r="S402" i="1"/>
  <c r="AS401" i="1"/>
  <c r="AP401" i="1"/>
  <c r="AM401" i="1"/>
  <c r="W401" i="1"/>
  <c r="U401" i="1"/>
  <c r="S401" i="1"/>
  <c r="AS400" i="1"/>
  <c r="AP400" i="1"/>
  <c r="AM400" i="1"/>
  <c r="W400" i="1"/>
  <c r="U400" i="1"/>
  <c r="S400" i="1"/>
  <c r="AS399" i="1"/>
  <c r="AP399" i="1"/>
  <c r="AM399" i="1"/>
  <c r="W399" i="1"/>
  <c r="U399" i="1"/>
  <c r="S399" i="1"/>
  <c r="AS398" i="1"/>
  <c r="AP398" i="1"/>
  <c r="AM398" i="1"/>
  <c r="W398" i="1"/>
  <c r="U398" i="1"/>
  <c r="S398" i="1"/>
  <c r="AS397" i="1"/>
  <c r="AP397" i="1"/>
  <c r="AM397" i="1"/>
  <c r="W397" i="1"/>
  <c r="U397" i="1"/>
  <c r="S397" i="1"/>
  <c r="AS396" i="1"/>
  <c r="AP396" i="1"/>
  <c r="AM396" i="1"/>
  <c r="W396" i="1"/>
  <c r="U396" i="1"/>
  <c r="S396" i="1"/>
  <c r="AS395" i="1"/>
  <c r="AP395" i="1"/>
  <c r="AM395" i="1"/>
  <c r="W395" i="1"/>
  <c r="U395" i="1"/>
  <c r="S395" i="1"/>
  <c r="AS394" i="1"/>
  <c r="AP394" i="1"/>
  <c r="AM394" i="1"/>
  <c r="W394" i="1"/>
  <c r="U394" i="1"/>
  <c r="S394" i="1"/>
  <c r="AS393" i="1"/>
  <c r="AP393" i="1"/>
  <c r="AM393" i="1"/>
  <c r="W393" i="1"/>
  <c r="U393" i="1"/>
  <c r="S393" i="1"/>
  <c r="AS392" i="1"/>
  <c r="AP392" i="1"/>
  <c r="AM392" i="1"/>
  <c r="W392" i="1"/>
  <c r="U392" i="1"/>
  <c r="S392" i="1"/>
  <c r="AS391" i="1"/>
  <c r="AP391" i="1"/>
  <c r="AM391" i="1"/>
  <c r="W391" i="1"/>
  <c r="U391" i="1"/>
  <c r="S391" i="1"/>
  <c r="AS390" i="1"/>
  <c r="AP390" i="1"/>
  <c r="AM390" i="1"/>
  <c r="W390" i="1"/>
  <c r="U390" i="1"/>
  <c r="S390" i="1"/>
  <c r="AS389" i="1"/>
  <c r="AP389" i="1"/>
  <c r="AM389" i="1"/>
  <c r="W389" i="1"/>
  <c r="U389" i="1"/>
  <c r="S389" i="1"/>
  <c r="AS388" i="1"/>
  <c r="AP388" i="1"/>
  <c r="AM388" i="1"/>
  <c r="W388" i="1"/>
  <c r="U388" i="1"/>
  <c r="S388" i="1"/>
  <c r="AS387" i="1"/>
  <c r="AP387" i="1"/>
  <c r="AM387" i="1"/>
  <c r="W387" i="1"/>
  <c r="U387" i="1"/>
  <c r="S387" i="1"/>
  <c r="AS386" i="1"/>
  <c r="AP386" i="1"/>
  <c r="AM386" i="1"/>
  <c r="W386" i="1"/>
  <c r="U386" i="1"/>
  <c r="S386" i="1"/>
  <c r="AS385" i="1"/>
  <c r="AP385" i="1"/>
  <c r="AM385" i="1"/>
  <c r="W385" i="1"/>
  <c r="U385" i="1"/>
  <c r="S385" i="1"/>
  <c r="AS384" i="1"/>
  <c r="AP384" i="1"/>
  <c r="AM384" i="1"/>
  <c r="W384" i="1"/>
  <c r="U384" i="1"/>
  <c r="S384" i="1"/>
  <c r="AS383" i="1"/>
  <c r="AP383" i="1"/>
  <c r="AM383" i="1"/>
  <c r="W383" i="1"/>
  <c r="U383" i="1"/>
  <c r="S383" i="1"/>
  <c r="AS382" i="1"/>
  <c r="AP382" i="1"/>
  <c r="AM382" i="1"/>
  <c r="W382" i="1"/>
  <c r="U382" i="1"/>
  <c r="S382" i="1"/>
  <c r="AS381" i="1"/>
  <c r="AP381" i="1"/>
  <c r="AM381" i="1"/>
  <c r="W381" i="1"/>
  <c r="U381" i="1"/>
  <c r="S381" i="1"/>
  <c r="AS380" i="1"/>
  <c r="AP380" i="1"/>
  <c r="AM380" i="1"/>
  <c r="W380" i="1"/>
  <c r="U380" i="1"/>
  <c r="S380" i="1"/>
  <c r="AS379" i="1"/>
  <c r="AP379" i="1"/>
  <c r="AM379" i="1"/>
  <c r="W379" i="1"/>
  <c r="U379" i="1"/>
  <c r="S379" i="1"/>
  <c r="AS378" i="1"/>
  <c r="AP378" i="1"/>
  <c r="AM378" i="1"/>
  <c r="W378" i="1"/>
  <c r="U378" i="1"/>
  <c r="S378" i="1"/>
  <c r="AS377" i="1"/>
  <c r="AP377" i="1"/>
  <c r="AM377" i="1"/>
  <c r="W377" i="1"/>
  <c r="U377" i="1"/>
  <c r="S377" i="1"/>
  <c r="AS376" i="1"/>
  <c r="AP376" i="1"/>
  <c r="AM376" i="1"/>
  <c r="W376" i="1"/>
  <c r="U376" i="1"/>
  <c r="S376" i="1"/>
  <c r="AS375" i="1"/>
  <c r="AP375" i="1"/>
  <c r="AM375" i="1"/>
  <c r="W375" i="1"/>
  <c r="U375" i="1"/>
  <c r="S375" i="1"/>
  <c r="AS374" i="1"/>
  <c r="AP374" i="1"/>
  <c r="AM374" i="1"/>
  <c r="W374" i="1"/>
  <c r="U374" i="1"/>
  <c r="S374" i="1"/>
  <c r="AS373" i="1"/>
  <c r="AP373" i="1"/>
  <c r="AM373" i="1"/>
  <c r="W373" i="1"/>
  <c r="U373" i="1"/>
  <c r="S373" i="1"/>
  <c r="AS372" i="1"/>
  <c r="AP372" i="1"/>
  <c r="AM372" i="1"/>
  <c r="W372" i="1"/>
  <c r="U372" i="1"/>
  <c r="S372" i="1"/>
  <c r="AS371" i="1"/>
  <c r="AP371" i="1"/>
  <c r="AM371" i="1"/>
  <c r="W371" i="1"/>
  <c r="U371" i="1"/>
  <c r="S371" i="1"/>
  <c r="AS370" i="1"/>
  <c r="AP370" i="1"/>
  <c r="AM370" i="1"/>
  <c r="W370" i="1"/>
  <c r="U370" i="1"/>
  <c r="S370" i="1"/>
  <c r="AS369" i="1"/>
  <c r="AP369" i="1"/>
  <c r="AM369" i="1"/>
  <c r="W369" i="1"/>
  <c r="U369" i="1"/>
  <c r="S369" i="1"/>
  <c r="AS368" i="1"/>
  <c r="AP368" i="1"/>
  <c r="AM368" i="1"/>
  <c r="W368" i="1"/>
  <c r="U368" i="1"/>
  <c r="S368" i="1"/>
  <c r="AS363" i="1"/>
  <c r="AP363" i="1"/>
  <c r="AM363" i="1"/>
  <c r="W363" i="1"/>
  <c r="U363" i="1"/>
  <c r="S363" i="1"/>
  <c r="AS361" i="1"/>
  <c r="AP361" i="1"/>
  <c r="AM361" i="1"/>
  <c r="W361" i="1"/>
  <c r="U361" i="1"/>
  <c r="S361" i="1"/>
  <c r="AS360" i="1"/>
  <c r="AP360" i="1"/>
  <c r="AM360" i="1"/>
  <c r="W360" i="1"/>
  <c r="U360" i="1"/>
  <c r="S360" i="1"/>
  <c r="AS359" i="1"/>
  <c r="AP359" i="1"/>
  <c r="AM359" i="1"/>
  <c r="W359" i="1"/>
  <c r="U359" i="1"/>
  <c r="S359" i="1"/>
  <c r="AS358" i="1"/>
  <c r="AP358" i="1"/>
  <c r="AM358" i="1"/>
  <c r="W358" i="1"/>
  <c r="U358" i="1"/>
  <c r="S358" i="1"/>
  <c r="AS356" i="1"/>
  <c r="AP356" i="1"/>
  <c r="AM356" i="1"/>
  <c r="W356" i="1"/>
  <c r="U356" i="1"/>
  <c r="S356" i="1"/>
  <c r="AS355" i="1"/>
  <c r="AP355" i="1"/>
  <c r="AM355" i="1"/>
  <c r="W355" i="1"/>
  <c r="U355" i="1"/>
  <c r="S355" i="1"/>
  <c r="AS353" i="1"/>
  <c r="AP353" i="1"/>
  <c r="AM353" i="1"/>
  <c r="W353" i="1"/>
  <c r="U353" i="1"/>
  <c r="S353" i="1"/>
  <c r="AS352" i="1"/>
  <c r="AP352" i="1"/>
  <c r="AM352" i="1"/>
  <c r="W352" i="1"/>
  <c r="U352" i="1"/>
  <c r="S352" i="1"/>
  <c r="AS351" i="1"/>
  <c r="AP351" i="1"/>
  <c r="AM351" i="1"/>
  <c r="W351" i="1"/>
  <c r="U351" i="1"/>
  <c r="S351" i="1"/>
  <c r="AS350" i="1"/>
  <c r="AP350" i="1"/>
  <c r="AM350" i="1"/>
  <c r="W350" i="1"/>
  <c r="U350" i="1"/>
  <c r="S350" i="1"/>
  <c r="AS349" i="1"/>
  <c r="AP349" i="1"/>
  <c r="AM349" i="1"/>
  <c r="W349" i="1"/>
  <c r="U349" i="1"/>
  <c r="S349" i="1"/>
  <c r="AS348" i="1"/>
  <c r="AP348" i="1"/>
  <c r="AM348" i="1"/>
  <c r="W348" i="1"/>
  <c r="U348" i="1"/>
  <c r="S348" i="1"/>
  <c r="AS347" i="1"/>
  <c r="AP347" i="1"/>
  <c r="AM347" i="1"/>
  <c r="W347" i="1"/>
  <c r="U347" i="1"/>
  <c r="S347" i="1"/>
  <c r="AS346" i="1"/>
  <c r="AP346" i="1"/>
  <c r="AM346" i="1"/>
  <c r="W346" i="1"/>
  <c r="U346" i="1"/>
  <c r="S346" i="1"/>
  <c r="AS345" i="1"/>
  <c r="AP345" i="1"/>
  <c r="AM345" i="1"/>
  <c r="W345" i="1"/>
  <c r="U345" i="1"/>
  <c r="S345" i="1"/>
  <c r="AS344" i="1"/>
  <c r="AP344" i="1"/>
  <c r="AM344" i="1"/>
  <c r="W344" i="1"/>
  <c r="U344" i="1"/>
  <c r="S344" i="1"/>
  <c r="AS343" i="1"/>
  <c r="AP343" i="1"/>
  <c r="AM343" i="1"/>
  <c r="W343" i="1"/>
  <c r="U343" i="1"/>
  <c r="S343" i="1"/>
  <c r="AS342" i="1"/>
  <c r="AP342" i="1"/>
  <c r="AM342" i="1"/>
  <c r="W342" i="1"/>
  <c r="U342" i="1"/>
  <c r="S342" i="1"/>
  <c r="AS341" i="1"/>
  <c r="AP341" i="1"/>
  <c r="AM341" i="1"/>
  <c r="W341" i="1"/>
  <c r="U341" i="1"/>
  <c r="S341" i="1"/>
  <c r="AS340" i="1"/>
  <c r="AP340" i="1"/>
  <c r="AM340" i="1"/>
  <c r="W340" i="1"/>
  <c r="U340" i="1"/>
  <c r="S340" i="1"/>
  <c r="AS339" i="1"/>
  <c r="AP339" i="1"/>
  <c r="AM339" i="1"/>
  <c r="W339" i="1"/>
  <c r="U339" i="1"/>
  <c r="S339" i="1"/>
  <c r="AS338" i="1"/>
  <c r="AP338" i="1"/>
  <c r="AM338" i="1"/>
  <c r="W338" i="1"/>
  <c r="U338" i="1"/>
  <c r="S338" i="1"/>
  <c r="AS337" i="1"/>
  <c r="AP337" i="1"/>
  <c r="AM337" i="1"/>
  <c r="W337" i="1"/>
  <c r="U337" i="1"/>
  <c r="S337" i="1"/>
  <c r="AS336" i="1"/>
  <c r="AP336" i="1"/>
  <c r="AM336" i="1"/>
  <c r="W336" i="1"/>
  <c r="U336" i="1"/>
  <c r="S336" i="1"/>
  <c r="AS335" i="1"/>
  <c r="AP335" i="1"/>
  <c r="AM335" i="1"/>
  <c r="W335" i="1"/>
  <c r="U335" i="1"/>
  <c r="S335" i="1"/>
  <c r="AS334" i="1"/>
  <c r="AP334" i="1"/>
  <c r="AM334" i="1"/>
  <c r="W334" i="1"/>
  <c r="U334" i="1"/>
  <c r="S334" i="1"/>
  <c r="AS333" i="1"/>
  <c r="AP333" i="1"/>
  <c r="AM333" i="1"/>
  <c r="W333" i="1"/>
  <c r="U333" i="1"/>
  <c r="S333" i="1"/>
  <c r="AS332" i="1"/>
  <c r="AP332" i="1"/>
  <c r="AM332" i="1"/>
  <c r="W332" i="1"/>
  <c r="U332" i="1"/>
  <c r="S332" i="1"/>
  <c r="AS331" i="1"/>
  <c r="AP331" i="1"/>
  <c r="AM331" i="1"/>
  <c r="W331" i="1"/>
  <c r="U331" i="1"/>
  <c r="S331" i="1"/>
  <c r="AS330" i="1"/>
  <c r="AP330" i="1"/>
  <c r="AM330" i="1"/>
  <c r="W330" i="1"/>
  <c r="U330" i="1"/>
  <c r="S330" i="1"/>
  <c r="AS329" i="1"/>
  <c r="AP329" i="1"/>
  <c r="AM329" i="1"/>
  <c r="W329" i="1"/>
  <c r="U329" i="1"/>
  <c r="S329" i="1"/>
  <c r="AS328" i="1"/>
  <c r="AP328" i="1"/>
  <c r="AM328" i="1"/>
  <c r="W328" i="1"/>
  <c r="U328" i="1"/>
  <c r="S328" i="1"/>
  <c r="AS327" i="1"/>
  <c r="AP327" i="1"/>
  <c r="AM327" i="1"/>
  <c r="W327" i="1"/>
  <c r="U327" i="1"/>
  <c r="S327" i="1"/>
  <c r="AS326" i="1"/>
  <c r="AP326" i="1"/>
  <c r="AM326" i="1"/>
  <c r="W326" i="1"/>
  <c r="U326" i="1"/>
  <c r="S326" i="1"/>
  <c r="AS325" i="1"/>
  <c r="AP325" i="1"/>
  <c r="AM325" i="1"/>
  <c r="W325" i="1"/>
  <c r="U325" i="1"/>
  <c r="S325" i="1"/>
  <c r="AS324" i="1"/>
  <c r="AP324" i="1"/>
  <c r="AM324" i="1"/>
  <c r="W324" i="1"/>
  <c r="U324" i="1"/>
  <c r="S324" i="1"/>
  <c r="AS323" i="1"/>
  <c r="AP323" i="1"/>
  <c r="AM323" i="1"/>
  <c r="W323" i="1"/>
  <c r="U323" i="1"/>
  <c r="S323" i="1"/>
  <c r="AS322" i="1"/>
  <c r="AP322" i="1"/>
  <c r="AM322" i="1"/>
  <c r="W322" i="1"/>
  <c r="U322" i="1"/>
  <c r="S322" i="1"/>
  <c r="AS321" i="1"/>
  <c r="AP321" i="1"/>
  <c r="AM321" i="1"/>
  <c r="W321" i="1"/>
  <c r="U321" i="1"/>
  <c r="S321" i="1"/>
  <c r="AS320" i="1"/>
  <c r="AP320" i="1"/>
  <c r="AM320" i="1"/>
  <c r="W320" i="1"/>
  <c r="U320" i="1"/>
  <c r="S320" i="1"/>
  <c r="AS319" i="1"/>
  <c r="AP319" i="1"/>
  <c r="AM319" i="1"/>
  <c r="W319" i="1"/>
  <c r="U319" i="1"/>
  <c r="S319" i="1"/>
  <c r="AS318" i="1"/>
  <c r="AP318" i="1"/>
  <c r="AM318" i="1"/>
  <c r="W318" i="1"/>
  <c r="U318" i="1"/>
  <c r="S318" i="1"/>
  <c r="AS317" i="1"/>
  <c r="AP317" i="1"/>
  <c r="AM317" i="1"/>
  <c r="W317" i="1"/>
  <c r="U317" i="1"/>
  <c r="S317" i="1"/>
  <c r="AS316" i="1"/>
  <c r="AP316" i="1"/>
  <c r="AM316" i="1"/>
  <c r="W316" i="1"/>
  <c r="U316" i="1"/>
  <c r="S316" i="1"/>
  <c r="AS315" i="1"/>
  <c r="AP315" i="1"/>
  <c r="AM315" i="1"/>
  <c r="W315" i="1"/>
  <c r="U315" i="1"/>
  <c r="S315" i="1"/>
  <c r="AS314" i="1"/>
  <c r="AP314" i="1"/>
  <c r="AM314" i="1"/>
  <c r="W314" i="1"/>
  <c r="U314" i="1"/>
  <c r="S314" i="1"/>
  <c r="AS313" i="1"/>
  <c r="AP313" i="1"/>
  <c r="AM313" i="1"/>
  <c r="W313" i="1"/>
  <c r="U313" i="1"/>
  <c r="S313" i="1"/>
  <c r="AS312" i="1"/>
  <c r="AP312" i="1"/>
  <c r="AM312" i="1"/>
  <c r="W312" i="1"/>
  <c r="U312" i="1"/>
  <c r="S312" i="1"/>
  <c r="AS311" i="1"/>
  <c r="AP311" i="1"/>
  <c r="AM311" i="1"/>
  <c r="W311" i="1"/>
  <c r="U311" i="1"/>
  <c r="S311" i="1"/>
  <c r="AS310" i="1"/>
  <c r="AP310" i="1"/>
  <c r="AM310" i="1"/>
  <c r="W310" i="1"/>
  <c r="U310" i="1"/>
  <c r="S310" i="1"/>
  <c r="AS309" i="1"/>
  <c r="AP309" i="1"/>
  <c r="AM309" i="1"/>
  <c r="W309" i="1"/>
  <c r="U309" i="1"/>
  <c r="S309" i="1"/>
  <c r="AS308" i="1"/>
  <c r="AP308" i="1"/>
  <c r="AM308" i="1"/>
  <c r="W308" i="1"/>
  <c r="U308" i="1"/>
  <c r="S308" i="1"/>
  <c r="AS307" i="1"/>
  <c r="AP307" i="1"/>
  <c r="AM307" i="1"/>
  <c r="W307" i="1"/>
  <c r="U307" i="1"/>
  <c r="S307" i="1"/>
  <c r="AS306" i="1"/>
  <c r="AP306" i="1"/>
  <c r="AM306" i="1"/>
  <c r="W306" i="1"/>
  <c r="U306" i="1"/>
  <c r="S306" i="1"/>
  <c r="AS305" i="1"/>
  <c r="AP305" i="1"/>
  <c r="AM305" i="1"/>
  <c r="W305" i="1"/>
  <c r="U305" i="1"/>
  <c r="S305" i="1"/>
  <c r="AS304" i="1"/>
  <c r="AP304" i="1"/>
  <c r="AM304" i="1"/>
  <c r="W304" i="1"/>
  <c r="U304" i="1"/>
  <c r="S304" i="1"/>
  <c r="AS303" i="1"/>
  <c r="AP303" i="1"/>
  <c r="AM303" i="1"/>
  <c r="W303" i="1"/>
  <c r="U303" i="1"/>
  <c r="S303" i="1"/>
  <c r="AS302" i="1"/>
  <c r="AP302" i="1"/>
  <c r="AM302" i="1"/>
  <c r="W302" i="1"/>
  <c r="U302" i="1"/>
  <c r="S302" i="1"/>
  <c r="AS301" i="1"/>
  <c r="AP301" i="1"/>
  <c r="AM301" i="1"/>
  <c r="W301" i="1"/>
  <c r="U301" i="1"/>
  <c r="S301" i="1"/>
  <c r="AS300" i="1"/>
  <c r="AP300" i="1"/>
  <c r="AM300" i="1"/>
  <c r="W300" i="1"/>
  <c r="U300" i="1"/>
  <c r="S300" i="1"/>
  <c r="AS299" i="1"/>
  <c r="AP299" i="1"/>
  <c r="AM299" i="1"/>
  <c r="W299" i="1"/>
  <c r="U299" i="1"/>
  <c r="S299" i="1"/>
  <c r="AS298" i="1"/>
  <c r="AP298" i="1"/>
  <c r="AM298" i="1"/>
  <c r="W298" i="1"/>
  <c r="U298" i="1"/>
  <c r="S298" i="1"/>
  <c r="AS297" i="1"/>
  <c r="AP297" i="1"/>
  <c r="AM297" i="1"/>
  <c r="W297" i="1"/>
  <c r="U297" i="1"/>
  <c r="S297" i="1"/>
  <c r="AS296" i="1"/>
  <c r="AP296" i="1"/>
  <c r="AM296" i="1"/>
  <c r="W296" i="1"/>
  <c r="U296" i="1"/>
  <c r="S296" i="1"/>
  <c r="AS295" i="1"/>
  <c r="AP295" i="1"/>
  <c r="AM295" i="1"/>
  <c r="W295" i="1"/>
  <c r="U295" i="1"/>
  <c r="S295" i="1"/>
  <c r="AS294" i="1"/>
  <c r="AP294" i="1"/>
  <c r="AM294" i="1"/>
  <c r="W294" i="1"/>
  <c r="U294" i="1"/>
  <c r="S294" i="1"/>
  <c r="AS293" i="1"/>
  <c r="AP293" i="1"/>
  <c r="AM293" i="1"/>
  <c r="W293" i="1"/>
  <c r="U293" i="1"/>
  <c r="S293" i="1"/>
  <c r="AS292" i="1"/>
  <c r="AP292" i="1"/>
  <c r="AM292" i="1"/>
  <c r="W292" i="1"/>
  <c r="U292" i="1"/>
  <c r="S292" i="1"/>
  <c r="AS291" i="1"/>
  <c r="AP291" i="1"/>
  <c r="AM291" i="1"/>
  <c r="W291" i="1"/>
  <c r="U291" i="1"/>
  <c r="S291" i="1"/>
  <c r="AS290" i="1"/>
  <c r="AP290" i="1"/>
  <c r="AM290" i="1"/>
  <c r="W290" i="1"/>
  <c r="U290" i="1"/>
  <c r="S290" i="1"/>
  <c r="AS289" i="1"/>
  <c r="AP289" i="1"/>
  <c r="AM289" i="1"/>
  <c r="W289" i="1"/>
  <c r="U289" i="1"/>
  <c r="S289" i="1"/>
  <c r="AS288" i="1"/>
  <c r="AP288" i="1"/>
  <c r="AM288" i="1"/>
  <c r="W288" i="1"/>
  <c r="U288" i="1"/>
  <c r="S288" i="1"/>
  <c r="AS287" i="1"/>
  <c r="AP287" i="1"/>
  <c r="AM287" i="1"/>
  <c r="W287" i="1"/>
  <c r="U287" i="1"/>
  <c r="S287" i="1"/>
  <c r="AS286" i="1"/>
  <c r="AP286" i="1"/>
  <c r="AM286" i="1"/>
  <c r="W286" i="1"/>
  <c r="U286" i="1"/>
  <c r="S286" i="1"/>
  <c r="AS285" i="1"/>
  <c r="AP285" i="1"/>
  <c r="AM285" i="1"/>
  <c r="W285" i="1"/>
  <c r="U285" i="1"/>
  <c r="S285" i="1"/>
  <c r="AS284" i="1"/>
  <c r="AP284" i="1"/>
  <c r="AM284" i="1"/>
  <c r="W284" i="1"/>
  <c r="U284" i="1"/>
  <c r="S284" i="1"/>
  <c r="AS281" i="1"/>
  <c r="AP281" i="1"/>
  <c r="AM281" i="1"/>
  <c r="W281" i="1"/>
  <c r="U281" i="1"/>
  <c r="S281" i="1"/>
  <c r="AS280" i="1"/>
  <c r="AP280" i="1"/>
  <c r="AM280" i="1"/>
  <c r="W280" i="1"/>
  <c r="U280" i="1"/>
  <c r="S280" i="1"/>
  <c r="AS279" i="1"/>
  <c r="AP279" i="1"/>
  <c r="AM279" i="1"/>
  <c r="W279" i="1"/>
  <c r="U279" i="1"/>
  <c r="S279" i="1"/>
  <c r="AS278" i="1"/>
  <c r="AP278" i="1"/>
  <c r="AM278" i="1"/>
  <c r="W278" i="1"/>
  <c r="U278" i="1"/>
  <c r="S278" i="1"/>
  <c r="AS277" i="1"/>
  <c r="AP277" i="1"/>
  <c r="AM277" i="1"/>
  <c r="W277" i="1"/>
  <c r="U277" i="1"/>
  <c r="S277" i="1"/>
  <c r="AS276" i="1"/>
  <c r="AP276" i="1"/>
  <c r="AM276" i="1"/>
  <c r="W276" i="1"/>
  <c r="U276" i="1"/>
  <c r="S276" i="1"/>
  <c r="AS275" i="1"/>
  <c r="AP275" i="1"/>
  <c r="AM275" i="1"/>
  <c r="W275" i="1"/>
  <c r="U275" i="1"/>
  <c r="S275" i="1"/>
  <c r="AS274" i="1"/>
  <c r="AP274" i="1"/>
  <c r="AM274" i="1"/>
  <c r="W274" i="1"/>
  <c r="U274" i="1"/>
  <c r="S274" i="1"/>
  <c r="AS273" i="1"/>
  <c r="AP273" i="1"/>
  <c r="AM273" i="1"/>
  <c r="W273" i="1"/>
  <c r="U273" i="1"/>
  <c r="S273" i="1"/>
  <c r="AS272" i="1"/>
  <c r="AP272" i="1"/>
  <c r="AM272" i="1"/>
  <c r="W272" i="1"/>
  <c r="U272" i="1"/>
  <c r="S272" i="1"/>
  <c r="AS271" i="1"/>
  <c r="AP271" i="1"/>
  <c r="AM271" i="1"/>
  <c r="W271" i="1"/>
  <c r="U271" i="1"/>
  <c r="S271" i="1"/>
  <c r="AS270" i="1"/>
  <c r="AP270" i="1"/>
  <c r="AM270" i="1"/>
  <c r="W270" i="1"/>
  <c r="U270" i="1"/>
  <c r="S270" i="1"/>
  <c r="AS269" i="1"/>
  <c r="AP269" i="1"/>
  <c r="AM269" i="1"/>
  <c r="W269" i="1"/>
  <c r="U269" i="1"/>
  <c r="S269" i="1"/>
  <c r="AS268" i="1"/>
  <c r="AP268" i="1"/>
  <c r="AM268" i="1"/>
  <c r="W268" i="1"/>
  <c r="U268" i="1"/>
  <c r="S268" i="1"/>
  <c r="AS267" i="1"/>
  <c r="AP267" i="1"/>
  <c r="AM267" i="1"/>
  <c r="W267" i="1"/>
  <c r="U267" i="1"/>
  <c r="S267" i="1"/>
  <c r="AS266" i="1"/>
  <c r="AP266" i="1"/>
  <c r="AM266" i="1"/>
  <c r="W266" i="1"/>
  <c r="U266" i="1"/>
  <c r="S266" i="1"/>
  <c r="AS265" i="1"/>
  <c r="AP265" i="1"/>
  <c r="AM265" i="1"/>
  <c r="W265" i="1"/>
  <c r="U265" i="1"/>
  <c r="S265" i="1"/>
  <c r="AS264" i="1"/>
  <c r="AP264" i="1"/>
  <c r="AM264" i="1"/>
  <c r="W264" i="1"/>
  <c r="U264" i="1"/>
  <c r="S264" i="1"/>
  <c r="AS263" i="1"/>
  <c r="AP263" i="1"/>
  <c r="AM263" i="1"/>
  <c r="W263" i="1"/>
  <c r="U263" i="1"/>
  <c r="S263" i="1"/>
  <c r="AS262" i="1"/>
  <c r="AP262" i="1"/>
  <c r="AM262" i="1"/>
  <c r="W262" i="1"/>
  <c r="U262" i="1"/>
  <c r="S262" i="1"/>
  <c r="AS261" i="1"/>
  <c r="AP261" i="1"/>
  <c r="AM261" i="1"/>
  <c r="W261" i="1"/>
  <c r="U261" i="1"/>
  <c r="S261" i="1"/>
  <c r="AS260" i="1"/>
  <c r="AP260" i="1"/>
  <c r="AM260" i="1"/>
  <c r="W260" i="1"/>
  <c r="U260" i="1"/>
  <c r="S260" i="1"/>
  <c r="AS259" i="1"/>
  <c r="AP259" i="1"/>
  <c r="AM259" i="1"/>
  <c r="W259" i="1"/>
  <c r="U259" i="1"/>
  <c r="S259" i="1"/>
  <c r="AS258" i="1"/>
  <c r="AP258" i="1"/>
  <c r="AM258" i="1"/>
  <c r="W258" i="1"/>
  <c r="U258" i="1"/>
  <c r="S258" i="1"/>
  <c r="AS257" i="1"/>
  <c r="AP257" i="1"/>
  <c r="AM257" i="1"/>
  <c r="W257" i="1"/>
  <c r="U257" i="1"/>
  <c r="S257" i="1"/>
  <c r="AS256" i="1"/>
  <c r="AP256" i="1"/>
  <c r="AM256" i="1"/>
  <c r="W256" i="1"/>
  <c r="U256" i="1"/>
  <c r="S256" i="1"/>
  <c r="AS255" i="1"/>
  <c r="AP255" i="1"/>
  <c r="AM255" i="1"/>
  <c r="W255" i="1"/>
  <c r="U255" i="1"/>
  <c r="S255" i="1"/>
  <c r="AS254" i="1"/>
  <c r="AP254" i="1"/>
  <c r="AM254" i="1"/>
  <c r="W254" i="1"/>
  <c r="U254" i="1"/>
  <c r="S254" i="1"/>
  <c r="AS253" i="1"/>
  <c r="AP253" i="1"/>
  <c r="AM253" i="1"/>
  <c r="W253" i="1"/>
  <c r="U253" i="1"/>
  <c r="S253" i="1"/>
  <c r="AS252" i="1"/>
  <c r="AP252" i="1"/>
  <c r="AM252" i="1"/>
  <c r="W252" i="1"/>
  <c r="U252" i="1"/>
  <c r="S252" i="1"/>
  <c r="AS251" i="1"/>
  <c r="AP251" i="1"/>
  <c r="AM251" i="1"/>
  <c r="W251" i="1"/>
  <c r="U251" i="1"/>
  <c r="S251" i="1"/>
  <c r="AS250" i="1"/>
  <c r="AP250" i="1"/>
  <c r="AM250" i="1"/>
  <c r="W250" i="1"/>
  <c r="U250" i="1"/>
  <c r="S250" i="1"/>
  <c r="AS249" i="1"/>
  <c r="AP249" i="1"/>
  <c r="AM249" i="1"/>
  <c r="W249" i="1"/>
  <c r="U249" i="1"/>
  <c r="S249" i="1"/>
  <c r="AS248" i="1"/>
  <c r="AP248" i="1"/>
  <c r="AM248" i="1"/>
  <c r="W248" i="1"/>
  <c r="U248" i="1"/>
  <c r="S248" i="1"/>
  <c r="AS247" i="1"/>
  <c r="AP247" i="1"/>
  <c r="AM247" i="1"/>
  <c r="W247" i="1"/>
  <c r="U247" i="1"/>
  <c r="S247" i="1"/>
  <c r="AS246" i="1"/>
  <c r="AP246" i="1"/>
  <c r="AM246" i="1"/>
  <c r="W246" i="1"/>
  <c r="U246" i="1"/>
  <c r="S246" i="1"/>
  <c r="AS245" i="1"/>
  <c r="AP245" i="1"/>
  <c r="AM245" i="1"/>
  <c r="W245" i="1"/>
  <c r="U245" i="1"/>
  <c r="S245" i="1"/>
  <c r="AS244" i="1"/>
  <c r="AP244" i="1"/>
  <c r="AM244" i="1"/>
  <c r="W244" i="1"/>
  <c r="U244" i="1"/>
  <c r="S244" i="1"/>
  <c r="AS243" i="1"/>
  <c r="AP243" i="1"/>
  <c r="AM243" i="1"/>
  <c r="W243" i="1"/>
  <c r="U243" i="1"/>
  <c r="S243" i="1"/>
  <c r="AS242" i="1"/>
  <c r="AP242" i="1"/>
  <c r="AM242" i="1"/>
  <c r="W242" i="1"/>
  <c r="U242" i="1"/>
  <c r="S242" i="1"/>
  <c r="AS241" i="1"/>
  <c r="AP241" i="1"/>
  <c r="AM241" i="1"/>
  <c r="W241" i="1"/>
  <c r="U241" i="1"/>
  <c r="S241" i="1"/>
  <c r="AS240" i="1"/>
  <c r="AP240" i="1"/>
  <c r="AM240" i="1"/>
  <c r="W240" i="1"/>
  <c r="U240" i="1"/>
  <c r="S240" i="1"/>
  <c r="AS239" i="1"/>
  <c r="AP239" i="1"/>
  <c r="AM239" i="1"/>
  <c r="W239" i="1"/>
  <c r="U239" i="1"/>
  <c r="S239" i="1"/>
  <c r="AS238" i="1"/>
  <c r="AP238" i="1"/>
  <c r="AM238" i="1"/>
  <c r="W238" i="1"/>
  <c r="U238" i="1"/>
  <c r="S238" i="1"/>
  <c r="AS237" i="1"/>
  <c r="AP237" i="1"/>
  <c r="AM237" i="1"/>
  <c r="W237" i="1"/>
  <c r="U237" i="1"/>
  <c r="S237" i="1"/>
  <c r="AS236" i="1"/>
  <c r="AP236" i="1"/>
  <c r="AM236" i="1"/>
  <c r="W236" i="1"/>
  <c r="U236" i="1"/>
  <c r="S236" i="1"/>
  <c r="AS235" i="1"/>
  <c r="AP235" i="1"/>
  <c r="AM235" i="1"/>
  <c r="W235" i="1"/>
  <c r="U235" i="1"/>
  <c r="S235" i="1"/>
  <c r="AS234" i="1"/>
  <c r="AP234" i="1"/>
  <c r="AM234" i="1"/>
  <c r="W234" i="1"/>
  <c r="U234" i="1"/>
  <c r="S234" i="1"/>
  <c r="AS233" i="1"/>
  <c r="AP233" i="1"/>
  <c r="AM233" i="1"/>
  <c r="W233" i="1"/>
  <c r="U233" i="1"/>
  <c r="S233" i="1"/>
  <c r="AS232" i="1"/>
  <c r="AP232" i="1"/>
  <c r="AM232" i="1"/>
  <c r="W232" i="1"/>
  <c r="U232" i="1"/>
  <c r="S232" i="1"/>
  <c r="AS231" i="1"/>
  <c r="AP231" i="1"/>
  <c r="AM231" i="1"/>
  <c r="W231" i="1"/>
  <c r="U231" i="1"/>
  <c r="S231" i="1"/>
  <c r="AS230" i="1"/>
  <c r="AP230" i="1"/>
  <c r="AM230" i="1"/>
  <c r="W230" i="1"/>
  <c r="U230" i="1"/>
  <c r="S230" i="1"/>
  <c r="AS229" i="1"/>
  <c r="AP229" i="1"/>
  <c r="AM229" i="1"/>
  <c r="W229" i="1"/>
  <c r="U229" i="1"/>
  <c r="S229" i="1"/>
  <c r="AS228" i="1"/>
  <c r="AP228" i="1"/>
  <c r="AM228" i="1"/>
  <c r="W228" i="1"/>
  <c r="U228" i="1"/>
  <c r="S228" i="1"/>
  <c r="AS227" i="1"/>
  <c r="AP227" i="1"/>
  <c r="AM227" i="1"/>
  <c r="W227" i="1"/>
  <c r="U227" i="1"/>
  <c r="S227" i="1"/>
  <c r="AS226" i="1"/>
  <c r="AP226" i="1"/>
  <c r="AM226" i="1"/>
  <c r="W226" i="1"/>
  <c r="U226" i="1"/>
  <c r="S226" i="1"/>
  <c r="AS225" i="1"/>
  <c r="AP225" i="1"/>
  <c r="AM225" i="1"/>
  <c r="W225" i="1"/>
  <c r="U225" i="1"/>
  <c r="S225" i="1"/>
  <c r="AS224" i="1"/>
  <c r="AP224" i="1"/>
  <c r="AM224" i="1"/>
  <c r="W224" i="1"/>
  <c r="U224" i="1"/>
  <c r="S224" i="1"/>
  <c r="AS223" i="1"/>
  <c r="AP223" i="1"/>
  <c r="AM223" i="1"/>
  <c r="W223" i="1"/>
  <c r="U223" i="1"/>
  <c r="S223" i="1"/>
  <c r="AS222" i="1"/>
  <c r="AP222" i="1"/>
  <c r="AM222" i="1"/>
  <c r="W222" i="1"/>
  <c r="U222" i="1"/>
  <c r="S222" i="1"/>
  <c r="AS221" i="1"/>
  <c r="AP221" i="1"/>
  <c r="AM221" i="1"/>
  <c r="W221" i="1"/>
  <c r="U221" i="1"/>
  <c r="S221" i="1"/>
  <c r="AS220" i="1"/>
  <c r="AP220" i="1"/>
  <c r="AM220" i="1"/>
  <c r="W220" i="1"/>
  <c r="U220" i="1"/>
  <c r="S220" i="1"/>
  <c r="AS219" i="1"/>
  <c r="AP219" i="1"/>
  <c r="AM219" i="1"/>
  <c r="W219" i="1"/>
  <c r="U219" i="1"/>
  <c r="S219" i="1"/>
  <c r="AS218" i="1"/>
  <c r="AP218" i="1"/>
  <c r="AM218" i="1"/>
  <c r="W218" i="1"/>
  <c r="U218" i="1"/>
  <c r="S218" i="1"/>
  <c r="AS217" i="1"/>
  <c r="AP217" i="1"/>
  <c r="AM217" i="1"/>
  <c r="W217" i="1"/>
  <c r="U217" i="1"/>
  <c r="S217" i="1"/>
  <c r="AS216" i="1"/>
  <c r="AP216" i="1"/>
  <c r="AM216" i="1"/>
  <c r="W216" i="1"/>
  <c r="U216" i="1"/>
  <c r="S216" i="1"/>
  <c r="AS215" i="1"/>
  <c r="AP215" i="1"/>
  <c r="AM215" i="1"/>
  <c r="W215" i="1"/>
  <c r="U215" i="1"/>
  <c r="S215" i="1"/>
  <c r="AS214" i="1"/>
  <c r="AP214" i="1"/>
  <c r="AM214" i="1"/>
  <c r="W214" i="1"/>
  <c r="U214" i="1"/>
  <c r="S214" i="1"/>
  <c r="AS213" i="1"/>
  <c r="AP213" i="1"/>
  <c r="AM213" i="1"/>
  <c r="W213" i="1"/>
  <c r="U213" i="1"/>
  <c r="S213" i="1"/>
  <c r="AS212" i="1"/>
  <c r="AP212" i="1"/>
  <c r="AM212" i="1"/>
  <c r="W212" i="1"/>
  <c r="U212" i="1"/>
  <c r="S212" i="1"/>
  <c r="AS211" i="1"/>
  <c r="AP211" i="1"/>
  <c r="AM211" i="1"/>
  <c r="W211" i="1"/>
  <c r="U211" i="1"/>
  <c r="S211" i="1"/>
  <c r="AS210" i="1"/>
  <c r="AP210" i="1"/>
  <c r="AM210" i="1"/>
  <c r="W210" i="1"/>
  <c r="U210" i="1"/>
  <c r="S210" i="1"/>
  <c r="AS209" i="1"/>
  <c r="AP209" i="1"/>
  <c r="AM209" i="1"/>
  <c r="W209" i="1"/>
  <c r="U209" i="1"/>
  <c r="S209" i="1"/>
  <c r="AS208" i="1"/>
  <c r="AP208" i="1"/>
  <c r="AM208" i="1"/>
  <c r="W208" i="1"/>
  <c r="U208" i="1"/>
  <c r="S208" i="1"/>
  <c r="AS207" i="1"/>
  <c r="AP207" i="1"/>
  <c r="AM207" i="1"/>
  <c r="W207" i="1"/>
  <c r="U207" i="1"/>
  <c r="S207" i="1"/>
  <c r="AS206" i="1"/>
  <c r="AP206" i="1"/>
  <c r="AM206" i="1"/>
  <c r="W206" i="1"/>
  <c r="U206" i="1"/>
  <c r="S206" i="1"/>
  <c r="AS205" i="1"/>
  <c r="AP205" i="1"/>
  <c r="AM205" i="1"/>
  <c r="W205" i="1"/>
  <c r="U205" i="1"/>
  <c r="S205" i="1"/>
  <c r="AS204" i="1"/>
  <c r="AP204" i="1"/>
  <c r="AM204" i="1"/>
  <c r="W204" i="1"/>
  <c r="U204" i="1"/>
  <c r="S204" i="1"/>
  <c r="AS203" i="1"/>
  <c r="AP203" i="1"/>
  <c r="AM203" i="1"/>
  <c r="W203" i="1"/>
  <c r="U203" i="1"/>
  <c r="S203" i="1"/>
  <c r="AS202" i="1"/>
  <c r="AP202" i="1"/>
  <c r="AM202" i="1"/>
  <c r="W202" i="1"/>
  <c r="U202" i="1"/>
  <c r="S202" i="1"/>
  <c r="AS201" i="1"/>
  <c r="AP201" i="1"/>
  <c r="AM201" i="1"/>
  <c r="W201" i="1"/>
  <c r="U201" i="1"/>
  <c r="S201" i="1"/>
  <c r="AS200" i="1"/>
  <c r="AP200" i="1"/>
  <c r="AM200" i="1"/>
  <c r="W200" i="1"/>
  <c r="U200" i="1"/>
  <c r="S200" i="1"/>
  <c r="AS199" i="1"/>
  <c r="AP199" i="1"/>
  <c r="AM199" i="1"/>
  <c r="W199" i="1"/>
  <c r="U199" i="1"/>
  <c r="S199" i="1"/>
  <c r="AS198" i="1"/>
  <c r="AP198" i="1"/>
  <c r="AM198" i="1"/>
  <c r="W198" i="1"/>
  <c r="U198" i="1"/>
  <c r="S198" i="1"/>
  <c r="AS197" i="1"/>
  <c r="AP197" i="1"/>
  <c r="AM197" i="1"/>
  <c r="W197" i="1"/>
  <c r="U197" i="1"/>
  <c r="S197" i="1"/>
  <c r="AS196" i="1"/>
  <c r="AP196" i="1"/>
  <c r="AM196" i="1"/>
  <c r="W196" i="1"/>
  <c r="U196" i="1"/>
  <c r="S196" i="1"/>
  <c r="AS195" i="1"/>
  <c r="AP195" i="1"/>
  <c r="AM195" i="1"/>
  <c r="W195" i="1"/>
  <c r="U195" i="1"/>
  <c r="S195" i="1"/>
  <c r="AS194" i="1"/>
  <c r="AP194" i="1"/>
  <c r="AM194" i="1"/>
  <c r="W194" i="1"/>
  <c r="U194" i="1"/>
  <c r="S194" i="1"/>
  <c r="AS193" i="1"/>
  <c r="AP193" i="1"/>
  <c r="AM193" i="1"/>
  <c r="W193" i="1"/>
  <c r="U193" i="1"/>
  <c r="S193" i="1"/>
  <c r="AS192" i="1"/>
  <c r="AP192" i="1"/>
  <c r="AM192" i="1"/>
  <c r="W192" i="1"/>
  <c r="U192" i="1"/>
  <c r="S192" i="1"/>
  <c r="AS191" i="1"/>
  <c r="AP191" i="1"/>
  <c r="AM191" i="1"/>
  <c r="W191" i="1"/>
  <c r="U191" i="1"/>
  <c r="S191" i="1"/>
  <c r="AS190" i="1"/>
  <c r="AP190" i="1"/>
  <c r="AM190" i="1"/>
  <c r="W190" i="1"/>
  <c r="U190" i="1"/>
  <c r="S190" i="1"/>
  <c r="AS189" i="1"/>
  <c r="AP189" i="1"/>
  <c r="AM189" i="1"/>
  <c r="W189" i="1"/>
  <c r="U189" i="1"/>
  <c r="S189" i="1"/>
  <c r="AS188" i="1"/>
  <c r="AP188" i="1"/>
  <c r="AM188" i="1"/>
  <c r="W188" i="1"/>
  <c r="U188" i="1"/>
  <c r="S188" i="1"/>
  <c r="AS187" i="1"/>
  <c r="AP187" i="1"/>
  <c r="AM187" i="1"/>
  <c r="W187" i="1"/>
  <c r="U187" i="1"/>
  <c r="S187" i="1"/>
  <c r="AS186" i="1"/>
  <c r="AP186" i="1"/>
  <c r="AM186" i="1"/>
  <c r="W186" i="1"/>
  <c r="U186" i="1"/>
  <c r="S186" i="1"/>
  <c r="AS185" i="1"/>
  <c r="AP185" i="1"/>
  <c r="AM185" i="1"/>
  <c r="W185" i="1"/>
  <c r="U185" i="1"/>
  <c r="S185" i="1"/>
  <c r="AS184" i="1"/>
  <c r="AP184" i="1"/>
  <c r="AM184" i="1"/>
  <c r="W184" i="1"/>
  <c r="U184" i="1"/>
  <c r="S184" i="1"/>
  <c r="AS183" i="1"/>
  <c r="AP183" i="1"/>
  <c r="AM183" i="1"/>
  <c r="W183" i="1"/>
  <c r="U183" i="1"/>
  <c r="S183" i="1"/>
  <c r="AS182" i="1"/>
  <c r="AP182" i="1"/>
  <c r="AM182" i="1"/>
  <c r="W182" i="1"/>
  <c r="U182" i="1"/>
  <c r="S182" i="1"/>
  <c r="AS181" i="1"/>
  <c r="AP181" i="1"/>
  <c r="AM181" i="1"/>
  <c r="W181" i="1"/>
  <c r="U181" i="1"/>
  <c r="S181" i="1"/>
  <c r="AS180" i="1"/>
  <c r="AP180" i="1"/>
  <c r="AM180" i="1"/>
  <c r="W180" i="1"/>
  <c r="U180" i="1"/>
  <c r="S180" i="1"/>
  <c r="AS179" i="1"/>
  <c r="AP179" i="1"/>
  <c r="AM179" i="1"/>
  <c r="W179" i="1"/>
  <c r="U179" i="1"/>
  <c r="S179" i="1"/>
  <c r="AS178" i="1"/>
  <c r="AP178" i="1"/>
  <c r="AM178" i="1"/>
  <c r="W178" i="1"/>
  <c r="U178" i="1"/>
  <c r="S178" i="1"/>
  <c r="AS177" i="1"/>
  <c r="AP177" i="1"/>
  <c r="AM177" i="1"/>
  <c r="W177" i="1"/>
  <c r="U177" i="1"/>
  <c r="S177" i="1"/>
  <c r="AS176" i="1"/>
  <c r="AP176" i="1"/>
  <c r="AM176" i="1"/>
  <c r="W176" i="1"/>
  <c r="U176" i="1"/>
  <c r="S176" i="1"/>
  <c r="AS175" i="1"/>
  <c r="AP175" i="1"/>
  <c r="AM175" i="1"/>
  <c r="W175" i="1"/>
  <c r="U175" i="1"/>
  <c r="S175" i="1"/>
  <c r="AS174" i="1"/>
  <c r="AP174" i="1"/>
  <c r="AM174" i="1"/>
  <c r="W174" i="1"/>
  <c r="U174" i="1"/>
  <c r="S174" i="1"/>
  <c r="AS173" i="1"/>
  <c r="AP173" i="1"/>
  <c r="AM173" i="1"/>
  <c r="W173" i="1"/>
  <c r="U173" i="1"/>
  <c r="S173" i="1"/>
  <c r="AS172" i="1"/>
  <c r="AP172" i="1"/>
  <c r="AM172" i="1"/>
  <c r="W172" i="1"/>
  <c r="U172" i="1"/>
  <c r="S172" i="1"/>
  <c r="AS171" i="1"/>
  <c r="AP171" i="1"/>
  <c r="AM171" i="1"/>
  <c r="W171" i="1"/>
  <c r="U171" i="1"/>
  <c r="S171" i="1"/>
  <c r="AS170" i="1"/>
  <c r="AP170" i="1"/>
  <c r="AM170" i="1"/>
  <c r="W170" i="1"/>
  <c r="U170" i="1"/>
  <c r="S170" i="1"/>
  <c r="AS169" i="1"/>
  <c r="AP169" i="1"/>
  <c r="AM169" i="1"/>
  <c r="W169" i="1"/>
  <c r="U169" i="1"/>
  <c r="S169" i="1"/>
  <c r="AS168" i="1"/>
  <c r="AP168" i="1"/>
  <c r="AM168" i="1"/>
  <c r="W168" i="1"/>
  <c r="U168" i="1"/>
  <c r="S168" i="1"/>
  <c r="AS167" i="1"/>
  <c r="AP167" i="1"/>
  <c r="AM167" i="1"/>
  <c r="W167" i="1"/>
  <c r="U167" i="1"/>
  <c r="S167" i="1"/>
  <c r="AS166" i="1"/>
  <c r="AP166" i="1"/>
  <c r="AM166" i="1"/>
  <c r="W166" i="1"/>
  <c r="U166" i="1"/>
  <c r="S166" i="1"/>
  <c r="AS165" i="1"/>
  <c r="AP165" i="1"/>
  <c r="AM165" i="1"/>
  <c r="W165" i="1"/>
  <c r="U165" i="1"/>
  <c r="S165" i="1"/>
  <c r="AS164" i="1"/>
  <c r="AP164" i="1"/>
  <c r="AM164" i="1"/>
  <c r="W164" i="1"/>
  <c r="U164" i="1"/>
  <c r="S164" i="1"/>
  <c r="AS163" i="1"/>
  <c r="AP163" i="1"/>
  <c r="AM163" i="1"/>
  <c r="W163" i="1"/>
  <c r="U163" i="1"/>
  <c r="S163" i="1"/>
  <c r="AS162" i="1"/>
  <c r="AP162" i="1"/>
  <c r="AM162" i="1"/>
  <c r="W162" i="1"/>
  <c r="U162" i="1"/>
  <c r="S162" i="1"/>
  <c r="AS161" i="1"/>
  <c r="AP161" i="1"/>
  <c r="AM161" i="1"/>
  <c r="W161" i="1"/>
  <c r="U161" i="1"/>
  <c r="S161" i="1"/>
  <c r="AS160" i="1"/>
  <c r="AP160" i="1"/>
  <c r="AM160" i="1"/>
  <c r="W160" i="1"/>
  <c r="U160" i="1"/>
  <c r="S160" i="1"/>
  <c r="AS159" i="1"/>
  <c r="AP159" i="1"/>
  <c r="AM159" i="1"/>
  <c r="W159" i="1"/>
  <c r="U159" i="1"/>
  <c r="S159" i="1"/>
  <c r="AS158" i="1"/>
  <c r="AP158" i="1"/>
  <c r="AM158" i="1"/>
  <c r="W158" i="1"/>
  <c r="U158" i="1"/>
  <c r="S158" i="1"/>
  <c r="AS157" i="1"/>
  <c r="AP157" i="1"/>
  <c r="AM157" i="1"/>
  <c r="W157" i="1"/>
  <c r="U157" i="1"/>
  <c r="S157" i="1"/>
  <c r="AS156" i="1"/>
  <c r="AP156" i="1"/>
  <c r="AM156" i="1"/>
  <c r="W156" i="1"/>
  <c r="U156" i="1"/>
  <c r="S156" i="1"/>
  <c r="AS155" i="1"/>
  <c r="AP155" i="1"/>
  <c r="AM155" i="1"/>
  <c r="W155" i="1"/>
  <c r="U155" i="1"/>
  <c r="S155" i="1"/>
  <c r="AS154" i="1"/>
  <c r="AP154" i="1"/>
  <c r="AM154" i="1"/>
  <c r="W154" i="1"/>
  <c r="U154" i="1"/>
  <c r="S154" i="1"/>
  <c r="AS153" i="1"/>
  <c r="AP153" i="1"/>
  <c r="AM153" i="1"/>
  <c r="W153" i="1"/>
  <c r="U153" i="1"/>
  <c r="S153" i="1"/>
  <c r="AS152" i="1"/>
  <c r="AP152" i="1"/>
  <c r="AM152" i="1"/>
  <c r="W152" i="1"/>
  <c r="U152" i="1"/>
  <c r="S152" i="1"/>
  <c r="AS151" i="1"/>
  <c r="AP151" i="1"/>
  <c r="AM151" i="1"/>
  <c r="W151" i="1"/>
  <c r="U151" i="1"/>
  <c r="S151" i="1"/>
  <c r="AS150" i="1"/>
  <c r="AP150" i="1"/>
  <c r="AM150" i="1"/>
  <c r="W150" i="1"/>
  <c r="U150" i="1"/>
  <c r="S150" i="1"/>
  <c r="AS149" i="1"/>
  <c r="AP149" i="1"/>
  <c r="AM149" i="1"/>
  <c r="W149" i="1"/>
  <c r="U149" i="1"/>
  <c r="S149" i="1"/>
  <c r="AS148" i="1"/>
  <c r="AP148" i="1"/>
  <c r="AM148" i="1"/>
  <c r="W148" i="1"/>
  <c r="U148" i="1"/>
  <c r="S148" i="1"/>
  <c r="AS147" i="1"/>
  <c r="AP147" i="1"/>
  <c r="AM147" i="1"/>
  <c r="W147" i="1"/>
  <c r="U147" i="1"/>
  <c r="S147" i="1"/>
  <c r="AS146" i="1"/>
  <c r="AP146" i="1"/>
  <c r="AM146" i="1"/>
  <c r="W146" i="1"/>
  <c r="U146" i="1"/>
  <c r="S146" i="1"/>
  <c r="AS145" i="1"/>
  <c r="AP145" i="1"/>
  <c r="AM145" i="1"/>
  <c r="W145" i="1"/>
  <c r="U145" i="1"/>
  <c r="S145" i="1"/>
  <c r="AS144" i="1"/>
  <c r="AP144" i="1"/>
  <c r="AM144" i="1"/>
  <c r="W144" i="1"/>
  <c r="U144" i="1"/>
  <c r="S144" i="1"/>
  <c r="AS143" i="1"/>
  <c r="AP143" i="1"/>
  <c r="AM143" i="1"/>
  <c r="W143" i="1"/>
  <c r="U143" i="1"/>
  <c r="S143" i="1"/>
  <c r="AS142" i="1"/>
  <c r="AP142" i="1"/>
  <c r="AM142" i="1"/>
  <c r="W142" i="1"/>
  <c r="U142" i="1"/>
  <c r="S142" i="1"/>
  <c r="AS141" i="1"/>
  <c r="AP141" i="1"/>
  <c r="AM141" i="1"/>
  <c r="W141" i="1"/>
  <c r="U141" i="1"/>
  <c r="S141" i="1"/>
  <c r="AS140" i="1"/>
  <c r="AP140" i="1"/>
  <c r="AM140" i="1"/>
  <c r="W140" i="1"/>
  <c r="U140" i="1"/>
  <c r="S140" i="1"/>
  <c r="AS139" i="1"/>
  <c r="AP139" i="1"/>
  <c r="AM139" i="1"/>
  <c r="W139" i="1"/>
  <c r="U139" i="1"/>
  <c r="S139" i="1"/>
  <c r="AS138" i="1"/>
  <c r="AP138" i="1"/>
  <c r="AM138" i="1"/>
  <c r="W138" i="1"/>
  <c r="U138" i="1"/>
  <c r="S138" i="1"/>
  <c r="AS137" i="1"/>
  <c r="AP137" i="1"/>
  <c r="AM137" i="1"/>
  <c r="W137" i="1"/>
  <c r="U137" i="1"/>
  <c r="S137" i="1"/>
  <c r="AS136" i="1"/>
  <c r="AP136" i="1"/>
  <c r="AM136" i="1"/>
  <c r="W136" i="1"/>
  <c r="U136" i="1"/>
  <c r="S136" i="1"/>
  <c r="AS135" i="1"/>
  <c r="AP135" i="1"/>
  <c r="AM135" i="1"/>
  <c r="W135" i="1"/>
  <c r="U135" i="1"/>
  <c r="S135" i="1"/>
  <c r="AS134" i="1"/>
  <c r="AP134" i="1"/>
  <c r="AM134" i="1"/>
  <c r="W134" i="1"/>
  <c r="U134" i="1"/>
  <c r="S134" i="1"/>
  <c r="AS133" i="1"/>
  <c r="AP133" i="1"/>
  <c r="AM133" i="1"/>
  <c r="W133" i="1"/>
  <c r="U133" i="1"/>
  <c r="S133" i="1"/>
  <c r="AS132" i="1"/>
  <c r="AP132" i="1"/>
  <c r="AM132" i="1"/>
  <c r="W132" i="1"/>
  <c r="U132" i="1"/>
  <c r="S132" i="1"/>
  <c r="AS131" i="1"/>
  <c r="AP131" i="1"/>
  <c r="AM131" i="1"/>
  <c r="W131" i="1"/>
  <c r="U131" i="1"/>
  <c r="S131" i="1"/>
  <c r="AS130" i="1"/>
  <c r="AP130" i="1"/>
  <c r="AM130" i="1"/>
  <c r="W130" i="1"/>
  <c r="U130" i="1"/>
  <c r="S130" i="1"/>
  <c r="AS129" i="1"/>
  <c r="AP129" i="1"/>
  <c r="AM129" i="1"/>
  <c r="W129" i="1"/>
  <c r="U129" i="1"/>
  <c r="S129" i="1"/>
  <c r="AS128" i="1"/>
  <c r="AP128" i="1"/>
  <c r="AM128" i="1"/>
  <c r="W128" i="1"/>
  <c r="U128" i="1"/>
  <c r="S128" i="1"/>
  <c r="AS127" i="1"/>
  <c r="AP127" i="1"/>
  <c r="AM127" i="1"/>
  <c r="W127" i="1"/>
  <c r="U127" i="1"/>
  <c r="S127" i="1"/>
  <c r="AS126" i="1"/>
  <c r="AP126" i="1"/>
  <c r="AM126" i="1"/>
  <c r="W126" i="1"/>
  <c r="U126" i="1"/>
  <c r="S126" i="1"/>
  <c r="AS125" i="1"/>
  <c r="AP125" i="1"/>
  <c r="AM125" i="1"/>
  <c r="W125" i="1"/>
  <c r="U125" i="1"/>
  <c r="S125" i="1"/>
  <c r="AS124" i="1"/>
  <c r="AP124" i="1"/>
  <c r="AM124" i="1"/>
  <c r="W124" i="1"/>
  <c r="U124" i="1"/>
  <c r="S124" i="1"/>
  <c r="AS123" i="1"/>
  <c r="AP123" i="1"/>
  <c r="AM123" i="1"/>
  <c r="W123" i="1"/>
  <c r="U123" i="1"/>
  <c r="S123" i="1"/>
  <c r="AS122" i="1"/>
  <c r="AP122" i="1"/>
  <c r="AM122" i="1"/>
  <c r="W122" i="1"/>
  <c r="U122" i="1"/>
  <c r="S122" i="1"/>
  <c r="AS121" i="1"/>
  <c r="AP121" i="1"/>
  <c r="AM121" i="1"/>
  <c r="W121" i="1"/>
  <c r="U121" i="1"/>
  <c r="S121" i="1"/>
  <c r="AS120" i="1"/>
  <c r="AP120" i="1"/>
  <c r="AM120" i="1"/>
  <c r="W120" i="1"/>
  <c r="U120" i="1"/>
  <c r="S120" i="1"/>
  <c r="AS119" i="1"/>
  <c r="AP119" i="1"/>
  <c r="AM119" i="1"/>
  <c r="W119" i="1"/>
  <c r="U119" i="1"/>
  <c r="S119" i="1"/>
  <c r="AS118" i="1"/>
  <c r="AP118" i="1"/>
  <c r="AM118" i="1"/>
  <c r="W118" i="1"/>
  <c r="U118" i="1"/>
  <c r="S118" i="1"/>
  <c r="AS117" i="1"/>
  <c r="AP117" i="1"/>
  <c r="AM117" i="1"/>
  <c r="W117" i="1"/>
  <c r="U117" i="1"/>
  <c r="S117" i="1"/>
  <c r="AS116" i="1"/>
  <c r="AP116" i="1"/>
  <c r="AM116" i="1"/>
  <c r="W116" i="1"/>
  <c r="U116" i="1"/>
  <c r="S116" i="1"/>
  <c r="AS115" i="1"/>
  <c r="AP115" i="1"/>
  <c r="AM115" i="1"/>
  <c r="W115" i="1"/>
  <c r="U115" i="1"/>
  <c r="S115" i="1"/>
  <c r="AS114" i="1"/>
  <c r="AP114" i="1"/>
  <c r="AM114" i="1"/>
  <c r="W114" i="1"/>
  <c r="U114" i="1"/>
  <c r="S114" i="1"/>
  <c r="AS113" i="1"/>
  <c r="AP113" i="1"/>
  <c r="AM113" i="1"/>
  <c r="W113" i="1"/>
  <c r="U113" i="1"/>
  <c r="S113" i="1"/>
  <c r="AS112" i="1"/>
  <c r="AP112" i="1"/>
  <c r="AM112" i="1"/>
  <c r="W112" i="1"/>
  <c r="U112" i="1"/>
  <c r="S112" i="1"/>
  <c r="AS111" i="1"/>
  <c r="AP111" i="1"/>
  <c r="AM111" i="1"/>
  <c r="W111" i="1"/>
  <c r="U111" i="1"/>
  <c r="S111" i="1"/>
  <c r="AS110" i="1"/>
  <c r="AP110" i="1"/>
  <c r="AM110" i="1"/>
  <c r="W110" i="1"/>
  <c r="U110" i="1"/>
  <c r="S110" i="1"/>
  <c r="AS109" i="1"/>
  <c r="AP109" i="1"/>
  <c r="AM109" i="1"/>
  <c r="W109" i="1"/>
  <c r="U109" i="1"/>
  <c r="S109" i="1"/>
  <c r="AS108" i="1"/>
  <c r="AP108" i="1"/>
  <c r="AM108" i="1"/>
  <c r="W108" i="1"/>
  <c r="U108" i="1"/>
  <c r="S108" i="1"/>
  <c r="AS107" i="1"/>
  <c r="AP107" i="1"/>
  <c r="AM107" i="1"/>
  <c r="W107" i="1"/>
  <c r="U107" i="1"/>
  <c r="S107" i="1"/>
  <c r="AS106" i="1"/>
  <c r="AP106" i="1"/>
  <c r="AM106" i="1"/>
  <c r="W106" i="1"/>
  <c r="U106" i="1"/>
  <c r="S106" i="1"/>
  <c r="AS105" i="1"/>
  <c r="AP105" i="1"/>
  <c r="AM105" i="1"/>
  <c r="W105" i="1"/>
  <c r="U105" i="1"/>
  <c r="S105" i="1"/>
  <c r="AS104" i="1"/>
  <c r="AP104" i="1"/>
  <c r="AM104" i="1"/>
  <c r="W104" i="1"/>
  <c r="U104" i="1"/>
  <c r="S104" i="1"/>
  <c r="AS103" i="1"/>
  <c r="AP103" i="1"/>
  <c r="AM103" i="1"/>
  <c r="W103" i="1"/>
  <c r="U103" i="1"/>
  <c r="S103" i="1"/>
  <c r="AS102" i="1"/>
  <c r="AP102" i="1"/>
  <c r="AM102" i="1"/>
  <c r="W102" i="1"/>
  <c r="U102" i="1"/>
  <c r="S102" i="1"/>
  <c r="AS101" i="1"/>
  <c r="AP101" i="1"/>
  <c r="AM101" i="1"/>
  <c r="W101" i="1"/>
  <c r="U101" i="1"/>
  <c r="S101" i="1"/>
  <c r="AS100" i="1"/>
  <c r="AP100" i="1"/>
  <c r="AM100" i="1"/>
  <c r="W100" i="1"/>
  <c r="U100" i="1"/>
  <c r="S100" i="1"/>
  <c r="AS99" i="1"/>
  <c r="AP99" i="1"/>
  <c r="AM99" i="1"/>
  <c r="W99" i="1"/>
  <c r="U99" i="1"/>
  <c r="S99" i="1"/>
  <c r="AS98" i="1"/>
  <c r="AP98" i="1"/>
  <c r="AM98" i="1"/>
  <c r="W98" i="1"/>
  <c r="U98" i="1"/>
  <c r="S98" i="1"/>
  <c r="AS97" i="1"/>
  <c r="AP97" i="1"/>
  <c r="AM97" i="1"/>
  <c r="W97" i="1"/>
  <c r="U97" i="1"/>
  <c r="S97" i="1"/>
  <c r="AS96" i="1"/>
  <c r="AP96" i="1"/>
  <c r="AM96" i="1"/>
  <c r="W96" i="1"/>
  <c r="U96" i="1"/>
  <c r="S96" i="1"/>
  <c r="AS95" i="1"/>
  <c r="AP95" i="1"/>
  <c r="AM95" i="1"/>
  <c r="W95" i="1"/>
  <c r="U95" i="1"/>
  <c r="S95" i="1"/>
  <c r="AS94" i="1"/>
  <c r="AP94" i="1"/>
  <c r="AM94" i="1"/>
  <c r="W94" i="1"/>
  <c r="U94" i="1"/>
  <c r="S94" i="1"/>
  <c r="AS93" i="1"/>
  <c r="AP93" i="1"/>
  <c r="AM93" i="1"/>
  <c r="W93" i="1"/>
  <c r="U93" i="1"/>
  <c r="S93" i="1"/>
  <c r="AS92" i="1"/>
  <c r="AP92" i="1"/>
  <c r="AM92" i="1"/>
  <c r="W92" i="1"/>
  <c r="U92" i="1"/>
  <c r="S92" i="1"/>
  <c r="AS91" i="1"/>
  <c r="AP91" i="1"/>
  <c r="AM91" i="1"/>
  <c r="W91" i="1"/>
  <c r="U91" i="1"/>
  <c r="S91" i="1"/>
  <c r="AS90" i="1"/>
  <c r="AP90" i="1"/>
  <c r="AM90" i="1"/>
  <c r="W90" i="1"/>
  <c r="U90" i="1"/>
  <c r="S90" i="1"/>
  <c r="AS89" i="1"/>
  <c r="AP89" i="1"/>
  <c r="AM89" i="1"/>
  <c r="W89" i="1"/>
  <c r="U89" i="1"/>
  <c r="S89" i="1"/>
  <c r="AS88" i="1"/>
  <c r="AP88" i="1"/>
  <c r="AM88" i="1"/>
  <c r="W88" i="1"/>
  <c r="U88" i="1"/>
  <c r="S88" i="1"/>
  <c r="AS87" i="1"/>
  <c r="AP87" i="1"/>
  <c r="AM87" i="1"/>
  <c r="W87" i="1"/>
  <c r="U87" i="1"/>
  <c r="S87" i="1"/>
  <c r="AS86" i="1"/>
  <c r="AP86" i="1"/>
  <c r="AM86" i="1"/>
  <c r="W86" i="1"/>
  <c r="U86" i="1"/>
  <c r="S86" i="1"/>
  <c r="AS85" i="1"/>
  <c r="AP85" i="1"/>
  <c r="AM85" i="1"/>
  <c r="W85" i="1"/>
  <c r="U85" i="1"/>
  <c r="S85" i="1"/>
  <c r="AS84" i="1"/>
  <c r="AP84" i="1"/>
  <c r="AM84" i="1"/>
  <c r="W84" i="1"/>
  <c r="U84" i="1"/>
  <c r="S84" i="1"/>
  <c r="AS83" i="1"/>
  <c r="AP83" i="1"/>
  <c r="AM83" i="1"/>
  <c r="W83" i="1"/>
  <c r="U83" i="1"/>
  <c r="S83" i="1"/>
  <c r="AS82" i="1"/>
  <c r="AP82" i="1"/>
  <c r="AM82" i="1"/>
  <c r="W82" i="1"/>
  <c r="U82" i="1"/>
  <c r="S82" i="1"/>
  <c r="AS81" i="1"/>
  <c r="AP81" i="1"/>
  <c r="AM81" i="1"/>
  <c r="W81" i="1"/>
  <c r="U81" i="1"/>
  <c r="S81" i="1"/>
  <c r="AS80" i="1"/>
  <c r="AP80" i="1"/>
  <c r="AM80" i="1"/>
  <c r="W80" i="1"/>
  <c r="U80" i="1"/>
  <c r="S80" i="1"/>
  <c r="N1" i="1"/>
  <c r="I426" i="2" l="1"/>
  <c r="G426" i="2"/>
  <c r="I425" i="2"/>
  <c r="G425" i="2"/>
  <c r="I424" i="2"/>
  <c r="G424" i="2"/>
  <c r="I423" i="2"/>
  <c r="G423" i="2"/>
  <c r="I422" i="2"/>
  <c r="G422" i="2"/>
  <c r="I421" i="2"/>
  <c r="G421" i="2"/>
  <c r="I420" i="2"/>
  <c r="G420" i="2"/>
  <c r="I419" i="2"/>
  <c r="G419" i="2"/>
  <c r="I418" i="2"/>
  <c r="G418" i="2"/>
  <c r="I417" i="2"/>
  <c r="G417" i="2"/>
  <c r="I416" i="2"/>
  <c r="G416" i="2"/>
  <c r="I415" i="2"/>
  <c r="G415" i="2"/>
  <c r="I414" i="2"/>
  <c r="G414" i="2"/>
  <c r="I413" i="2"/>
  <c r="G413" i="2"/>
  <c r="I412" i="2"/>
  <c r="G412" i="2"/>
  <c r="I411" i="2"/>
  <c r="G411" i="2"/>
  <c r="I410" i="2"/>
  <c r="G410" i="2"/>
  <c r="I409" i="2"/>
  <c r="G409" i="2"/>
  <c r="I408" i="2"/>
  <c r="G408" i="2"/>
  <c r="I407" i="2"/>
  <c r="G407" i="2"/>
  <c r="I406" i="2"/>
  <c r="G406" i="2"/>
  <c r="I405" i="2"/>
  <c r="G405" i="2"/>
  <c r="I404" i="2"/>
  <c r="G404" i="2"/>
  <c r="I403" i="2"/>
  <c r="G403" i="2"/>
  <c r="I402" i="2"/>
  <c r="G402" i="2"/>
  <c r="I401" i="2"/>
  <c r="G401" i="2"/>
  <c r="I400" i="2"/>
  <c r="G400" i="2"/>
  <c r="I399" i="2"/>
  <c r="G399" i="2"/>
  <c r="I398" i="2"/>
  <c r="G398" i="2"/>
  <c r="I397" i="2"/>
  <c r="G397" i="2"/>
  <c r="I396" i="2"/>
  <c r="G396" i="2"/>
  <c r="I395" i="2"/>
  <c r="G395" i="2"/>
  <c r="I394" i="2"/>
  <c r="G394" i="2"/>
  <c r="I393" i="2"/>
  <c r="G393" i="2"/>
  <c r="I392" i="2"/>
  <c r="G392" i="2"/>
  <c r="I391" i="2"/>
  <c r="G391" i="2"/>
  <c r="I390" i="2"/>
  <c r="G390" i="2"/>
  <c r="I389" i="2"/>
  <c r="G389" i="2"/>
  <c r="I388" i="2"/>
  <c r="G388" i="2"/>
  <c r="I387" i="2"/>
  <c r="G387" i="2"/>
  <c r="I386" i="2"/>
  <c r="G386" i="2"/>
  <c r="I385" i="2"/>
  <c r="G385" i="2"/>
  <c r="I160" i="2"/>
  <c r="G160" i="2"/>
  <c r="I384" i="2"/>
  <c r="G384" i="2"/>
  <c r="I159" i="2"/>
  <c r="G159" i="2"/>
  <c r="I158" i="2"/>
  <c r="G158" i="2"/>
  <c r="I383" i="2"/>
  <c r="G383" i="2"/>
  <c r="I382" i="2"/>
  <c r="G382" i="2"/>
  <c r="I381" i="2"/>
  <c r="G381" i="2"/>
  <c r="I380" i="2"/>
  <c r="G380" i="2"/>
  <c r="I379" i="2"/>
  <c r="G379" i="2"/>
  <c r="I378" i="2"/>
  <c r="G378" i="2"/>
  <c r="I377" i="2"/>
  <c r="G377" i="2"/>
  <c r="I376" i="2"/>
  <c r="G376" i="2"/>
  <c r="I375" i="2"/>
  <c r="G375" i="2"/>
  <c r="I374" i="2"/>
  <c r="G374" i="2"/>
  <c r="I373" i="2"/>
  <c r="G373" i="2"/>
  <c r="I372" i="2"/>
  <c r="G372" i="2"/>
  <c r="I371" i="2"/>
  <c r="G371" i="2"/>
  <c r="I370" i="2"/>
  <c r="G370" i="2"/>
  <c r="I369" i="2"/>
  <c r="G369" i="2"/>
  <c r="I368" i="2"/>
  <c r="G368" i="2"/>
  <c r="I367" i="2"/>
  <c r="G367" i="2"/>
  <c r="I366" i="2"/>
  <c r="G366" i="2"/>
  <c r="I365" i="2"/>
  <c r="G365" i="2"/>
  <c r="I364" i="2"/>
  <c r="G364" i="2"/>
  <c r="I43" i="2"/>
  <c r="G43" i="2"/>
  <c r="I363" i="2"/>
  <c r="G363" i="2"/>
  <c r="I362" i="2"/>
  <c r="G362" i="2"/>
  <c r="I361" i="2"/>
  <c r="G361" i="2"/>
  <c r="I360" i="2"/>
  <c r="G360" i="2"/>
  <c r="I169" i="2"/>
  <c r="G169" i="2"/>
  <c r="I359" i="2"/>
  <c r="G359" i="2"/>
  <c r="I358" i="2"/>
  <c r="G358" i="2"/>
  <c r="I357" i="2"/>
  <c r="G357" i="2"/>
  <c r="I356" i="2"/>
  <c r="G356" i="2"/>
  <c r="I355" i="2"/>
  <c r="G355" i="2"/>
  <c r="I354" i="2"/>
  <c r="G354" i="2"/>
  <c r="I353" i="2"/>
  <c r="G353" i="2"/>
  <c r="I352" i="2"/>
  <c r="G352" i="2"/>
  <c r="I351" i="2"/>
  <c r="G351" i="2"/>
  <c r="I350" i="2"/>
  <c r="G350" i="2"/>
  <c r="I157" i="2"/>
  <c r="G157" i="2"/>
  <c r="I349" i="2"/>
  <c r="G349" i="2"/>
  <c r="I348" i="2"/>
  <c r="G348" i="2"/>
  <c r="I156" i="2"/>
  <c r="G156" i="2"/>
  <c r="I347" i="2"/>
  <c r="G347" i="2"/>
  <c r="I155" i="2"/>
  <c r="G155" i="2"/>
  <c r="I346" i="2"/>
  <c r="G346" i="2"/>
  <c r="I76" i="2"/>
  <c r="G76" i="2"/>
  <c r="I80" i="2"/>
  <c r="G80" i="2"/>
  <c r="I102" i="2"/>
  <c r="G102" i="2"/>
  <c r="I345" i="2"/>
  <c r="G345" i="2"/>
  <c r="I66" i="2"/>
  <c r="G66" i="2"/>
  <c r="I77" i="2"/>
  <c r="G77" i="2"/>
  <c r="I72" i="2"/>
  <c r="G72" i="2"/>
  <c r="I71" i="2"/>
  <c r="G71" i="2"/>
  <c r="I101" i="2"/>
  <c r="G101" i="2"/>
  <c r="I165" i="2"/>
  <c r="G165" i="2"/>
  <c r="I154" i="2"/>
  <c r="G154" i="2"/>
  <c r="I153" i="2"/>
  <c r="G153" i="2"/>
  <c r="I344" i="2"/>
  <c r="G344" i="2"/>
  <c r="I343" i="2"/>
  <c r="G343" i="2"/>
  <c r="I152" i="2"/>
  <c r="G152" i="2"/>
  <c r="I151" i="2"/>
  <c r="G151" i="2"/>
  <c r="I150" i="2"/>
  <c r="G150" i="2"/>
  <c r="I149" i="2"/>
  <c r="G149" i="2"/>
  <c r="I164" i="2"/>
  <c r="G164" i="2"/>
  <c r="I148" i="2"/>
  <c r="G148" i="2"/>
  <c r="I147" i="2"/>
  <c r="G147" i="2"/>
  <c r="I342" i="2"/>
  <c r="G342" i="2"/>
  <c r="I341" i="2"/>
  <c r="G341" i="2"/>
  <c r="I146" i="2"/>
  <c r="G146" i="2"/>
  <c r="I340" i="2"/>
  <c r="G340" i="2"/>
  <c r="I145" i="2"/>
  <c r="G145" i="2"/>
  <c r="I144" i="2"/>
  <c r="G144" i="2"/>
  <c r="I339" i="2"/>
  <c r="G339" i="2"/>
  <c r="I126" i="2"/>
  <c r="G126" i="2"/>
  <c r="I143" i="2"/>
  <c r="G143" i="2"/>
  <c r="I142" i="2"/>
  <c r="G142" i="2"/>
  <c r="I338" i="2"/>
  <c r="G338" i="2"/>
  <c r="I337" i="2"/>
  <c r="G337" i="2"/>
  <c r="I124" i="2"/>
  <c r="G124" i="2"/>
  <c r="I123" i="2"/>
  <c r="G123" i="2"/>
  <c r="I141" i="2"/>
  <c r="G141" i="2"/>
  <c r="I336" i="2"/>
  <c r="G336" i="2"/>
  <c r="I122" i="2"/>
  <c r="G122" i="2"/>
  <c r="I121" i="2"/>
  <c r="G121" i="2"/>
  <c r="I119" i="2"/>
  <c r="G119" i="2"/>
  <c r="I118" i="2"/>
  <c r="G118" i="2"/>
  <c r="I112" i="2"/>
  <c r="G112" i="2"/>
  <c r="I65" i="2"/>
  <c r="G65" i="2"/>
  <c r="I335" i="2"/>
  <c r="G335" i="2"/>
  <c r="I95" i="2"/>
  <c r="G9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120" i="2"/>
  <c r="G120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I4" i="2"/>
  <c r="G4" i="2"/>
  <c r="I41" i="2"/>
  <c r="G41" i="2"/>
  <c r="I38" i="2"/>
  <c r="G38" i="2"/>
  <c r="I105" i="2"/>
  <c r="G105" i="2"/>
  <c r="I104" i="2"/>
  <c r="G104" i="2"/>
  <c r="I51" i="2"/>
  <c r="G51" i="2"/>
  <c r="I50" i="2"/>
  <c r="G50" i="2"/>
  <c r="I97" i="2"/>
  <c r="G97" i="2"/>
  <c r="I299" i="2"/>
  <c r="G299" i="2"/>
  <c r="I298" i="2"/>
  <c r="G298" i="2"/>
  <c r="I297" i="2"/>
  <c r="G297" i="2"/>
  <c r="I296" i="2"/>
  <c r="G296" i="2"/>
  <c r="I295" i="2"/>
  <c r="G295" i="2"/>
  <c r="I294" i="2"/>
  <c r="G294" i="2"/>
  <c r="I293" i="2"/>
  <c r="G293" i="2"/>
  <c r="I292" i="2"/>
  <c r="G292" i="2"/>
  <c r="I291" i="2"/>
  <c r="G291" i="2"/>
  <c r="I290" i="2"/>
  <c r="G290" i="2"/>
  <c r="I289" i="2"/>
  <c r="G289" i="2"/>
  <c r="I288" i="2"/>
  <c r="G288" i="2"/>
  <c r="I287" i="2"/>
  <c r="G287" i="2"/>
  <c r="I286" i="2"/>
  <c r="G286" i="2"/>
  <c r="I285" i="2"/>
  <c r="G285" i="2"/>
  <c r="I284" i="2"/>
  <c r="G284" i="2"/>
  <c r="I283" i="2"/>
  <c r="G283" i="2"/>
  <c r="I282" i="2"/>
  <c r="G282" i="2"/>
  <c r="I281" i="2"/>
  <c r="G281" i="2"/>
  <c r="I280" i="2"/>
  <c r="G280" i="2"/>
  <c r="I279" i="2"/>
  <c r="G279" i="2"/>
  <c r="I278" i="2"/>
  <c r="G278" i="2"/>
  <c r="I277" i="2"/>
  <c r="G277" i="2"/>
  <c r="I276" i="2"/>
  <c r="G276" i="2"/>
  <c r="I275" i="2"/>
  <c r="G275" i="2"/>
  <c r="I274" i="2"/>
  <c r="G274" i="2"/>
  <c r="I273" i="2"/>
  <c r="G273" i="2"/>
  <c r="I272" i="2"/>
  <c r="G272" i="2"/>
  <c r="I271" i="2"/>
  <c r="G271" i="2"/>
  <c r="I270" i="2"/>
  <c r="G270" i="2"/>
  <c r="I269" i="2"/>
  <c r="G269" i="2"/>
  <c r="I268" i="2"/>
  <c r="G268" i="2"/>
  <c r="I267" i="2"/>
  <c r="G267" i="2"/>
  <c r="I266" i="2"/>
  <c r="G266" i="2"/>
  <c r="I265" i="2"/>
  <c r="G265" i="2"/>
  <c r="I264" i="2"/>
  <c r="G264" i="2"/>
  <c r="I263" i="2"/>
  <c r="G263" i="2"/>
  <c r="I262" i="2"/>
  <c r="G262" i="2"/>
  <c r="I261" i="2"/>
  <c r="G261" i="2"/>
  <c r="I260" i="2"/>
  <c r="G260" i="2"/>
  <c r="I259" i="2"/>
  <c r="G259" i="2"/>
  <c r="I258" i="2"/>
  <c r="G258" i="2"/>
  <c r="I257" i="2"/>
  <c r="G257" i="2"/>
  <c r="I256" i="2"/>
  <c r="G256" i="2"/>
  <c r="I255" i="2"/>
  <c r="G255" i="2"/>
  <c r="I254" i="2"/>
  <c r="G254" i="2"/>
  <c r="I253" i="2"/>
  <c r="G253" i="2"/>
  <c r="I252" i="2"/>
  <c r="G252" i="2"/>
  <c r="I251" i="2"/>
  <c r="G251" i="2"/>
  <c r="I250" i="2"/>
  <c r="G250" i="2"/>
  <c r="I249" i="2"/>
  <c r="G249" i="2"/>
  <c r="I248" i="2"/>
  <c r="G248" i="2"/>
  <c r="I247" i="2"/>
  <c r="G247" i="2"/>
  <c r="I246" i="2"/>
  <c r="G246" i="2"/>
  <c r="I245" i="2"/>
  <c r="G245" i="2"/>
  <c r="I244" i="2"/>
  <c r="G244" i="2"/>
  <c r="I243" i="2"/>
  <c r="G243" i="2"/>
  <c r="I242" i="2"/>
  <c r="G242" i="2"/>
  <c r="I241" i="2"/>
  <c r="G241" i="2"/>
  <c r="I240" i="2"/>
  <c r="G240" i="2"/>
  <c r="I239" i="2"/>
  <c r="G239" i="2"/>
  <c r="I238" i="2"/>
  <c r="G238" i="2"/>
  <c r="I237" i="2"/>
  <c r="G237" i="2"/>
  <c r="I236" i="2"/>
  <c r="G236" i="2"/>
  <c r="I235" i="2"/>
  <c r="G235" i="2"/>
  <c r="I234" i="2"/>
  <c r="G234" i="2"/>
  <c r="I233" i="2"/>
  <c r="G233" i="2"/>
  <c r="I232" i="2"/>
  <c r="G232" i="2"/>
  <c r="I231" i="2"/>
  <c r="G231" i="2"/>
  <c r="I230" i="2"/>
  <c r="G230" i="2"/>
  <c r="I229" i="2"/>
  <c r="G229" i="2"/>
  <c r="I228" i="2"/>
  <c r="G228" i="2"/>
  <c r="I227" i="2"/>
  <c r="G227" i="2"/>
  <c r="I226" i="2"/>
  <c r="G226" i="2"/>
  <c r="I225" i="2"/>
  <c r="G225" i="2"/>
  <c r="I224" i="2"/>
  <c r="G224" i="2"/>
  <c r="I223" i="2"/>
  <c r="G223" i="2"/>
  <c r="I222" i="2"/>
  <c r="G222" i="2"/>
  <c r="I221" i="2"/>
  <c r="G221" i="2"/>
  <c r="I220" i="2"/>
  <c r="G220" i="2"/>
  <c r="I219" i="2"/>
  <c r="G219" i="2"/>
  <c r="I218" i="2"/>
  <c r="G218" i="2"/>
  <c r="I217" i="2"/>
  <c r="G217" i="2"/>
  <c r="I216" i="2"/>
  <c r="G216" i="2"/>
  <c r="I140" i="2"/>
  <c r="G140" i="2"/>
  <c r="I215" i="2"/>
  <c r="G215" i="2"/>
  <c r="I214" i="2"/>
  <c r="G214" i="2"/>
  <c r="I213" i="2"/>
  <c r="G213" i="2"/>
  <c r="I212" i="2"/>
  <c r="G212" i="2"/>
  <c r="I211" i="2"/>
  <c r="G211" i="2"/>
  <c r="I210" i="2"/>
  <c r="G210" i="2"/>
  <c r="I209" i="2"/>
  <c r="G209" i="2"/>
  <c r="I208" i="2"/>
  <c r="G208" i="2"/>
  <c r="I207" i="2"/>
  <c r="G207" i="2"/>
  <c r="I206" i="2"/>
  <c r="G206" i="2"/>
  <c r="I205" i="2"/>
  <c r="G205" i="2"/>
  <c r="I204" i="2"/>
  <c r="G204" i="2"/>
  <c r="I203" i="2"/>
  <c r="G203" i="2"/>
  <c r="I202" i="2"/>
  <c r="G202" i="2"/>
  <c r="I201" i="2"/>
  <c r="G201" i="2"/>
  <c r="I200" i="2"/>
  <c r="G200" i="2"/>
  <c r="I199" i="2"/>
  <c r="G199" i="2"/>
  <c r="I198" i="2"/>
  <c r="G198" i="2"/>
  <c r="I197" i="2"/>
  <c r="G197" i="2"/>
  <c r="I196" i="2"/>
  <c r="G196" i="2"/>
  <c r="I195" i="2"/>
  <c r="G195" i="2"/>
  <c r="I194" i="2"/>
  <c r="G194" i="2"/>
  <c r="I193" i="2"/>
  <c r="G193" i="2"/>
  <c r="I192" i="2"/>
  <c r="G192" i="2"/>
  <c r="I191" i="2"/>
  <c r="G191" i="2"/>
  <c r="I190" i="2"/>
  <c r="G190" i="2"/>
  <c r="I189" i="2"/>
  <c r="G189" i="2"/>
  <c r="I188" i="2"/>
  <c r="G188" i="2"/>
  <c r="I187" i="2"/>
  <c r="G187" i="2"/>
  <c r="I186" i="2"/>
  <c r="G186" i="2"/>
  <c r="I185" i="2"/>
  <c r="G185" i="2"/>
  <c r="I184" i="2"/>
  <c r="G184" i="2"/>
  <c r="I183" i="2"/>
  <c r="G183" i="2"/>
  <c r="I182" i="2"/>
  <c r="G182" i="2"/>
  <c r="I168" i="2"/>
  <c r="G168" i="2"/>
  <c r="I167" i="2"/>
  <c r="G167" i="2"/>
  <c r="I166" i="2"/>
  <c r="G166" i="2"/>
  <c r="I181" i="2"/>
  <c r="G181" i="2"/>
  <c r="I180" i="2"/>
  <c r="G180" i="2"/>
  <c r="I179" i="2"/>
  <c r="G179" i="2"/>
  <c r="I111" i="2"/>
  <c r="G111" i="2"/>
  <c r="I86" i="2"/>
  <c r="G86" i="2"/>
  <c r="I178" i="2"/>
  <c r="G178" i="2"/>
  <c r="I177" i="2"/>
  <c r="G177" i="2"/>
  <c r="I176" i="2"/>
  <c r="G176" i="2"/>
  <c r="I175" i="2"/>
  <c r="G175" i="2"/>
  <c r="I174" i="2"/>
  <c r="G174" i="2"/>
  <c r="I173" i="2"/>
  <c r="G173" i="2"/>
  <c r="I70" i="2"/>
  <c r="G70" i="2"/>
  <c r="I49" i="2"/>
  <c r="G49" i="2"/>
  <c r="I81" i="2"/>
  <c r="G81" i="2"/>
  <c r="I75" i="2"/>
  <c r="G75" i="2"/>
  <c r="I16" i="2"/>
  <c r="G16" i="2"/>
  <c r="I15" i="2"/>
  <c r="G15" i="2"/>
  <c r="I74" i="2"/>
  <c r="G74" i="2"/>
  <c r="I73" i="2"/>
  <c r="G73" i="2"/>
  <c r="I3" i="2"/>
  <c r="G3" i="2"/>
  <c r="I67" i="2"/>
  <c r="G67" i="2"/>
  <c r="I117" i="2"/>
  <c r="G117" i="2"/>
  <c r="I116" i="2"/>
  <c r="G116" i="2"/>
  <c r="I37" i="2"/>
  <c r="G37" i="2"/>
  <c r="I113" i="2"/>
  <c r="G113" i="2"/>
  <c r="I172" i="2"/>
  <c r="G172" i="2"/>
  <c r="I139" i="2"/>
  <c r="G139" i="2"/>
  <c r="I138" i="2"/>
  <c r="G138" i="2"/>
  <c r="I137" i="2"/>
  <c r="G137" i="2"/>
  <c r="I136" i="2"/>
  <c r="G136" i="2"/>
  <c r="I171" i="2"/>
  <c r="G171" i="2"/>
  <c r="I170" i="2"/>
  <c r="G170" i="2"/>
  <c r="I135" i="2"/>
  <c r="G135" i="2"/>
  <c r="I134" i="2"/>
  <c r="G134" i="2"/>
  <c r="I133" i="2"/>
  <c r="G133" i="2"/>
  <c r="I132" i="2"/>
  <c r="G132" i="2"/>
  <c r="I131" i="2"/>
  <c r="G131" i="2"/>
  <c r="I130" i="2"/>
  <c r="G130" i="2"/>
  <c r="I129" i="2"/>
  <c r="G129" i="2"/>
  <c r="I110" i="2"/>
  <c r="G110" i="2"/>
  <c r="I109" i="2"/>
  <c r="G109" i="2"/>
  <c r="I127" i="2"/>
  <c r="G127" i="2"/>
  <c r="I161" i="2"/>
  <c r="G161" i="2"/>
  <c r="I92" i="2"/>
  <c r="G92" i="2"/>
  <c r="I91" i="2"/>
  <c r="G91" i="2"/>
  <c r="I63" i="2"/>
  <c r="G63" i="2"/>
  <c r="I34" i="2"/>
  <c r="G34" i="2"/>
  <c r="I33" i="2"/>
  <c r="G33" i="2"/>
  <c r="I78" i="2"/>
  <c r="G78" i="2"/>
  <c r="I100" i="2"/>
  <c r="G100" i="2"/>
  <c r="I128" i="2"/>
  <c r="G128" i="2"/>
  <c r="I99" i="2"/>
  <c r="G99" i="2"/>
  <c r="I98" i="2"/>
  <c r="G98" i="2"/>
  <c r="I59" i="2"/>
  <c r="G59" i="2"/>
  <c r="I58" i="2"/>
  <c r="G58" i="2"/>
  <c r="I89" i="2"/>
  <c r="G89" i="2"/>
  <c r="I48" i="2"/>
  <c r="G48" i="2"/>
  <c r="I47" i="2"/>
  <c r="G47" i="2"/>
  <c r="I45" i="2"/>
  <c r="G45" i="2"/>
  <c r="I44" i="2"/>
  <c r="G44" i="2"/>
  <c r="I12" i="2"/>
  <c r="G12" i="2"/>
  <c r="I46" i="2"/>
  <c r="G46" i="2"/>
  <c r="I9" i="2"/>
  <c r="G9" i="2"/>
  <c r="I11" i="2"/>
  <c r="G11" i="2"/>
  <c r="I8" i="2"/>
  <c r="G8" i="2"/>
  <c r="I10" i="2"/>
  <c r="G10" i="2"/>
  <c r="I7" i="2"/>
  <c r="G7" i="2"/>
  <c r="I14" i="2"/>
  <c r="G14" i="2"/>
  <c r="I52" i="2"/>
  <c r="G52" i="2"/>
  <c r="I13" i="2"/>
  <c r="G13" i="2"/>
  <c r="I6" i="2"/>
  <c r="G6" i="2"/>
  <c r="I5" i="2"/>
  <c r="G5" i="2"/>
  <c r="I68" i="2"/>
  <c r="G68" i="2"/>
  <c r="I107" i="2"/>
  <c r="G107" i="2"/>
  <c r="I85" i="2"/>
  <c r="G85" i="2"/>
  <c r="I62" i="2"/>
  <c r="G62" i="2"/>
  <c r="I61" i="2"/>
  <c r="G61" i="2"/>
  <c r="I106" i="2"/>
  <c r="G106" i="2"/>
  <c r="I96" i="2"/>
  <c r="G96" i="2"/>
  <c r="I84" i="2"/>
  <c r="G84" i="2"/>
  <c r="I82" i="2"/>
  <c r="G82" i="2"/>
  <c r="I302" i="2" l="1"/>
  <c r="I308" i="2"/>
  <c r="I314" i="2"/>
  <c r="I320" i="2"/>
  <c r="I120" i="2"/>
  <c r="I331" i="2"/>
  <c r="I303" i="2"/>
  <c r="I309" i="2"/>
  <c r="I315" i="2"/>
  <c r="I321" i="2"/>
  <c r="I326" i="2"/>
  <c r="I304" i="2"/>
  <c r="I310" i="2"/>
  <c r="I316" i="2"/>
  <c r="I322" i="2"/>
  <c r="I327" i="2"/>
  <c r="I333" i="2"/>
  <c r="I332" i="2"/>
  <c r="I305" i="2"/>
  <c r="I311" i="2"/>
  <c r="I317" i="2"/>
  <c r="I323" i="2"/>
  <c r="I328" i="2"/>
  <c r="I334" i="2"/>
  <c r="I300" i="2"/>
  <c r="I306" i="2"/>
  <c r="I312" i="2"/>
  <c r="I318" i="2"/>
  <c r="I324" i="2"/>
  <c r="I329" i="2"/>
  <c r="I301" i="2"/>
  <c r="I307" i="2"/>
  <c r="I313" i="2"/>
  <c r="I319" i="2"/>
  <c r="I325" i="2"/>
  <c r="I330" i="2"/>
  <c r="J460" i="5" l="1"/>
  <c r="O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Godoy Rojas Nicolas Andres, CLAROCHILE</author>
  </authors>
  <commentList>
    <comment ref="T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PORTABILIDAD</t>
        </r>
      </text>
    </comment>
  </commentList>
</comments>
</file>

<file path=xl/sharedStrings.xml><?xml version="1.0" encoding="utf-8"?>
<sst xmlns="http://schemas.openxmlformats.org/spreadsheetml/2006/main" count="26923" uniqueCount="4760">
  <si>
    <t>Creación Equipo</t>
  </si>
  <si>
    <t>Modificción de Valor</t>
  </si>
  <si>
    <t>Canales Masivos 
(Tarjeta de Crédito, 
Débito y Efectivo)</t>
  </si>
  <si>
    <t>Contado (Tarjeta de Crédito, Débito y Efectivo) Solo CAC</t>
  </si>
  <si>
    <t>Financiamiento</t>
  </si>
  <si>
    <t>ClaroUp (Cliente a los 12 meses puede renovar o esperar a los 24 meses pagando 12 cuotas más para que el equipo sea propio)</t>
  </si>
  <si>
    <t>Valor Full Contado</t>
  </si>
  <si>
    <t>Seguros de Protección Móvil</t>
  </si>
  <si>
    <t>Precio Liberado/ Prepago</t>
  </si>
  <si>
    <t>Precio Equipo + Plan Contado</t>
  </si>
  <si>
    <t>Precio Recambio Contado</t>
  </si>
  <si>
    <t>Portabilidad</t>
  </si>
  <si>
    <t>Recambio</t>
  </si>
  <si>
    <t>MAX L Libre (2)</t>
  </si>
  <si>
    <t>MAX XL Libre (3)</t>
  </si>
  <si>
    <t>MAX Libre Pro (4-5-6)</t>
  </si>
  <si>
    <t>Generación</t>
  </si>
  <si>
    <t>UP</t>
  </si>
  <si>
    <t>Phone Protect</t>
  </si>
  <si>
    <t>Ord</t>
  </si>
  <si>
    <t>Sku</t>
  </si>
  <si>
    <t>Sku Pre</t>
  </si>
  <si>
    <t>Marca</t>
  </si>
  <si>
    <t>Modelo Master</t>
  </si>
  <si>
    <t>Modelo Técnico</t>
  </si>
  <si>
    <t>Modelo Comercial</t>
  </si>
  <si>
    <t>Valor Full 
contratando 
un plan</t>
  </si>
  <si>
    <t>Estándar</t>
  </si>
  <si>
    <t>Max</t>
  </si>
  <si>
    <t>Precio Referencial</t>
  </si>
  <si>
    <t>Contado</t>
  </si>
  <si>
    <t>24 Cuotas 
con TC</t>
  </si>
  <si>
    <t>Pie</t>
  </si>
  <si>
    <t>18 cuotas 
(Segmento Personas)</t>
  </si>
  <si>
    <t>12 Cuotas</t>
  </si>
  <si>
    <t>Total</t>
  </si>
  <si>
    <t>Total QA</t>
  </si>
  <si>
    <t>Pie + 12 Cuotas</t>
  </si>
  <si>
    <t>5G</t>
  </si>
  <si>
    <t>NO</t>
  </si>
  <si>
    <t>SI</t>
  </si>
  <si>
    <t>HONOR</t>
  </si>
  <si>
    <t>HOR MAGIC7LT512G TK POST + PARL + AUDIF</t>
  </si>
  <si>
    <t>No Disp</t>
  </si>
  <si>
    <t>Magic 7 Lite 5G 512GB Parlante Titanium Black</t>
  </si>
  <si>
    <t>Magic 7 lite 5G 512GB Titanium Black</t>
  </si>
  <si>
    <t>SAMSUNG</t>
  </si>
  <si>
    <t>S25 128GB</t>
  </si>
  <si>
    <t>SMG GS25128S931DS YN POST</t>
  </si>
  <si>
    <t>S25 128GB Navy</t>
  </si>
  <si>
    <t>SMG GS25128S931DS MT POST</t>
  </si>
  <si>
    <t>S25 128GB Menta</t>
  </si>
  <si>
    <t>SMG GS25128S931DS IN POST</t>
  </si>
  <si>
    <t>S25 128GB Ice Blue</t>
  </si>
  <si>
    <t>SMG GS25128S931DS SH POST</t>
  </si>
  <si>
    <t>S25 128GB Silver Shadow</t>
  </si>
  <si>
    <t>S24 FE 5G 256GB</t>
  </si>
  <si>
    <t>SMG GXS24FE256GDS GP POST</t>
  </si>
  <si>
    <t>S24 FE 5G 256GB Graphite</t>
  </si>
  <si>
    <t>SMG GXS24FE256GDS GA POST</t>
  </si>
  <si>
    <t>S24 FE 5G 256GB Gray</t>
  </si>
  <si>
    <t>SMG GXS24FE256GDS BK POST</t>
  </si>
  <si>
    <t>S24 FE 5G 256GB Black</t>
  </si>
  <si>
    <t>APPLE</t>
  </si>
  <si>
    <t>iPhone 16e 128GB</t>
  </si>
  <si>
    <t>APP IPHON16E128GB BK POST</t>
  </si>
  <si>
    <t>iPhone 16e 128GB Black</t>
  </si>
  <si>
    <t>APP IPHON16E128GB WH POST</t>
  </si>
  <si>
    <t>iPhone 16e 128GB White</t>
  </si>
  <si>
    <t>S25 Ultra 256GB</t>
  </si>
  <si>
    <t>SMG GS25U256S93DS TK POST</t>
  </si>
  <si>
    <t>S25 Ultra 256GB Titanium Black</t>
  </si>
  <si>
    <t>SMG GS25U256S93DS TY POST</t>
  </si>
  <si>
    <t>S25 Ultra 256GB Titanium Gray</t>
  </si>
  <si>
    <t>SMG GS25U256S93DS IS POST</t>
  </si>
  <si>
    <t>S25 Ultra 256GB Titanium Silver Blue</t>
  </si>
  <si>
    <t>SMG GS25U256S93DS WS POST</t>
  </si>
  <si>
    <t>S25 Ultra 256GB Titanium White Silver</t>
  </si>
  <si>
    <t>SMG GS25U256S93DS SH POST</t>
  </si>
  <si>
    <t>S25 Ultra 256GB Silver Shadow</t>
  </si>
  <si>
    <t>S24 FE 5G 128GB</t>
  </si>
  <si>
    <t>SMG GXS24FE128GDS GP POST</t>
  </si>
  <si>
    <t>S24 FE 5G 128GB Graphite</t>
  </si>
  <si>
    <t>SMG GXS24FE128GDS GA POST</t>
  </si>
  <si>
    <t>S24 FE 5G 128GB Gray</t>
  </si>
  <si>
    <t>SMG GXS24FE128GDS BK POST</t>
  </si>
  <si>
    <t>S24 FE 5G 128GB Black</t>
  </si>
  <si>
    <t>XIAOMI</t>
  </si>
  <si>
    <t>Redmi 13C 5G 128GB</t>
  </si>
  <si>
    <t>XIA RED13C5G128G SY POST</t>
  </si>
  <si>
    <t>Redmi 13C 5G 128GB Starry Black</t>
  </si>
  <si>
    <t>Iphone 13 128GB</t>
  </si>
  <si>
    <t>APP IPH13128GBGR GE POST</t>
  </si>
  <si>
    <t>APP IPH13128GPK RS POST</t>
  </si>
  <si>
    <t>APP IPH13128GSL SL POST</t>
  </si>
  <si>
    <t>APP IPH13128GMN MN POST</t>
  </si>
  <si>
    <t>X6B 5G 256GB</t>
  </si>
  <si>
    <t>HOR X6B 5G 256GB MK POST</t>
  </si>
  <si>
    <t>X6B 5G 256GB Midnight Black</t>
  </si>
  <si>
    <t>A16 5G 128GB</t>
  </si>
  <si>
    <t>SMG GXA16128/6GDS KB POST</t>
  </si>
  <si>
    <t>A16 5G 128GB Blue Black</t>
  </si>
  <si>
    <t>4G</t>
  </si>
  <si>
    <t>A06 128GB</t>
  </si>
  <si>
    <t>SMG GA061284A65DS GD POST</t>
  </si>
  <si>
    <t>A06 128GB Gold</t>
  </si>
  <si>
    <t>SMG GA061284A65DS LG POST</t>
  </si>
  <si>
    <t>A06 128GB Light Green</t>
  </si>
  <si>
    <t>SMG GA061284A65DS BK POST</t>
  </si>
  <si>
    <t>A06 128GB Black</t>
  </si>
  <si>
    <t>SMG GA061284A65DS LB POST</t>
  </si>
  <si>
    <t>A06 128GB Light Blue</t>
  </si>
  <si>
    <t>ZTE</t>
  </si>
  <si>
    <t>A75 5G 128GB</t>
  </si>
  <si>
    <t>ZTE A75 128GB NG POST</t>
  </si>
  <si>
    <t>A35 64GB</t>
  </si>
  <si>
    <t>ZTE A35 64GB SY POST</t>
  </si>
  <si>
    <t>A35 64GB Starry Black</t>
  </si>
  <si>
    <t>ZTE A35 64GB LN POST</t>
  </si>
  <si>
    <t>A35 64GB Clover Green</t>
  </si>
  <si>
    <t>Nubia Neo 2 256GB</t>
  </si>
  <si>
    <t>ZTE NUBIANEO2256G AM POST</t>
  </si>
  <si>
    <t>ZTE NUBIANEO2256G GR POST</t>
  </si>
  <si>
    <t>S25 256GB</t>
  </si>
  <si>
    <t xml:space="preserve">SMG GS25256G931DS SH POST               </t>
  </si>
  <si>
    <t>S25 256GB Silver Shadow</t>
  </si>
  <si>
    <t xml:space="preserve">XIA RDNT14PRP256G MK POST               </t>
  </si>
  <si>
    <t>Redmi Note 14 Pro Plus 5g 256GB Midnight Black</t>
  </si>
  <si>
    <t>Redmi Note 14 Pro 5G 256GB</t>
  </si>
  <si>
    <t xml:space="preserve">XIA RDNT14PR5G256 MK POST               </t>
  </si>
  <si>
    <t>Redmi Note 14 Pro 5G 256GB Midnight Black</t>
  </si>
  <si>
    <t>MOTOROLA</t>
  </si>
  <si>
    <t>G35 5G 128GB</t>
  </si>
  <si>
    <t xml:space="preserve">MOT MTG35128GXT24 NG POST               </t>
  </si>
  <si>
    <t>G35 5G 128GB Negro</t>
  </si>
  <si>
    <t>iPhone 16 Pro Max 512GB</t>
  </si>
  <si>
    <t>APP IPH16PM512GB BF POST</t>
  </si>
  <si>
    <t>iPhone 16 Pro Max 512GB Black Titanium</t>
  </si>
  <si>
    <t>Magic 7 Lite 512GB Bundle Titanium Black</t>
  </si>
  <si>
    <t>iPhone 16 128GB</t>
  </si>
  <si>
    <t>APP IPHONE16128GB PY POST</t>
  </si>
  <si>
    <t>iPhone 16 128GB Pink</t>
  </si>
  <si>
    <t>H200 Smart 5G 256GB</t>
  </si>
  <si>
    <t>HOR 200SMART256GB FG POST</t>
  </si>
  <si>
    <t>H200 Smart 5G 256GB Forest Green</t>
  </si>
  <si>
    <t>SMG GS25256G931DS YN POST</t>
  </si>
  <si>
    <t>S25 256GB Navy</t>
  </si>
  <si>
    <t>SMG GS25256G931DS IN POST</t>
  </si>
  <si>
    <t>S25 256GB Ice Blue</t>
  </si>
  <si>
    <t>SMG GS25256G931DS MT POST</t>
  </si>
  <si>
    <t>S25 256GB Menta</t>
  </si>
  <si>
    <t>S25 Plus 256GB</t>
  </si>
  <si>
    <t>SMG GS25PL256S9DS YN POST</t>
  </si>
  <si>
    <t>S25 Plus 256GB Navy</t>
  </si>
  <si>
    <t>SMG GS25PL256S9DS MT POST</t>
  </si>
  <si>
    <t>S25 Plus 256GB Menta</t>
  </si>
  <si>
    <t>SMG GS25PL256S9DS IN POST</t>
  </si>
  <si>
    <t>S25 Plus 256GB Ice Blue</t>
  </si>
  <si>
    <t>Redmi Note 14 5G 256GB</t>
  </si>
  <si>
    <t>XIA REDNT145G256G MK POST</t>
  </si>
  <si>
    <t>Redmi Note 14 5G 256GB Midnight Black</t>
  </si>
  <si>
    <t>XIA REDNT145G256G LP POST</t>
  </si>
  <si>
    <t>Redmi Note 14 5G 256GB Lavender Purple</t>
  </si>
  <si>
    <t>XIA REDNT145G256G C_ POST</t>
  </si>
  <si>
    <t>Redmi Note 14 5G 256GB Coral Green</t>
  </si>
  <si>
    <t>SMG GS25PL256S9DS SH POST</t>
  </si>
  <si>
    <t>S25 Plus 256GB Silver Shadow</t>
  </si>
  <si>
    <t>XIA RDNT14PR5G256 MK POST+SOUND POCKET5W</t>
  </si>
  <si>
    <t>Redmi Note 14 Pro 5G 256GB Bundle Midnight Black</t>
  </si>
  <si>
    <t>XIA RDNT14PRP256G MK POST+SOUND POCKET5W</t>
  </si>
  <si>
    <t>Redmi Note 14 Pro Plus 5G 256GB Bundle Midnight Black</t>
  </si>
  <si>
    <t>VIVO</t>
  </si>
  <si>
    <t>VI V40 SE 256GB SV POST</t>
  </si>
  <si>
    <t>V40 SE 5G 256GB Silver</t>
  </si>
  <si>
    <t>A35 64GB Porta</t>
  </si>
  <si>
    <t>ZTE A35 64GB SY PORTA</t>
  </si>
  <si>
    <t>XIA 14T 512GB TC POST + SOUND POCKET</t>
  </si>
  <si>
    <t>14T 512GB + SP Titan Black</t>
  </si>
  <si>
    <t>VI V40 SE 256GB BK POST</t>
  </si>
  <si>
    <t>V40 SE 5G 256GB Black</t>
  </si>
  <si>
    <t>APP IPHONE16256GB BK POST</t>
  </si>
  <si>
    <t>iPhone 16 256GB Black</t>
  </si>
  <si>
    <t>iPhone 16 Pro Max 256GB</t>
  </si>
  <si>
    <t>APP IPH16PM256GB BF POST</t>
  </si>
  <si>
    <t>iPhone 16 Pro Max 256GB Black Titanium</t>
  </si>
  <si>
    <t>APP IP16PLUS128GB BK POST</t>
  </si>
  <si>
    <t>iPhone 16 Plus 128GB Black</t>
  </si>
  <si>
    <t>H90 Smart 256GB</t>
  </si>
  <si>
    <t>HOR 90SMART256GB PL POST</t>
  </si>
  <si>
    <t>H90 Smart 256GB Plata</t>
  </si>
  <si>
    <t>VI V40 SE 256GB SV POST + AUD TWS 3E</t>
  </si>
  <si>
    <t>V40 SE 5G 256GB + Tws 3e Silver</t>
  </si>
  <si>
    <t>VI V40 SE 256GB BK POST + AUD TWS 3E</t>
  </si>
  <si>
    <t>V40 SE 5G 256GB + Tws 3e Black</t>
  </si>
  <si>
    <t>APP IPHONE16128GB UL POST</t>
  </si>
  <si>
    <t>APP IPHONE16128GB BK POST</t>
  </si>
  <si>
    <t>iPhone 16 128GB Black</t>
  </si>
  <si>
    <t>iPhone 16 Pro 256GB</t>
  </si>
  <si>
    <t>APP IPH16PRO256GB BF POST</t>
  </si>
  <si>
    <t>iPhone 16 Pro 128GB</t>
  </si>
  <si>
    <t>APP IPH16PRO128GB NF POST</t>
  </si>
  <si>
    <t>APP IPH16PRO128GB DF POST</t>
  </si>
  <si>
    <t>APP IPH16PRO128GB BF POST</t>
  </si>
  <si>
    <t>APP IPH16PM256GB NF POST</t>
  </si>
  <si>
    <t>APP IPH16PM256GB DF POST</t>
  </si>
  <si>
    <t>G24 Power 256GB</t>
  </si>
  <si>
    <t>MOT MTG24P256/4GB ZG POST</t>
  </si>
  <si>
    <t>G24 Power 256GB Azul Glaciar</t>
  </si>
  <si>
    <t>H200 5G 256GB</t>
  </si>
  <si>
    <t>HOR 200 256GB EG POST</t>
  </si>
  <si>
    <t>H200 5G 256GB Emerald Green</t>
  </si>
  <si>
    <t>A25 5G 128GB</t>
  </si>
  <si>
    <t>SMG GXYA25128/6DS KB POST</t>
  </si>
  <si>
    <t>A25 5G 128GB Blue Black</t>
  </si>
  <si>
    <t>VI Y28S 256GB NG POST</t>
  </si>
  <si>
    <t>Y28S 5G 256GB Negro</t>
  </si>
  <si>
    <t>VI Y28S 256GB MR POST</t>
  </si>
  <si>
    <t>Y28S 5G 256GB Morado</t>
  </si>
  <si>
    <t>14T 512GB</t>
  </si>
  <si>
    <t>XIA 14T 512GB TC POST</t>
  </si>
  <si>
    <t>14T 512GB Titan Black</t>
  </si>
  <si>
    <t>XIA 14T 512GB TC POST + GIFT BOX</t>
  </si>
  <si>
    <t>14T 512GB + GB Titan Black</t>
  </si>
  <si>
    <t>ZTE FOCUSPR256/8G NG POST + KIT FOTO</t>
  </si>
  <si>
    <t>Nubia Focus Pro 256GB + KF Negro</t>
  </si>
  <si>
    <t>ZTE A75 128GB NG ECOM</t>
  </si>
  <si>
    <t>A75 5G 128GB EC Negro</t>
  </si>
  <si>
    <t>ZTE BLADEA54128GB GR POST</t>
  </si>
  <si>
    <t>Blade A54 128GB Gris</t>
  </si>
  <si>
    <t>OPPO</t>
  </si>
  <si>
    <t>OPP A79 256GB DZ POST</t>
  </si>
  <si>
    <t>A79 5G 256GB Dazzling Purple</t>
  </si>
  <si>
    <t>VI Y38 256GB AZ POST</t>
  </si>
  <si>
    <t>Y38 5G 256GB Azul</t>
  </si>
  <si>
    <t>Edge 50 Fusion 256GB</t>
  </si>
  <si>
    <t>MOT EDGE50FUS256G RL POST</t>
  </si>
  <si>
    <t>Edge 50 Fusion 256GB Relucent Blue</t>
  </si>
  <si>
    <t>MOT EDGE50PRO512G KU POST</t>
  </si>
  <si>
    <t>Edge 50 Pro 512GB Black Beauty</t>
  </si>
  <si>
    <t>H200 Lite 256GB</t>
  </si>
  <si>
    <t>HOR 200 LITE 256G MK POST</t>
  </si>
  <si>
    <t>H200 Lite 256GB Midnight Black</t>
  </si>
  <si>
    <t>VI Y38 256GB NG POST</t>
  </si>
  <si>
    <t>Y38 5G 256GB Negro</t>
  </si>
  <si>
    <t>MOT MTG85256GXT24 GR POST</t>
  </si>
  <si>
    <t>G85 5G 256GB Gris</t>
  </si>
  <si>
    <t>ZTE FOCUSPR256/8G NG POST</t>
  </si>
  <si>
    <t>Nubia Focus Pro 256GB Negro</t>
  </si>
  <si>
    <t>ZTE NUBIAFOCUS256 NG POST</t>
  </si>
  <si>
    <t>Nubia Focus 256GB Negro</t>
  </si>
  <si>
    <t>MOT MTG24P256/4GB AE ECOM</t>
  </si>
  <si>
    <t>G24 Power 256GB EC Azul Medianoche</t>
  </si>
  <si>
    <t>ZTE AXON 50 256GB VR POST + SPEAKER</t>
  </si>
  <si>
    <t>Axon 50 256GB + Speaker Verde</t>
  </si>
  <si>
    <t>SMG GA35256A356DS WN ECOM</t>
  </si>
  <si>
    <t>A35 5G 256GB EC Awesome Navy</t>
  </si>
  <si>
    <t>SMG GA155G128/4DS KB ECOM</t>
  </si>
  <si>
    <t>A15 5G 128GB EC Blue Black</t>
  </si>
  <si>
    <t>SMG GXA55G12A556D WN ECOM</t>
  </si>
  <si>
    <t>A55 5G 128GB EC Awesome Navy</t>
  </si>
  <si>
    <t>OPP A38 128GB NG POST</t>
  </si>
  <si>
    <t>A38 128GB Negro</t>
  </si>
  <si>
    <t>ZTE AXON 50 256GB NG POST + SPEAKER</t>
  </si>
  <si>
    <t>Axon 50 256GB + Speaker Negro</t>
  </si>
  <si>
    <t>Redmi 13C 5G 256GB</t>
  </si>
  <si>
    <t>XIA REDM13C5G256 BK POST</t>
  </si>
  <si>
    <t>Redmi 13C 5G 256GB Black</t>
  </si>
  <si>
    <t>HOR 90SMART256GB EG POST</t>
  </si>
  <si>
    <t>H90 Smart 256GB Emerald Green</t>
  </si>
  <si>
    <t>A55 5G 256GB</t>
  </si>
  <si>
    <t>SMG GA55256A556DS WN POST</t>
  </si>
  <si>
    <t>A55 5G 256GB Awesome Navy</t>
  </si>
  <si>
    <t>A55 5G 128GB</t>
  </si>
  <si>
    <t>SMG GXA55G12A556D WN POST</t>
  </si>
  <si>
    <t>A55 5G 128GB Awesome Navy</t>
  </si>
  <si>
    <t>A35 5G 256GB</t>
  </si>
  <si>
    <t>SMG GA35256A356DS WN POST</t>
  </si>
  <si>
    <t>A35 5G 256GB Awesome Navy</t>
  </si>
  <si>
    <t>SMG GA55256A556DS WI POST</t>
  </si>
  <si>
    <t>A55 5G 256GB Awesome Iceblue</t>
  </si>
  <si>
    <t>SMG GXA55G12A556D WI POST</t>
  </si>
  <si>
    <t>A55 5G 128GB Awesome Iceblue</t>
  </si>
  <si>
    <t>SMG GA35256A356DS WI POST</t>
  </si>
  <si>
    <t>A35 5G 256GB Awesome Iceblue</t>
  </si>
  <si>
    <t>A35 5G 128GB</t>
  </si>
  <si>
    <t>SMG GXYA35128/6GD WI POST</t>
  </si>
  <si>
    <t>A35 5G 128GB Awesome Iceblue</t>
  </si>
  <si>
    <t>SMG GXYA35128/6GD WN POST + CARGADOR 25W</t>
  </si>
  <si>
    <t>A35 5G 128GB + Cargador Awesome Navy</t>
  </si>
  <si>
    <t>SMG GXYA35128/6GD WN POST</t>
  </si>
  <si>
    <t>A35 5G 128GB Awesome Navy</t>
  </si>
  <si>
    <t>SMG GA55256A556DS WN POST + BUDS FE BL</t>
  </si>
  <si>
    <t>A55 5G 256GB + Buds FE Awesome Navy Blanco</t>
  </si>
  <si>
    <t>SMG GA55256A556DS WN POST + BUDS FE GR</t>
  </si>
  <si>
    <t>A55 5G 256GB + Buds FE Awesome Navy Gris</t>
  </si>
  <si>
    <t>SMG GXA55G12A556D WN POST + BUDS FE BL</t>
  </si>
  <si>
    <t>A55 5G 128GB + Buds FE Awesome Navy Blanco</t>
  </si>
  <si>
    <t>SMG GXA55G12A556D WN POST + BUDS FE GR</t>
  </si>
  <si>
    <t>A55 5G 128GB + Buds FE Awesome Navy Gris</t>
  </si>
  <si>
    <t>A35 5G 256GB + Cargador</t>
  </si>
  <si>
    <t>SMG GA35256A356DS WN POST + CARGADOR 25W</t>
  </si>
  <si>
    <t>A35 5G 256GB + Cargador Awesome Navy</t>
  </si>
  <si>
    <t>MOT MTG24P256/4GB AE POST</t>
  </si>
  <si>
    <t>G24 Power 256GB Azul Medianoche</t>
  </si>
  <si>
    <t>Redmi Note 13 5G 256GB</t>
  </si>
  <si>
    <t>XIA RENOT135G256G GK POST</t>
  </si>
  <si>
    <t>Redmi Note 13 5G 256GB Gris</t>
  </si>
  <si>
    <t>MOT MTG34256GXT23 NG</t>
  </si>
  <si>
    <t>G34 256GB Negro</t>
  </si>
  <si>
    <t>OPP A79 256GB NY POST</t>
  </si>
  <si>
    <t>A79 5G 256GB Mystery Black</t>
  </si>
  <si>
    <t>SMG A05 128GB BLACK ECOM</t>
  </si>
  <si>
    <t>A05 128GB EC Black</t>
  </si>
  <si>
    <t>MOT E40NEO256X230 NG POST</t>
  </si>
  <si>
    <t>Edge 40 Neo 256GB Negro</t>
  </si>
  <si>
    <t>XIA REDN13PR5G256 MK POST</t>
  </si>
  <si>
    <t>Redmi Note 13 Pro 5G 256GB Midnight Black</t>
  </si>
  <si>
    <t>XIA RENOT135G256G MK POST</t>
  </si>
  <si>
    <t>Redmi Note 13 5G 256GB Midnight Black</t>
  </si>
  <si>
    <t>XIA REDMI13C256GB NG POST</t>
  </si>
  <si>
    <t>Redmi 13C 256GB Negro</t>
  </si>
  <si>
    <t>Redmi Note 13 Pro Plus 512GB</t>
  </si>
  <si>
    <t>XIA REDNT13PRP512 MK POST</t>
  </si>
  <si>
    <t>Redmi Note 13 Pro Plus 512GB Midnight Black</t>
  </si>
  <si>
    <t>ZTE V50DESIGN256G NG POST</t>
  </si>
  <si>
    <t>V50 Design 256GB Negro</t>
  </si>
  <si>
    <t>VI Y275G128/8GB MS POST</t>
  </si>
  <si>
    <t>Y27 5G 128GB Morado Satin</t>
  </si>
  <si>
    <t>VI Y275G128/8GB MO POST</t>
  </si>
  <si>
    <t>Y27 5G 128GB Negro Místico</t>
  </si>
  <si>
    <t>VI V30 512GB AZ POST</t>
  </si>
  <si>
    <t>V30 512GB Azul</t>
  </si>
  <si>
    <t>VI V30 512GB NG POST</t>
  </si>
  <si>
    <t>V30 512GB Negro</t>
  </si>
  <si>
    <t>VI V30 LITE256GB NG POST</t>
  </si>
  <si>
    <t>V30 Lite 256GB Negro</t>
  </si>
  <si>
    <t>VI V30 LITE256GB DO POST</t>
  </si>
  <si>
    <t>V30 Lite 256GB Dorado</t>
  </si>
  <si>
    <t>SMG GA25256A256DS YE POST</t>
  </si>
  <si>
    <t>A25 5G 256GB Yellow</t>
  </si>
  <si>
    <t>SMG GA25256A256DS B1 POST</t>
  </si>
  <si>
    <t>A25 5G 256GB Blue</t>
  </si>
  <si>
    <t>SMG GA155G256GBDS KB POST</t>
  </si>
  <si>
    <t>A15 5G 256GB Blue Black</t>
  </si>
  <si>
    <t>SMG GA155G256GBDS YE POST</t>
  </si>
  <si>
    <t>A15 5G 256GB Yellow</t>
  </si>
  <si>
    <t>SMG GA25256A256DS KB POST</t>
  </si>
  <si>
    <t>A25 5G 256GB Blue Black</t>
  </si>
  <si>
    <t>A15 5G 128GB</t>
  </si>
  <si>
    <t>SMG GA155G128/4DS KB POST</t>
  </si>
  <si>
    <t>A15 5G 128GB Blue Black</t>
  </si>
  <si>
    <t>SMG GA155G128/4DS YE POST</t>
  </si>
  <si>
    <t>A15 5G 128GB Yellow</t>
  </si>
  <si>
    <t>SMG GA155G128/4DS B1 POST</t>
  </si>
  <si>
    <t>A15 5G 128GB Blue</t>
  </si>
  <si>
    <t>SMG GA155G256GBDS B1 POST</t>
  </si>
  <si>
    <t>A15 5G 256GB Blue</t>
  </si>
  <si>
    <t>A05 128GB</t>
  </si>
  <si>
    <t>SMG GA05128/4A5DS EL POST</t>
  </si>
  <si>
    <t>A05 128GB Lime</t>
  </si>
  <si>
    <t>SMG GA05128/4A5DS BK POST</t>
  </si>
  <si>
    <t>A05 128GB Black</t>
  </si>
  <si>
    <t>SMG GA05128/4A5DS SV POST</t>
  </si>
  <si>
    <t>A05 128GB Silver</t>
  </si>
  <si>
    <t>SMG GA05128/4A5DS LR POST</t>
  </si>
  <si>
    <t>A05 128GB Lavender</t>
  </si>
  <si>
    <t>S24 Plus 512GB Onyx Black</t>
  </si>
  <si>
    <t>S24 Plus 512GB Marble Gray</t>
  </si>
  <si>
    <t>S24 Plus 512GB Cobalt Violet</t>
  </si>
  <si>
    <t>S24 Plus 512GB Amber Yellow</t>
  </si>
  <si>
    <t>S24 Plus 256GB</t>
  </si>
  <si>
    <t>S24 Plus 256GB Onyx Black</t>
  </si>
  <si>
    <t>S24 Plus 256GB Marble Gray</t>
  </si>
  <si>
    <t>S24 Plus 256GB Cobalt Violet</t>
  </si>
  <si>
    <t>S24 Plus 256GB Amber Yellow</t>
  </si>
  <si>
    <t>S24 Ultra 512GB Titanium Yellow</t>
  </si>
  <si>
    <t>S24 Ultra 512GB Titanium Gray</t>
  </si>
  <si>
    <t>S24 Ultra 512GB Titanium Black</t>
  </si>
  <si>
    <t>S24 Ultra 256GB</t>
  </si>
  <si>
    <t>S24 Ultra 256GB Titanium Violet</t>
  </si>
  <si>
    <t>S24 Ultra 256GB Titanium Gray</t>
  </si>
  <si>
    <t>S24 Ultra 256GB Titanium Black</t>
  </si>
  <si>
    <t>S24 256GB</t>
  </si>
  <si>
    <t>S24 256GB Onyx Black</t>
  </si>
  <si>
    <t>S24 Ultra 256GB Titanium Yellow</t>
  </si>
  <si>
    <t>S24 256GB Marble Gray</t>
  </si>
  <si>
    <t>S24 256GB Cobalt Violet</t>
  </si>
  <si>
    <t>S24 256GB Amber Yellow</t>
  </si>
  <si>
    <t>S24 Ultra 512GB Titanium Violet</t>
  </si>
  <si>
    <t>S24 128GB Cobalt Violet</t>
  </si>
  <si>
    <t>S24 128GB Amber Yellow</t>
  </si>
  <si>
    <t>S24 128GB Onyx Black</t>
  </si>
  <si>
    <t>S24 128GB Marble Gray</t>
  </si>
  <si>
    <t>SMG GS23F256S7BDS PB POST</t>
  </si>
  <si>
    <t>S23 FE 5G 256GB Phantom Black</t>
  </si>
  <si>
    <t>SMG GS23F256S7BDS WP POST</t>
  </si>
  <si>
    <t>S23 FE 5G 256GB Phantom White</t>
  </si>
  <si>
    <t>SMG GS23F256S7BDS VR POST</t>
  </si>
  <si>
    <t>S23 FE 5G 256GB Verde</t>
  </si>
  <si>
    <t>SMG GFD512F946BDS CM POST</t>
  </si>
  <si>
    <t>Z Fold 5 512GB Crema</t>
  </si>
  <si>
    <t>Z Fold 5 256GB</t>
  </si>
  <si>
    <t>SMG GXYZFLD5256DS CM POST</t>
  </si>
  <si>
    <t>Z Fold 5 256GB Crema</t>
  </si>
  <si>
    <t>SMG GXF512F731BDS LV POST</t>
  </si>
  <si>
    <t>Z Flip 5 512GB Lavanda</t>
  </si>
  <si>
    <t>SMG GXF512F731BDS CM POST</t>
  </si>
  <si>
    <t>Z Flip 5 512GB Crema</t>
  </si>
  <si>
    <t>Z Flip 5 256GB</t>
  </si>
  <si>
    <t>SMG GXF256F731BDS LV POST</t>
  </si>
  <si>
    <t>Z Flip 5 256GB Lavanda</t>
  </si>
  <si>
    <t>Magic 6 Lite 256GB + Earbuds</t>
  </si>
  <si>
    <t>HOR MAGIC6LT256G VR POST + EARBUDS X5</t>
  </si>
  <si>
    <t>SMG GXF256F731BDS CM POST</t>
  </si>
  <si>
    <t>Z Flip 5 256GB Crema</t>
  </si>
  <si>
    <t>ZTE AXON 50 256GB VR POST</t>
  </si>
  <si>
    <t>Axon 50 256GB Verde</t>
  </si>
  <si>
    <t>V50 Design 256GB + Speaker</t>
  </si>
  <si>
    <t>ZTE V50DESIGN256G NG POST + SPEAKER</t>
  </si>
  <si>
    <t>SMG GXYA146M512DS SV POST</t>
  </si>
  <si>
    <t>A14 5G 128GB Silver</t>
  </si>
  <si>
    <t>iPhone 15 Pro Max 512GB White</t>
  </si>
  <si>
    <t>A73 128GB EC</t>
  </si>
  <si>
    <t>ZTE A73 128GB GS ECOM</t>
  </si>
  <si>
    <t>V30 Lite 256GB + TWS 3e</t>
  </si>
  <si>
    <t>VI V30 LITE256GB DO POST + TWS 3e</t>
  </si>
  <si>
    <t>iPhone 15 Pro Max 512GB Titanium</t>
  </si>
  <si>
    <t>V30 512GB + TWS 3e</t>
  </si>
  <si>
    <t>VI V30 512GB NG POST + TWS 3e</t>
  </si>
  <si>
    <t>iPhone 15 Pro Max 512GB Blue</t>
  </si>
  <si>
    <t>iPhone 15 Pro Max 512GB Black</t>
  </si>
  <si>
    <t>G14 128GB EC</t>
  </si>
  <si>
    <t>MOT MTG14128/4GXT RR ECOM</t>
  </si>
  <si>
    <t>G84 256GB</t>
  </si>
  <si>
    <t>MOT MG84256XT2347 MG POST</t>
  </si>
  <si>
    <t>G84 256GB Magenta</t>
  </si>
  <si>
    <t>MOT MG84256XT2347 AZ POST</t>
  </si>
  <si>
    <t>G84 256GB Azul</t>
  </si>
  <si>
    <t>MOT MG84256XT2347 NG POST</t>
  </si>
  <si>
    <t>G84 256GB Negro</t>
  </si>
  <si>
    <t>MOT E40NEO256X230 VR POST</t>
  </si>
  <si>
    <t>Edge 40 Neo 256GB Verde</t>
  </si>
  <si>
    <t>MOT E40NEO256X230 AZ POST</t>
  </si>
  <si>
    <t>Edge 40 Neo 256GB Azul</t>
  </si>
  <si>
    <t>Edge 40 256GB Negro Eclipse</t>
  </si>
  <si>
    <t>MOT ED40256X23031 V9 POST</t>
  </si>
  <si>
    <t>Edge 40 256GB Viva Magenta</t>
  </si>
  <si>
    <t>X6A Plus 256GB</t>
  </si>
  <si>
    <t>HOR X6A PLUS 256G PL POST</t>
  </si>
  <si>
    <t>X6A Plus 256GB Plata</t>
  </si>
  <si>
    <t>HOR X6A 128GB PF POST</t>
  </si>
  <si>
    <t>X6A 128GB Plata Estelar</t>
  </si>
  <si>
    <t>Magic 6 Lite 256GB</t>
  </si>
  <si>
    <t>HOR MAGIC6LT256G PL POST</t>
  </si>
  <si>
    <t>Magic 6 Lite 256GB Plata</t>
  </si>
  <si>
    <t>HOR MAGIC6LT256G VR POST</t>
  </si>
  <si>
    <t>Magic 6 Lite 256GB Verde</t>
  </si>
  <si>
    <t>iPhone 15 Pro 256GB</t>
  </si>
  <si>
    <t>iPhone 15 Pro 256GB White</t>
  </si>
  <si>
    <t>iPhone 15 Pro 256GB Titanium</t>
  </si>
  <si>
    <t>iPhone 15 Pro 256GB Black</t>
  </si>
  <si>
    <t>iPhone 15 Plus 128GB Green</t>
  </si>
  <si>
    <t>iPhone 15 Plus 128GB Yellow</t>
  </si>
  <si>
    <t>APP IPH15256GBYEL YE POST</t>
  </si>
  <si>
    <t>iPhone 15 256GB Yellow</t>
  </si>
  <si>
    <t>APP IPH15256GBGRE GE POST</t>
  </si>
  <si>
    <t>iPhone 15 256GB Green</t>
  </si>
  <si>
    <t>iPhone 15 128GB Yellow</t>
  </si>
  <si>
    <t>APP IPH15128GBGRE GE POST</t>
  </si>
  <si>
    <t>iPhone 15 128GB Green</t>
  </si>
  <si>
    <t>SMG GS23F128S7BDS TM ECOM</t>
  </si>
  <si>
    <t>SMG GA54256A546DS GP ECOM</t>
  </si>
  <si>
    <t>A54 5G 256GB EC Graphite</t>
  </si>
  <si>
    <t>HOR 90 LITE 256GB NG ECOM</t>
  </si>
  <si>
    <t>H90 Lite 256GB EC Negro</t>
  </si>
  <si>
    <t>SMG GA341286346DS PL ECOM</t>
  </si>
  <si>
    <t>A34 5G 128GB EC Plata</t>
  </si>
  <si>
    <t>MOT MG54256GX2343 EE ECOM</t>
  </si>
  <si>
    <t>G54 256GB EC Negro Espacial</t>
  </si>
  <si>
    <t>Y17S 128GB</t>
  </si>
  <si>
    <t>VI Y17S 128GB VB POST</t>
  </si>
  <si>
    <t>VI Y17S 128GB V8 POST</t>
  </si>
  <si>
    <t>SMG GS23U256918DS LI POST</t>
  </si>
  <si>
    <t>S23 Ultra 256GB Lila</t>
  </si>
  <si>
    <t>ZTE REDMAG8SPR256 SV POST + AUD REDMAGIC</t>
  </si>
  <si>
    <t>RED MAGIC 8S PRO 256GB Silver Bundle</t>
  </si>
  <si>
    <t>ZTE REDMAG8SPR256 SV POST</t>
  </si>
  <si>
    <t>RED MAGIC 8S PRO 256GB Silver</t>
  </si>
  <si>
    <t>ZTE AXON 50 256GB NG POST</t>
  </si>
  <si>
    <t>AXON 50 256GB Negro</t>
  </si>
  <si>
    <t>iPhone 15 Pro 128GB</t>
  </si>
  <si>
    <t>APP IP15PR128GNTT NV POST</t>
  </si>
  <si>
    <t>iPhone 15 Pro 128GB Titanium</t>
  </si>
  <si>
    <t>APP IP15PR256GBLT BD POST</t>
  </si>
  <si>
    <t>iPhone 15 Pro 256GB Blue</t>
  </si>
  <si>
    <t>APP IPH15256GBBLU B1 POST</t>
  </si>
  <si>
    <t>iPhone 15 256GB Blue</t>
  </si>
  <si>
    <t>APP IPH15256GBPIN PY POST</t>
  </si>
  <si>
    <t>iPhone 15 256GB Pink</t>
  </si>
  <si>
    <t>MOT MTG14128/4GXT RR POST</t>
  </si>
  <si>
    <t>G14 128GB Gris Acero</t>
  </si>
  <si>
    <t>MOT MG84256XT2347 ZT POST</t>
  </si>
  <si>
    <t>G84 256GB Azul Artico</t>
  </si>
  <si>
    <t>MOT MG84256XT2347 V9 POST</t>
  </si>
  <si>
    <t>G84 256GB Viva Magenta</t>
  </si>
  <si>
    <t>MOT MG84256XT2347 EE POST</t>
  </si>
  <si>
    <t>G84 256GB Negro Espacial</t>
  </si>
  <si>
    <t>APP IP15PL128GBBL B1 POST</t>
  </si>
  <si>
    <t>iPhone 15 Plus 128GB Blue</t>
  </si>
  <si>
    <t>APP IPH15128GBPIN PY POST</t>
  </si>
  <si>
    <t>iPhone 15 128GB Pink</t>
  </si>
  <si>
    <t>G54 256GB</t>
  </si>
  <si>
    <t>MOT MG54256GX2343 ZI POST</t>
  </si>
  <si>
    <t>G54 256GB Azul Indigo</t>
  </si>
  <si>
    <t>MOT MG54256GX2343 VM POST</t>
  </si>
  <si>
    <t>G54 256GB Verde Menta</t>
  </si>
  <si>
    <t>MOT MG54256GX2343 EE POST</t>
  </si>
  <si>
    <t>G54 256GB Negro Espacial</t>
  </si>
  <si>
    <t>SMG GS23F256S7BDS RA POST</t>
  </si>
  <si>
    <t>S23 FE 5G 256GB Cream</t>
  </si>
  <si>
    <t>SMG GS23F256S7BDS LE POST</t>
  </si>
  <si>
    <t>S23 FE 5G 256GB Purple</t>
  </si>
  <si>
    <t>SMG GS23F256S7BDS TM POST</t>
  </si>
  <si>
    <t>S23 FE 5G 256GB Mint</t>
  </si>
  <si>
    <t>SMG GS23F256S7BDS GF POST</t>
  </si>
  <si>
    <t>S23 FE 5G 256GB Grafito</t>
  </si>
  <si>
    <t>S23 FE 5G 128GB</t>
  </si>
  <si>
    <t>SMG GS23F128S7BDS GP POST</t>
  </si>
  <si>
    <t>S23 FE 5G 128GB Graphite</t>
  </si>
  <si>
    <t>SMG GS23F128S7BDS TM POST</t>
  </si>
  <si>
    <t>S23 FE 5G 128GB Mint</t>
  </si>
  <si>
    <t>SMG GS23F128S7BDS RA POST</t>
  </si>
  <si>
    <t>S23 FE 5G 128GB Cream</t>
  </si>
  <si>
    <t>S23 128GB</t>
  </si>
  <si>
    <t>SMG GS23128911BDS CM POST</t>
  </si>
  <si>
    <t>S23 128GB Crema</t>
  </si>
  <si>
    <t>APP IP15PM256GWHT WT POST</t>
  </si>
  <si>
    <t>iPhone 15 Pro Max 256GB White</t>
  </si>
  <si>
    <t>APP IP15PM256GBLT BD POST</t>
  </si>
  <si>
    <t>iPhone 15 Pro Max 256GB Blue</t>
  </si>
  <si>
    <t>APP IP15PR128GWHT WT POST</t>
  </si>
  <si>
    <t>iPhone 15 Pro 128GB White</t>
  </si>
  <si>
    <t>APP IP15PR128GBLT BD POST</t>
  </si>
  <si>
    <t>iPhone 15 Pro 128GB Blue</t>
  </si>
  <si>
    <t>APP IP15PR128GBKT BZ POST</t>
  </si>
  <si>
    <t>iPhone 15 Pro 128GB Black</t>
  </si>
  <si>
    <t>APP IP15PL128GBPI PY POST</t>
  </si>
  <si>
    <t>iPhone 15 Plus 128GB Pink</t>
  </si>
  <si>
    <t>APP IP15PL128GBBK BK POST</t>
  </si>
  <si>
    <t>iPhone 15 Plus 128GB Black</t>
  </si>
  <si>
    <t>APP IPH15128GBBLU B1 POST</t>
  </si>
  <si>
    <t>iPhone 15 128GB Blue</t>
  </si>
  <si>
    <t>Iphone 15 Pro Max 256GB</t>
  </si>
  <si>
    <t>APP IP15PM256GNTT NV POST</t>
  </si>
  <si>
    <t>iPhone 15 Pro Max 256GB Titanium</t>
  </si>
  <si>
    <t>APP IP15PM256GBKT BZ POST</t>
  </si>
  <si>
    <t>iPhone 15 Pro Max 256GB Black</t>
  </si>
  <si>
    <t>APP IPH15256GBBLA BK POST</t>
  </si>
  <si>
    <t>iPhone 15 256GB Black</t>
  </si>
  <si>
    <t>Iphone 15 128GB</t>
  </si>
  <si>
    <t>APP IPH15128GBBLK BK POST</t>
  </si>
  <si>
    <t>iPhone 15 128GB Black</t>
  </si>
  <si>
    <t>H90 Lite 256GB</t>
  </si>
  <si>
    <t>HOR 90 LITE 256GB NG POST</t>
  </si>
  <si>
    <t>H90 Lite 256GB Black</t>
  </si>
  <si>
    <t>HOR 90 LITE 256GB CY POST</t>
  </si>
  <si>
    <t>H90 Lite 256GB Cyan</t>
  </si>
  <si>
    <t>HOR 90 512GB VE POST</t>
  </si>
  <si>
    <t>H90 512GB Verde Esmeralda</t>
  </si>
  <si>
    <t>ZTE BLADEA33 32/1 GS POST</t>
  </si>
  <si>
    <t>Blade A33 32GB Space Gray</t>
  </si>
  <si>
    <t>Y36 5G 256GB</t>
  </si>
  <si>
    <t>VI Y36 256GB VS POST</t>
  </si>
  <si>
    <t>Y36 5G 256GB Verde Cristalino</t>
  </si>
  <si>
    <t>VI Y36 256GB MO POST</t>
  </si>
  <si>
    <t>Y36 5G 256GB Negro Místico</t>
  </si>
  <si>
    <t>VI Y27 128GB MS POST</t>
  </si>
  <si>
    <t>VI Y27 128GB MO POST</t>
  </si>
  <si>
    <t>ZTE BLADEA72S128G AZ POST + HIFI SPORT</t>
  </si>
  <si>
    <t>Blade A72S 128GB + HIFI Sport Azul</t>
  </si>
  <si>
    <t>ZTE A73 128GB GS POST + HIFI SPORT</t>
  </si>
  <si>
    <t>A73 128GB + HIFI Sport Space Gray</t>
  </si>
  <si>
    <t>XIA REDNOT12P5256 MK ECOM</t>
  </si>
  <si>
    <t>Redmi Note 12 Pro 5G 256GB EC Midnight Black</t>
  </si>
  <si>
    <t>SMG GA23128236MDS NG ECOM</t>
  </si>
  <si>
    <t>A23 5G 128GB EC Negro</t>
  </si>
  <si>
    <t>XIA REDMI10128G5G GG ECOM</t>
  </si>
  <si>
    <t>Redmi 10 5G 128GB EC Gris Grafito</t>
  </si>
  <si>
    <t>SMG GA141284145DS NG ECOM</t>
  </si>
  <si>
    <t>A14 LTE 128GB EC Negro</t>
  </si>
  <si>
    <t>A14 LTE 128GB</t>
  </si>
  <si>
    <t>SAMSUNG A14 LTE 128GB NEGRO POST</t>
  </si>
  <si>
    <t>A14 LTE 128GB Negro</t>
  </si>
  <si>
    <t>SAMSUNG A14 LTE 128GB PLATA POST</t>
  </si>
  <si>
    <t>A14 LTE 128GB Plata</t>
  </si>
  <si>
    <t>SAMSUNG A14 LTE 128GB VERDE POST</t>
  </si>
  <si>
    <t>A14 LTE 128GB Verde</t>
  </si>
  <si>
    <t>SMG GXYZFLD5256DS NG POST</t>
  </si>
  <si>
    <t>Z Fold 5 256GB Negro</t>
  </si>
  <si>
    <t>SMG GXYZFLD5256DS HA POST</t>
  </si>
  <si>
    <t>Z Fold 5 256GB Azul Helado</t>
  </si>
  <si>
    <t>SMG GXF512F731BDS VO POST</t>
  </si>
  <si>
    <t>Z Flip 5 512GB Verde Oceano</t>
  </si>
  <si>
    <t>SMG GXF512F731BDS GF POST</t>
  </si>
  <si>
    <t>Z Flip 5 512GB Grafito</t>
  </si>
  <si>
    <t>SMG GXF256F731BDS VO POST</t>
  </si>
  <si>
    <t>Z Flip 5 256GB Verde Oceano</t>
  </si>
  <si>
    <t>SMG GXF256F731BDS GF POST</t>
  </si>
  <si>
    <t>Z Flip 5 256GB Grafito</t>
  </si>
  <si>
    <t>SMG GFD512F946BDS NG POST</t>
  </si>
  <si>
    <t>Z Fold 5 512GB Negro</t>
  </si>
  <si>
    <t>SMG GFD512F946BDS HA POST</t>
  </si>
  <si>
    <t>Z Fold 5 512GB Azul Helado</t>
  </si>
  <si>
    <t>SMG GXYA146M512DS NG ECOM</t>
  </si>
  <si>
    <t>A14 5G 128GB EC Negro</t>
  </si>
  <si>
    <t>A04 64GB</t>
  </si>
  <si>
    <t>SMG GXYA0464A04DS NG PROY INE</t>
  </si>
  <si>
    <t>A04 64GB Negro Ine</t>
  </si>
  <si>
    <t>Blade A72S 128GB</t>
  </si>
  <si>
    <t>Blade A72S 128GB Azul</t>
  </si>
  <si>
    <t>A04S 128GB</t>
  </si>
  <si>
    <t>SMG GXYA04S128ADS BL POST</t>
  </si>
  <si>
    <t>A04S 128GB Blanco</t>
  </si>
  <si>
    <t>A73 128GB</t>
  </si>
  <si>
    <t>ZTE A73 128GB GS POST</t>
  </si>
  <si>
    <t>A73 128GB Space Gray</t>
  </si>
  <si>
    <t>SMG GXYA0464A04DS BL POST</t>
  </si>
  <si>
    <t>A04 64GB Blanco</t>
  </si>
  <si>
    <t>HOR MAGIC5PR512GB GE POST</t>
  </si>
  <si>
    <t>Magic 5 pro 512GB Green</t>
  </si>
  <si>
    <t>XIA REDMINOT12128 OG POST + SBAND 2GL NG</t>
  </si>
  <si>
    <t>Redmi Note 12 128GB + Smartband 2 Onyx Gray Black</t>
  </si>
  <si>
    <t>XIA RENOT12PPL256 AC POST + WATCH S1 AMW</t>
  </si>
  <si>
    <t>Redmi Note 12 Pro Plus 256GB + Watch S1 Azul Cielo White</t>
  </si>
  <si>
    <t>SMG GA541286546DS GP POST + WATCH5 AZ44M</t>
  </si>
  <si>
    <t>A54 5G 128GB + Watch 5 44mm Graphite Blue</t>
  </si>
  <si>
    <t>XIA REDMINT12S256 BK POST</t>
  </si>
  <si>
    <t>Redmi Note 12S 256GB Black</t>
  </si>
  <si>
    <t>X8A 5G 128GB</t>
  </si>
  <si>
    <t>HOR X8A 5G 128/6G SV POST</t>
  </si>
  <si>
    <t>X8A 5G 128GB Silver</t>
  </si>
  <si>
    <t>VI Y22S 128/6GB AZ POST</t>
  </si>
  <si>
    <t>Y22S 128GB Azul</t>
  </si>
  <si>
    <t>OPP A57 128GB GI POST</t>
  </si>
  <si>
    <t>A57 128GB Glowing Green</t>
  </si>
  <si>
    <t>OPP A57 128GB GN POST</t>
  </si>
  <si>
    <t>A57 128GB Glowing Black</t>
  </si>
  <si>
    <t>XIA REDNOT12P5256 WH POST</t>
  </si>
  <si>
    <t>Redmi Note 12 Pro 5G 256GB White</t>
  </si>
  <si>
    <t>XIA REDNOT12P5256 B1 POST</t>
  </si>
  <si>
    <t>Redmi Note 12 Pro 5G 256GB Blue</t>
  </si>
  <si>
    <t>XIA REDNOT12P5256 MK POST</t>
  </si>
  <si>
    <t>Redmi Note 12 Pro 5G 256GB Midnight Black</t>
  </si>
  <si>
    <t>Redmi Note 12 Pro Plus 256GB</t>
  </si>
  <si>
    <t>XIA RENOT12PPL256 AC POST</t>
  </si>
  <si>
    <t>Redmi Note 12 Pro Plus 256GB Azul Cielo</t>
  </si>
  <si>
    <t>XIA RENOT12PPL256 NG POST</t>
  </si>
  <si>
    <t>Redmi Note 12 Pro Plus 256GB Negro</t>
  </si>
  <si>
    <t>Redmi Note 12 128GB</t>
  </si>
  <si>
    <t>XIA REDMINOT12128 M2 POST</t>
  </si>
  <si>
    <t>Redmi Note 12 128GB Mint Green</t>
  </si>
  <si>
    <t>XIA REDMINOT12128 IN POST</t>
  </si>
  <si>
    <t>Redmi Note 12 128GB Ice Blue</t>
  </si>
  <si>
    <t>XIA REDMINOT12128 OG POST</t>
  </si>
  <si>
    <t>Redmi Note 12 128GB Onyx Gray</t>
  </si>
  <si>
    <t>HOR MAGIC5LIT128 VR POST + BAND 6 BLACK</t>
  </si>
  <si>
    <t>HOR MAGIC5LIT128 VR POST + BAND 6 PINK</t>
  </si>
  <si>
    <t>SMG GS23256S911DS NG POST+BUDS 2 PRO NEG</t>
  </si>
  <si>
    <t>SMG GS23256S911DS BE POST+BUDS 2 PRO NEG</t>
  </si>
  <si>
    <t>A34 5G 128GB</t>
  </si>
  <si>
    <t>SMG GA341286346DS GP POST</t>
  </si>
  <si>
    <t>A54 5G 256GB</t>
  </si>
  <si>
    <t>SMG GA54256A546DS GP POST</t>
  </si>
  <si>
    <t>A54 5G 256GB Graphite</t>
  </si>
  <si>
    <t>SMG GA541286546DS GP POST</t>
  </si>
  <si>
    <t>A54 5G 128GB Graphite</t>
  </si>
  <si>
    <t>VI Y55 128GB NG POST</t>
  </si>
  <si>
    <t>Y55 128GB Negro</t>
  </si>
  <si>
    <t>SMG GA54256A546DS VR POST</t>
  </si>
  <si>
    <t>A54 5G 256GB Verde</t>
  </si>
  <si>
    <t>SMG GA541286546DS NG POST</t>
  </si>
  <si>
    <t>A54 5G 128GB Negro</t>
  </si>
  <si>
    <t>SMG GA541286546DS VR POST</t>
  </si>
  <si>
    <t>A54 5G 128GB Verde</t>
  </si>
  <si>
    <t>VI Y16 64GB DV POST</t>
  </si>
  <si>
    <t>Y16 64GB Dorado Llovizna</t>
  </si>
  <si>
    <t>VI Y16 64GB NH POST</t>
  </si>
  <si>
    <t>Y16 64GB Negro Estelar</t>
  </si>
  <si>
    <t>OPP RENO7 256GB DA POST</t>
  </si>
  <si>
    <t>Reno 7 256GB Dawnlight Gold</t>
  </si>
  <si>
    <t>OPP RENO7 256GB NG POST</t>
  </si>
  <si>
    <t>Reno 7 256GB Negro</t>
  </si>
  <si>
    <t>Redmi A2 32GB</t>
  </si>
  <si>
    <t>XIA REDMI A2 32GB BK POST</t>
  </si>
  <si>
    <t>Redmi A2 32GB Black</t>
  </si>
  <si>
    <t>Redmi 12C 128GB</t>
  </si>
  <si>
    <t>XIA REDMI 12C 128 GG POST</t>
  </si>
  <si>
    <t>Redmi 12C 128GB Graphite Gray</t>
  </si>
  <si>
    <t>SMG GA341286346DS VR POST</t>
  </si>
  <si>
    <t>SMG GA341286346DS PL POST</t>
  </si>
  <si>
    <t>VI V25 128GB ER POST</t>
  </si>
  <si>
    <t>VI V25 128GB DI POST</t>
  </si>
  <si>
    <t>HOR MAGIC5LIT128 VR POST</t>
  </si>
  <si>
    <t>Magic 5 Lite 128GB Verde</t>
  </si>
  <si>
    <t>OPP A78 128GB G1 POST</t>
  </si>
  <si>
    <t>A78 128GB Glowing Blue</t>
  </si>
  <si>
    <t>OPP A78 128GB GN POST</t>
  </si>
  <si>
    <t>A78 128GB Glowing Black</t>
  </si>
  <si>
    <t>SMG GXYA146M512DS NG POST</t>
  </si>
  <si>
    <t>A14 5G 128GB Negro</t>
  </si>
  <si>
    <t>A17 64GB</t>
  </si>
  <si>
    <t>OPP A17 64GB MK POST</t>
  </si>
  <si>
    <t>A17 64GB Midnight Black</t>
  </si>
  <si>
    <t>OPP A17 64GB LA POST</t>
  </si>
  <si>
    <t>A17 64GB Lake Blue</t>
  </si>
  <si>
    <t>SMG GS21256990EDS GR POST</t>
  </si>
  <si>
    <t>S21 FE 5G 256GB Gris</t>
  </si>
  <si>
    <t>SMG GXYS22256S901 PU POST</t>
  </si>
  <si>
    <t>S22 256GB Purpura</t>
  </si>
  <si>
    <t>SMG GS23U512918DS LI POST</t>
  </si>
  <si>
    <t>S23 Ultra 512GB Lila</t>
  </si>
  <si>
    <t>SMG GS23U512918DS BE POST</t>
  </si>
  <si>
    <t>S23 Ultra 512GB Beige</t>
  </si>
  <si>
    <t>SMG GS23U256918DS VR POST</t>
  </si>
  <si>
    <t>S23 Ultra 256GB Verde</t>
  </si>
  <si>
    <t>SMG GS23U256918DS NG POST</t>
  </si>
  <si>
    <t>S23 Ultra 256GB Negro</t>
  </si>
  <si>
    <t>SMG GS23P512916DS VR POST</t>
  </si>
  <si>
    <t>S23 Plus 512GB Verde</t>
  </si>
  <si>
    <t>SMG GS23P512916DS PU POST</t>
  </si>
  <si>
    <t>S23 Plus 512GB Purpura</t>
  </si>
  <si>
    <t>SMG GS23P512916DS NG POST</t>
  </si>
  <si>
    <t>S23 Plus 512GB Negro</t>
  </si>
  <si>
    <t>SMG GS23P512916DS BE POST</t>
  </si>
  <si>
    <t>S23 Plus 512GB Beige</t>
  </si>
  <si>
    <t>S23 Plus 256GB</t>
  </si>
  <si>
    <t>SMG GS23P256916DS VR POST</t>
  </si>
  <si>
    <t>S23 Plus 256GB Verde</t>
  </si>
  <si>
    <t>SMG GS23P256916DS PU POST</t>
  </si>
  <si>
    <t>S23 Plus 256GB Purpura</t>
  </si>
  <si>
    <t>SMG GS23P256916DS NG POST</t>
  </si>
  <si>
    <t>S23 Plus 256GB Negro</t>
  </si>
  <si>
    <t>SMG GS23P256916DS BE POST</t>
  </si>
  <si>
    <t>S23 Plus 256GB Beige</t>
  </si>
  <si>
    <t>SMG GS23256S911DS NG POST</t>
  </si>
  <si>
    <t>S23 256GB Negro</t>
  </si>
  <si>
    <t>SMG GS23256S911DS BE POST</t>
  </si>
  <si>
    <t>S23 256GB Beige</t>
  </si>
  <si>
    <t>SMG GS23128911BDS NG POST</t>
  </si>
  <si>
    <t>S23 128GB Negro</t>
  </si>
  <si>
    <t>SMG GS23128911BDS BL POST</t>
  </si>
  <si>
    <t>S23 128GB Blanco</t>
  </si>
  <si>
    <t>HOR X7A 128GB PL POST</t>
  </si>
  <si>
    <t>X7A 128GB Plata</t>
  </si>
  <si>
    <t>iPhone 14 Pro Max 256GB</t>
  </si>
  <si>
    <t>APP IPH14PMAXSILV SV POST</t>
  </si>
  <si>
    <t>iPhone 14 Pro Max 256GB Silver</t>
  </si>
  <si>
    <t>MOT E30FU256XT224 NU POST</t>
  </si>
  <si>
    <t>APP IPH14PLUS128G B1 POST</t>
  </si>
  <si>
    <t>iPhone 14 Plus 128GB Blue</t>
  </si>
  <si>
    <t>APP IPH14512GBMID MN POST</t>
  </si>
  <si>
    <t>iPhone 14 512GB Midnight</t>
  </si>
  <si>
    <t>MOT ME22IXT223917 GR POST</t>
  </si>
  <si>
    <t>E22I 64GB Gris</t>
  </si>
  <si>
    <t>A04e 32GB</t>
  </si>
  <si>
    <t>SMG GLA04E32A042M NG POST</t>
  </si>
  <si>
    <t>A04E 32GB Negro</t>
  </si>
  <si>
    <t>APP IPH12MIN256RD RJ POST</t>
  </si>
  <si>
    <t>iPhone 12 Mini 256GB Rojo</t>
  </si>
  <si>
    <t>APP IPH12MIN128BU AZ POST</t>
  </si>
  <si>
    <t>iPhone 12 Mini 128GB Azul</t>
  </si>
  <si>
    <t>APP IPH12MIN128RD RJ POST</t>
  </si>
  <si>
    <t>iPhone 12 Mini 128GB Rojo</t>
  </si>
  <si>
    <t>APP IPH12MIN128WH BL POST</t>
  </si>
  <si>
    <t>iPhone 12 Mini 128GB Blanco</t>
  </si>
  <si>
    <t>APP IPH12M128PURP PU POST</t>
  </si>
  <si>
    <t>iPhone 12 Mini 128GB Purpura</t>
  </si>
  <si>
    <t>iPhone 14 128GB</t>
  </si>
  <si>
    <t>APP IPH14128GBPUR LE POST</t>
  </si>
  <si>
    <t>iPhone 14 128GB Purple</t>
  </si>
  <si>
    <t>APP IPH14PL256STA SL POST</t>
  </si>
  <si>
    <t>iPhone 14 Plus 256GB Starlight</t>
  </si>
  <si>
    <t>XIA 12T PRO 256GB NG + WATCH S1 ACTIVE</t>
  </si>
  <si>
    <t>12T Pro 256GB Negro</t>
  </si>
  <si>
    <t>XIA 12T 256GB NG + SMART BAND 7 GL</t>
  </si>
  <si>
    <t>12T 256GB Negro</t>
  </si>
  <si>
    <t>APP IPH14PL512MID MN POST</t>
  </si>
  <si>
    <t>APP IPH14128GBBLU B1 POST</t>
  </si>
  <si>
    <t>APP IPH14PR256GSI SV POST</t>
  </si>
  <si>
    <t>APP IPH14256GBSTA SL POST</t>
  </si>
  <si>
    <t>APP IPH14PMAXSPBL SP POST</t>
  </si>
  <si>
    <t>Redmi 10 5G 128GB</t>
  </si>
  <si>
    <t>XIA REDMI10128G5G GG POST</t>
  </si>
  <si>
    <t>Redmi 10 5G 128GB Gris Grafito</t>
  </si>
  <si>
    <t>XIA 12T PRO 256GB NG POST</t>
  </si>
  <si>
    <t>XIA 12T 256GB NG POST</t>
  </si>
  <si>
    <t>SMG GXYA04S128ADS NG POST</t>
  </si>
  <si>
    <t>A04S 128GB Negro</t>
  </si>
  <si>
    <t>SMG GXYA0464A04DS NG POST</t>
  </si>
  <si>
    <t>A04 64GB Negro</t>
  </si>
  <si>
    <t>A23 5G 128GB</t>
  </si>
  <si>
    <t>SMG GA23128236MDS NG POST</t>
  </si>
  <si>
    <t>A23 5G 128GB Negro</t>
  </si>
  <si>
    <t>SMG GA0412845MDS NG POST</t>
  </si>
  <si>
    <t>A04 128GB Negro</t>
  </si>
  <si>
    <t>SMG GA0412845MDS BL POST</t>
  </si>
  <si>
    <t>A04 128GB Blanco</t>
  </si>
  <si>
    <t>HOR 70 256GB VE POST</t>
  </si>
  <si>
    <t>H70 256GB Verde</t>
  </si>
  <si>
    <t>HOR X6S 128GB PL POST</t>
  </si>
  <si>
    <t>APP IPH14PRMAXSPB SP POST</t>
  </si>
  <si>
    <t>iPhone 14 Pro Max 128GB</t>
  </si>
  <si>
    <t>APP IPH14PROMAXGO GD POST</t>
  </si>
  <si>
    <t>APP IPH14PROMAXSI SV POST</t>
  </si>
  <si>
    <t>APP IPH14PROMAXSP SP POST</t>
  </si>
  <si>
    <t>APP IPH14PR512GBB SP POST</t>
  </si>
  <si>
    <t>APP IPH14PRSPACEB SP POST</t>
  </si>
  <si>
    <t>APP IPH14PR128GOL GD POST</t>
  </si>
  <si>
    <t>APP IPH14PRSILVER SV POST</t>
  </si>
  <si>
    <t>APP IPH14PRSPBLAC SP POST</t>
  </si>
  <si>
    <t>APP IPH14PL256MID MN POST</t>
  </si>
  <si>
    <t>APP IPH14P128PURP LE POST</t>
  </si>
  <si>
    <t>APP IPH14P128STAR SL POST</t>
  </si>
  <si>
    <t>APP IPH14P128MIDN MN POST</t>
  </si>
  <si>
    <t>APP IPH14256GBMID MN POST</t>
  </si>
  <si>
    <t>APP IPH14128GBSTA SL POST</t>
  </si>
  <si>
    <t>APP IPH14128GBMID MN POST</t>
  </si>
  <si>
    <t>XIA REDMIN11S5G12 TU POST</t>
  </si>
  <si>
    <t>Z Flip 4 256GB</t>
  </si>
  <si>
    <t>SMG GXYZFP4256OP GR OPEN POST</t>
  </si>
  <si>
    <t>SMG GXYZF4256FODS NG OPEN POST</t>
  </si>
  <si>
    <t>MOT MG22128XT2231 BL POST</t>
  </si>
  <si>
    <t>SMG GXYA03A032ODS CK OPEN POST</t>
  </si>
  <si>
    <t>XIA REDMIN11P5128 UE + WATCH 2 LITE POST</t>
  </si>
  <si>
    <t>XIA REDMIN11P5128 GG + WATCH 2 LITE POST</t>
  </si>
  <si>
    <t>HOR X7 128GB AZ POST</t>
  </si>
  <si>
    <t>HOR X9 128GB NG POST</t>
  </si>
  <si>
    <t>HOR X8 128GB PL POST</t>
  </si>
  <si>
    <t>XIA REDMNOTE11128 SU + BUDS 3 LITE POST</t>
  </si>
  <si>
    <t>OPP RENO75G256GB TL POST</t>
  </si>
  <si>
    <t>OPP RENO7 128GB NG POST</t>
  </si>
  <si>
    <t>OPP RENO7 128GB AZ POST</t>
  </si>
  <si>
    <t>12 Lite 128GB</t>
  </si>
  <si>
    <t>XIA 12 LITE 128/8 NG POST</t>
  </si>
  <si>
    <t>Redmi 9A 32GB</t>
  </si>
  <si>
    <t>XIA REDMI 9A 32GB RG POST</t>
  </si>
  <si>
    <t>XIA REDMI 9C 64GB VR POST</t>
  </si>
  <si>
    <t>Redmi 10C 128GB</t>
  </si>
  <si>
    <t>XIA REDMI 10C 128 GR POST</t>
  </si>
  <si>
    <t>MOT MG22128XT2231 NG POST</t>
  </si>
  <si>
    <t>12 256GB</t>
  </si>
  <si>
    <t>XIA 12 256GB GA + BUDS3 + WATCH POST</t>
  </si>
  <si>
    <t>XIA REDMI 10C 128 AZ POST</t>
  </si>
  <si>
    <t>S20 FE 5G 128GB</t>
  </si>
  <si>
    <t>SMG GXYS20FE5G128 AZ POST</t>
  </si>
  <si>
    <t>XIA 12 256GB LE + BUDS3 + WATCH POST</t>
  </si>
  <si>
    <t>XIA 12 256GB B1 + BUDS3 + WATCH POST</t>
  </si>
  <si>
    <t>XIA 12PRO256GODS B1 BUD3T+WATCH POST</t>
  </si>
  <si>
    <t>XIA 12PRO256GODS LE BUD3T+WATCH POST</t>
  </si>
  <si>
    <t>XIA REDMI 10A 64G GG POST</t>
  </si>
  <si>
    <t>SMG GXYA23126A235 NG POST</t>
  </si>
  <si>
    <t>SMG GXYA03A035ODS NG OPEN POST</t>
  </si>
  <si>
    <t>A13 128GB</t>
  </si>
  <si>
    <t>SMG GXYA13128A135 NG POST</t>
  </si>
  <si>
    <t>SMG GXYA732568A73 GR POST</t>
  </si>
  <si>
    <t>SMG GXYS22256S901 NG POST</t>
  </si>
  <si>
    <t>XIA 12 256GB GA POST</t>
  </si>
  <si>
    <t>XIA REDMIN11P5128 UE POST</t>
  </si>
  <si>
    <t>XIA REDMIN11P5128 GG POST</t>
  </si>
  <si>
    <t>XIA REDMIN11P128G GG POST</t>
  </si>
  <si>
    <t>A53 5G 128GB</t>
  </si>
  <si>
    <t>SMG GXYA53128A536 NG POST</t>
  </si>
  <si>
    <t>XIA REDMIN11S5G12 MK POST</t>
  </si>
  <si>
    <t>APP IPHSE2264MDN MN POST</t>
  </si>
  <si>
    <t>REDMNOTE11128 TU BUDS 3 LITE</t>
  </si>
  <si>
    <t>REDMNOTE11128 GG BUDS 3 LITE</t>
  </si>
  <si>
    <t>REDMIN11128OD TU BUDS3 L OPEN</t>
  </si>
  <si>
    <t>REDMIN11128OD GG BUDS3 L OPEN</t>
  </si>
  <si>
    <t>XIA REDMIN11128OD GG OPEN POST</t>
  </si>
  <si>
    <t>XIA REDMNOTE11128 TU POST</t>
  </si>
  <si>
    <t>XIA REDMNOTE11128 SU POST</t>
  </si>
  <si>
    <t>SMG GXYA03A032ODS NG OPEN POST</t>
  </si>
  <si>
    <t>SMG GXYA32128AODS NG OPEN POST</t>
  </si>
  <si>
    <t>MOT MG51128XT2171 AN POST</t>
  </si>
  <si>
    <t>SMG GXYA03128AODS NG OPEN POST</t>
  </si>
  <si>
    <t>11T 256GB</t>
  </si>
  <si>
    <t>XIA 11T 256GB ODS AZ OPEN POST</t>
  </si>
  <si>
    <t>OPP RENO6LITE128G PL POST</t>
  </si>
  <si>
    <t>XIA 11TPRO256GODS GR OPEN POST</t>
  </si>
  <si>
    <t>XIA 11TPRO256GODS AZ OPEN POST</t>
  </si>
  <si>
    <t>XIA 11T 256GB ODS GR OPEN POST</t>
  </si>
  <si>
    <t>A54 128GB</t>
  </si>
  <si>
    <t>OPP A54 128GB ODS NG OPEN POST</t>
  </si>
  <si>
    <t>OPP RENO5LT128ODS NG OPEN POST</t>
  </si>
  <si>
    <t>OPP A54 128GB ODS AZ OPEN POST</t>
  </si>
  <si>
    <t>NOKIA</t>
  </si>
  <si>
    <t>NOK G10 64GB ODS AZ OPEN POST</t>
  </si>
  <si>
    <t>SMG GXYA525MODS NG OPEN POST</t>
  </si>
  <si>
    <t>A32 128GB</t>
  </si>
  <si>
    <t>SMG GXYA325MODS NG OPEN POST</t>
  </si>
  <si>
    <t>SMG GXY128A225ODS NG OPEN POST</t>
  </si>
  <si>
    <t>A12 128GB</t>
  </si>
  <si>
    <t>SMG GXYA12128AODS NG OPEN POST</t>
  </si>
  <si>
    <t>OPP RENO6LITE128G NG POST</t>
  </si>
  <si>
    <t>HUAWEI</t>
  </si>
  <si>
    <t>XIA RDMNOTE10S128 BL POST</t>
  </si>
  <si>
    <t>OPP RENO 6 128GB NG POST</t>
  </si>
  <si>
    <t>OPP RENO 6 128GB AZ POST</t>
  </si>
  <si>
    <t>MOT MG20128XT2128 AZ POST</t>
  </si>
  <si>
    <t>MOT MG20128XT2128 VR POST</t>
  </si>
  <si>
    <t>MOT ME30XT2159232 GU POST</t>
  </si>
  <si>
    <t>MOT ME20XT2155-53 GT POST</t>
  </si>
  <si>
    <t>OPP A16 64GB NG POST</t>
  </si>
  <si>
    <t>OPP A16 64GB AZ POST</t>
  </si>
  <si>
    <t>APP IPH13PMX128SB SB POST</t>
  </si>
  <si>
    <t>APP IPH13PMX128GP GF POST</t>
  </si>
  <si>
    <t>APP IPH13256GMN MN POST</t>
  </si>
  <si>
    <t>Redmi 10 128GB</t>
  </si>
  <si>
    <t>XIA REDMI 10 128G AZ POST</t>
  </si>
  <si>
    <t>XIA 11T 256GB AZ POST</t>
  </si>
  <si>
    <t>XIA 11T PRO 256GB GR POST</t>
  </si>
  <si>
    <t>XIA 11T 256GB GR POST</t>
  </si>
  <si>
    <t>XIA 11LTNE128GB NG POST</t>
  </si>
  <si>
    <t>XIA REDMI 10 128G GR POST</t>
  </si>
  <si>
    <t>XIA REDMI 9A 32GB VR POST</t>
  </si>
  <si>
    <t>SMG GXYZF3F926DS2 NG POST</t>
  </si>
  <si>
    <t>SMG GXYZF128F711B NG POST</t>
  </si>
  <si>
    <t>SMG GXYA03S32A37M NG POST</t>
  </si>
  <si>
    <t>MOT G50128XT21491 AZ POST</t>
  </si>
  <si>
    <t>MOT E20L128XT2139 GR POST</t>
  </si>
  <si>
    <t>SMG GXYA12128127M NG POST</t>
  </si>
  <si>
    <t>XIA REDMI 9T 128G VR POST</t>
  </si>
  <si>
    <t>Iphone 11 64GB</t>
  </si>
  <si>
    <t>SMG GXY6A03SA037M NG POST</t>
  </si>
  <si>
    <t>APP IPH12PMX128PB AZ POST</t>
  </si>
  <si>
    <t>SMG GXY128A225M NG POST</t>
  </si>
  <si>
    <t>XIA REDMINOTE1012 GR POST</t>
  </si>
  <si>
    <t>SMG GXYA52A525M NG OPEN POST</t>
  </si>
  <si>
    <t>XIA RDMNOTE10S128 GR POST</t>
  </si>
  <si>
    <t>SMG GXYXCO64G525F NG POST</t>
  </si>
  <si>
    <t>XIA REDMINOTE1012 AZ POST</t>
  </si>
  <si>
    <t>OPP RENO5LITE128G MR POST</t>
  </si>
  <si>
    <t>XIA REDMINOTE9128 NG POST</t>
  </si>
  <si>
    <t>OPP RENO5LITE128G NG POST</t>
  </si>
  <si>
    <t>OPP A1532CPH22185 AZ POST</t>
  </si>
  <si>
    <t>OPP A54128CPH2239 AZ POST</t>
  </si>
  <si>
    <t>XIA RDMNOTE10S128 AZ POST</t>
  </si>
  <si>
    <t>XIA RNOTE10PRO128 AZ POST</t>
  </si>
  <si>
    <t>HUA Y9A 128GB NG POST</t>
  </si>
  <si>
    <t>MOT ME71XT2097-12 AZ POST</t>
  </si>
  <si>
    <t>SMG GXYA3212A325M NG POST</t>
  </si>
  <si>
    <t>OPP A54128CPH2239 NG POST</t>
  </si>
  <si>
    <t>MOT MG100 VR POST</t>
  </si>
  <si>
    <t>OPP A1532CPH22185 NG POST</t>
  </si>
  <si>
    <t>SMG GXYA52A525M NG POST</t>
  </si>
  <si>
    <t>SMG GXYA12128A125 NG POST</t>
  </si>
  <si>
    <t>SMG GXYS21G991B GR POST</t>
  </si>
  <si>
    <t>SMG GXYS21ULG998B NG POST</t>
  </si>
  <si>
    <t>MOT MO E732XT2095 GM POST</t>
  </si>
  <si>
    <t>A02S 32GB</t>
  </si>
  <si>
    <t>APP IPHSE2064BLAC NG POST S/CARCAGADOR</t>
  </si>
  <si>
    <t>APP IPH11 128GBLA NG POST S/CARCAGADOR</t>
  </si>
  <si>
    <t>APP IPH1164GBLACK NG POST S/CARCAGADOR</t>
  </si>
  <si>
    <t>APP IPH12PRO128GP GF POST</t>
  </si>
  <si>
    <t>APP IPH12PMX128GP GF POST</t>
  </si>
  <si>
    <t>APP IPH12PRO256GP GF POST</t>
  </si>
  <si>
    <t>Iphone 12 128GB</t>
  </si>
  <si>
    <t>APP IPH12128GBWH BL POST</t>
  </si>
  <si>
    <t>APP IPH12128GBLK NG POST</t>
  </si>
  <si>
    <t>APP IPH12128GBP LE POST</t>
  </si>
  <si>
    <t>iPhone 12 128GB Purple</t>
  </si>
  <si>
    <t>Iphone 12 64GB</t>
  </si>
  <si>
    <t>APP IPH1264GBLACK NG POST</t>
  </si>
  <si>
    <t>APP IPH12MINI64WH BL POST</t>
  </si>
  <si>
    <t>HUA Y7A 64GB VR POST                    </t>
  </si>
  <si>
    <t>MOT MOTG9PWXT2091 VR POST</t>
  </si>
  <si>
    <t>XIA REDMINOTE9128 VR POST</t>
  </si>
  <si>
    <t>XIA REDMI 9C 64GB GR POST</t>
  </si>
  <si>
    <t>Redmi 9 64GB</t>
  </si>
  <si>
    <t>MOT MOG9PLAY64X83 AZ POST</t>
  </si>
  <si>
    <t>LG</t>
  </si>
  <si>
    <t>LG K22 32LMK200H TN POST</t>
  </si>
  <si>
    <t>XIA REDMI 9A 32GB AZ POST</t>
  </si>
  <si>
    <t>XIA REDMI 9A 32GB NG POST</t>
  </si>
  <si>
    <t>XIA REDMINOTE9128 GR POST</t>
  </si>
  <si>
    <t>HUA P40 PRO 256GB AZ POST</t>
  </si>
  <si>
    <t>MOT MG8PL64XT2055 AZ POST</t>
  </si>
  <si>
    <t>A31 128GB</t>
  </si>
  <si>
    <t>SMG GXA31128A315G NG POST</t>
  </si>
  <si>
    <t>SMG GXA21S64A217M NG POST</t>
  </si>
  <si>
    <t>SMG GXYA1132A117M NG POST</t>
  </si>
  <si>
    <t>HUA Y9S AZ STK-LX3 POST</t>
  </si>
  <si>
    <t>APP IPH1164GWHITE BL POST</t>
  </si>
  <si>
    <t>APP IPH1164GBLACK NG POST</t>
  </si>
  <si>
    <t>EQ POST SAMSUNG A307 BLACK</t>
  </si>
  <si>
    <t>EQ POST SAMSUNG A107 BLACK</t>
  </si>
  <si>
    <t xml:space="preserve">ACCESORIOS </t>
  </si>
  <si>
    <t>IOT</t>
  </si>
  <si>
    <t>BAM</t>
  </si>
  <si>
    <t>SKU</t>
  </si>
  <si>
    <t>Nombre Comercial</t>
  </si>
  <si>
    <t>Categoría</t>
  </si>
  <si>
    <t>Precio Oferta</t>
  </si>
  <si>
    <t>24 Cuotas Tarjeta</t>
  </si>
  <si>
    <t>Precio Normal</t>
  </si>
  <si>
    <t>Descuento</t>
  </si>
  <si>
    <t>Samsung Galaxy Buds2 Pro Purple</t>
  </si>
  <si>
    <t>AUDIO</t>
  </si>
  <si>
    <t>Samsung Audífonos Galaxy Buds FE White</t>
  </si>
  <si>
    <t>Modelo</t>
  </si>
  <si>
    <t>PRECIO VENTA CONTADO CONTRATANDO UN PLAN</t>
  </si>
  <si>
    <t>Samsung Galaxy Buds2 Pro Gray</t>
  </si>
  <si>
    <t>Valor Contado</t>
  </si>
  <si>
    <t>Samsung Audífonos Galaxy Buds FE Gray</t>
  </si>
  <si>
    <t>CLARO</t>
  </si>
  <si>
    <t>SMART PET GPS 3G GRIS</t>
  </si>
  <si>
    <t>Duracell Power Bank 10000mAh USB-C 37W</t>
  </si>
  <si>
    <t>DURACELL</t>
  </si>
  <si>
    <t>ENERGIA</t>
  </si>
  <si>
    <t>SMART PET GPS 3G DORADO</t>
  </si>
  <si>
    <t>E3372</t>
  </si>
  <si>
    <t>Duracell Power Bank 6700Mah</t>
  </si>
  <si>
    <t>MiFi E5573</t>
  </si>
  <si>
    <t>Samsung Cargador Inalámbrico 15W</t>
  </si>
  <si>
    <t>MiFi MF920T</t>
  </si>
  <si>
    <t>Samsung Cargador 25W Power Adapter</t>
  </si>
  <si>
    <t>Wingle MF79S</t>
  </si>
  <si>
    <t>Samsung Cargador 25W Con Cable USB-C Blanco</t>
  </si>
  <si>
    <t>Wingle E8372</t>
  </si>
  <si>
    <t>Samsung Galaxy Fit 3 Dark Gray</t>
  </si>
  <si>
    <t>WEARABLES</t>
  </si>
  <si>
    <t>SMART CAR</t>
  </si>
  <si>
    <t xml:space="preserve">HUAWEI </t>
  </si>
  <si>
    <t>B310</t>
  </si>
  <si>
    <t>Samsung Galaxy Fit 3 Silver</t>
  </si>
  <si>
    <t>SMART CAR CAC</t>
  </si>
  <si>
    <t>ALCATEL</t>
  </si>
  <si>
    <t>MW41NF</t>
  </si>
  <si>
    <t>Galaxy Watch7 40mm Green</t>
  </si>
  <si>
    <t>MIFI MF971</t>
  </si>
  <si>
    <t>Huawei Tablet Matpad SE 11 128GB</t>
  </si>
  <si>
    <t>COMPUTACION</t>
  </si>
  <si>
    <t>MIFI E5785</t>
  </si>
  <si>
    <t>Honor Choice X7 Lite White</t>
  </si>
  <si>
    <t>B612</t>
  </si>
  <si>
    <t>Honor Choice Watch 2i Black</t>
  </si>
  <si>
    <t>B311</t>
  </si>
  <si>
    <t>Honor Watch 5 Black</t>
  </si>
  <si>
    <t>E5576</t>
  </si>
  <si>
    <t>Gigastone Micro SD 64GB</t>
  </si>
  <si>
    <t>GIGASTONE</t>
  </si>
  <si>
    <t>ALMACENAMIENTO</t>
  </si>
  <si>
    <t>ZTE MF79U BL POST</t>
  </si>
  <si>
    <t>Gigastone Micro SD 64GB BE</t>
  </si>
  <si>
    <t>MF283U BL POST</t>
  </si>
  <si>
    <t>Gigastone Micro SD 32GB</t>
  </si>
  <si>
    <t>MF E5576-508</t>
  </si>
  <si>
    <t>Memoria MicroSD 3 en 1 64GB Gigastone</t>
  </si>
  <si>
    <t>Memoria MicroSD 3 en 1 128GB Gigastone</t>
  </si>
  <si>
    <t>Memoria MicroSD Kingston 64GB</t>
  </si>
  <si>
    <t>KINGSTON</t>
  </si>
  <si>
    <t>Memoria MicroSD Kingston 128GB</t>
  </si>
  <si>
    <t>Sandisk Tarjeta Micro SD 32 GB</t>
  </si>
  <si>
    <t>SANDISK</t>
  </si>
  <si>
    <t>Sandisk Tarjeta Micro SD 64 GB</t>
  </si>
  <si>
    <t>Memoria Micro SD 128GB SanDisk</t>
  </si>
  <si>
    <t>Memoria Micro SD 64GB SanDisk</t>
  </si>
  <si>
    <t>Airpods Max Azul</t>
  </si>
  <si>
    <t>Airpods 2da Generación</t>
  </si>
  <si>
    <t>Airpods 2da Generacion BE</t>
  </si>
  <si>
    <t>Airpods 3era Generación con Carga Magsafe</t>
  </si>
  <si>
    <t>Earpods Conector Lightning</t>
  </si>
  <si>
    <t>Huawei Freebuds 5i Black</t>
  </si>
  <si>
    <t>Huawei Freebuds 6i Black</t>
  </si>
  <si>
    <t>Huawei Freebuds SE 2 White</t>
  </si>
  <si>
    <t>Freebuds 4i Rojo</t>
  </si>
  <si>
    <t>Freebuds SE White</t>
  </si>
  <si>
    <t>Huawei Half In Ear Earphones Am116</t>
  </si>
  <si>
    <t>JBL Audifono Bluetooth T500 Negro</t>
  </si>
  <si>
    <t>JBL</t>
  </si>
  <si>
    <t>JBL Audifono Tune 110</t>
  </si>
  <si>
    <t>JBL Tune 110 Blanco In-Ear</t>
  </si>
  <si>
    <t>Marley Audífonos Smile Jamaica Signature Black</t>
  </si>
  <si>
    <t>MARLEY</t>
  </si>
  <si>
    <t>Marley Audífonos Smile Jamaica BT 2 Negro</t>
  </si>
  <si>
    <t>Marley Audífonos Smile Jamaica BT 2 Cobre</t>
  </si>
  <si>
    <t>Marley Audífonos Little Bird Negro</t>
  </si>
  <si>
    <t>Marley Audífonos Little Bird Blanco</t>
  </si>
  <si>
    <t>Marley Audífonos Smile Jamaica Rasta</t>
  </si>
  <si>
    <t>Audífonos Champion True Wireless</t>
  </si>
  <si>
    <t>Motorola Manos Libres HK115</t>
  </si>
  <si>
    <t xml:space="preserve">Motorola Audífonos Pulse Max      </t>
  </si>
  <si>
    <t>Audífonos Motorola Sport Moto SP105</t>
  </si>
  <si>
    <t>Audífonos Motorola Buds 085 TWS</t>
  </si>
  <si>
    <t>Audífonos Motorola Moto Buds 150 TWS Negro</t>
  </si>
  <si>
    <t>Audífonos Motorola Earbuds 2S Negro</t>
  </si>
  <si>
    <t>Audífonos Motorola Moto Buds 105 TWS Negro</t>
  </si>
  <si>
    <t>Audífonos Motorola Moto Buds 105 TWS Blanco</t>
  </si>
  <si>
    <t>Audífonos Philco D40 BT Negro</t>
  </si>
  <si>
    <t>PHILCO</t>
  </si>
  <si>
    <t>Audífonos Philips Over Ear Bluetooth TAH4205 Negro</t>
  </si>
  <si>
    <t>PHILIPS</t>
  </si>
  <si>
    <t>Philips Audífonos TWS TAT2206 Rosado</t>
  </si>
  <si>
    <t>Philips Audífonos TWS TAT2206 Blanco</t>
  </si>
  <si>
    <t>Audífonos Philips Over Ear Bluetooth TAH4205 Blanco</t>
  </si>
  <si>
    <t>Audífonos Philips Over Ear Bluetooth TAH1205 Negro</t>
  </si>
  <si>
    <t>Philips Audífonos TWS TAT2206 Negro</t>
  </si>
  <si>
    <t>Philips Audífonos TWS TAT2236 Negro</t>
  </si>
  <si>
    <t>Philips Audífonos TWS TAT1207 Negro</t>
  </si>
  <si>
    <t>Philips Audífonos TWS TAT1207 Blanco</t>
  </si>
  <si>
    <t>Philips Audífonos TWS TAT1207 Amarillo</t>
  </si>
  <si>
    <t>Philips Audífonos TWS TAT1235 Negro</t>
  </si>
  <si>
    <t>Samsung Audífonos Tipo C Negro</t>
  </si>
  <si>
    <t>Samsung Audífonos Tipo C Blanco</t>
  </si>
  <si>
    <t>Samsung Audífonos 3,5mm Jack</t>
  </si>
  <si>
    <t>Samsung Galaxy Buds2</t>
  </si>
  <si>
    <t>Redmi Buds 3 Pro Glacier Gray</t>
  </si>
  <si>
    <t>Xiaomi Audífonos Redmi Buds 4 Pro Black</t>
  </si>
  <si>
    <t>Redmi Buds 4 White</t>
  </si>
  <si>
    <t>Redmi Buds 6 Play Negro</t>
  </si>
  <si>
    <t>Redmi Buds 6 Lite Black</t>
  </si>
  <si>
    <t>Audífonos ZTE Buds Live 2 Blanco</t>
  </si>
  <si>
    <t>Audífonos ZTE Redmagic Negro</t>
  </si>
  <si>
    <t>Apple 5W USB Power Adapter</t>
  </si>
  <si>
    <t>Cable Apple Lightning a USB</t>
  </si>
  <si>
    <t>Cable Apple Lightning USB-C</t>
  </si>
  <si>
    <t>Apple 20W USB C Power Adapter</t>
  </si>
  <si>
    <t>Baseus Cable Tipo C A Tipo C 100W 2m Datos Y Carga Rápida</t>
  </si>
  <si>
    <t>BASEUS</t>
  </si>
  <si>
    <t>Baseus Cargador Rápido 25W + Cable Tipo C Negro</t>
  </si>
  <si>
    <t>Baseus Cargador Dual Gan 2 Lite 65W</t>
  </si>
  <si>
    <t>Baseus Cargador Rápido Gan Mini 120W + Cable Tipo C</t>
  </si>
  <si>
    <t>Baseus Hub 100W 6 En 1 Multifuncional Tipo C</t>
  </si>
  <si>
    <t>Pilas Duracell AAA x4</t>
  </si>
  <si>
    <t>Linterna Duracell</t>
  </si>
  <si>
    <t>Duracell Power Bank 10050Mah</t>
  </si>
  <si>
    <t>Dusted Cargador Rapido 2 En 1</t>
  </si>
  <si>
    <t>DUSTED</t>
  </si>
  <si>
    <t>Dusted Cargador Auto Magnético Adaptador</t>
  </si>
  <si>
    <t>Dusted Adaptador Para Viajes</t>
  </si>
  <si>
    <t>Dusted Cargador Automatico Inalambrico</t>
  </si>
  <si>
    <t>Dusted Cable Lightning MFI a USB-C</t>
  </si>
  <si>
    <t>Dusted Cable Lightning MFI a USB-A</t>
  </si>
  <si>
    <t>Dusted Cable 3 En 1</t>
  </si>
  <si>
    <t>Dusted Hub USB-C 7 Puertos USBx3 HDMI</t>
  </si>
  <si>
    <t>Dusted Cable USB-A a USB-C</t>
  </si>
  <si>
    <t>Dusted Cable USB-C a USB-C</t>
  </si>
  <si>
    <t>Dusted Cargador De Auto Rápido 20W Con Cable</t>
  </si>
  <si>
    <t>Dusted Base De Carga Inalámbrica Aluminio 10W</t>
  </si>
  <si>
    <t>Dusted Batería Inalámbrica 10000mAh Fast Charge</t>
  </si>
  <si>
    <t>Dusted Cargador Rápido Gan 45W Con Cable</t>
  </si>
  <si>
    <t>Dusted Cargador USB-C Fast Charger</t>
  </si>
  <si>
    <t>Dusted Cargador Inalambrico Plegable</t>
  </si>
  <si>
    <t>Gigastone Micro USB Cable</t>
  </si>
  <si>
    <t>Gigastone Cargador Wireless Stand</t>
  </si>
  <si>
    <t>Gigastone Lightning Cable 1 Metro</t>
  </si>
  <si>
    <t>Gigastone Tipo C Cable</t>
  </si>
  <si>
    <t>Cable Lightning USB C</t>
  </si>
  <si>
    <t>GYRUX</t>
  </si>
  <si>
    <t>Cable Datos Micro USB Gyrux</t>
  </si>
  <si>
    <t>Wireless Charger 3 En 1 Wh26</t>
  </si>
  <si>
    <t>Cable Tipo C A Tipo C Gyrux Gris</t>
  </si>
  <si>
    <t>Cargador Pared Dual USB 1A 2 4A</t>
  </si>
  <si>
    <t>Huawei Cargador Rapido Tipo USB Pared</t>
  </si>
  <si>
    <t>Huawei Cable 2 en 1 Tipo C + Micro USB</t>
  </si>
  <si>
    <t>Cable Urbano Lightning White_Removed</t>
  </si>
  <si>
    <t>URBANO</t>
  </si>
  <si>
    <t>Cable Urbano Lightning 1 Metro</t>
  </si>
  <si>
    <t>Mi 20W Wireless Car Charger</t>
  </si>
  <si>
    <t>Audífono HyperX Cloud Flight Wireless Black</t>
  </si>
  <si>
    <t>HYPERX</t>
  </si>
  <si>
    <t>GAMING</t>
  </si>
  <si>
    <t>Audífono HyperX Stinger Core Wireless + 7.1 Adaptador USB Black</t>
  </si>
  <si>
    <t>Nintendo Switch 1.1 Neon</t>
  </si>
  <si>
    <t>NINTENDO</t>
  </si>
  <si>
    <t>Nintendo Switch OLED White</t>
  </si>
  <si>
    <t>Nintendo Switch Lite Turquesa</t>
  </si>
  <si>
    <t>PlayStation®5 Slim DIGITAL + 2 Juegos</t>
  </si>
  <si>
    <t>PLAYSTATION</t>
  </si>
  <si>
    <t>PlayStation®5 Slim STANDARD + 2 Juegos</t>
  </si>
  <si>
    <t>Juego PS5 Horizon Forbidden West</t>
  </si>
  <si>
    <t>Headset PS5 Midnight Black</t>
  </si>
  <si>
    <t>Control PS5 Dualsense White</t>
  </si>
  <si>
    <t>Consola PlayStation 5 PS5 + Horizon Forbidden West</t>
  </si>
  <si>
    <t>Consola PlayStation 5 PS5 Disco</t>
  </si>
  <si>
    <t>Consola PlayStation 5 PS5 + EA Sports FC™ 24</t>
  </si>
  <si>
    <t>Estación de carga para DualSense PS5</t>
  </si>
  <si>
    <t>Headset PS5 White</t>
  </si>
  <si>
    <t>Cinta Led Multicolor</t>
  </si>
  <si>
    <t>SMART HOME CLARO</t>
  </si>
  <si>
    <t>Sirena</t>
  </si>
  <si>
    <t>Sensor Movimiento Smart Homy</t>
  </si>
  <si>
    <t>Control Remoto Universal</t>
  </si>
  <si>
    <t>Sensor Apertura Cierre Smart Homy</t>
  </si>
  <si>
    <t>Enchufe Wifi Smart Homy</t>
  </si>
  <si>
    <t>Kit Inicio Smart Homy</t>
  </si>
  <si>
    <t>Kit De Alerta</t>
  </si>
  <si>
    <t>Ampolleta Ritmica</t>
  </si>
  <si>
    <t>Ampolleta E27 RGB Smart Homy</t>
  </si>
  <si>
    <t>Pack Ampolleta E27</t>
  </si>
  <si>
    <t>HP 250 G7 Laptop</t>
  </si>
  <si>
    <t>HP</t>
  </si>
  <si>
    <t>NOTEBOOKS</t>
  </si>
  <si>
    <t>OTROS</t>
  </si>
  <si>
    <t>Cooler Para Laptop Airboom Cruiser Ab 021</t>
  </si>
  <si>
    <t>Huawei Tripod Selfie Stick BT Black</t>
  </si>
  <si>
    <t>Router Huawei Ax3 Dual Core WiFi</t>
  </si>
  <si>
    <t>Router Huawei Ax3 Quad Core WiFi</t>
  </si>
  <si>
    <t>Aro De Luz Philco</t>
  </si>
  <si>
    <t>Samsung Teclado Smart Keyboard Trio 500</t>
  </si>
  <si>
    <t>Samsung Mouse Inalámbrico Bluetooth Slim</t>
  </si>
  <si>
    <t>Cámara Deportiva Ultra 1080p 4K WiFi</t>
  </si>
  <si>
    <t>ULTRA</t>
  </si>
  <si>
    <t>Cámara Deportiva Ultra 1080p 4K WiFi BE</t>
  </si>
  <si>
    <t>Aro De Luz Blanco Vivitar 20cm</t>
  </si>
  <si>
    <t>VIVITAR</t>
  </si>
  <si>
    <t>Aro Luz Móvil Mini RGB</t>
  </si>
  <si>
    <t>Mi Body Composition Scale 2</t>
  </si>
  <si>
    <t>PARLANTES</t>
  </si>
  <si>
    <t>Parlante Huawei Sound</t>
  </si>
  <si>
    <t>JBL Flip Essential</t>
  </si>
  <si>
    <t>JBL Go 2 Negro</t>
  </si>
  <si>
    <t>JBL Flip 6 Rojo</t>
  </si>
  <si>
    <t>JBL Flip 6 Negro</t>
  </si>
  <si>
    <t>Parlante Chant Mini Black</t>
  </si>
  <si>
    <t>Marley Parlante Chant Mini Negro BE</t>
  </si>
  <si>
    <t>Marley Parlante BT Get Together Duo</t>
  </si>
  <si>
    <t>Marley Parlante Get Together Signature Black</t>
  </si>
  <si>
    <t>Parlante Master G MGEvo Karaoke</t>
  </si>
  <si>
    <t>MASTER G</t>
  </si>
  <si>
    <t>Parlante Master G Portatil</t>
  </si>
  <si>
    <t>Parlante Master G MGBoom</t>
  </si>
  <si>
    <t>Parlante Master G MGRocket+</t>
  </si>
  <si>
    <t>Parlante Master G MGSpyder Karaoke</t>
  </si>
  <si>
    <t>Philips Parlante Bluetooth TAS1505 Gris</t>
  </si>
  <si>
    <t>Parlante Bluetooth Philips TAS2505 Negro</t>
  </si>
  <si>
    <t>Mi Portable Bluetooth Speaker 16W Blue</t>
  </si>
  <si>
    <t>Mi Portable Bluetooth Speaker Gray</t>
  </si>
  <si>
    <t>Carcasa Decoded Clear Case para iPhone 14 y iPhone 13 con MagSafe</t>
  </si>
  <si>
    <t>DECODED</t>
  </si>
  <si>
    <t>PROTECCION</t>
  </si>
  <si>
    <t>Carcasa Iphone 14 Pro Decoded</t>
  </si>
  <si>
    <t>Haxly Film Hydrogel Top Quality</t>
  </si>
  <si>
    <t>HAXLY</t>
  </si>
  <si>
    <t>Haxly Film Hydrogel Mate</t>
  </si>
  <si>
    <t>Haxly Film Hydrogel Anti Blue-Ray</t>
  </si>
  <si>
    <t>Lámina Hydrogel Mobile Clear AAA Haxly</t>
  </si>
  <si>
    <t>Protector Pantalla Escudo de Cerámica Líquida    </t>
  </si>
  <si>
    <t>PROTECT MY PHONE</t>
  </si>
  <si>
    <t>Samsung Carcasa Silicona Navy S23 Ultra</t>
  </si>
  <si>
    <t>Samsung Carcasa Silicona Cream S23 Ultra</t>
  </si>
  <si>
    <t>Samsung Carcasa Silicona Navy S23 </t>
  </si>
  <si>
    <t>Samsung Carcasa Silicona Cream S23 </t>
  </si>
  <si>
    <t>Samsung Carcasa Silicona Navy S23+</t>
  </si>
  <si>
    <t>Samsung Carcasa Silicona Cream S23+</t>
  </si>
  <si>
    <t>Samsung Carcasa Silicona S23 Green</t>
  </si>
  <si>
    <t>Samsung Carcasa Silicona S23 Lavender</t>
  </si>
  <si>
    <t>Samsung Carcasa Silicona S23+ Green</t>
  </si>
  <si>
    <t>Samsung Carcasa Silicona S23+ Lavender</t>
  </si>
  <si>
    <t>Samsung Carcasa Silicona S23 Ultra Green</t>
  </si>
  <si>
    <t>Samsung Carcasa Silicona Grip Black S23</t>
  </si>
  <si>
    <t>Samsung Carcasa Silicona Grip White S23</t>
  </si>
  <si>
    <t>Samsung Carcasa Silicona Grip Black S23+</t>
  </si>
  <si>
    <t>Samsung Carcasa Transparente S23 </t>
  </si>
  <si>
    <t>Samsung Carcasa Transparente S23+</t>
  </si>
  <si>
    <t>Samsung Carcasa Transparente S23 Ultra </t>
  </si>
  <si>
    <t>Samsung Carcasa Silicona Grip White S23+</t>
  </si>
  <si>
    <t>Samsung Carcasa Silicona Grip Black S23 Ultra</t>
  </si>
  <si>
    <t>Samsung Carcasa Silicona Grip White S23 Ultra</t>
  </si>
  <si>
    <t>GOOGLE</t>
  </si>
  <si>
    <t>SMART HOME</t>
  </si>
  <si>
    <t>Chromecast 3</t>
  </si>
  <si>
    <t>Google Nest Mini</t>
  </si>
  <si>
    <t>Osoji Robot Limpiavidrios</t>
  </si>
  <si>
    <t>OSOJI</t>
  </si>
  <si>
    <t>Roku Stick 4K</t>
  </si>
  <si>
    <t>ROKU</t>
  </si>
  <si>
    <t>Roku Express 4K</t>
  </si>
  <si>
    <t>Roku Express</t>
  </si>
  <si>
    <t>Dusted Soporte Magnético De Teléfono Con Adaptador</t>
  </si>
  <si>
    <t>SOPORTE</t>
  </si>
  <si>
    <t>Dusted Soporte Magnético Auto Premium</t>
  </si>
  <si>
    <t>Philips Soporte Celular Retráctil Black</t>
  </si>
  <si>
    <t>PHILLIPS</t>
  </si>
  <si>
    <t>Ultra Soporte Rejilla Magnético Black</t>
  </si>
  <si>
    <t>Soporte Urbano Magnetico Black</t>
  </si>
  <si>
    <t>ACER</t>
  </si>
  <si>
    <t>TABLET</t>
  </si>
  <si>
    <t>Acer Tablet AS10W 32GB Silver</t>
  </si>
  <si>
    <t>Acer Tablet AS10W 32GB Gray</t>
  </si>
  <si>
    <t>Matepad T10 WiFi</t>
  </si>
  <si>
    <t>Honor Band 6 Black</t>
  </si>
  <si>
    <t>Honor Band 7 Black</t>
  </si>
  <si>
    <t>Honor Band 7 Pink</t>
  </si>
  <si>
    <t>Huawei Fit 2 Active Black</t>
  </si>
  <si>
    <t>Huawei Fit 2 Active Pink</t>
  </si>
  <si>
    <t>Huawei Band 8 Black</t>
  </si>
  <si>
    <t>Huawei Band 8 Pink</t>
  </si>
  <si>
    <t>Huawei Watch Fit 3 Black</t>
  </si>
  <si>
    <t>Huawei Watch Fit 3 Pink</t>
  </si>
  <si>
    <t>Huawei Watch GT 4 46mm Black</t>
  </si>
  <si>
    <t>Huawei Watch GT 4 41mm White Leather</t>
  </si>
  <si>
    <t>Huawei Band 9 Pink</t>
  </si>
  <si>
    <t>Huawei Band 9 Black</t>
  </si>
  <si>
    <t>Huawei Watch GT 2 Sport Latona Black</t>
  </si>
  <si>
    <t>Watch Kids 4 Pro Blue</t>
  </si>
  <si>
    <t>Watch Kids 4 Pro Pink</t>
  </si>
  <si>
    <t>Huawei GT3 Pro Black</t>
  </si>
  <si>
    <t>Huawei Color Band A2 Black</t>
  </si>
  <si>
    <t>Huawei Smartwatch Fit SE Black</t>
  </si>
  <si>
    <t>Huawei Smartwatch Fit SE Pink</t>
  </si>
  <si>
    <t>Huawei Watch GT 5 46mm Black</t>
  </si>
  <si>
    <t>Huawei Watch GT 5 41mm White</t>
  </si>
  <si>
    <t>Huawei Watch GT 5 Pro 46mm Black</t>
  </si>
  <si>
    <t>Keiphone Smartwatch Kids Evo Azul 4G</t>
  </si>
  <si>
    <t>KEIPHONE</t>
  </si>
  <si>
    <t>Keiphone Smartwatch Bit Alexa</t>
  </si>
  <si>
    <t>Keiphone Smartwatch Kira XT Dorado Metálico</t>
  </si>
  <si>
    <t>Keiphone Smartwatch MUV GPS</t>
  </si>
  <si>
    <t>Keiphone Smartwatch Kids Evo Rosado 4G</t>
  </si>
  <si>
    <t>Samsung Galaxy Watch5 44mm Blue</t>
  </si>
  <si>
    <t>Samsung Galaxy Watch5 44mm Silver</t>
  </si>
  <si>
    <t>Samsung Galaxy Watch5 40mm Gray</t>
  </si>
  <si>
    <t>Samsung Galaxy Watch5 40mm Rose Gold</t>
  </si>
  <si>
    <t>Samsung Galaxy Watch Active Rose Gold</t>
  </si>
  <si>
    <t>Samsung Galaxy Watch Active Negro</t>
  </si>
  <si>
    <t>Xiaomi Mi Smart Band 6</t>
  </si>
  <si>
    <t>Xiaomi Mi Smart Band 5 Negro</t>
  </si>
  <si>
    <t xml:space="preserve">Xiaomi Smart Band 7 </t>
  </si>
  <si>
    <t>Xiaomi Mi Watch Black</t>
  </si>
  <si>
    <t>Xiaomi Redmi Watch 2 Lite GL Black</t>
  </si>
  <si>
    <t>Xiaomi Redmi Watch 2 Lite Ivory</t>
  </si>
  <si>
    <t>Xiaomi Watch S1 Active GL Space Black</t>
  </si>
  <si>
    <t>Xiaomi Watch S1 Active GL Moon White</t>
  </si>
  <si>
    <t>Xiaomi Redmi Smartband 2 GL Ivory</t>
  </si>
  <si>
    <t>Xiaomi Redmi Smartband 2 GL Black</t>
  </si>
  <si>
    <t>Xiaomi Band 9 Active Black</t>
  </si>
  <si>
    <t>Xiaomi Band 9 Active Pink</t>
  </si>
  <si>
    <t>Redmi Watch 5 Active Black</t>
  </si>
  <si>
    <t>Redmi Watch 5 Active Gray</t>
  </si>
  <si>
    <t>Watch Live 2 ZTE Negro</t>
  </si>
  <si>
    <t>ZTE Watch GT Black</t>
  </si>
  <si>
    <t>Huawei Watch GT 5 41mm Blue</t>
  </si>
  <si>
    <t>Huawei Watch GT 5 46mm Brown</t>
  </si>
  <si>
    <t>Huawei Watch Gt 5 Pro 41mm White</t>
  </si>
  <si>
    <t>Nintendo Switch 1.1 + Mario Kart 8</t>
  </si>
  <si>
    <t>Huawei Freebuds Pro 4 Black</t>
  </si>
  <si>
    <t>Huawei Freebuds SE 3 Black</t>
  </si>
  <si>
    <t>Huawei Freebuds SE 3 Gold</t>
  </si>
  <si>
    <t>Huawei Freeclip Black</t>
  </si>
  <si>
    <t>Huawei GT 5 41mm Gold</t>
  </si>
  <si>
    <t>Huawei GT 5 46mm Blue</t>
  </si>
  <si>
    <t>PRIMA MENSUAL PROTECCIÓN MÓVIL (OPCIONAL)</t>
  </si>
  <si>
    <t>NOMBRE_EQUIPO</t>
  </si>
  <si>
    <t>EQUIPMENT_RANK</t>
  </si>
  <si>
    <t>EQUIPMENT_CLASSIFICATION</t>
  </si>
  <si>
    <t>MODEL</t>
  </si>
  <si>
    <t>MAKE</t>
  </si>
  <si>
    <t>EQ POST PAGO APPLE  IPHONE XR 64GB WHITE</t>
  </si>
  <si>
    <t>SMT</t>
  </si>
  <si>
    <t>IPHONE XR 64 GB WHITE</t>
  </si>
  <si>
    <t>EQ POST PAGO APPLE  IPHONE XR 64GB CORAL</t>
  </si>
  <si>
    <t>IPHONE XR 64GB CORAL</t>
  </si>
  <si>
    <t>EQ POST PAGO IPHONE XR 64GB BLUE</t>
  </si>
  <si>
    <t>IPHONE XR 64GB BLUE</t>
  </si>
  <si>
    <t>EQ POST PAGO APPLE  IPHONE XR 64GB BLACK</t>
  </si>
  <si>
    <t>IPHONE XR 64GB BLACK</t>
  </si>
  <si>
    <t>EQ POSTPAGO HUAWEI MRD-L03 BLACK</t>
  </si>
  <si>
    <t>Y6 2019 Black</t>
  </si>
  <si>
    <t>SAMSUNG A10S</t>
  </si>
  <si>
    <t>A307</t>
  </si>
  <si>
    <t>IPHONE 11 64GB</t>
  </si>
  <si>
    <t>APP IPH11 128GBLA NG POST</t>
  </si>
  <si>
    <t>IPHONE 11 128GB</t>
  </si>
  <si>
    <t>Huawei Y9S BLUE</t>
  </si>
  <si>
    <t>HUA Y9S NG STK-LX3 POST</t>
  </si>
  <si>
    <t>Huawei Y9S BLACK</t>
  </si>
  <si>
    <t>SAMSUNG A015 NEGRO POST</t>
  </si>
  <si>
    <t>A015</t>
  </si>
  <si>
    <t>SAMSUNG NOTE 10 LITE N770 NG POST</t>
  </si>
  <si>
    <t>SAMSUNG NOTE 10 LITE BLACK</t>
  </si>
  <si>
    <t>SMG GXYZFLIPF700F NG POST</t>
  </si>
  <si>
    <t>SAMSUNG GALAXY Z FLIP</t>
  </si>
  <si>
    <t>SAMSUNG GALAXY A11</t>
  </si>
  <si>
    <t xml:space="preserve">SAMSUNG A21S BLACK </t>
  </si>
  <si>
    <t>SAMSUNG A31 128GB BLACK</t>
  </si>
  <si>
    <t xml:space="preserve">MOT E6S XT2053-2 RJ POST </t>
  </si>
  <si>
    <t>MOTOROLA E6S ROJO</t>
  </si>
  <si>
    <t xml:space="preserve">MOT E6S XT2053-2 AZ POST </t>
  </si>
  <si>
    <t>MOTOROLA E6S AZUL</t>
  </si>
  <si>
    <t>MOTOROLA G8 POWER LITE</t>
  </si>
  <si>
    <t>HUA P40 128GB AZ POST</t>
  </si>
  <si>
    <t>HUAWEI P40 BLUE</t>
  </si>
  <si>
    <t>HUA P40 LITE 128G PL POST</t>
  </si>
  <si>
    <t>HUA P40 LITE 128G NG POST</t>
  </si>
  <si>
    <t>HUA P40 PRO 256GB PL POST</t>
  </si>
  <si>
    <t>HUA P40 128GB PL POST</t>
  </si>
  <si>
    <t>HUAWEI P40 SILVER</t>
  </si>
  <si>
    <t>HUA P40 LITE 128G PL + BANDA 4 PRO POST</t>
  </si>
  <si>
    <t>HUA P40 LITE 128G NG + BANDA 4 PRO POST</t>
  </si>
  <si>
    <t>HUA P40 PRO 256GB PL + WIRE + FBUDS POST</t>
  </si>
  <si>
    <t>HUA P40 PRO 256GB AZ + WIRE + FBUDS POST</t>
  </si>
  <si>
    <t>HUA P40 128GB PL + FREEBUDS POST</t>
  </si>
  <si>
    <t>HUAWEI P40 SILVER + FREEBUDS</t>
  </si>
  <si>
    <t>HUA P40 128GB AZ + FREEBUDS POST</t>
  </si>
  <si>
    <t>HUAWEI P40 BLUE + FREEBUDS</t>
  </si>
  <si>
    <t>APP IPHSE2064BLAC NG POST</t>
  </si>
  <si>
    <t>APPLE IPHONE SE 2020 64GB</t>
  </si>
  <si>
    <t>APP IPHSE2064WHIT BL POST</t>
  </si>
  <si>
    <t>APP IPHSE2064RED RJ POST</t>
  </si>
  <si>
    <t>APP IPHSE20128BLA NG POST</t>
  </si>
  <si>
    <t>Iphone SE 128 GB Negro</t>
  </si>
  <si>
    <t>APP IPHSE20128WHI BL POST</t>
  </si>
  <si>
    <t>Iphone SE 128 GB Blanco</t>
  </si>
  <si>
    <t>APP IPHSE20128RED RJ POST</t>
  </si>
  <si>
    <t>Iphone SE 128 GB Rojo</t>
  </si>
  <si>
    <t xml:space="preserve">HUA Y6P 64GB NG POST                    </t>
  </si>
  <si>
    <t>Y6P BLACK</t>
  </si>
  <si>
    <t xml:space="preserve">HUA Y6P 64GB VR POST                    </t>
  </si>
  <si>
    <t>Y6P GREEN</t>
  </si>
  <si>
    <t xml:space="preserve">HUA Y7P 64GB NG POST                    </t>
  </si>
  <si>
    <t>HUAWEI Y7P 64GB BLACK</t>
  </si>
  <si>
    <t xml:space="preserve">HUA Y7P 64GB AZ POST                    </t>
  </si>
  <si>
    <t>HUAWEI Y7P 64GB BLUE</t>
  </si>
  <si>
    <t>XIAOMI REDMI NOTE 9 MIDNIGHT GRAY</t>
  </si>
  <si>
    <t xml:space="preserve">XIA REDMI 9 64GB NG POST                </t>
  </si>
  <si>
    <t>XIAOMI REDMI 9 BLACK</t>
  </si>
  <si>
    <t>REDMI 9A 32GB</t>
  </si>
  <si>
    <t>LG K22 TITAN</t>
  </si>
  <si>
    <t>MOTOROLA G9 PLAY</t>
  </si>
  <si>
    <t>MOT MOG9PLU128X87 AZ POST</t>
  </si>
  <si>
    <t>MOTOROLA  G9 PLUS</t>
  </si>
  <si>
    <t>SMG GXYNO256N980F GR POST</t>
  </si>
  <si>
    <t>NOTE 20 GRAY</t>
  </si>
  <si>
    <t>SMG GXNOU256N985F NG POST</t>
  </si>
  <si>
    <t>NOTE 20 ULTRA</t>
  </si>
  <si>
    <t xml:space="preserve">XIA REDMI 9 64GB MR POST                </t>
  </si>
  <si>
    <t>XIAOMI REDMI 9 SUNSET PURPLE</t>
  </si>
  <si>
    <t xml:space="preserve">XIA REDMI 9 64GB NG + MI SPEAKER POST   </t>
  </si>
  <si>
    <t>XIA REDMI 9C 64GB AZ POST</t>
  </si>
  <si>
    <t>REDMI 9C 64GB</t>
  </si>
  <si>
    <t>XIAOMI REDMI NOTE 9 GREEN</t>
  </si>
  <si>
    <t xml:space="preserve">HUA Y8P 128GB NG POST                   </t>
  </si>
  <si>
    <t>HUA Y8P 128GB NG</t>
  </si>
  <si>
    <t>MOTOROLA G9 POWER XT2091 GREEN</t>
  </si>
  <si>
    <t xml:space="preserve">HUA Y8P 128GB LU POST                   </t>
  </si>
  <si>
    <t>HUAWEI Y8P PIEDRA LUNA</t>
  </si>
  <si>
    <t>SMG GXYZFOL2F916B NG POST</t>
  </si>
  <si>
    <t>SAMSUNG Z FOLD 2 BLACK</t>
  </si>
  <si>
    <t xml:space="preserve">HUA Y7A 64GB NG POST                    </t>
  </si>
  <si>
    <t>HUAWEI Y7A BLACK</t>
  </si>
  <si>
    <t>HUAWEI Y7A GREEN</t>
  </si>
  <si>
    <t xml:space="preserve">HUA MATE40PRO256G PL POST               </t>
  </si>
  <si>
    <t>MATE 40 PRO SILVER</t>
  </si>
  <si>
    <t>XIA REDMI 9C GR SPEAKER POST</t>
  </si>
  <si>
    <t>REDMI 9C 64GB MI SPEAKER</t>
  </si>
  <si>
    <t>XIA REDMI 9A 32GB AZ y MI SPEAKER POST</t>
  </si>
  <si>
    <t>REDMI 9A y PARLANTE</t>
  </si>
  <si>
    <t>SMG GXYS20FEGT80F CN POST</t>
  </si>
  <si>
    <t>S20 FE</t>
  </si>
  <si>
    <t>IPHONE 12 MINI 64GB</t>
  </si>
  <si>
    <t>APP IPH12MINI6BLA NG POST</t>
  </si>
  <si>
    <t>APP IPH12PRO128PB AZ POST</t>
  </si>
  <si>
    <t>APPLE IPHONE 12 PRO 128GB BLUE</t>
  </si>
  <si>
    <t>APP IPH1264GWHI BL POST</t>
  </si>
  <si>
    <t>IPHONE 12 64GB</t>
  </si>
  <si>
    <t>IPHONE 12 128GB</t>
  </si>
  <si>
    <t>APP IPH12256GBLK NG POST</t>
  </si>
  <si>
    <t>IPHONE 12 256GB</t>
  </si>
  <si>
    <t>APPLE IPHONE 12 PRO 256GB GRAFITO</t>
  </si>
  <si>
    <t>IPHONE 12 PRO MAX 128GB</t>
  </si>
  <si>
    <t>APPLE IPHONE 12 PRO 128GB GRAFITO</t>
  </si>
  <si>
    <t>APP IPH12PRO128GS PL POST</t>
  </si>
  <si>
    <t>APPLE IPHONE 12 PRO 128GB SILVER</t>
  </si>
  <si>
    <t>APP IPH12PMX256GP GF POST</t>
  </si>
  <si>
    <t>APPLE IPHONE 12 PRO MAX 256GB GRAFITO</t>
  </si>
  <si>
    <t>IPHONE 11 64GB S/C</t>
  </si>
  <si>
    <t>IPHONE 11 128GB S/C</t>
  </si>
  <si>
    <t>APP IPHSE2064WHIT BL POST S/CARCAGADOR</t>
  </si>
  <si>
    <t xml:space="preserve">MOT RAZR256XT2071 GR POST               </t>
  </si>
  <si>
    <t>MOTOROLA RAZR GRIS</t>
  </si>
  <si>
    <t xml:space="preserve">SMG GXYA02SA025M NG 32GB POST           </t>
  </si>
  <si>
    <t>A02s 32GB</t>
  </si>
  <si>
    <t xml:space="preserve">SMG GALAXYA02SA02 NG POST               </t>
  </si>
  <si>
    <t>A02s 64GB</t>
  </si>
  <si>
    <t>MOTOROLA E7 GRIS</t>
  </si>
  <si>
    <t xml:space="preserve">LG K42 64LMK420H GR POST                </t>
  </si>
  <si>
    <t>K42 GRIS</t>
  </si>
  <si>
    <t xml:space="preserve">LG K52 64LMK520H RJ POST                </t>
  </si>
  <si>
    <t>K52 ROJO</t>
  </si>
  <si>
    <t>S21 ULTRA</t>
  </si>
  <si>
    <t>XIA MI 10TPRO 256GB CB POST</t>
  </si>
  <si>
    <t>XIAOMI MI 10T PRO COSMIC BLACK</t>
  </si>
  <si>
    <t>S21</t>
  </si>
  <si>
    <t>SMG GXYS21PLG996B NG POST</t>
  </si>
  <si>
    <t>S21 PLUS</t>
  </si>
  <si>
    <t>Samsung</t>
  </si>
  <si>
    <t>XIA MI 10TPRO 256 CB + WATCH POST</t>
  </si>
  <si>
    <t>XIAOMI MI 10T PRO COSMIC BLACK + WATCH</t>
  </si>
  <si>
    <t>A52</t>
  </si>
  <si>
    <t>A15</t>
  </si>
  <si>
    <t>G100</t>
  </si>
  <si>
    <t>A54</t>
  </si>
  <si>
    <t xml:space="preserve">SMG GXYA0232/2A02 NG POST               </t>
  </si>
  <si>
    <t>A02 32 NG</t>
  </si>
  <si>
    <t xml:space="preserve">SMG GXYA72A725M NG POST                 </t>
  </si>
  <si>
    <t>A72</t>
  </si>
  <si>
    <t>A32</t>
  </si>
  <si>
    <t>E7i POWER</t>
  </si>
  <si>
    <t>HUA Y9A 128GB PL POST</t>
  </si>
  <si>
    <t>Y9A</t>
  </si>
  <si>
    <t>REDMI NOTE 10 PRO</t>
  </si>
  <si>
    <t>REDMI NOTE 10S</t>
  </si>
  <si>
    <t xml:space="preserve">XIA MI11LITE128GB AZ POST               </t>
  </si>
  <si>
    <t>MI 11 LITE AZ</t>
  </si>
  <si>
    <t>XIA RNOTE10PRO128 GR POST</t>
  </si>
  <si>
    <t xml:space="preserve">XIA MI11LITE128GB NG POST               </t>
  </si>
  <si>
    <t>MI 11 LITE NG</t>
  </si>
  <si>
    <t xml:space="preserve">XIA REDMI 9T 128G AZ POST               </t>
  </si>
  <si>
    <t>REDMI 9T AZ</t>
  </si>
  <si>
    <t>XIA MI 10TPRO 256 AZ POST</t>
  </si>
  <si>
    <t>XIAOMI MI 10TPRO 256 AZ POST</t>
  </si>
  <si>
    <t xml:space="preserve">XIA REDMI 9T 128G CARBON GREY POST      </t>
  </si>
  <si>
    <t>REDMI 9T CG</t>
  </si>
  <si>
    <t>XIA RDMNOTE10S128 NG POST</t>
  </si>
  <si>
    <t>A94</t>
  </si>
  <si>
    <t>XIAOMI REDMI NOTE 9 BLACK</t>
  </si>
  <si>
    <t xml:space="preserve">APP IPH12M64PURPL PU POST </t>
  </si>
  <si>
    <t>APP IPH12M64PURPL PU POST</t>
  </si>
  <si>
    <t>REDMI NOTE 10 5G AZ</t>
  </si>
  <si>
    <t>XIA REDMINOTE1012 NG POST</t>
  </si>
  <si>
    <t>REDMI NOTE 10 5G NG</t>
  </si>
  <si>
    <t xml:space="preserve">MOT MG2064XT21281 AZ POST               </t>
  </si>
  <si>
    <t>G20 AZ</t>
  </si>
  <si>
    <t>APP IPH1264GBP VT POST</t>
  </si>
  <si>
    <t>APPLE IPHONE 12 64GB VIOLETA</t>
  </si>
  <si>
    <t>XIA MI11LITE1285G NG POST</t>
  </si>
  <si>
    <t>Mi 11 Lite 5G NG OPEN</t>
  </si>
  <si>
    <t>XIA MI11LITE1285G VR POST</t>
  </si>
  <si>
    <t>Mi 11 Lite 5G VR OPEN</t>
  </si>
  <si>
    <t>XIA RDMNOTE10S128GR EAR POST</t>
  </si>
  <si>
    <t xml:space="preserve">SMG GXYA72A725M NG OPEN POST            </t>
  </si>
  <si>
    <t>A72 OPEN</t>
  </si>
  <si>
    <t>A52 OPEN</t>
  </si>
  <si>
    <t xml:space="preserve">SMG GXYA3212A325M NG OPEN POST </t>
  </si>
  <si>
    <t>A32 OPEN</t>
  </si>
  <si>
    <t>REDMI NOTE 10 5G GR</t>
  </si>
  <si>
    <t>A03s 64 GB</t>
  </si>
  <si>
    <t>APP IPH XR 64G BL NG POST S/CARG</t>
  </si>
  <si>
    <t>iPhone XR 64GB NG</t>
  </si>
  <si>
    <t>APP IPH1164GWHITE BL POST S/C</t>
  </si>
  <si>
    <t>APP IPH XR 64GBBL AZ POST S/CARG</t>
  </si>
  <si>
    <t>iPhone XR 64GB AZ</t>
  </si>
  <si>
    <t>APP IPH12PRO128GL DO POST</t>
  </si>
  <si>
    <t>APPLE IPHONE 12 PRO 128GB DORADO</t>
  </si>
  <si>
    <t>APP IPH12PRO256SL PL POST</t>
  </si>
  <si>
    <t>APPLE IPHONE 12 PRO 256GB SILVER</t>
  </si>
  <si>
    <t>APP IPH12PRO256GL DO POST</t>
  </si>
  <si>
    <t>APPLE IPHONE 12 PRO 256GB DORADO</t>
  </si>
  <si>
    <t>APP IPH12PMX128SL PL POST</t>
  </si>
  <si>
    <t>APP IPH12PM128GL DO POST</t>
  </si>
  <si>
    <t>APP IPH XR 64G WH BL POST S/CARG</t>
  </si>
  <si>
    <t>iPhone XR 64GB BL</t>
  </si>
  <si>
    <t xml:space="preserve">XIA REDMI 9T 128G VR POST               </t>
  </si>
  <si>
    <t>SAMSUNG GALAXYS20 FE BLUE POST</t>
  </si>
  <si>
    <t>A03s 32 GB</t>
  </si>
  <si>
    <t>SMG GXYZF3256F926 NG POST</t>
  </si>
  <si>
    <t>XIA REDMI 9C 64GB NJ POST</t>
  </si>
  <si>
    <t>XIA 11T PRO 256GB BL POST</t>
  </si>
  <si>
    <t>XIA REDMI 10 128G BL POST</t>
  </si>
  <si>
    <t>XIA 11LTNE128GB BL POST</t>
  </si>
  <si>
    <t>XIA 11T 256GB BL POST</t>
  </si>
  <si>
    <t>XIA 11LTNE128GB AZ POST</t>
  </si>
  <si>
    <t>XIA 11T PRO 256GB AZ POST</t>
  </si>
  <si>
    <t>HUA NOVA 8I 128GB NG POST</t>
  </si>
  <si>
    <t>HUA NOVA 8I 128GB AZ POST</t>
  </si>
  <si>
    <t>HUA NOVA 9 128GB AZ POST</t>
  </si>
  <si>
    <t>NOVA 9 128GB AZ</t>
  </si>
  <si>
    <t>APP IPH13MIN128MN MN POST</t>
  </si>
  <si>
    <t>APP IPH13MIN128SL SL POST</t>
  </si>
  <si>
    <t>APP IPH13MIN128PK RS POST</t>
  </si>
  <si>
    <t>APP IPH13256GSL SL POST</t>
  </si>
  <si>
    <t>APP IPH13512GMN MN POST</t>
  </si>
  <si>
    <t>APP IPH13PRO128GP GF POST</t>
  </si>
  <si>
    <t>APP IPH13PRO128SV PL POST</t>
  </si>
  <si>
    <t>APP IPH13PRO128SB SB POST</t>
  </si>
  <si>
    <t>APP IPH13PRO256GP GF POST</t>
  </si>
  <si>
    <t>APP IPH13PRO256SV PL POST</t>
  </si>
  <si>
    <t>APP IPH13PRO512GP GF POST</t>
  </si>
  <si>
    <t>APP IPH13PRO1TBGP GF POST</t>
  </si>
  <si>
    <t>APP IPH13PMX128SV PL POST</t>
  </si>
  <si>
    <t>APP IPH13PMX256GP GF POST</t>
  </si>
  <si>
    <t>APP IPH13PMX256SV PL POST</t>
  </si>
  <si>
    <t>APP IPH13PMX512GP GF POST</t>
  </si>
  <si>
    <t>APP IPH13PMX1TBGP GF POST</t>
  </si>
  <si>
    <t>HUA NOVA 8I 128GByBANDA4 POST</t>
  </si>
  <si>
    <t>E20</t>
  </si>
  <si>
    <t>Reno 6 128GB AZ</t>
  </si>
  <si>
    <t>Reno 6 128GB NG</t>
  </si>
  <si>
    <t>Redmi Note 10S 128GB BL</t>
  </si>
  <si>
    <t>HUA NOVA 9 128GB AZ FBDS4 POST</t>
  </si>
  <si>
    <t>NOVA 9 128GB AZ BUNDLE</t>
  </si>
  <si>
    <t>XIA 11LTNE128GB NG MIBAND6POST</t>
  </si>
  <si>
    <t>XIA 11LTNE128GB BL MIBAND6POST</t>
  </si>
  <si>
    <t>XIA 11T256GB GR BND6BDS3 POST</t>
  </si>
  <si>
    <t>11T 256 GB GR BUNDLE</t>
  </si>
  <si>
    <t>XIA 11T PRO 256GB GR BNDL POST</t>
  </si>
  <si>
    <t>11T PRO GR BUNDLE</t>
  </si>
  <si>
    <t>XIA 11T PRO 256GB AZ BNDL POST</t>
  </si>
  <si>
    <t>11T PRO AZ BUNDLE</t>
  </si>
  <si>
    <t>Reno 6 Lite NG</t>
  </si>
  <si>
    <t>OPP RENO6LITE128G AZ POST</t>
  </si>
  <si>
    <t>Reno 6 Lite AZ</t>
  </si>
  <si>
    <t>SMG GXYA03S32A037 NG OPEN POST</t>
  </si>
  <si>
    <t>A03s 32 GB OPEN</t>
  </si>
  <si>
    <t>SMG GXYA03S64AODS NG OPEN POST</t>
  </si>
  <si>
    <t>A03s 64 GB OPEN</t>
  </si>
  <si>
    <t>A32 OPEN NG</t>
  </si>
  <si>
    <t>A52 NG Open</t>
  </si>
  <si>
    <t>SMG GXYA022FODS32 NG OPEN POST</t>
  </si>
  <si>
    <t>A02 Open</t>
  </si>
  <si>
    <t>SMG GXYS21G99BODS GR OPEN POST</t>
  </si>
  <si>
    <t>S21 Open</t>
  </si>
  <si>
    <t>VI V21 128GB 5G NR POST</t>
  </si>
  <si>
    <t>VI Y21S 128GB AE POST</t>
  </si>
  <si>
    <t>Y21S 128GB AZ Medianoche</t>
  </si>
  <si>
    <t>VI Y21S 128GB BP POST</t>
  </si>
  <si>
    <t>Y21S 128GB BP</t>
  </si>
  <si>
    <t>VI Y53S 128GB NO POST</t>
  </si>
  <si>
    <t>Y53S 128GB Negro Oceano</t>
  </si>
  <si>
    <t>VI Y53S 128GB AI POST</t>
  </si>
  <si>
    <t>Y53S 128GB AZ Arcoiris</t>
  </si>
  <si>
    <t>VI V21 128GB NR POST</t>
  </si>
  <si>
    <t>VI V21 128GB AS POST</t>
  </si>
  <si>
    <t>SMG GYA52SA528BOD NG OPEN POST</t>
  </si>
  <si>
    <t>A52S OPEN</t>
  </si>
  <si>
    <t>HUA P50 PRO 256GB DO POST</t>
  </si>
  <si>
    <t>P50 PRO DORADO</t>
  </si>
  <si>
    <t>HUA P50 PRO 256GB DOSOUNDPOST</t>
  </si>
  <si>
    <t>P50 PRO DORADO BUNDLE</t>
  </si>
  <si>
    <t>VI V21 128GB 5G AS POST</t>
  </si>
  <si>
    <t>VI Y53S128GBODS AI OPEN POST</t>
  </si>
  <si>
    <t>Y53S Azul Arcoiris Open</t>
  </si>
  <si>
    <t>VI Y53S128GBODS NO OPEN POST</t>
  </si>
  <si>
    <t>Y53S Negro Oceano Open</t>
  </si>
  <si>
    <t>VI V21128G5GODS NR OPEN POST</t>
  </si>
  <si>
    <t>VI V21128G5GODS AS OPEN POST</t>
  </si>
  <si>
    <t>VI Y21S128GBODS AE OPEN POST</t>
  </si>
  <si>
    <t>Y21s Azul Medianoche Open</t>
  </si>
  <si>
    <t>VI Y21S128GBODS BP OPEN POST</t>
  </si>
  <si>
    <t>Y21s Blanco Perla Open</t>
  </si>
  <si>
    <t>G10</t>
  </si>
  <si>
    <t>A54 AZ OPEN</t>
  </si>
  <si>
    <t>OPP RENO6LT128ODS AZ OPEN POST</t>
  </si>
  <si>
    <t>Reno 6 Lite AZ Open</t>
  </si>
  <si>
    <t>OPP RENO6LT128ODS NG OPEN POST</t>
  </si>
  <si>
    <t>Reno 6 Lite NG Open</t>
  </si>
  <si>
    <t>Reno 5 Lite NG Open</t>
  </si>
  <si>
    <t>OPP RENO5LT128ODS MR OPEN POST</t>
  </si>
  <si>
    <t>Reno 5 Lite MR Open</t>
  </si>
  <si>
    <t>OPP A16 64GB ODS AZ OPEN POST</t>
  </si>
  <si>
    <t>A16 Open AZ</t>
  </si>
  <si>
    <t>A54 NG OPEN</t>
  </si>
  <si>
    <t>OPP A16 64GB ODS NG OPEN POST</t>
  </si>
  <si>
    <t>A16 Open NG</t>
  </si>
  <si>
    <t>SMG GXYS21PG9ODS NG OPEN POST</t>
  </si>
  <si>
    <t>S21 Plus Negro Open</t>
  </si>
  <si>
    <t>SMG GXYS21UG998UO NG OPEN POST</t>
  </si>
  <si>
    <t>S21 Ultra Negro Open</t>
  </si>
  <si>
    <t>SMG GXYS21UG998UO PL OPEN POST</t>
  </si>
  <si>
    <t>S21 Ultra Plata Open</t>
  </si>
  <si>
    <t>XIA 11LTNE128GODS AZ OPEN POST</t>
  </si>
  <si>
    <t>XIA 11LTNE128GODS BL OPEN POST</t>
  </si>
  <si>
    <t>XIA 11LTNE128GODS NG OPEN POST</t>
  </si>
  <si>
    <t>11T GRIS OPEN</t>
  </si>
  <si>
    <t>XIA 11T 256GB ODS BL OPEN POST</t>
  </si>
  <si>
    <t>11T BLANCO OPEN</t>
  </si>
  <si>
    <t>11T PRO AZUL OPEN</t>
  </si>
  <si>
    <t>11T PRO GRIS OPEN</t>
  </si>
  <si>
    <t>Reno 6 Lite Plata</t>
  </si>
  <si>
    <t>11T AZUL OPEN</t>
  </si>
  <si>
    <t>XIA 11TPRO256GODS BL OPEN POST</t>
  </si>
  <si>
    <t>11T PRO BLANCO OPEN</t>
  </si>
  <si>
    <t>A03 128GB OPEN</t>
  </si>
  <si>
    <t>SMG GXYA226128ODS GR OPEN POST</t>
  </si>
  <si>
    <t>A22 5G</t>
  </si>
  <si>
    <t>SMG GXYS21FEG9ODS GR OPEN POST</t>
  </si>
  <si>
    <t>S21 FE</t>
  </si>
  <si>
    <t>G51</t>
  </si>
  <si>
    <t>A32 5G Open</t>
  </si>
  <si>
    <t>SMG GXYA036435ODS NG OPEN POST</t>
  </si>
  <si>
    <t>A03 64GB OPEN</t>
  </si>
  <si>
    <t>SMG GXYS22128S9OD NG OPEN POST</t>
  </si>
  <si>
    <t>S22 NEGRO 128GB</t>
  </si>
  <si>
    <t>SMG GXY128A225ODS BL OPEN POST</t>
  </si>
  <si>
    <t>A22 Blanco Open</t>
  </si>
  <si>
    <t>MOT MG200128XT217 MI POST</t>
  </si>
  <si>
    <t>G200</t>
  </si>
  <si>
    <t>MOT EDGE30P256XT2 VR POST</t>
  </si>
  <si>
    <t>SMG GXYS22128S9OD RS OPEN POST</t>
  </si>
  <si>
    <t>S22 ROSA 128GB</t>
  </si>
  <si>
    <t>SMG GXYS22PS9ODS BL OPEN POST</t>
  </si>
  <si>
    <t>S22 PLUS BLANCO 128GB</t>
  </si>
  <si>
    <t>SMG GXYS22PS9ODS VR OPEN POST</t>
  </si>
  <si>
    <t>S22 PLUS VERDE 128GB</t>
  </si>
  <si>
    <t>VI Y01 32GB AZ POST</t>
  </si>
  <si>
    <t>Y01 AZUL</t>
  </si>
  <si>
    <t>VI Y01 32GB NG POST</t>
  </si>
  <si>
    <t>Y01 NEGRO</t>
  </si>
  <si>
    <t>XIA REDMNTE11S128 PH POST</t>
  </si>
  <si>
    <t>REDMI NOTE 11S BLANCO</t>
  </si>
  <si>
    <t>VI Y15S 64GB AZ POST</t>
  </si>
  <si>
    <t>Y15S AZUL</t>
  </si>
  <si>
    <t>A03 CORE</t>
  </si>
  <si>
    <t>REDMI NOTE 11 128GB STAR BLUE</t>
  </si>
  <si>
    <t>XIA REDMNTE11S128 GG POST</t>
  </si>
  <si>
    <t>REDMI NOTE 11S GRIS</t>
  </si>
  <si>
    <t>XIA REDMNTE11S128 TU POST</t>
  </si>
  <si>
    <t>REDMI NOTE 11S AZUL</t>
  </si>
  <si>
    <t>SMG GXYS22U256ODS NG OPEN POST</t>
  </si>
  <si>
    <t>S22 ULTRA 256GB NEGRO</t>
  </si>
  <si>
    <t>SMG GXYS22US90ODS NG OPEN POST</t>
  </si>
  <si>
    <t>S22 ULTRA 128GB NEGRO</t>
  </si>
  <si>
    <t>XIA REDMNOTE11128 GG POST</t>
  </si>
  <si>
    <t>REDMI NOTE 11 128GB GRIS</t>
  </si>
  <si>
    <t>REDMI NOTE 11 128GB T BLUE</t>
  </si>
  <si>
    <t>HUA NOVA 9 SE 128 AZ POST</t>
  </si>
  <si>
    <t>NOVA 9 SE 128GB AZ</t>
  </si>
  <si>
    <t>HUA NOVA 9 SE 128 NG POST</t>
  </si>
  <si>
    <t>NOVA 9 NG 128GB AZ</t>
  </si>
  <si>
    <t>SMG GXYS22PS9ODS NG OPEN POST</t>
  </si>
  <si>
    <t>S22 PLUS NEGRO 128GB</t>
  </si>
  <si>
    <t>HUA P50 PRO 256GB NG POST</t>
  </si>
  <si>
    <t>P50 PRO NEGRO</t>
  </si>
  <si>
    <t>HUA P50 PRO 256GB NGSOUNDPOST</t>
  </si>
  <si>
    <t>P50 PRO NEGRO BUNDLE</t>
  </si>
  <si>
    <t>SMG GXYS22128S9OD BL OPEN POST</t>
  </si>
  <si>
    <t>S22 BLANCO 128GB</t>
  </si>
  <si>
    <t>SMG GXYS22128S9OD VR OPEN POST</t>
  </si>
  <si>
    <t>S22 VERDE 128GB</t>
  </si>
  <si>
    <t>SMG GXYS22U256ODS VR OPEN POST</t>
  </si>
  <si>
    <t>S22 ULTRA 256GB VERDE</t>
  </si>
  <si>
    <t>SMG GXYS22U256ODS RJ OPEN POST</t>
  </si>
  <si>
    <t>S22 ULTRA 256GB ROJO</t>
  </si>
  <si>
    <t>SMG GXYS22US90ODS RJ OPEN POST</t>
  </si>
  <si>
    <t>S22 ULTRA 128GB ROJO</t>
  </si>
  <si>
    <t>SMG GXYS22U256ODS BL OPEN POST</t>
  </si>
  <si>
    <t>S22 ULTRA 256GB BLANCO</t>
  </si>
  <si>
    <t>SMG GXYS22US90ODS DO OPEN POST</t>
  </si>
  <si>
    <t>S22 ULTRA 128GB DORADO</t>
  </si>
  <si>
    <t>SMG GXYS22US90ODS VR OPEN POST</t>
  </si>
  <si>
    <t>S22 ULTRA 128GB VERDE</t>
  </si>
  <si>
    <t>SMG GXYS22PS9ODS RS OPEN POST</t>
  </si>
  <si>
    <t>S22 PLUS ROSA 128GB</t>
  </si>
  <si>
    <t>SMG GXYS22US90ODS BL OPEN POST</t>
  </si>
  <si>
    <t>S22 ULTRA 128GB BLANCO</t>
  </si>
  <si>
    <t>SMG GXYS22256SODS RS OPEN POST</t>
  </si>
  <si>
    <t>S22 256GB OPEN ROSA</t>
  </si>
  <si>
    <t>SMG GXYS22256SODS BL OPEN POST</t>
  </si>
  <si>
    <t>S22 256GB OPEN BLANCO</t>
  </si>
  <si>
    <t>SMG GXYS22256SODS VR OPEN POST</t>
  </si>
  <si>
    <t>S22 256GB OPEN VERDE</t>
  </si>
  <si>
    <t>SMG GXYS22P256ODS VR OPEN POST</t>
  </si>
  <si>
    <t>S22 PLUS 256 OPEN VERDE</t>
  </si>
  <si>
    <t>SMG GXYS22P256ODS NG OPEN POST</t>
  </si>
  <si>
    <t>S22 PLUS 256 OPEN NEGRO</t>
  </si>
  <si>
    <t>SMG GXYS22P256ODS BL OPEN POST</t>
  </si>
  <si>
    <t>S22 PLUS 256 OPEN BLANCO</t>
  </si>
  <si>
    <t>SMG GXYS22P256ODS RS OPEN POST</t>
  </si>
  <si>
    <t>S22 PLUS 256 OPEN ROSA</t>
  </si>
  <si>
    <t>SMG GXYS22U512ODS NG OPEN POST</t>
  </si>
  <si>
    <t>S22 ULTRA 512 OPEN NEGRO</t>
  </si>
  <si>
    <t>HUA NOVA8I128GBOD NG OPEN POST</t>
  </si>
  <si>
    <t>Nova 8I NG Open</t>
  </si>
  <si>
    <t>REDMI NOTE 11 OPEN GRIS</t>
  </si>
  <si>
    <t>XIA REDMIN11128OD TU OPEN POST</t>
  </si>
  <si>
    <t>REDMI NOTE 11 OPEN AZUL</t>
  </si>
  <si>
    <t>SMG GXYS22256SODS NG OPEN POST</t>
  </si>
  <si>
    <t>S22 256GB OPEN NEGRO</t>
  </si>
  <si>
    <t>SMG GYA52SA528BOD BL OPEN POST</t>
  </si>
  <si>
    <t>A52S OPEN BLANCO</t>
  </si>
  <si>
    <t>SMG GYA52SA528BOD VR OPEN POST</t>
  </si>
  <si>
    <t>A52S OPEN VERDE</t>
  </si>
  <si>
    <t>Redmi Note 11 128 GB GG BND OP</t>
  </si>
  <si>
    <t>Redmi Note 11 128 GB TU BND OP</t>
  </si>
  <si>
    <t>Redmi Note 11 128 GB GG BND</t>
  </si>
  <si>
    <t>Redmi Note 11 128 GB TU BND</t>
  </si>
  <si>
    <t>Iphone SE 5G 64 GB MIDNIGHT</t>
  </si>
  <si>
    <t>APP IPHSE2264STL SL POST</t>
  </si>
  <si>
    <t>Iphone SE 5G 64 GB STARLIGHT</t>
  </si>
  <si>
    <t>APP IPHSE22128MDN MN POST</t>
  </si>
  <si>
    <t>Iphone SE 5G 128 GB MIDNIGHT</t>
  </si>
  <si>
    <t>iPhone 13 128 GB VERDE</t>
  </si>
  <si>
    <t>APP IPH13256GBGR GE POST</t>
  </si>
  <si>
    <t>iPhone 13 256 GB VERDE</t>
  </si>
  <si>
    <t>APP IPH13P128ALGR PG POST</t>
  </si>
  <si>
    <t>iPhone 13 Pro 128 GB ALPINE GREEN</t>
  </si>
  <si>
    <t>APP IPH13PM128ALG PG POST</t>
  </si>
  <si>
    <t>iphone 13 Pro Max 128 GB ALPINE GREEN</t>
  </si>
  <si>
    <t>SMG GXYA03S32A037 RJ OPEN POST</t>
  </si>
  <si>
    <t>A03s 32 GB OPEN ROJO</t>
  </si>
  <si>
    <t>SMG GXYA226128ODS VR OPEN POST</t>
  </si>
  <si>
    <t>A22 5G Verde</t>
  </si>
  <si>
    <t>SMG GXYA325MODS AZ OPEN POST</t>
  </si>
  <si>
    <t>A32 Open Azul</t>
  </si>
  <si>
    <t>REDMI NOTE 11S 5G BLACK</t>
  </si>
  <si>
    <t>A53 5G</t>
  </si>
  <si>
    <t>XIA REDMIN11P128G OW POST</t>
  </si>
  <si>
    <t>XIA REDMIN11P128G SU POST</t>
  </si>
  <si>
    <t>XIA REDMIN11P5128 OW POST</t>
  </si>
  <si>
    <t>12 256 GB GRAY</t>
  </si>
  <si>
    <t>XIA 12 256GB B1 POST</t>
  </si>
  <si>
    <t>12 256 GB BLUE</t>
  </si>
  <si>
    <t>XIA 12 256GB LE POST</t>
  </si>
  <si>
    <t>12 256 GB PURPLE</t>
  </si>
  <si>
    <t>XIA 12 PRO 256GB GA POST</t>
  </si>
  <si>
    <t>12 PRO 256 GB GRAY</t>
  </si>
  <si>
    <t>XIA 12 PRO 256GB B1 POST</t>
  </si>
  <si>
    <t>12 PRO 256 GB BLUE</t>
  </si>
  <si>
    <t>XIA 12 PRO 256GB LE POST</t>
  </si>
  <si>
    <t>12 PRO 256 GB PURPLE</t>
  </si>
  <si>
    <t>SMG GXYA52S128A52 NG POST</t>
  </si>
  <si>
    <t>A52S</t>
  </si>
  <si>
    <t>SMG GXYS21FE128/6 GR POST</t>
  </si>
  <si>
    <t>SMG GXYS22P128S90 NG POST</t>
  </si>
  <si>
    <t>SMG GXYS22P256S90 NG POST</t>
  </si>
  <si>
    <t>SMG GXYS22U128S90 NG POST</t>
  </si>
  <si>
    <t>SMG GXYS22U256S90 NG POST</t>
  </si>
  <si>
    <t>SMG GXYS22U512S90 NG POST</t>
  </si>
  <si>
    <t>A73 256GB</t>
  </si>
  <si>
    <t>A13</t>
  </si>
  <si>
    <t>SMG GXYA73128/6A7 GR POST</t>
  </si>
  <si>
    <t>SMG GXYA33128/6A3 NG POST</t>
  </si>
  <si>
    <t>A33 5G</t>
  </si>
  <si>
    <t>A03 32GB OPEN</t>
  </si>
  <si>
    <t>SMG GXYS22128S90 NG POST</t>
  </si>
  <si>
    <t>XIA REDMI 10A 64G CS POST</t>
  </si>
  <si>
    <t>REDMI 10A 64GB CHROME SILVER</t>
  </si>
  <si>
    <t>A23</t>
  </si>
  <si>
    <t>REDMI 10A 64GB GRAPHITE GRAY</t>
  </si>
  <si>
    <t>XIA REDMI 10A 64G SK POST</t>
  </si>
  <si>
    <t>REDMI 10A 64GB SKY BLUE</t>
  </si>
  <si>
    <t>12 PRO 256 GB PURPLE BUNDLE</t>
  </si>
  <si>
    <t xml:space="preserve">XIA 12PRO256GODS B1 OPEN POST           </t>
  </si>
  <si>
    <t>12 PRO 256GB OPEN BLUE</t>
  </si>
  <si>
    <t xml:space="preserve">XIA 12PRO256GODS LE OPEN POST           </t>
  </si>
  <si>
    <t>12 PRO 256GB OPEN PURPLE</t>
  </si>
  <si>
    <t xml:space="preserve">XIA 12PRO256GODS GA OPEN POST           </t>
  </si>
  <si>
    <t>12 PRO 256GB OPEN GRAY</t>
  </si>
  <si>
    <t>12 PRO 256 GB BLUE BUNDLE</t>
  </si>
  <si>
    <t>12 256 GB BLUE BUNDLE</t>
  </si>
  <si>
    <t>12 256 GB PURPLE BUNDLE</t>
  </si>
  <si>
    <t>S20 FE 5G AZUL</t>
  </si>
  <si>
    <t>REDMI 10C 128GB AZUL</t>
  </si>
  <si>
    <t>XIA REDMI 10C 128 VR POST</t>
  </si>
  <si>
    <t>REDMI 10C 128GB VERDE</t>
  </si>
  <si>
    <t>12 256 GB GRAY BUNDLE</t>
  </si>
  <si>
    <t>G22 128GB NEGRO</t>
  </si>
  <si>
    <t>REDMI 10C 128GB GRIS</t>
  </si>
  <si>
    <t>MOT MG22128XT2231 AZ POST</t>
  </si>
  <si>
    <t>G22 128GB AZUL</t>
  </si>
  <si>
    <t>XIA REDMI10128G5G VR POST</t>
  </si>
  <si>
    <t>Redmi 10 5G 128GB Verde</t>
  </si>
  <si>
    <t>XIAOMI REDMI 9C VERDE</t>
  </si>
  <si>
    <t>XIA REDMI10128G5G PL POST</t>
  </si>
  <si>
    <t>Redmi 10 5G 128GB Plata</t>
  </si>
  <si>
    <t>XIAOMI REDMI 9A AURORA GREEN</t>
  </si>
  <si>
    <t>XIA 12 LITE 128/8 VC POST</t>
  </si>
  <si>
    <t>12 LITE 128 GB VERDE CLARO</t>
  </si>
  <si>
    <t>XIA 12 LITE 128/8 RS POST</t>
  </si>
  <si>
    <t>12 LITE 128 GB ROSA</t>
  </si>
  <si>
    <t>OPP RENO75G256GB SY POST</t>
  </si>
  <si>
    <t>RENO 7 5G</t>
  </si>
  <si>
    <t>RENO 7</t>
  </si>
  <si>
    <t>REDMI NOTE 11 STAR BLUE BUNDLE</t>
  </si>
  <si>
    <t>HOR X7 128GB PL POST</t>
  </si>
  <si>
    <t>X7 PLATA</t>
  </si>
  <si>
    <t>HOR X8 128GB AZ POST</t>
  </si>
  <si>
    <t>X8 AZUL</t>
  </si>
  <si>
    <t>X8 PLATA</t>
  </si>
  <si>
    <t>X9 NEGRO</t>
  </si>
  <si>
    <t>HOR X9 128GB PL POST</t>
  </si>
  <si>
    <t>X9 PLATA</t>
  </si>
  <si>
    <t>X7 AZUL</t>
  </si>
  <si>
    <t>REDMI NOTE 11 PRO 5G BUNDLE GRAY</t>
  </si>
  <si>
    <t>REDMI NOTE 11 PRO 5G BUNDLE ATLANTIC BLUE</t>
  </si>
  <si>
    <t>A03 CORE 32GB</t>
  </si>
  <si>
    <t>G22 128GB BLANCO</t>
  </si>
  <si>
    <t>SMG GXYZFP4256OP CE OPEN POST</t>
  </si>
  <si>
    <t>Z FLIP 4 256GB CELESTE</t>
  </si>
  <si>
    <t>Z FOLD 4 NEGRO</t>
  </si>
  <si>
    <t>Edge 30 Fusion 256GB Negro Cuarzo</t>
  </si>
  <si>
    <t>MOT E30FU256XT224 BN POST</t>
  </si>
  <si>
    <t>Edge 30 Fusion 256GB Blanco Opalo</t>
  </si>
  <si>
    <t>SMG GXYZF4256FODS VR OPEN POST</t>
  </si>
  <si>
    <t>Z FOLD 4 VERDE</t>
  </si>
  <si>
    <t>Z FLIP 4 256GB GRIS</t>
  </si>
  <si>
    <t>REDMI NOTE 11S 5G</t>
  </si>
  <si>
    <t>X6S 128GB Plateado</t>
  </si>
  <si>
    <t>MOT ME22IXT223917 BL POST</t>
  </si>
  <si>
    <t>E22I 64GB Blanco</t>
  </si>
  <si>
    <t>IPHONE 14 128GB MIDNIGHT</t>
  </si>
  <si>
    <t>IPHONE 14 128GB STARLIGHT</t>
  </si>
  <si>
    <t>IPHONE 14 256GB MIDNIGHT</t>
  </si>
  <si>
    <t>IPHONE 14 PLUS 128GB MIDNIGHT</t>
  </si>
  <si>
    <t>IPHONE 14 PLUS 128GB STARLIGHT</t>
  </si>
  <si>
    <t>IPHONE 14 PLUS 128GB PURPLE</t>
  </si>
  <si>
    <t>IPHONE 14 PLUS 256GB MIDNIGHT</t>
  </si>
  <si>
    <t>IPHONE 14 PRO 128GB SPB</t>
  </si>
  <si>
    <t>IPHONE 14 PRO 128GB SILVER</t>
  </si>
  <si>
    <t>IPHONE 14 PRO 128GB GOLD</t>
  </si>
  <si>
    <t>IPHONE 14 PRO 256GB SPB</t>
  </si>
  <si>
    <t>IPHONE 14 PRO 512GB SPB</t>
  </si>
  <si>
    <t>IPHONE 14 PRO MAX 128GB SPB</t>
  </si>
  <si>
    <t>IPHONE 14 PRO MAX 128GB SILVER</t>
  </si>
  <si>
    <t>IPHONE 14 PRO MAX 128GB GOLD</t>
  </si>
  <si>
    <t>IPHONE 14 PRO MAX 512GB SPB</t>
  </si>
  <si>
    <t>APP IPH14PRMAX1TB SP POST</t>
  </si>
  <si>
    <t>IPHONE 14 PRO MAX 1TB SPB</t>
  </si>
  <si>
    <t>SMG GA0412845MDS VR POST</t>
  </si>
  <si>
    <t>A04 128GB Verde</t>
  </si>
  <si>
    <t>XIA REDMI10128G5G VD POST</t>
  </si>
  <si>
    <t>Redmi 10 5G 128GB Verde Aurora</t>
  </si>
  <si>
    <t>XIA REDMI10128G5G PX POST</t>
  </si>
  <si>
    <t>Redmi 10 5G 128GB Plata Cromo</t>
  </si>
  <si>
    <t>XIA 12T 256GB PL POST</t>
  </si>
  <si>
    <t>12T 256GB Plata</t>
  </si>
  <si>
    <t>XIA 12T 256GB AZ POST</t>
  </si>
  <si>
    <t>12T 256GB Azul</t>
  </si>
  <si>
    <t>XIA 12T PRO 256GB PL POST</t>
  </si>
  <si>
    <t>12T Pro 256GB Plata</t>
  </si>
  <si>
    <t>XIA 12T PRO 256GB AZ POST</t>
  </si>
  <si>
    <t>12T Pro 256GB Azul</t>
  </si>
  <si>
    <t>HOR 70 256GB CP POST</t>
  </si>
  <si>
    <t>H70 256GB Cristal Platino</t>
  </si>
  <si>
    <t>OPP A17 64GB NG POST</t>
  </si>
  <si>
    <t>A17 64GB Negro</t>
  </si>
  <si>
    <t>OPP A17 64GB AZ POST</t>
  </si>
  <si>
    <t>A17 64GB Azul</t>
  </si>
  <si>
    <t>IPHONE 14 PLUS 512GB</t>
  </si>
  <si>
    <t>IPHONE 14 128GB</t>
  </si>
  <si>
    <t>IPHONE 14 256GB</t>
  </si>
  <si>
    <t>IPHONE 14 PRO 256GB</t>
  </si>
  <si>
    <t>IPHONE 14 PRO MAX 256GB</t>
  </si>
  <si>
    <t>APP IPH12MIN128BL NG POST</t>
  </si>
  <si>
    <t>iPhone 12 Mini 128GB Negro</t>
  </si>
  <si>
    <t>APP IPH12MIN128GR VR POST</t>
  </si>
  <si>
    <t>iPhone 12 Mini 128GB Verde</t>
  </si>
  <si>
    <t>APP IPH12MIN256BL NG POST</t>
  </si>
  <si>
    <t>iPhone 12 Mini 256GB Negro</t>
  </si>
  <si>
    <t>APP IPH12MIN256WH BL POST</t>
  </si>
  <si>
    <t>iPhone 12 Mini 256GB Blanco</t>
  </si>
  <si>
    <t>APP IPH12MIN256BU AZ POST</t>
  </si>
  <si>
    <t>iPhone 12 Mini 256GB Azul</t>
  </si>
  <si>
    <t>APP IPH12MIN256GR VR POST</t>
  </si>
  <si>
    <t>iPhone 12 Mini 256GB Verde</t>
  </si>
  <si>
    <t>APP IPH12M256PURP PU POST</t>
  </si>
  <si>
    <t>iPhone 12 Mini 256GB Purpura</t>
  </si>
  <si>
    <t>APP IPH12MINI64RD RJ POST</t>
  </si>
  <si>
    <t>iPhone 12 Mini 64GB Rojo</t>
  </si>
  <si>
    <t>APP IPH12MIN64BLU AZ POST</t>
  </si>
  <si>
    <t>iPhone 12 Mini 64GB Azul</t>
  </si>
  <si>
    <t>APP IPH12MINI64GR VR POST</t>
  </si>
  <si>
    <t>iPhone 12 Mini 64GB Verde</t>
  </si>
  <si>
    <t>SMG GXYS20FE5G128 BL POST</t>
  </si>
  <si>
    <t>S20 FE 5G 128GB Blanco</t>
  </si>
  <si>
    <t>OPP RENO7 256GB AZ POST</t>
  </si>
  <si>
    <t>Reno 7 256GB Azul</t>
  </si>
  <si>
    <t>XIA REDMI A2 32GB LG POST</t>
  </si>
  <si>
    <t>Redmi A2 32GB Light Green</t>
  </si>
  <si>
    <t>XIA REDMI A2 32GB LB POST</t>
  </si>
  <si>
    <t>Redmi A2 32GB Light Blue</t>
  </si>
  <si>
    <t>XIA REDMI 12C 128 OB POST</t>
  </si>
  <si>
    <t>Redmi 12C 128GB Ocean Blue</t>
  </si>
  <si>
    <t>XIA REDMI 12C 128 M2 POST</t>
  </si>
  <si>
    <t>Redmi 12C 128GB Mint Green</t>
  </si>
  <si>
    <t>XIA REDMI 12C 128 LP POST</t>
  </si>
  <si>
    <t>Redmi 12C 128GB Lavender Purple</t>
  </si>
  <si>
    <t>SMG GS23128911BDS LI POST</t>
  </si>
  <si>
    <t>S23 128GB Lila</t>
  </si>
  <si>
    <t>SMG GS23128911BDS VR POST</t>
  </si>
  <si>
    <t>S23 128GB Verde</t>
  </si>
  <si>
    <t>SMG GS23256S911DS LI POST</t>
  </si>
  <si>
    <t>S23 256GB Lila</t>
  </si>
  <si>
    <t>SMG GS23256S911DS VR POST</t>
  </si>
  <si>
    <t>S23 256GB Verde</t>
  </si>
  <si>
    <t>SMG GS23U512918DS VR POST</t>
  </si>
  <si>
    <t>S23 Ultra 512GB Verde</t>
  </si>
  <si>
    <t>SMG GS23U512918DS NG POST</t>
  </si>
  <si>
    <t>S23 Ultra 512GB Negro</t>
  </si>
  <si>
    <t>SMG GXYZFP4256OP DO OPEN POST</t>
  </si>
  <si>
    <t>Z Flip 4 256GB Dorado Open</t>
  </si>
  <si>
    <t>V25 128GB Diamante</t>
  </si>
  <si>
    <t>V25 128GB Amanecer</t>
  </si>
  <si>
    <t>SMG GA341286346DS NG POST</t>
  </si>
  <si>
    <t>A34 128GB Negro</t>
  </si>
  <si>
    <t>SMG GA341286346DS VT POST</t>
  </si>
  <si>
    <t>A34 128GB Violeta</t>
  </si>
  <si>
    <t>A34 128GB Plata</t>
  </si>
  <si>
    <t>A34 128GB Verde</t>
  </si>
  <si>
    <t>SMG GA541286546DS BL POST</t>
  </si>
  <si>
    <t>A54 5G 128GB Blanco</t>
  </si>
  <si>
    <t>SMG GA541286546DS VT POST</t>
  </si>
  <si>
    <t>A54 5G 128GB Violeta</t>
  </si>
  <si>
    <t>SMG GA54256A546DS NG POST</t>
  </si>
  <si>
    <t>A54 5G 256GB Negro</t>
  </si>
  <si>
    <t>SMG GA54256A546DS VT POST</t>
  </si>
  <si>
    <t>A54 5G 256GB Violeta</t>
  </si>
  <si>
    <t>SMG GA54256A546DS BL POST</t>
  </si>
  <si>
    <t>A54 5G 256GB Blanco</t>
  </si>
  <si>
    <t>VI Y22S 128/6GB CY POST</t>
  </si>
  <si>
    <t>Y22S 128GB Cyan</t>
  </si>
  <si>
    <t>ZTE BLADEA33 32/1 LA POST</t>
  </si>
  <si>
    <t>Blade A33 32GB Lake Blue</t>
  </si>
  <si>
    <t>A34 128GB Graphite</t>
  </si>
  <si>
    <t>SMG GS23256S911DS LI POST+BUDS 2 PRO PUR</t>
  </si>
  <si>
    <t>S23 256GB + Buds 2 Pro Lila - Purple</t>
  </si>
  <si>
    <t>S23 256GB + Buds 2 Pro Beige - negro</t>
  </si>
  <si>
    <t>S23 256GB + Buds 2 Pro Negro - negro</t>
  </si>
  <si>
    <t>Magic 5 Lite 128GB + Band 6 Verde - Pink</t>
  </si>
  <si>
    <t>Magic 5 Lite 128GB + Band 6 Verde - Black</t>
  </si>
  <si>
    <t>SMG GS21256990EDS LG POST</t>
  </si>
  <si>
    <t>S21 256GB Light Green</t>
  </si>
  <si>
    <t>ZTE A73 128GB SK POST</t>
  </si>
  <si>
    <t>A73 128GB Sky Blue</t>
  </si>
  <si>
    <t>ZTE BLADEA72S128G AZ POST</t>
  </si>
  <si>
    <t>ZTE BLADEA72S128G GR POST</t>
  </si>
  <si>
    <t>Blade A72S 128GB Gris</t>
  </si>
  <si>
    <t>ZTE REDMAG8SPR256 NG POST</t>
  </si>
  <si>
    <t>RED MAGIC 8S PRO 256GB</t>
  </si>
  <si>
    <t>XIA REDM125G256GB BK POST</t>
  </si>
  <si>
    <t>Redmi 12 5G 256GB Black</t>
  </si>
  <si>
    <t>ZTE BLADEV50256GB NG POST</t>
  </si>
  <si>
    <t>V50 256GB Negro</t>
  </si>
  <si>
    <t>XIA REDM125G128G BK POST</t>
  </si>
  <si>
    <t>Redmi 12 5G 128GB Black</t>
  </si>
  <si>
    <t>XIA REDM125G128G B1 POST</t>
  </si>
  <si>
    <t>Redmi 12 5G 128GB Blue</t>
  </si>
  <si>
    <t>XIA REDM125G128G SV POST</t>
  </si>
  <si>
    <t>Redmi 12 5G 128GB Silver</t>
  </si>
  <si>
    <t>XIA REDM125G256GB B1 POST</t>
  </si>
  <si>
    <t>Redmi 12 5G 256GB Blue</t>
  </si>
  <si>
    <t>XIA REDM125G256GB SV POST</t>
  </si>
  <si>
    <t>Redmi 12 5G 256GB Silver</t>
  </si>
  <si>
    <t>OPP RENO 6 128GB NG ESPEJO</t>
  </si>
  <si>
    <t>Reno 6 128GB Espejo Negro</t>
  </si>
  <si>
    <t>VI Y22S 128/6GB AZ ESPEJO</t>
  </si>
  <si>
    <t>Y22S 128GB Espejo Azul</t>
  </si>
  <si>
    <t>SMG GS21256990EDS GR ESPEJO</t>
  </si>
  <si>
    <t>S21 FE 5G 256GB Espejo Gris</t>
  </si>
  <si>
    <t>APP IPH15128GBYEL YE POST</t>
  </si>
  <si>
    <t>APP IP15PL128GBYE YE POST              </t>
  </si>
  <si>
    <t>APP IP15PL128GBGR GE POST              </t>
  </si>
  <si>
    <t>12 LITE 128 GB NEGRO</t>
  </si>
  <si>
    <t>APP IP15PR512GNTT NV POST              </t>
  </si>
  <si>
    <t>iPhone 15 Pro 512GB Titanium</t>
  </si>
  <si>
    <t>APP IP15PR512GWHT WT POST              </t>
  </si>
  <si>
    <t>iPhone 15 Pro 512GB White</t>
  </si>
  <si>
    <t>APP IP15PR256GBKT BZ POST              </t>
  </si>
  <si>
    <t>APP IP15PR256GNTT NV POST              </t>
  </si>
  <si>
    <t>APP IP15PR256GWHT WT POST              </t>
  </si>
  <si>
    <t>APP IP15PR512GBKT BZ POST              </t>
  </si>
  <si>
    <t>iPhone 15 Pro 512GB Black</t>
  </si>
  <si>
    <t>APP IP15PR512GBLT BD POST              </t>
  </si>
  <si>
    <t>iPhone 15 Pro 512GB Blue</t>
  </si>
  <si>
    <t>APP IP15PM1TBBLTI BD POST              </t>
  </si>
  <si>
    <t>iPhone 15 Pro Max 1TB Blue</t>
  </si>
  <si>
    <t>APP IP15PM512GBKT BZ POST              </t>
  </si>
  <si>
    <t>APP IP15PM512GBLT BD POST              </t>
  </si>
  <si>
    <t>APP IP15PM512GNTT NV POST              </t>
  </si>
  <si>
    <t>APP IP15PM512GWHT WT POST              </t>
  </si>
  <si>
    <t>APP IPH15PM1TBBKT BZ POST</t>
  </si>
  <si>
    <t>iPhone 15 Pro Max 1TB Black</t>
  </si>
  <si>
    <t>APP IPH15PM1TBNTT NV POST</t>
  </si>
  <si>
    <t>iPhone 15 Pro Max 1TB Titanium</t>
  </si>
  <si>
    <t>APP IPH15PM1TBWHT WT POST</t>
  </si>
  <si>
    <t>iPhone 15 Pro Max 1TB White</t>
  </si>
  <si>
    <t>XIA 13T 256GB NG POST</t>
  </si>
  <si>
    <t>13T 256GB Negro</t>
  </si>
  <si>
    <t>XIA 13T 256GB AZ POST</t>
  </si>
  <si>
    <t>13T 256GB Azul</t>
  </si>
  <si>
    <t>XIA 13T 256GB VR POST</t>
  </si>
  <si>
    <t>13T 256GB Verde</t>
  </si>
  <si>
    <t>SMG GS23F128S7BDS LE POST</t>
  </si>
  <si>
    <t>S23 FE 5G 128GB Purple</t>
  </si>
  <si>
    <t>SMG GS23F128S7BDS VR POST</t>
  </si>
  <si>
    <t>S23 FE 5G 128GB Verde</t>
  </si>
  <si>
    <t>SMG GS23F128S7BDS PD POST</t>
  </si>
  <si>
    <t>S23 FE 5G 128GB Pink Gold</t>
  </si>
  <si>
    <t>SMG GS23F128S7BDS WP POST</t>
  </si>
  <si>
    <t>S23 FE 5G 128GB Phantom White</t>
  </si>
  <si>
    <t>SMG GS23F128S7BDS PB POST</t>
  </si>
  <si>
    <t>S23 FE 5G 128GB Phantom Black</t>
  </si>
  <si>
    <t>SMG GXM34128M346D DR POST</t>
  </si>
  <si>
    <t>M34 5G 128GB Dark Blue</t>
  </si>
  <si>
    <t>SMG GXM34128M346D B1 POST</t>
  </si>
  <si>
    <t>M34 5G 128GB Blue</t>
  </si>
  <si>
    <t>SMG GXM34128M346D SV POST</t>
  </si>
  <si>
    <t>M34 5G 128GB Silver</t>
  </si>
  <si>
    <t>SMG GXYS20FE5G128 VR POST</t>
  </si>
  <si>
    <t>S20 FE 5G 128GB Verde</t>
  </si>
  <si>
    <t xml:space="preserve">MOT ED40256X23031 EC POST               </t>
  </si>
  <si>
    <t>A34 5G 128GB EC Mint</t>
  </si>
  <si>
    <t>SMG GS24128GS921D EY POST              </t>
  </si>
  <si>
    <t>SMG GS24128GS921D XK POST              </t>
  </si>
  <si>
    <t>SMG GS24128GS921D BY POST              </t>
  </si>
  <si>
    <t>SMG GS24128GS921D CV POST              </t>
  </si>
  <si>
    <t>SMG GS24U512G928D TO POST              </t>
  </si>
  <si>
    <t>SMG GS24256GS921D BY POST              </t>
  </si>
  <si>
    <t>SMG GS24256GS921D CV POST              </t>
  </si>
  <si>
    <t>SMG GS24256GS921D EY POST              </t>
  </si>
  <si>
    <t>SMG GS24U256G928D YT POST              </t>
  </si>
  <si>
    <t>SMG GS24256GS921D XK POST              </t>
  </si>
  <si>
    <t>SMG GS24U256G928D TK POST              </t>
  </si>
  <si>
    <t>SMG GS24U256G928D TY POST              </t>
  </si>
  <si>
    <t>SMG GS24U256G928D TO POST              </t>
  </si>
  <si>
    <t>SMG GS24U512G928D TK POST              </t>
  </si>
  <si>
    <t>SMG GS24U512G928D TY POST              </t>
  </si>
  <si>
    <t>SMG GS24U512G928D YT POST              </t>
  </si>
  <si>
    <t>SMG GS24P256G926D BY POST              </t>
  </si>
  <si>
    <t>SMG GS24P256G926D CV POST              </t>
  </si>
  <si>
    <t>SMG GS24P256G926D EY POST              </t>
  </si>
  <si>
    <t>SMG GS24P256G926D XK POST              </t>
  </si>
  <si>
    <t>SMG GS24P512G926D BY POST              </t>
  </si>
  <si>
    <t>SMG GS24P512G926D CV POST              </t>
  </si>
  <si>
    <t>SMG GS24P512G926D EY POST              </t>
  </si>
  <si>
    <t>SMG GS24P512G926D XK POST              </t>
  </si>
  <si>
    <t>OPP A79 256GB MK POST</t>
  </si>
  <si>
    <t>A79 5G 256GB Midnight Black</t>
  </si>
  <si>
    <t>A75 128GB Negro</t>
  </si>
  <si>
    <t>iPhone 16 ProMax 256GB Desert</t>
  </si>
  <si>
    <t>iPhone 16 ProMax 256GB Natural</t>
  </si>
  <si>
    <t>iPhone 16 Pro 128GB Black</t>
  </si>
  <si>
    <t>iPhone 16 Pro 128GB Desert</t>
  </si>
  <si>
    <t>iPhone 16 Pro 128GB Natural</t>
  </si>
  <si>
    <t>iPhone 16 Pro 256GB Black</t>
  </si>
  <si>
    <t>iPhone 16 128Gb Ultramarine</t>
  </si>
  <si>
    <t>Nubia Neo 256GB Amarillo</t>
  </si>
  <si>
    <t>Nubia Neo 256GB Gris</t>
  </si>
  <si>
    <t xml:space="preserve">HOR MAGIC7LT512G TK POST + PARL         </t>
  </si>
  <si>
    <t xml:space="preserve">HOR MAGIC7LT512G TK POST                </t>
  </si>
  <si>
    <t>$</t>
  </si>
  <si>
    <t>SMG GA54256A546DS GP PRE</t>
  </si>
  <si>
    <t>SMG GA541286546DS GP PRE</t>
  </si>
  <si>
    <t>SMG GA341286346DS GP PRE</t>
  </si>
  <si>
    <t>SMG GA54256A546DS VR PRE</t>
  </si>
  <si>
    <t>SMG GA54256A546DS BL PRE</t>
  </si>
  <si>
    <t>SMG GA54256A546DS VT PRE</t>
  </si>
  <si>
    <t>SMG GA54256A546DS NG PRE</t>
  </si>
  <si>
    <t>SMG GA541286546DS NG PRE</t>
  </si>
  <si>
    <t>SMG GA541286546DS VT PRE</t>
  </si>
  <si>
    <t>SMG GA541286546DS VR PRE</t>
  </si>
  <si>
    <t>SMG GA541286546DS BL PRE</t>
  </si>
  <si>
    <t>SMG GA341286346DS VR PRE</t>
  </si>
  <si>
    <t>SMG GA341286346DS PL PRE</t>
  </si>
  <si>
    <t>SMG GA341286346DS VT PRE</t>
  </si>
  <si>
    <t>SMG GA341286346DS NG PRE</t>
  </si>
  <si>
    <t>VI V25 128GB ER PRE</t>
  </si>
  <si>
    <t>VI V25 128GB DI PRE</t>
  </si>
  <si>
    <t>VI Y16 64GB DV PRE</t>
  </si>
  <si>
    <t>VI Y16 64GB NH PRE</t>
  </si>
  <si>
    <t>SMG GS23U512918DS LI PRE</t>
  </si>
  <si>
    <t>SMG GS23P512916DS PU PRE</t>
  </si>
  <si>
    <t>SMG GS23U512918DS BE PRE</t>
  </si>
  <si>
    <t>SMG GS23U512918DS NG PRE</t>
  </si>
  <si>
    <t>SMG GS23U512918DS VR PRE</t>
  </si>
  <si>
    <t>SMG GS23U256918DS NG PRE</t>
  </si>
  <si>
    <t>SMG GS23U256918DS VR PRE</t>
  </si>
  <si>
    <t>SMG GS23P512916DS NG PRE</t>
  </si>
  <si>
    <t>SMG GS23P512916DS VR PRE</t>
  </si>
  <si>
    <t>SMG GS23P512916DS BE PRE</t>
  </si>
  <si>
    <t>SMG GS23P256916DS NG PRE</t>
  </si>
  <si>
    <t>SMG GS23P256916DS VR PRE</t>
  </si>
  <si>
    <t>SMG GS23P256916DS BE PRE</t>
  </si>
  <si>
    <t>SMG GS23P256916DS PU PRE</t>
  </si>
  <si>
    <t>SMG GS23256S911DS NG PRE</t>
  </si>
  <si>
    <t>SMG GS23256S911DS VR PRE</t>
  </si>
  <si>
    <t>SMG GS23256S911DS BE PRE</t>
  </si>
  <si>
    <t>SMG GS23256S911DS LI PRE</t>
  </si>
  <si>
    <t>SMG GS23128911BDS LI PRE</t>
  </si>
  <si>
    <t>SMG GS23128911BDS BL PRE</t>
  </si>
  <si>
    <t>SMG GS23128911BDS NG PRE</t>
  </si>
  <si>
    <t>SMG GS21256990EDS GR PRE</t>
  </si>
  <si>
    <t>SMG GXYA146M512DS NG PRE</t>
  </si>
  <si>
    <t>SMG GXYA146M512DS NG HAND</t>
  </si>
  <si>
    <t>OPP A17 64GB MK PRE</t>
  </si>
  <si>
    <t>OPP A17 64GB LA PRE</t>
  </si>
  <si>
    <t>APP IPH14PMAXSILV SV PRE</t>
  </si>
  <si>
    <t>XIA REDMI 12C 128 LP PRE</t>
  </si>
  <si>
    <t>XIA REDMI 12C 128 M2 PRE</t>
  </si>
  <si>
    <t>XIA REDMI 12C 128 OB PRE</t>
  </si>
  <si>
    <t>XIA REDMI 12C 128 GG PRE</t>
  </si>
  <si>
    <t>XIA REDMI A2 32GB LB PRE</t>
  </si>
  <si>
    <t>XIA REDMI A2 32GB LG PRE</t>
  </si>
  <si>
    <t>XIA REDMI A2 32GB BK PRE</t>
  </si>
  <si>
    <t>OPP RENO7 256GB DA PRE</t>
  </si>
  <si>
    <t>OPP RENO7 256GB NG PRE</t>
  </si>
  <si>
    <t>OPP A78 128GB G1 PRE</t>
  </si>
  <si>
    <t>OPP A78 128GB GN PRE</t>
  </si>
  <si>
    <t>HOR MAGIC5LIT128 VR PRE</t>
  </si>
  <si>
    <t>HOR X7A 128GB PL PRE</t>
  </si>
  <si>
    <t>APP IPH14PLUS128G B1 PRE</t>
  </si>
  <si>
    <t>APP IPH14512GBMID MN PRE</t>
  </si>
  <si>
    <t>SMG GLA04E32A042M NG PRE</t>
  </si>
  <si>
    <t>APP IPH12MINI64GR VR PRE</t>
  </si>
  <si>
    <t>APP IPH12MIN64BLU AZ PRE</t>
  </si>
  <si>
    <t>APP IPH12MINI64RD RJ PRE</t>
  </si>
  <si>
    <t>APP IPH12M256PURP PU PRE</t>
  </si>
  <si>
    <t>APP IPH12MIN256GR VR PRE</t>
  </si>
  <si>
    <t>APP IPH12MIN256BU AZ PRE</t>
  </si>
  <si>
    <t>APP IPH12MIN256RD RJ PRE</t>
  </si>
  <si>
    <t>APP IPH12MIN256WH BL PRE</t>
  </si>
  <si>
    <t>APP IPH12MIN256BL NG PRE</t>
  </si>
  <si>
    <t>APP IPH12MIN128GR VR PRE</t>
  </si>
  <si>
    <t>APP IPH12MIN128BU AZ PRE</t>
  </si>
  <si>
    <t>APP IPH12MIN128RD RJ PRE</t>
  </si>
  <si>
    <t>APP IPH12MIN128WH BL PRE</t>
  </si>
  <si>
    <t>APP IPH12MIN128BL NG PRE</t>
  </si>
  <si>
    <t>APP IPH12M128PURP PU PRE</t>
  </si>
  <si>
    <t>APP IPH14128GBPUR LE PRE</t>
  </si>
  <si>
    <t>APP IPH14PL256STA SL PRE</t>
  </si>
  <si>
    <t>APP IPH14PMAXSPBL SP PRE</t>
  </si>
  <si>
    <t>APP IPH14PR256GSI SV PRE</t>
  </si>
  <si>
    <t>APP IPH14256GBSTA SL PRE</t>
  </si>
  <si>
    <t>APP IPH14128GBBLU B1 PRE</t>
  </si>
  <si>
    <t>APP IPH14PL512MID MN PRE</t>
  </si>
  <si>
    <t>OPP A17 64GB AZ PRE</t>
  </si>
  <si>
    <t>OPP A17 64GB NG PRE</t>
  </si>
  <si>
    <t>HOR 70 256GB CP PRE</t>
  </si>
  <si>
    <t>HOR 70 256GB VE PRE</t>
  </si>
  <si>
    <t>XIA 12T PRO 256GB NG PRE</t>
  </si>
  <si>
    <t>XIA 12T PRO 256GB AZ PRE</t>
  </si>
  <si>
    <t>XIA 12T PRO 256GB PL PRE</t>
  </si>
  <si>
    <t>XIA 12T 256GB NG PRE</t>
  </si>
  <si>
    <t>XIA 12T 256GB AZ PRE</t>
  </si>
  <si>
    <t>XIA 12T 256GB PL PRE</t>
  </si>
  <si>
    <t>XIA REDMI10128G5G PX PRE</t>
  </si>
  <si>
    <t>XIA REDMI10128G5G VD PRE</t>
  </si>
  <si>
    <t>SMG GA23128236MDS NG PRE</t>
  </si>
  <si>
    <t>SMG GXYA04S128ADS NG PRE</t>
  </si>
  <si>
    <t>SMG GA0412845MDS VR PRE</t>
  </si>
  <si>
    <t>SMG GA0412845MDS BL PRE</t>
  </si>
  <si>
    <t>SMG GA0412845MDS NG PRE</t>
  </si>
  <si>
    <t>SMG GXYA0464A04DS NG PRE</t>
  </si>
  <si>
    <t>MOT ME22IXT223917 BL PRE</t>
  </si>
  <si>
    <t>APP IPH14PRMAX1TB SP PRE</t>
  </si>
  <si>
    <t>APP IPH14PRMAXSPB SP PRE</t>
  </si>
  <si>
    <t>APP IPH14PROMAXGO GD PRE</t>
  </si>
  <si>
    <t>APP IPH14PROMAXSI SV PRE</t>
  </si>
  <si>
    <t>APP IPH14PROMAXSP SP PRE</t>
  </si>
  <si>
    <t>APP IPH14PR512GBB SP PRE</t>
  </si>
  <si>
    <t>APP IPH14PRSPACEB SP PRE</t>
  </si>
  <si>
    <t>APP IPH14PR128GOL GD PRE</t>
  </si>
  <si>
    <t>APP IPH14PRSILVER SV PRE</t>
  </si>
  <si>
    <t>APP IPH14PRSPBLAC SP PRE</t>
  </si>
  <si>
    <t>APP IPH14PL256MID MN PRE</t>
  </si>
  <si>
    <t>APP IPH14P128PURP LE PRE</t>
  </si>
  <si>
    <t>APP IPH14P128STAR SL PRE</t>
  </si>
  <si>
    <t>APP IPH14P128MIDN MN PRE</t>
  </si>
  <si>
    <t>APP IPH14256GBMID MN PRE</t>
  </si>
  <si>
    <t>APP IPH14128GBSTA SL PRE</t>
  </si>
  <si>
    <t>APP IPH14128GBMID MN PRE</t>
  </si>
  <si>
    <t>MOT ME22IXT223917 GR PRE</t>
  </si>
  <si>
    <t>HOR X6S 128GB PL PRE</t>
  </si>
  <si>
    <t>XIA REDMIN11S5G12 TU PRE</t>
  </si>
  <si>
    <t>SMG GXYZFP4256OP GR OPEN PRE</t>
  </si>
  <si>
    <t>SMG GXYZF4256FODS VR OPEN PRE</t>
  </si>
  <si>
    <t>VI Y55 128GB NG PRE</t>
  </si>
  <si>
    <t>MOT E30FU256XT224 NU PRE</t>
  </si>
  <si>
    <t>MOT E30FU256XT224 BN PRE</t>
  </si>
  <si>
    <t>SMG GXYZF4256FODS NG OPEN PRE</t>
  </si>
  <si>
    <t>SMG GXYZFP4256OP CE OPEN PRE</t>
  </si>
  <si>
    <t>MOT MG22128XT2231 BL PRE</t>
  </si>
  <si>
    <t>SMG GXYA03A032ODS CK OPEN PRE</t>
  </si>
  <si>
    <t>HOR X9 128GB PL PRE</t>
  </si>
  <si>
    <t>HOR X9 128GB NG PRE</t>
  </si>
  <si>
    <t>HOR X8 128GB PL PRE</t>
  </si>
  <si>
    <t>HOR X8 128GB AZ PRE</t>
  </si>
  <si>
    <t>HOR X7 128GB PL PRE</t>
  </si>
  <si>
    <t>HOR X7 128GB AZ PRE</t>
  </si>
  <si>
    <t>OPP RENO7 128GB NG PRE</t>
  </si>
  <si>
    <t>OPP RENO7 128GB AZ PRE</t>
  </si>
  <si>
    <t>OPP RENO75G256GB SY PRE</t>
  </si>
  <si>
    <t>OPP RENO75G256GB TL PRE</t>
  </si>
  <si>
    <t>XIA 12 LITE 128/8 RS PRE</t>
  </si>
  <si>
    <t>XIA 12 LITE 128/8 VC PRE</t>
  </si>
  <si>
    <t>XIA 12 LITE 128/8 NG PRE</t>
  </si>
  <si>
    <t xml:space="preserve">XIA REDMI 9A 32GB RG PRE                </t>
  </si>
  <si>
    <t>XIA REDMI10128G5G GG PRE</t>
  </si>
  <si>
    <t xml:space="preserve">XIA REDMI 9C 64GB VR PRE                </t>
  </si>
  <si>
    <t>XIA REDMI10128G5G VR PRE</t>
  </si>
  <si>
    <t>XIA REDMI10128G5G PL PRE</t>
  </si>
  <si>
    <t>MOT MG22128XT2231 NG PRE</t>
  </si>
  <si>
    <t>MOT MG22128XT2231 AZ PRE</t>
  </si>
  <si>
    <t xml:space="preserve">XIA REDMI 10C 128 VR PRE                </t>
  </si>
  <si>
    <t xml:space="preserve">XIA REDMI 10C 128 AZ PRE                </t>
  </si>
  <si>
    <t xml:space="preserve">XIA REDMI 10C 128 GR PRE                </t>
  </si>
  <si>
    <t xml:space="preserve">SMG GXYS20FE5G128 AZ PRE                </t>
  </si>
  <si>
    <t xml:space="preserve">XIA 12PRO256GODS LE OPEN PRE            </t>
  </si>
  <si>
    <t xml:space="preserve">XIA 12PRO256GODS GA OPEN PRE            </t>
  </si>
  <si>
    <t xml:space="preserve">XIA 12PRO256GODS B1 OPEN PRE            </t>
  </si>
  <si>
    <t xml:space="preserve">XIA REDMI 10A 64G SK PRE                </t>
  </si>
  <si>
    <t xml:space="preserve">XIA REDMI 10A 64G GG PRE                </t>
  </si>
  <si>
    <t xml:space="preserve">SMG GXYA23126A235 NG PRE                </t>
  </si>
  <si>
    <t xml:space="preserve">XIA REDMI 10A 64G CS PRE                </t>
  </si>
  <si>
    <t xml:space="preserve">SMG GXYA03A035ODS NG OPEN PRE           </t>
  </si>
  <si>
    <t xml:space="preserve">SMG GXYA33128/6A3 NG PRE                </t>
  </si>
  <si>
    <t xml:space="preserve">SMG GXYA73128/6A7 GR PRE                </t>
  </si>
  <si>
    <t xml:space="preserve">SMG GXYA13128A135 NG PRE                </t>
  </si>
  <si>
    <t xml:space="preserve">SMG GXYS22U512S90 NG PRE                </t>
  </si>
  <si>
    <t xml:space="preserve">SMG GXYS22U256S90 NG PRE                </t>
  </si>
  <si>
    <t xml:space="preserve">SMG GXYS22U128S90 NG PRE                </t>
  </si>
  <si>
    <t xml:space="preserve">SMG GXYS22P256S90 NG PRE                </t>
  </si>
  <si>
    <t xml:space="preserve">SMG GXYS22P128S90 NG PRE                </t>
  </si>
  <si>
    <t xml:space="preserve">SMG GXYS22256S901 NG PRE                </t>
  </si>
  <si>
    <t xml:space="preserve">SMG GXYS22128S90 NG PRE                 </t>
  </si>
  <si>
    <t>SMG GXYS21FE128/6 GR PRE</t>
  </si>
  <si>
    <t xml:space="preserve">SMG GXYA52S128A52 NG PRE                </t>
  </si>
  <si>
    <t xml:space="preserve">SMG GXYA732568A73 GR PRE                </t>
  </si>
  <si>
    <t xml:space="preserve">XIA 12 PRO 256GB LE PRE                 </t>
  </si>
  <si>
    <t xml:space="preserve">XIA 12 PRO 256GB B1 PRE                 </t>
  </si>
  <si>
    <t xml:space="preserve">XIA 12 PRO 256GB GA PRE                 </t>
  </si>
  <si>
    <t xml:space="preserve">XIA 12 256GB LE PRE                     </t>
  </si>
  <si>
    <t xml:space="preserve">XIA 12 256GB B1 PRE                     </t>
  </si>
  <si>
    <t xml:space="preserve">XIA 12 256GB GA PRE                     </t>
  </si>
  <si>
    <t xml:space="preserve">XIA REDMIN11P5128 UE PRE                </t>
  </si>
  <si>
    <t xml:space="preserve">XIA REDMIN11P5128 OW PRE                </t>
  </si>
  <si>
    <t xml:space="preserve">XIA REDMIN11P5128 GG PRE                </t>
  </si>
  <si>
    <t xml:space="preserve">XIA REDMIN11P128G SU PRE                </t>
  </si>
  <si>
    <t xml:space="preserve">XIA REDMIN11P128G OW PRE                </t>
  </si>
  <si>
    <t xml:space="preserve">XIA REDMIN11P128G GG PRE                </t>
  </si>
  <si>
    <t>XIA REDMIN11S5G12 MK PRE</t>
  </si>
  <si>
    <t xml:space="preserve">SMG GXYA53128A536 NG PRE                </t>
  </si>
  <si>
    <t>SMG GXYA325MODS AZ OPEN PRE</t>
  </si>
  <si>
    <t>SMG GXYA226128ODS VR OPEN PRE</t>
  </si>
  <si>
    <t>SMG GXYA03S32A037 RJ OPEN PRE</t>
  </si>
  <si>
    <t xml:space="preserve">APP IPH13PM128ALG PG PRE                </t>
  </si>
  <si>
    <t xml:space="preserve">APP IPH13P128ALGR PG PRE                </t>
  </si>
  <si>
    <t xml:space="preserve">APP IPH13256GBGR GE PRE                 </t>
  </si>
  <si>
    <t xml:space="preserve">APP IPH13128GBGR GE PRE                 </t>
  </si>
  <si>
    <t xml:space="preserve">APP IPHSE22128MDN MN PRE                </t>
  </si>
  <si>
    <t xml:space="preserve">APP IPHSE2264STL SL PRE                 </t>
  </si>
  <si>
    <t xml:space="preserve">APP IPHSE2264MDN MN PRE                 </t>
  </si>
  <si>
    <t>SMG GYA52SA528BOD VR OPEN PRE</t>
  </si>
  <si>
    <t>SMG GYA52SA528BOD BL OPEN PRE</t>
  </si>
  <si>
    <t xml:space="preserve">SMG GXYS22256SODS NG OPEN PRE           </t>
  </si>
  <si>
    <t>XIA REDMIN11128OD TU OPEN PRE</t>
  </si>
  <si>
    <t>XIA REDMIN11128OD GG OPEN PRE</t>
  </si>
  <si>
    <t>HUA NOVA8I128GBOD NG OPEN PRE</t>
  </si>
  <si>
    <t xml:space="preserve">SMG GXYS22U512ODS NG OPEN PRE           </t>
  </si>
  <si>
    <t xml:space="preserve">SMG GXYS22P256ODS RS OPEN PRE           </t>
  </si>
  <si>
    <t xml:space="preserve">SMG GXYS22P256ODS BL OPEN PRE           </t>
  </si>
  <si>
    <t xml:space="preserve">SMG GXYS22P256ODS NG OPEN PRE           </t>
  </si>
  <si>
    <t xml:space="preserve">SMG GXYS22P256ODS VR OPEN PRE           </t>
  </si>
  <si>
    <t xml:space="preserve">SMG GXYS22256SODS VR OPEN PRE           </t>
  </si>
  <si>
    <t xml:space="preserve">SMG GXYS22256SODS BL OPEN PRE           </t>
  </si>
  <si>
    <t xml:space="preserve">SMG GXYS22256SODS RS OPEN PRE           </t>
  </si>
  <si>
    <t>SMG GXYS22US90ODS BL OPEN PRE</t>
  </si>
  <si>
    <t>SMG GXYS22PS9ODS RS OPEN PRE</t>
  </si>
  <si>
    <t>SMG GXYS22US90ODS VR OPEN PRE</t>
  </si>
  <si>
    <t>SMG GXYS22US90ODS DO OPEN PRE</t>
  </si>
  <si>
    <t>SMG GXYS22US90ODS RJ OPEN PRE</t>
  </si>
  <si>
    <t>SMG GXYS22U256ODS VR OPEN PRE</t>
  </si>
  <si>
    <t>SMG GXYS22U256ODS BL OPEN PRE</t>
  </si>
  <si>
    <t>SMG GXYS22U256ODS RJ OPEN PRE</t>
  </si>
  <si>
    <t>SMG GXYS22128S9OD VR OPEN PRE</t>
  </si>
  <si>
    <t>SMG GXYS22128S9OD BL OPEN PRE</t>
  </si>
  <si>
    <t xml:space="preserve">HUA P50 PRO 256GB NG PRE                </t>
  </si>
  <si>
    <t>SMG GXYS22PS9ODS NG OPEN PRE</t>
  </si>
  <si>
    <t>SMG GXYA03A032ODS NG OPEN PRE</t>
  </si>
  <si>
    <t>HUA NOVA 9 SE 128 NG PRE</t>
  </si>
  <si>
    <t>HUA NOVA 9 SE 128 AZ PRE</t>
  </si>
  <si>
    <t xml:space="preserve">XIA REDMNOTE11128 TU PRE                </t>
  </si>
  <si>
    <t xml:space="preserve">XIA REDMNOTE11128 GG PRE                </t>
  </si>
  <si>
    <t>SMG GXYS22US90ODS NG OPEN PRE</t>
  </si>
  <si>
    <t>SMG GXYS22U256ODS NG OPEN PRE</t>
  </si>
  <si>
    <t>XIA REDMNTE11S128 TU PRE</t>
  </si>
  <si>
    <t>XIA REDMNTE11S128 GG PRE</t>
  </si>
  <si>
    <t xml:space="preserve">XIA REDMNOTE11128 SU PRE                </t>
  </si>
  <si>
    <t>VI Y15S 64GB AZ PRE</t>
  </si>
  <si>
    <t>XIA REDMNTE11S128 PH PRE</t>
  </si>
  <si>
    <t>VI Y01 32GB AZ PRE</t>
  </si>
  <si>
    <t>SMG GXYS22PS9ODS BL OPEN PRE</t>
  </si>
  <si>
    <t>SMG GXYS22128S9OD RS OPEN PRE</t>
  </si>
  <si>
    <t>SMG GXYS22PS9ODS VR OPEN PRE</t>
  </si>
  <si>
    <t>Motorola</t>
  </si>
  <si>
    <t xml:space="preserve">MOT EDGE30P256XT2 VR PRE                </t>
  </si>
  <si>
    <t>VI Y01 32GB NG PRE</t>
  </si>
  <si>
    <t xml:space="preserve">MOT MG200128XT217 MI PRE                </t>
  </si>
  <si>
    <t xml:space="preserve">SMG GXY128A225ODS BL OPEN PRE           </t>
  </si>
  <si>
    <t xml:space="preserve">MOT MG51128XT2171 AN PRE                </t>
  </si>
  <si>
    <t>SMG GXYS22128S9OD NG OPEN PRE</t>
  </si>
  <si>
    <t>SMG GXYA036435ODS NG OPEN PRE</t>
  </si>
  <si>
    <t xml:space="preserve">SMG GXYA32128AODS NG OPEN PRE           </t>
  </si>
  <si>
    <t>SMG GXYA226128ODS GR OPEN PRE</t>
  </si>
  <si>
    <t>SMG GXYS21FEG9ODS GR OPEN PRE</t>
  </si>
  <si>
    <t>SMG GXYA03128AODS NG OPEN PRE</t>
  </si>
  <si>
    <t>XIA 11TPRO256GODS AZ OPEN PRE</t>
  </si>
  <si>
    <t xml:space="preserve">XIA 11T 256GB ODS AZ OPEN PRE           </t>
  </si>
  <si>
    <t xml:space="preserve">XIA 11T 256GB ODS GR OPEN PRE           </t>
  </si>
  <si>
    <t xml:space="preserve">OPP RENO6LITE128G PL PRE                </t>
  </si>
  <si>
    <t>XIA 11TPRO256GODS GR OPEN PRE</t>
  </si>
  <si>
    <t>XIA 11TPRO256GODS BL OPEN PRE</t>
  </si>
  <si>
    <t xml:space="preserve">XIA 11T 256GB ODS BL OPEN PRE           </t>
  </si>
  <si>
    <t xml:space="preserve">XIA 11LTNE128GODS NG OPEN PRE           </t>
  </si>
  <si>
    <t xml:space="preserve">XIA 11LTNE128GODS BL OPEN PRE           </t>
  </si>
  <si>
    <t xml:space="preserve">XIA 11LTNE128GODS AZ OPEN PRE           </t>
  </si>
  <si>
    <t>SMG GXYS21UG998UO PL OPEN PRE</t>
  </si>
  <si>
    <t>SMG GXYS21UG998UO NG OPEN PRE</t>
  </si>
  <si>
    <t>SMG GXYS21PG9ODS NG OPEN PRE</t>
  </si>
  <si>
    <t xml:space="preserve">OPP A16 64GB ODS NG OPEN PRE            </t>
  </si>
  <si>
    <t xml:space="preserve">OPP A54 128GB ODS NG OPEN PRE           </t>
  </si>
  <si>
    <t xml:space="preserve">OPP A16 64GB ODS AZ OPEN PRE            </t>
  </si>
  <si>
    <t xml:space="preserve">OPP RENO5LT128ODS NG OPEN PRE           </t>
  </si>
  <si>
    <t xml:space="preserve">OPP RENO6LT128ODS NG OPEN PRE           </t>
  </si>
  <si>
    <t xml:space="preserve">OPP RENO6LT128ODS AZ OPEN PRE           </t>
  </si>
  <si>
    <t xml:space="preserve">OPP A54 128GB ODS AZ OPEN PRE           </t>
  </si>
  <si>
    <t xml:space="preserve">NOK G10 64GB ODS AZ OPEN PRE            </t>
  </si>
  <si>
    <t xml:space="preserve">OPP RENO5LT128ODS MR OPEN PRE           </t>
  </si>
  <si>
    <t xml:space="preserve">VI Y21S128GBODS BP OPEN PRE             </t>
  </si>
  <si>
    <t xml:space="preserve">VI Y21S128GBODS AE OPEN PRE             </t>
  </si>
  <si>
    <t xml:space="preserve">VI V21128G5GODS AS OPEN PRE             </t>
  </si>
  <si>
    <t xml:space="preserve">VI V21128G5GODS NR OPEN PRE             </t>
  </si>
  <si>
    <t xml:space="preserve">VI Y53S128GBODS NO OPEN PRE             </t>
  </si>
  <si>
    <t xml:space="preserve">VI Y53S128GBODS AI OPEN PRE             </t>
  </si>
  <si>
    <t xml:space="preserve">VI V21 128GB 5G NR PRE                  </t>
  </si>
  <si>
    <t xml:space="preserve">HUA P50 PRO 256GB DO PRE                </t>
  </si>
  <si>
    <t>SMG GYA52SA528BOD NG OPEN PRE</t>
  </si>
  <si>
    <t>VI V21 128GB AS PRE</t>
  </si>
  <si>
    <t>VI V21 128GB NR PRE</t>
  </si>
  <si>
    <t>VI Y53S 128GB NO PRE</t>
  </si>
  <si>
    <t>VI Y53S 128GB AI PRE</t>
  </si>
  <si>
    <t>VI Y21S 128GB BP PRE</t>
  </si>
  <si>
    <t>VI Y21S 128GB AE PRE</t>
  </si>
  <si>
    <t xml:space="preserve">SMG GXYS21G99BODS GR OPEN PRE           </t>
  </si>
  <si>
    <t xml:space="preserve">VI V21 128GB 5G AS PRE                  </t>
  </si>
  <si>
    <t>SMG GXYA022FODS32 NG OPEN PRE</t>
  </si>
  <si>
    <t>SMG GXYA03S32A037 NG OPEN PRE</t>
  </si>
  <si>
    <t xml:space="preserve">SMG GXYA525MODS NG OPEN PRE             </t>
  </si>
  <si>
    <t xml:space="preserve">SMG GXYA325MODS NG OPEN PRE             </t>
  </si>
  <si>
    <t xml:space="preserve">SMG GXY128A225ODS NG OPEN PRE           </t>
  </si>
  <si>
    <t xml:space="preserve">SMG GXYA12128AODS NG OPEN PRE           </t>
  </si>
  <si>
    <t>SMG GXYA03S64AODS NG OPEN PRE</t>
  </si>
  <si>
    <t xml:space="preserve">OPP RENO6LITE128G AZ PRE                </t>
  </si>
  <si>
    <t xml:space="preserve">OPP RENO6LITE128G NG PRE                </t>
  </si>
  <si>
    <t xml:space="preserve">XIA 11T PRO 256GB AZ + WATCH + BUDS PRE </t>
  </si>
  <si>
    <t xml:space="preserve">XIA 11T PRO 256GB GR + WATCH + BUDS PRE </t>
  </si>
  <si>
    <t xml:space="preserve">XIA 11T 256GB GR + BAND 6 + BUDS 3 PRE  </t>
  </si>
  <si>
    <t xml:space="preserve">XIA 11LTNE128GB BL + MI BAND 6 PRE      </t>
  </si>
  <si>
    <t xml:space="preserve">XIA 11LTNE128GB NG + MI BAND 6 PRE      </t>
  </si>
  <si>
    <t xml:space="preserve">XIA RDMNOTE10S128 BL PRE                </t>
  </si>
  <si>
    <t xml:space="preserve">OPP RENO 6 128GB NG PRE                 </t>
  </si>
  <si>
    <t xml:space="preserve">OPP RENO 6 128GB AZ PRE                 </t>
  </si>
  <si>
    <t>MOT MG20128XT2128 AZ PRE</t>
  </si>
  <si>
    <t>MOT MG20128XT2128 VR PRE</t>
  </si>
  <si>
    <t>MOT ME30XT2159232 GU PRE</t>
  </si>
  <si>
    <t xml:space="preserve">MOT ME20XT2155-53 GT PRE                </t>
  </si>
  <si>
    <t>OPP A16 64GB NG PRE</t>
  </si>
  <si>
    <t>OPP A16 64GB AZ PRE</t>
  </si>
  <si>
    <t xml:space="preserve">APP IPH13PMX1TBGP GF PRE                </t>
  </si>
  <si>
    <t xml:space="preserve">APP IPH13PMX512GP GF PRE                </t>
  </si>
  <si>
    <t xml:space="preserve">APP IPH13PMX256SV PL PRE                </t>
  </si>
  <si>
    <t xml:space="preserve">APP IPH13PMX256GP GF PRE                </t>
  </si>
  <si>
    <t xml:space="preserve">APP IPH13PMX128SB SB PRE                </t>
  </si>
  <si>
    <t xml:space="preserve">APP IPH13PMX128SV PL PRE                </t>
  </si>
  <si>
    <t xml:space="preserve">APP IPH13PMX128GP GF PRE                </t>
  </si>
  <si>
    <t xml:space="preserve">APP IPH13PRO1TBGP GF PRE                </t>
  </si>
  <si>
    <t xml:space="preserve">APP IPH13PRO512GP GF PRE                </t>
  </si>
  <si>
    <t xml:space="preserve">APP IPH13PRO256SV PL PRE                </t>
  </si>
  <si>
    <t xml:space="preserve">APP IPH13PRO256GP GF PRE                </t>
  </si>
  <si>
    <t xml:space="preserve">APP IPH13PRO128SB SB PRE                </t>
  </si>
  <si>
    <t xml:space="preserve">APP IPH13PRO128SV PL PRE                </t>
  </si>
  <si>
    <t xml:space="preserve">APP IPH13PRO128GP GF PRE                </t>
  </si>
  <si>
    <t xml:space="preserve">APP IPH13512GMN MN PRE                  </t>
  </si>
  <si>
    <t xml:space="preserve">APP IPH13256GSL SL PRE                  </t>
  </si>
  <si>
    <t xml:space="preserve">APP IPH13256GMN MN PRE                  </t>
  </si>
  <si>
    <t xml:space="preserve">APP IPH13128GPK RS PRE                  </t>
  </si>
  <si>
    <t xml:space="preserve">APP IPH13128GSL SL PRE                  </t>
  </si>
  <si>
    <t xml:space="preserve">APP IPH13128GMN MN PRE                  </t>
  </si>
  <si>
    <t xml:space="preserve">APP IPH13MIN128PK RS PRE                </t>
  </si>
  <si>
    <t xml:space="preserve">APP IPH13MIN128SL SL PRE                </t>
  </si>
  <si>
    <t xml:space="preserve">APP IPH13MIN128MN MN PRE                </t>
  </si>
  <si>
    <t>HUA NOVA 9 128GB AZ PRE</t>
  </si>
  <si>
    <t>HUA NOVA 8I 128GB AZ PRE</t>
  </si>
  <si>
    <t>HUA NOVA 8I 128GB NG PRE</t>
  </si>
  <si>
    <t xml:space="preserve">XIA REDMI 10 128G AZ PRE              </t>
  </si>
  <si>
    <t xml:space="preserve">XIA 11T PRO 256GB AZ PRE                </t>
  </si>
  <si>
    <t xml:space="preserve">XIA 11T 256GB AZ PRE                    </t>
  </si>
  <si>
    <t xml:space="preserve">XIA 11LTNE128GB AZ PRE                  </t>
  </si>
  <si>
    <t xml:space="preserve">XIA 11T 256GB BL PRE                    </t>
  </si>
  <si>
    <t xml:space="preserve">XIA 11T 256GB GR PRE                    </t>
  </si>
  <si>
    <t xml:space="preserve">XIA 11LTNE128GB BL PRE                  </t>
  </si>
  <si>
    <t xml:space="preserve">XIA 11LTNE128GB NG PRE                  </t>
  </si>
  <si>
    <t xml:space="preserve">XIA REDMI 10 128G GR PRE            </t>
  </si>
  <si>
    <t xml:space="preserve">XIA 11T PRO 256GB BL PRE                </t>
  </si>
  <si>
    <t xml:space="preserve">XIA 11T PRO 256GB GR PRE                </t>
  </si>
  <si>
    <t xml:space="preserve">XIA REDMI 10 128G BL PRE               </t>
  </si>
  <si>
    <t xml:space="preserve">XIA REDMI 9A 32GB VR PRE                </t>
  </si>
  <si>
    <t xml:space="preserve">XIA REDMI 9C 64GB NJ PRE                </t>
  </si>
  <si>
    <t xml:space="preserve">SMG GXYZF3256F926 NG PRE                </t>
  </si>
  <si>
    <t xml:space="preserve">SMG GXYZF128F711B NG PRE                </t>
  </si>
  <si>
    <t xml:space="preserve">SMG GXYZF3F926DS2 NG PRE                </t>
  </si>
  <si>
    <t xml:space="preserve">SMG GXYA03S32A37M NG PRE                </t>
  </si>
  <si>
    <t xml:space="preserve">MOT G50128XT21491 AZ PRE                </t>
  </si>
  <si>
    <t xml:space="preserve">MOT E20L128XT2139 GR PRE                </t>
  </si>
  <si>
    <t>SAMSUNG GALAXY S20 FE BLUE PRE</t>
  </si>
  <si>
    <t xml:space="preserve">SMG GXYA12128127M NG PRE                </t>
  </si>
  <si>
    <t xml:space="preserve">XIA REDMI 9T 128G VR PRE                </t>
  </si>
  <si>
    <t xml:space="preserve">APP IPH XR 64G WH BL PRE S/CARG         </t>
  </si>
  <si>
    <t xml:space="preserve">APP IPH12PM128GL DO PRE                 </t>
  </si>
  <si>
    <t xml:space="preserve">APP IPH12PMX128SL PL PRE                </t>
  </si>
  <si>
    <t xml:space="preserve">APP IPH12PRO256GL DO PRE                </t>
  </si>
  <si>
    <t xml:space="preserve">APP IPH12PRO256SL PL PRE                </t>
  </si>
  <si>
    <t xml:space="preserve">APP IPH12PRO128GL DO PRE                </t>
  </si>
  <si>
    <t xml:space="preserve">APP IPH XR 64GBBL AZ PRE S/CARG         </t>
  </si>
  <si>
    <t xml:space="preserve">APP IPH1164GWHITE BL PRE S/CARG         </t>
  </si>
  <si>
    <t xml:space="preserve">APP IPH XR 64G BL NG PRE S/CARG         </t>
  </si>
  <si>
    <t xml:space="preserve">SMG GXY6A03SA037M NG PRE                </t>
  </si>
  <si>
    <t xml:space="preserve">APP IPH12PMX128PB AZ PRE                </t>
  </si>
  <si>
    <t xml:space="preserve">SMG GXY128A225M NG PRE                  </t>
  </si>
  <si>
    <t>XIA RDMNOTE10S128 GR + EARBUDS PRE</t>
  </si>
  <si>
    <t xml:space="preserve">XIA REDMINOTE1012 GR PRE                </t>
  </si>
  <si>
    <t xml:space="preserve">SMG GXYA3212A325M NG OPEN PRE   </t>
  </si>
  <si>
    <t xml:space="preserve">SMG GXYA52A525M NG OPEN PRE             </t>
  </si>
  <si>
    <t xml:space="preserve">SMG GXYA72A725M NG OPEN PRE             </t>
  </si>
  <si>
    <t>XIA RDMNOTE10S128 GR PRE</t>
  </si>
  <si>
    <t xml:space="preserve">XIA MI11LITE1285G VR PRE                </t>
  </si>
  <si>
    <t xml:space="preserve">XIA MI11LITE1285G NG PRE                </t>
  </si>
  <si>
    <t xml:space="preserve">XIA REDMINOTE1012 NG PRE                </t>
  </si>
  <si>
    <t xml:space="preserve">MOT MG2064XT21281 AZ PRE                </t>
  </si>
  <si>
    <t>SMG GXYXCO64G525F NG PRE</t>
  </si>
  <si>
    <t>APP IPH1264GBP VT PRE</t>
  </si>
  <si>
    <t xml:space="preserve">XIA REDMINOTE1012 AZ PRE                </t>
  </si>
  <si>
    <t xml:space="preserve">APP IPH12M64PURPL PU PRE                </t>
  </si>
  <si>
    <t>XIA REDMINOTE9128 BLACK PRE</t>
  </si>
  <si>
    <t>OPP RENO5LITE128G MR PRE</t>
  </si>
  <si>
    <t>OPP RENO5LITE128G NG PRE</t>
  </si>
  <si>
    <t>XIA RDMNOTE10S128 NG PRE</t>
  </si>
  <si>
    <t xml:space="preserve">OPP A54128CPH2239 AZ PRE                </t>
  </si>
  <si>
    <t>OPP A1532CPH22185 AZ PRE</t>
  </si>
  <si>
    <t xml:space="preserve">XIA REDMI 9T 128G CARBON GREY PRE       </t>
  </si>
  <si>
    <t xml:space="preserve">XIA MI 10TPRO 256 AZ PRE                </t>
  </si>
  <si>
    <t xml:space="preserve">XIA REDMI 9T 128G AZ PRE                </t>
  </si>
  <si>
    <t>XIA MI11LITE128GB NG PRE</t>
  </si>
  <si>
    <t>XIA RNOTE10PRO128 GR PRE</t>
  </si>
  <si>
    <t>XIA MI11LITE128GB AZ PRE</t>
  </si>
  <si>
    <t>XIA RDMNOTE10S128 AZ PRE</t>
  </si>
  <si>
    <t>XIA RNOTE10PRO128 AZ PRE</t>
  </si>
  <si>
    <t xml:space="preserve">HUA Y9A 128GB PL PRE                    </t>
  </si>
  <si>
    <t xml:space="preserve">HUA Y9A 128GB NG PRE                    </t>
  </si>
  <si>
    <t>MOT ME71XT2097-12 AZ PRE</t>
  </si>
  <si>
    <t xml:space="preserve">SMG GXYA0232/2A02 NG PRE                </t>
  </si>
  <si>
    <t>SMG GXYA3212A325M NG PRE</t>
  </si>
  <si>
    <t xml:space="preserve">SMG GXYA72A725M NG PRE                  </t>
  </si>
  <si>
    <t>MOT MG100XT2125-4 VR PRE</t>
  </si>
  <si>
    <t>OPP A1532CPH22185 NG PRE</t>
  </si>
  <si>
    <t xml:space="preserve">OPP A54128CPH2239 NG PRE                </t>
  </si>
  <si>
    <t xml:space="preserve">SMG GXYA52A525M NG PRE                  </t>
  </si>
  <si>
    <t>XIA MI 10TPRO 256 CB + WATCH PRE</t>
  </si>
  <si>
    <t xml:space="preserve">SMG GXYA12128A125 NG PRE                </t>
  </si>
  <si>
    <t xml:space="preserve">SMG GXYS21PLG996B NG PRE                </t>
  </si>
  <si>
    <t xml:space="preserve">SMG GXYS21G991B GR PRE                  </t>
  </si>
  <si>
    <t xml:space="preserve">SMG GXYS21ULG998B NG PRE                </t>
  </si>
  <si>
    <t>SMG GXA21S128A217 NG PRE</t>
  </si>
  <si>
    <t>XIA MI 10TPRO 256GB CB PRE</t>
  </si>
  <si>
    <t>LG K52 64LMK520H RJ PRE                 </t>
  </si>
  <si>
    <t xml:space="preserve">LG K42 64LMK420H GR PRE                 </t>
  </si>
  <si>
    <t xml:space="preserve">SMG GALAXYA02SA02 64GB NG PRE                </t>
  </si>
  <si>
    <t>MOT MO E732XT2095 GM PRE</t>
  </si>
  <si>
    <t xml:space="preserve">SMG GXYA02SA025M NG 32GB PRE            </t>
  </si>
  <si>
    <t xml:space="preserve">MOT RAZR256XT2071 GR PRE                </t>
  </si>
  <si>
    <t>IPHONE SE 2020 64GB</t>
  </si>
  <si>
    <t>IPHONE 11 256GB</t>
  </si>
  <si>
    <t>NOK NOKIA 5.3 64G NG PRE               </t>
  </si>
  <si>
    <t xml:space="preserve">NOK 6.2 BL PRE                          </t>
  </si>
  <si>
    <t>APP IPH12PMX256GP GF PRE</t>
  </si>
  <si>
    <t>APP IPH12PRO128GS PL PRE</t>
  </si>
  <si>
    <t>APP IPH12PRO128GP GF PRE</t>
  </si>
  <si>
    <t>APP IPH12PMX128GP GF PRE</t>
  </si>
  <si>
    <t>APP IPH12PRO256GP GF PRE</t>
  </si>
  <si>
    <t xml:space="preserve">APP IPH12256GBLK NG PRE                 </t>
  </si>
  <si>
    <t xml:space="preserve">APP IPH12128GBWH BL PRE                 </t>
  </si>
  <si>
    <t xml:space="preserve">APP IPH12128GBLK NG PRE                 </t>
  </si>
  <si>
    <t xml:space="preserve">APP IPH1264GWHI BL PRE                  </t>
  </si>
  <si>
    <t xml:space="preserve">APP IPH12MINI64WH BL PRE                  </t>
  </si>
  <si>
    <t>APP IPH12PRO128PB AZ PRE</t>
  </si>
  <si>
    <t xml:space="preserve">APP IPH1264GBLACK NG PRE                </t>
  </si>
  <si>
    <t xml:space="preserve">APP IPH12MINI6BLA NG PRE                </t>
  </si>
  <si>
    <t>SMG GXYS20FEGT80F CN PRE</t>
  </si>
  <si>
    <t xml:space="preserve">XIA REDMI 9C 64GB GR + MI SPEAKER PRE   </t>
  </si>
  <si>
    <t>XIA REDMI 9A 32GB AZ + PARLANTE PRE</t>
  </si>
  <si>
    <t xml:space="preserve">HUA MATE40PRO256G PL PRE                </t>
  </si>
  <si>
    <t xml:space="preserve">HUA Y7A 64GB VR PRE                     </t>
  </si>
  <si>
    <t xml:space="preserve">HUA Y7A 64GB NG PRE                     </t>
  </si>
  <si>
    <t>SMG GXYZFOL2F916B NG PRE                </t>
  </si>
  <si>
    <t xml:space="preserve">HUA Y8P 128GB LU PRE                    </t>
  </si>
  <si>
    <t>MOT MOTG9PWXT2091 VR PRE</t>
  </si>
  <si>
    <t xml:space="preserve">HUA Y8P 128GB NG PRE                    </t>
  </si>
  <si>
    <t xml:space="preserve">ALC 3080A NG PRE                        </t>
  </si>
  <si>
    <t>XIA REDMINOTE9128 VR PRE</t>
  </si>
  <si>
    <t>XIA REDMI 9C 64GB GR PRE                </t>
  </si>
  <si>
    <t xml:space="preserve">XIA REDMI 9C 64GB AZ PRE                </t>
  </si>
  <si>
    <t>REDMI 9 + PARLANTE</t>
  </si>
  <si>
    <t xml:space="preserve">XIA REDMI 9 64GB MR PRE </t>
  </si>
  <si>
    <t>SMG GXNOU256N985F NG PRE</t>
  </si>
  <si>
    <t>SMG GXYNO256N980F GR PRE</t>
  </si>
  <si>
    <t>SMG GXYA01CORE16G NG PRE</t>
  </si>
  <si>
    <t>MOT MOG9PLU128X87 AZ PRE</t>
  </si>
  <si>
    <t>MOT MOG9PLAY64X83 AZ PRE</t>
  </si>
  <si>
    <t>LG K22 32LMK200H TN PRE</t>
  </si>
  <si>
    <t xml:space="preserve">XIA REDMI 9A 32GB NG PRE                </t>
  </si>
  <si>
    <t>XIA REDMI 9 64GB NG PR</t>
  </si>
  <si>
    <t>XIA REDMINOTE9128 NG PRE</t>
  </si>
  <si>
    <t xml:space="preserve">XIA REDMI 9A 32GB AZ PRE                </t>
  </si>
  <si>
    <t xml:space="preserve">HUA Y7P 64GB AZ PRE                     </t>
  </si>
  <si>
    <t>HUA Y7P 64GB NG PRE                     </t>
  </si>
  <si>
    <t xml:space="preserve">HUA Y6P 64GB VR PRE                     </t>
  </si>
  <si>
    <t xml:space="preserve">HUA Y6P 64GB NG PRE                     </t>
  </si>
  <si>
    <t>AZUMI</t>
  </si>
  <si>
    <t>AZU L4G NG PRE</t>
  </si>
  <si>
    <t xml:space="preserve">APP IPHSE20128RED RJ PRE                </t>
  </si>
  <si>
    <t xml:space="preserve">APP IPHSE20128WHI BL PRE                </t>
  </si>
  <si>
    <t xml:space="preserve">APP IPHSE20128BLA NG PRE                </t>
  </si>
  <si>
    <t xml:space="preserve">APP IPHSE2064RED RJ PRE                 </t>
  </si>
  <si>
    <t>HUA P40 128GB AZ + FREEBUDS PRE</t>
  </si>
  <si>
    <t>HUA P40 128GB PL + FREEBUDS PRE</t>
  </si>
  <si>
    <t>HUA P40 PRO 256GB AZ + WIRE + FBUDS PRE</t>
  </si>
  <si>
    <t>HUA P40 PRO 256GB PL + WIRE + FBUDS PRE</t>
  </si>
  <si>
    <t>HUA P40 LITE 128G NG + BANDA 4 PRO PRE</t>
  </si>
  <si>
    <t>HUA P40 LITE 128G PL + BANDA 4 PRO PRE</t>
  </si>
  <si>
    <t>HUA P40 128GB PL PRE</t>
  </si>
  <si>
    <t>HUA P40 PRO 256GB AZ PRE</t>
  </si>
  <si>
    <t>HUA P40 PRO 256GB PL PRE</t>
  </si>
  <si>
    <t>HUA P40 LITE 128G NG PRE</t>
  </si>
  <si>
    <t>HUA P40 LITE 128G PL PRE</t>
  </si>
  <si>
    <t>HUA P40 128GB AZ PRE</t>
  </si>
  <si>
    <t>MOT MG8PL64XT2055 AZ PRE</t>
  </si>
  <si>
    <t>MOT E6S XT2053-2 AZ PRE</t>
  </si>
  <si>
    <t>MOT E6S XT2053-2 RJ PRE</t>
  </si>
  <si>
    <t>XIA REDMINOT864GB NG PRE</t>
  </si>
  <si>
    <t>XIA REDMI 8A 32GB NG PRE</t>
  </si>
  <si>
    <t>LG K41S32LMK410H TT PRE</t>
  </si>
  <si>
    <t>SMG GXA31128A315G NG PRE</t>
  </si>
  <si>
    <t>HUA Y8S 64GB NG PRE</t>
  </si>
  <si>
    <t>SAMSUNG S20 ULTRA G988 NG PRE</t>
  </si>
  <si>
    <t>SAMSUNG S20 PLUS G985 NG PRE</t>
  </si>
  <si>
    <t>SAMSUNG S20 G980F GR PRE</t>
  </si>
  <si>
    <t>SMG GXA21S64A217M NG PRE</t>
  </si>
  <si>
    <t>SAMSUNG GALAXY A11 PRE</t>
  </si>
  <si>
    <t>SMG GXYZFLIPF700F NG PRE</t>
  </si>
  <si>
    <t xml:space="preserve">ZTE BLADE A3 2020 GR PRE                </t>
  </si>
  <si>
    <t>LG K50S LMX540HM NG PRE</t>
  </si>
  <si>
    <t>LG K40S LMX430HM NG PRE</t>
  </si>
  <si>
    <t>MOTOROLA G8 POWER PRE</t>
  </si>
  <si>
    <t>SAMSUNG NOTE 10 LITE N770 NG PRE</t>
  </si>
  <si>
    <t>SAMSUNG A71 NG PRE</t>
  </si>
  <si>
    <t>SAMSUNG A015 NEGRO PRE</t>
  </si>
  <si>
    <t>NOKIA 2.3 CHARCOAL PRE</t>
  </si>
  <si>
    <t>HUA Y9S NG STK-LX3 PRE</t>
  </si>
  <si>
    <t>SAMSUNG A515 NEGRO PRE</t>
  </si>
  <si>
    <t>HUA Y9S AZ STK-LX3 PRE</t>
  </si>
  <si>
    <t>KIT PRE NOKIA 6.2 BLACK</t>
  </si>
  <si>
    <t>IPHONE 11 PRO MAX 512GB</t>
  </si>
  <si>
    <t>IPHONE 11 PRO MAX 256GB</t>
  </si>
  <si>
    <t>IPHONE 11 PRO MAX 64GB</t>
  </si>
  <si>
    <t>IPHONE 11 PRO 512GB</t>
  </si>
  <si>
    <t>IPHONE 11 PRO 256GB</t>
  </si>
  <si>
    <t>IPHONE 11 PRO 64GB</t>
  </si>
  <si>
    <t>ZTE BLADEV10 64GB AZ PRE</t>
  </si>
  <si>
    <t>ALC 1 16GB 5033M NG PRE</t>
  </si>
  <si>
    <t>KIT PRE SAMSUNG A505 128GBBLACK</t>
  </si>
  <si>
    <t>KIT PRE SAMSUNG A307 BLACK</t>
  </si>
  <si>
    <t>KIT PRE SAMSUNG A107 BLACK</t>
  </si>
  <si>
    <t>KIT PRE SAMSUNG A207  BLACK</t>
  </si>
  <si>
    <t>HUA NOVA 5T 128GB NG YAL-LX3 PRE</t>
  </si>
  <si>
    <t>HUA Y9 PRIME 2019 AZ STK-L03 PRE</t>
  </si>
  <si>
    <t>MOT MOTG8PLXT2015 GR PRE</t>
  </si>
  <si>
    <t>MOT MOTOE6PLUS RJ XT2025 PRE</t>
  </si>
  <si>
    <t>KIT PREPAGO ALC 3026T GRAY TIGER V SENIOR</t>
  </si>
  <si>
    <t>ZTE V10 VITA</t>
  </si>
  <si>
    <t>ZTE A5 2019</t>
  </si>
  <si>
    <t>AZU V5 NG PRE</t>
  </si>
  <si>
    <t>SA3</t>
  </si>
  <si>
    <t>AZU A5 NG PRE</t>
  </si>
  <si>
    <t>KIT PRE NOKIA 2.2 BLACK</t>
  </si>
  <si>
    <t>NOKIA 4.2</t>
  </si>
  <si>
    <t>ZTE A7 2019</t>
  </si>
  <si>
    <t>KIT PRE XIAOMI REDMI NOTE 7 BLUE</t>
  </si>
  <si>
    <t>KIT PRE XIAOMI REDMI NOTE 7 BLACK</t>
  </si>
  <si>
    <t xml:space="preserve">KIT PRE AZUMI K55QL GRIS                </t>
  </si>
  <si>
    <t>KIT PREPAGO ALC 3026G GRAY TIGER V SENIOR</t>
  </si>
  <si>
    <t>KIT PREPAGO NOKIA 3.1 PLUS CHARCOAL BLACK</t>
  </si>
  <si>
    <t>KIT PREPAGO NOKIA 3.1 PLUS BLUE</t>
  </si>
  <si>
    <t>KIT PRE SAMSUNG A305 64GB BLACK</t>
  </si>
  <si>
    <t>KIT PRE SAMSUNG A205 BLACK</t>
  </si>
  <si>
    <t>KIT PRE SAMSUNG A305 BLACK</t>
  </si>
  <si>
    <t>KIT PRE SAMSUNG A505 BLACK</t>
  </si>
  <si>
    <t>KIT PRE SAMSUNG A705 BLACK</t>
  </si>
  <si>
    <t>KIT PREPAGO AZUMI AL3 BLACK</t>
  </si>
  <si>
    <t>KIT PREPAGO AZUMI L3G BLACK</t>
  </si>
  <si>
    <t>KIT PREPAGO HUAWEI VOG-L04 PIEDRA LUNA</t>
  </si>
  <si>
    <t>KIT PREPAGO HUAWEI VOG-L04 AURORA</t>
  </si>
  <si>
    <t>KIT PREPAGO HUAWEI ELE-L04 PIEDRA LUNA</t>
  </si>
  <si>
    <t>KIT PREPAGO HUAWEI P30 Lite MAR-LX3 AURORA</t>
  </si>
  <si>
    <t>KIT PREPAGO HUAWEI P30 Lite MAR-LX3 BLACK</t>
  </si>
  <si>
    <t>PREPAGO SAMSUNG G975 WHITE 128GB</t>
  </si>
  <si>
    <t>KIT PREPAGO SAMSUNG G973 WHITE 128GB</t>
  </si>
  <si>
    <t>KIT PREPAGO SAMSUNG G970 BLACK 128GB</t>
  </si>
  <si>
    <t>EQ PREPAGO MOTOROLA XT1965 INDIGO</t>
  </si>
  <si>
    <t>Galaxy A7 A750G BLACK</t>
  </si>
  <si>
    <t>J4 PLUS BLACK J415</t>
  </si>
  <si>
    <t>Y7 2019 DUB-L03 BLUE</t>
  </si>
  <si>
    <t>Y7 2019 DUB-L03 BLACK</t>
  </si>
  <si>
    <t>Y6 2019 MRD-LX3 BLUE</t>
  </si>
  <si>
    <t>Y6 2019 MRD-LX3 BLACK</t>
  </si>
  <si>
    <t>KIT PREPAGO HUAWEI POT-L03 AURORA BLUE</t>
  </si>
  <si>
    <t>KIT PREPAGO HUAWEI POT-L03 BLACK</t>
  </si>
  <si>
    <t>KIT PREPAGO NOKIA 5.1 PLUS BLACK</t>
  </si>
  <si>
    <t>KIT PREPAGO APPLE IPHONE XS 256GB SILVER</t>
  </si>
  <si>
    <t>KIT PREPAGO APPLE IPHONE XS 64GB SILVER</t>
  </si>
  <si>
    <t>KIT PREPAGO SAMSUNG J4 CORE J410G BLACK</t>
  </si>
  <si>
    <t>KIT PREPAGO APPLE  IPHONE XR 64GB BLACK</t>
  </si>
  <si>
    <t>PREPAGO APPLE IPHONE XSMAX64GBSPACEGRAY</t>
  </si>
  <si>
    <t>PREPAGO APPLE IPHONE XS 512GB SPACE GRAY</t>
  </si>
  <si>
    <t>PREPAGO APPLE IPHONE XS 64GB SPACE GRAY</t>
  </si>
  <si>
    <t>LG G7 G710 BLACK</t>
  </si>
  <si>
    <t>LG Q Stylus Plus Q710 BLACK</t>
  </si>
  <si>
    <t>K11+ LG-X410 BLACK</t>
  </si>
  <si>
    <t>KIT PREPAGO AZUMI SA2 BLACK</t>
  </si>
  <si>
    <t>KIT PREPAGO AZUMI NOBU A55Q BLACK</t>
  </si>
  <si>
    <t>KIT ZTE V9 DORADO</t>
  </si>
  <si>
    <t>R340 BLACK</t>
  </si>
  <si>
    <t>Mate 20 lite SNE-LX3 BLACK</t>
  </si>
  <si>
    <t>Mate 20 lite SNE-LX3 GOLD</t>
  </si>
  <si>
    <t>KIT PREPAGO SAMSUNG J8 J810 GOLD</t>
  </si>
  <si>
    <t>IPHONE 7 32GB</t>
  </si>
  <si>
    <t>KIT PREPAGO HUAWEI LYA-L09+RELOJ+CARG.IN</t>
  </si>
  <si>
    <t>KIT PREPAGO SAMSUNG J6 PLUS J610G BLACK</t>
  </si>
  <si>
    <t>KIT PREPAGO NOKIA N1 BLUE</t>
  </si>
  <si>
    <t>KIT PREPAGO NOKIA N2.1 BLUE COOPER</t>
  </si>
  <si>
    <t>KIT PREPAGO SAMSUNG J2 CORE J260M BLACK</t>
  </si>
  <si>
    <t>KIT PREPAGO MOTOROLA XT 1920 GOLD</t>
  </si>
  <si>
    <t>KIT PREPAGO HUAWEI Y5 2018 DRA-L03 BLACK</t>
  </si>
  <si>
    <t>KIT PREPAGO SAMSUNG N9600 BLACK</t>
  </si>
  <si>
    <t>KIT PREPAGO SAMSUNG J8 J810 BLACK</t>
  </si>
  <si>
    <t>KIT PREPAGO AZUMI AL2 BLACK</t>
  </si>
  <si>
    <t>KIT PREPAGO SAMSUNG G611M NEGRO</t>
  </si>
  <si>
    <t>KIT PREPAGO SAMSUNG G611M DORADO</t>
  </si>
  <si>
    <t>KIT PREPAGO SAMSUNG J600G GRIS ORQUIDEA</t>
  </si>
  <si>
    <t>KIT PREPAGO SAMSUNG J600G NEGRO</t>
  </si>
  <si>
    <t>KIT PREPAGO SAMSUNG J400M NEGRO</t>
  </si>
  <si>
    <t>P20 PRO CLT-L09 TWILIGHT</t>
  </si>
  <si>
    <t>V9 VITA</t>
  </si>
  <si>
    <t>ZTE A530 BLACK</t>
  </si>
  <si>
    <t>KIT PREPAGO MOTOROLA XT 1944 FLASH GREY</t>
  </si>
  <si>
    <t>KIT PREPAGO MOTOROLA XT 1926 DEEP INDIGO</t>
  </si>
  <si>
    <t>KIT PREPAGO MOTOROLA G6 PLAY XT 1922 DEEP INDIGO</t>
  </si>
  <si>
    <t>KIT PREPAGO HUAWEI Y5 Lite 2018 CAG-L03 GRAY</t>
  </si>
  <si>
    <t>Galaxy A8 A530F BLACK</t>
  </si>
  <si>
    <t>KIT PREPAGO AZUMI L3Z BLACK</t>
  </si>
  <si>
    <t>P20 PRO CLT-L09 BLACK</t>
  </si>
  <si>
    <t>KIT PREPAGO HUAWEI P20 Lite ANE-LX3 BLACK</t>
  </si>
  <si>
    <t>KIT HUAWEI P SMART 2018 FIG-L03</t>
  </si>
  <si>
    <t>Y7 2018 LDN - L03 BLACK</t>
  </si>
  <si>
    <t>Y7 2018 LDN - L03 GOLD</t>
  </si>
  <si>
    <t>KIT PREPAGO HUAWEI Y6 2018 ATU L03 BLACK</t>
  </si>
  <si>
    <t>KIT PREPAGO HUAWEI Y6 2018 ATU L03 GOLD</t>
  </si>
  <si>
    <t>KIT PREPAGO HUAWEI MATE 10 LITE RNE-L03 DORADO</t>
  </si>
  <si>
    <t>KIT PREPAGO HUAWEI MATE 10 LITE RNE-L03 NEGRO</t>
  </si>
  <si>
    <t>KIT PREPAGO AZUMI KIREI A5D GRIS</t>
  </si>
  <si>
    <t>KIT PREPAGO SAMSUNG J701M BLACK</t>
  </si>
  <si>
    <t>KIT PREPAGO SAMSUNG J5 PRO J530G BLACK</t>
  </si>
  <si>
    <t>KIT PREPAGO ZTE R550 BLACK BLUE</t>
  </si>
  <si>
    <t>KIT PREPAGO ZTE R550 BLACK RED</t>
  </si>
  <si>
    <t>KIT PREPAGO ZTE R341 BLANCO CARGA $5.000</t>
  </si>
  <si>
    <t>KIT PREPAGO ZTE R341 NEGRO CARGA $5.000</t>
  </si>
  <si>
    <t>KIT PREPAGO ALCATEL 2051 CHARCOAL GRAY</t>
  </si>
  <si>
    <t>KIT PREPAGO SAMSUNG J1 ACE J111M WHITE</t>
  </si>
  <si>
    <t>KIT PREPAGO SAMSUNG J1 ACE J111M BLACK</t>
  </si>
  <si>
    <t xml:space="preserve">XIA 15 ULTRA512GB BK POST               </t>
  </si>
  <si>
    <t xml:space="preserve">XIA 15 512GB BK POST                    </t>
  </si>
  <si>
    <t xml:space="preserve">XIA REDMI14C128GB MK POST               </t>
  </si>
  <si>
    <t xml:space="preserve">XIA REDMI A5 64GB MK POST               </t>
  </si>
  <si>
    <t>15 Ultra 512GB</t>
  </si>
  <si>
    <t>15 512GB</t>
  </si>
  <si>
    <t>15 Ultra 512GB Black</t>
  </si>
  <si>
    <t>15 512GB Black</t>
  </si>
  <si>
    <t>14C 128GB Midnight Black</t>
  </si>
  <si>
    <t>A5 64GB Midnight Black</t>
  </si>
  <si>
    <t>15 Ultra + Photography Kit 512GB Black</t>
  </si>
  <si>
    <t>15 + Buds 5 512GB Black</t>
  </si>
  <si>
    <t>XIA 15 ULTRA512GB BK POST+FOTOGRAPHY KIT</t>
  </si>
  <si>
    <t xml:space="preserve">XIA 15 512GB BK POST + BUDS 5           </t>
  </si>
  <si>
    <t>HOR 200 LITE 256G RU POST</t>
  </si>
  <si>
    <t>HOR X5B 128GB NG POST</t>
  </si>
  <si>
    <t>X5B 128GB</t>
  </si>
  <si>
    <t>X5B 128GB Negro</t>
  </si>
  <si>
    <t>H200 Lite 256GB Starry Blue</t>
  </si>
  <si>
    <t>SMG GA065G64G066D BK POST</t>
  </si>
  <si>
    <t>SMG GA065G64G066D GA POST</t>
  </si>
  <si>
    <t>SMG GA065G64G066D LG POST</t>
  </si>
  <si>
    <t>A06 5G 64GB</t>
  </si>
  <si>
    <t>A06 5G 64GB Black</t>
  </si>
  <si>
    <t>A06 5G 64GB Gray</t>
  </si>
  <si>
    <t>A06 5G 64GB Light Green</t>
  </si>
  <si>
    <t>A56 5G 256GB</t>
  </si>
  <si>
    <t>SMG GXA16128/6GDS LB POST</t>
  </si>
  <si>
    <t>A56 5G 256GB Light Blue</t>
  </si>
  <si>
    <t>SMG GXA16128/6GDS GD POST</t>
  </si>
  <si>
    <t>A16 5G 128GB Gold</t>
  </si>
  <si>
    <t>SMG GXA16128/6GDS LG POST</t>
  </si>
  <si>
    <t>A16 5G 128GB Light Green</t>
  </si>
  <si>
    <t>A26 5G 128GB</t>
  </si>
  <si>
    <t>SMG GA26128GA266D BL POST</t>
  </si>
  <si>
    <t>A26 5G 128GB Blanco</t>
  </si>
  <si>
    <t>SMG GA26128GA266D NG POST</t>
  </si>
  <si>
    <t>A26 5G 128GB Negro</t>
  </si>
  <si>
    <t>SMG GA26128GA266D VC POST</t>
  </si>
  <si>
    <t>A26 5G 128GB Verde Claro</t>
  </si>
  <si>
    <t>A36 5G 256GB</t>
  </si>
  <si>
    <t>SMG GA36256A366DS GR POST</t>
  </si>
  <si>
    <t>A36 5G 256GB Gris</t>
  </si>
  <si>
    <t>SMG GA36256A366DS OO POST</t>
  </si>
  <si>
    <t>A36 5G 256GB Rosado Claro</t>
  </si>
  <si>
    <t>SMG GA36256A366DS VC POST</t>
  </si>
  <si>
    <t>A36 5G 256GB Verde Claro</t>
  </si>
  <si>
    <t>SMG GA36256A366DS NG POST</t>
  </si>
  <si>
    <t>A36 5G 256GB Negro</t>
  </si>
  <si>
    <t>SMG GXA56256/12GD OO POST</t>
  </si>
  <si>
    <t>A56 5G 256GB Rosado Claro</t>
  </si>
  <si>
    <t>SMG GXA56256/12GD NG POST</t>
  </si>
  <si>
    <t>A56 5G 256GB Negro</t>
  </si>
  <si>
    <t>SMG GXA56256/12GD GR POST</t>
  </si>
  <si>
    <t>A56 5G 256GB Gris</t>
  </si>
  <si>
    <t>SMG GXA56256/12GD VR POST</t>
  </si>
  <si>
    <t>A56 5G 256GB Verde</t>
  </si>
  <si>
    <t>H200 5G 512GB Emerald Green</t>
  </si>
  <si>
    <t>HOR 200 512GB EG POST</t>
  </si>
  <si>
    <t>H200 5G 512GB</t>
  </si>
  <si>
    <t>Magic 7 Pro 5G 512GB</t>
  </si>
  <si>
    <t>HOR MAGIC7PRO512G BK POST</t>
  </si>
  <si>
    <t>Magic 7 Pro 5G 512GB Black</t>
  </si>
  <si>
    <t>HOR MAGIC7PRO512G US POST</t>
  </si>
  <si>
    <t>Magic 7 Pro 5G 512GB Lunar Shadow Grey</t>
  </si>
  <si>
    <t>MOT MTG35128GXT24 GR POST</t>
  </si>
  <si>
    <t>G35 5G 128GB Gris</t>
  </si>
  <si>
    <t>MOT MTG35128GXT24 VR POST</t>
  </si>
  <si>
    <t>G35 5G 128GB Verde</t>
  </si>
  <si>
    <t>MOT MTG35128GXT24 CO POST</t>
  </si>
  <si>
    <t>G35 5G 128GB Coral</t>
  </si>
  <si>
    <t>MOT MTG85256GXT24 AZ POST</t>
  </si>
  <si>
    <t>G85 5G 256GB Azul</t>
  </si>
  <si>
    <t>G55 5G 256GB</t>
  </si>
  <si>
    <t>MOT MG55256XT24-1 RS POST</t>
  </si>
  <si>
    <t>MOT MG55256XT24-1 VR POST</t>
  </si>
  <si>
    <t>MOT MG55256XT24-1 NG POST</t>
  </si>
  <si>
    <t>V50 Lite 5G 256GB</t>
  </si>
  <si>
    <t>VI V50LT5G256/8G PB POST</t>
  </si>
  <si>
    <t>VI V50LT5G256/8G IO POST</t>
  </si>
  <si>
    <t>VI V50 512GB RU POST</t>
  </si>
  <si>
    <t>VI V50 512GB MP POST</t>
  </si>
  <si>
    <t>V50 Lite 5G 256GB  Phantom Black</t>
  </si>
  <si>
    <t>V50 Lite 5G 256GB  Titanium Gold</t>
  </si>
  <si>
    <t>V50 5G 512GB Mist Purple</t>
  </si>
  <si>
    <t>G55 5G 256GB Rosa</t>
  </si>
  <si>
    <t>G55 5G 256GB Verde</t>
  </si>
  <si>
    <t>G55 5G 256GB Negro</t>
  </si>
  <si>
    <t>V50 5G 512GB  Starry Blue</t>
  </si>
  <si>
    <t>HOR MAGIC7PRO512GB BK POST + PARL + AUDIF</t>
  </si>
  <si>
    <t>Magic 7 Pro 5G 512GB + Music Box + X5 Black</t>
  </si>
  <si>
    <t>Huawei Router WiFi 7 BE3</t>
  </si>
  <si>
    <t>Huawei Smartwatch Fit 4 Black</t>
  </si>
  <si>
    <t>Huawei Smartwatch Fit 4 White</t>
  </si>
  <si>
    <t>Huawei Smartwatch Fit 4 Pro Black</t>
  </si>
  <si>
    <t>Huawei Smartwatch Fit 4 Pro Green</t>
  </si>
  <si>
    <t>Huawei Smartwatch Kids 4 Pro Blue</t>
  </si>
  <si>
    <t>Huawei Smartwatch Kids 4 Pro Pink</t>
  </si>
  <si>
    <t>Huawei Band 10 Black</t>
  </si>
  <si>
    <t>Huawei Band 10 Pink</t>
  </si>
  <si>
    <t>PlayStation®5 Pro</t>
  </si>
  <si>
    <t>Redmi Buds 6 Pro White</t>
  </si>
  <si>
    <t>Xiaomi Type C Earphones Black</t>
  </si>
  <si>
    <t>Xiaomi Power Bank 20.000mAh 33W</t>
  </si>
  <si>
    <t>Xiaomi Power Bank 10.000mAh 22.5W</t>
  </si>
  <si>
    <t>Redmi Watch 5 Lite Black</t>
  </si>
  <si>
    <t>Redmi Watch 5 Lite Gold</t>
  </si>
  <si>
    <t>Audifonos JBL T110</t>
  </si>
  <si>
    <t>Samsung Galaxy Buds Pro Negro</t>
  </si>
  <si>
    <t>Nintendo Switch OLED Neon</t>
  </si>
  <si>
    <t>Keiphone Smartwatch A3 Pro Rosa</t>
  </si>
  <si>
    <t>Audifono Jam Ultra Grey</t>
  </si>
  <si>
    <t>JAM</t>
  </si>
  <si>
    <t>Motorola Audifonos Squad 200 Blue</t>
  </si>
  <si>
    <t>Samsung Audífonos Wireless Negro</t>
  </si>
  <si>
    <t>True Wireless Earbuds Basic 2</t>
  </si>
  <si>
    <t>Xiaomi Redmi Buds 3 Lite Black</t>
  </si>
  <si>
    <t>Dusted Batería 10000 mAh</t>
  </si>
  <si>
    <t>Cable Datos Tipo C</t>
  </si>
  <si>
    <t>Samsung Cargador Wireless Pad 15W</t>
  </si>
  <si>
    <t xml:space="preserve">Cable Urbano Tipo C White               </t>
  </si>
  <si>
    <t>Cargador Urbano Auto White</t>
  </si>
  <si>
    <t>Logitech Hero Gaming Mouse</t>
  </si>
  <si>
    <t>LOGITECH</t>
  </si>
  <si>
    <t>Tarjeta Suscripción 3M PS4</t>
  </si>
  <si>
    <t>Camara Indoor Smart Homy</t>
  </si>
  <si>
    <t>Mascarillas Adulto Negro</t>
  </si>
  <si>
    <t>BIOTEX</t>
  </si>
  <si>
    <t>Mascarilla Adulto Tie Dye</t>
  </si>
  <si>
    <t>Huawei Body Fat Scale 3</t>
  </si>
  <si>
    <t>Xiaomi Portable Electric Air Compressor 1S</t>
  </si>
  <si>
    <t>Parlante Altec Imw 270</t>
  </si>
  <si>
    <t>ALTEC LANSING</t>
  </si>
  <si>
    <t>Parlante JBL Bar Studio</t>
  </si>
  <si>
    <t>Marley Parlante BT Get Together Mini</t>
  </si>
  <si>
    <t>Google Home Mini</t>
  </si>
  <si>
    <t>Osoji Aspiradora D990 WiFi</t>
  </si>
  <si>
    <t xml:space="preserve">Xiaomi Mi Robot Vacuum Mop 600 ml </t>
  </si>
  <si>
    <t>Acer Tablet AS8W 32GB Silver</t>
  </si>
  <si>
    <t>Huawei Watch Fit Elegant Frosty White</t>
  </si>
  <si>
    <t>Watch Gt 3 46mm Black</t>
  </si>
  <si>
    <t>Watch Gt 3 42mm Black</t>
  </si>
  <si>
    <t>Watch Gt Runner 46mm</t>
  </si>
  <si>
    <t>Huawei Band 7 Red</t>
  </si>
  <si>
    <t>Huawei Watch Fit Pomelo Red</t>
  </si>
  <si>
    <t>Huawei Band 7 Black</t>
  </si>
  <si>
    <t>Samsung Galaxy Fit2</t>
  </si>
  <si>
    <t>Samsung Galaxy Fit2 Negro</t>
  </si>
  <si>
    <t>ZTE NUBIANEO2256G GR POST+GAME PAD</t>
  </si>
  <si>
    <t>Nubia Neo 2 256GB Gris con Game Pad</t>
  </si>
  <si>
    <t>Magic 7 Lite 5G 512GB</t>
  </si>
  <si>
    <t>MOT MG55256XT24V2 NG POST</t>
  </si>
  <si>
    <t>HOR 400LIT256/12G SV POST+CHOICE X7 LITE</t>
  </si>
  <si>
    <t>HOR 400LIT256/12G BK POST+CHOICE X7 LITE</t>
  </si>
  <si>
    <t>HOR 400LIT256/12G GA POST+CHOICE X7 LITE</t>
  </si>
  <si>
    <t xml:space="preserve">HOR 400LIT256/12G GA POST               </t>
  </si>
  <si>
    <t xml:space="preserve">HOR 400LIT256/12G SV POST               </t>
  </si>
  <si>
    <t xml:space="preserve">HOR 400LIT256/12G BK POST               </t>
  </si>
  <si>
    <t xml:space="preserve">HOR 400LITE256/8G GA POST               </t>
  </si>
  <si>
    <t xml:space="preserve">HOR 400LITE256/8G BK POST               </t>
  </si>
  <si>
    <t xml:space="preserve">HOR 400LITE256/8G SV POST               </t>
  </si>
  <si>
    <t>H400 Lite 5G 256GB</t>
  </si>
  <si>
    <t>H400 Lite 5G R12 256GB Silver Bundle</t>
  </si>
  <si>
    <t>H400 Lite 5G R12 256GB Black Bundle</t>
  </si>
  <si>
    <t>H400 Lite 5G R12 256GB Gris Bundle</t>
  </si>
  <si>
    <t>H400 Lite 5G R12 256GB Gris</t>
  </si>
  <si>
    <t>H400 Lite 5G R12 256GB Silver</t>
  </si>
  <si>
    <t>H400 Lite 5G R12 256GB Black</t>
  </si>
  <si>
    <t>H400 Lite 5G 256GB Gris</t>
  </si>
  <si>
    <t>H400 Lite 5G 256GB Black</t>
  </si>
  <si>
    <t>H400 Lite 5G 256GB Silver</t>
  </si>
  <si>
    <t>G55 5G 256GB V2 Negro</t>
  </si>
  <si>
    <t>ZTE BKADV70MX256G GR POST</t>
  </si>
  <si>
    <t>ZTE BKADV70MX256G VR POST</t>
  </si>
  <si>
    <t>Blade V70 Gris</t>
  </si>
  <si>
    <t>Blade V70 Verde</t>
  </si>
  <si>
    <t>V70 Max 256GB</t>
  </si>
  <si>
    <t>MOT G0564GBXT2523 VR POST</t>
  </si>
  <si>
    <t>MOT G0564GBXT2523 RJ POST</t>
  </si>
  <si>
    <t>VI V50LT5G256/8G IO POST+TWS 3E</t>
  </si>
  <si>
    <t>VI V50LT5G256/8G PB POST+TWS 3E</t>
  </si>
  <si>
    <t>VI Y29S 256GB IO POST</t>
  </si>
  <si>
    <t>VI Y29S 256GB JL POST</t>
  </si>
  <si>
    <t>VI Y39 256GB DU POST</t>
  </si>
  <si>
    <t>VI Y39 256GB DU POST+BUNDS</t>
  </si>
  <si>
    <t>VI Y39 256GB YP POST</t>
  </si>
  <si>
    <t>VI Y39 256GB YP POST+BUNDS</t>
  </si>
  <si>
    <t>XIA RDNT14PR5G256 C_ POST</t>
  </si>
  <si>
    <t>XIA RDNT14PR5G256 LP POST</t>
  </si>
  <si>
    <t>XIA RDNT14PRP256G LP POST</t>
  </si>
  <si>
    <t>Y39 5G 256GB</t>
  </si>
  <si>
    <t>V50 Lite 5G 256GB Titanium Gold Bundle</t>
  </si>
  <si>
    <t>V50 Lite 5G 256GB Phantom Black Bundle</t>
  </si>
  <si>
    <t>Redmi Note 14 Pro Plus 5g 256GB Lavender Purple</t>
  </si>
  <si>
    <t>Y39 5G 256GB Ocean Blue</t>
  </si>
  <si>
    <t>Y39 5G 256GB Ocean Blue Bundle</t>
  </si>
  <si>
    <t>Y39 5G 256GB Lotus Purple</t>
  </si>
  <si>
    <t>Y39 5G 256GB Lotus Purple Bundle</t>
  </si>
  <si>
    <t>Y29s 5G 256GB Titanium Gold</t>
  </si>
  <si>
    <t>Y29s 5G 256GB Dark Green</t>
  </si>
  <si>
    <t>G05 64GB Verde</t>
  </si>
  <si>
    <t>G05 64GB Rojo</t>
  </si>
  <si>
    <t>Redmi Note 14 Pro 5G 256GB Coral Green</t>
  </si>
  <si>
    <t>Redmi Note 14 Pro 5G 256GB Lavender Purple</t>
  </si>
  <si>
    <t>APP IPH15128GBBLK BK POST EMP</t>
  </si>
  <si>
    <t>HOR 90SMART256GB EG POST EMP</t>
  </si>
  <si>
    <t>SMG GXA55G12A556D WN POST EMP</t>
  </si>
  <si>
    <t>SMG GA061284A65DS BK POST EMP</t>
  </si>
  <si>
    <t>A06 128GB Black EMP</t>
  </si>
  <si>
    <t>A55 5G 128GB Awesome Navy EMP</t>
  </si>
  <si>
    <t>H90 Smart 256GB Emerald Green EMP</t>
  </si>
  <si>
    <t>iPhone 15 128GB Black EMP</t>
  </si>
  <si>
    <t>OPP A54128CPH2239 AZ POST EMP</t>
  </si>
  <si>
    <t>SMG GXYA13128A135 NG POST EMP</t>
  </si>
  <si>
    <t>XIA REDMI 10C 128 GR POST EMP</t>
  </si>
  <si>
    <t>XIA REDMI A2 32GB BK POST EMP</t>
  </si>
  <si>
    <t>ZTE A35 64GB SY POST EMP</t>
  </si>
  <si>
    <t>XIA REDMI 9A 32GB VR POST EMP</t>
  </si>
  <si>
    <t>XIA REDMI 9A 32GB RG POST EMP</t>
  </si>
  <si>
    <t>HOR X8A 5G 128/6G PL POST EMP</t>
  </si>
  <si>
    <t>OPP A17 64GB MK POST EMP</t>
  </si>
  <si>
    <t>XIA REDMI 12C 128 GG POST EMP</t>
  </si>
  <si>
    <t>ZTE A73 128GB GS POST EMP</t>
  </si>
  <si>
    <t>ZTE A75 128GB NG POST EMP</t>
  </si>
  <si>
    <t>SMG GXYA53128A536 NG POST EMP</t>
  </si>
  <si>
    <t>XIA REDMI A5 64GB MK POST EMP</t>
  </si>
  <si>
    <t>SMG GXYA0464A04DS NG POST EMP</t>
  </si>
  <si>
    <t>SMG GXYA0464A04DS BL POST EMP</t>
  </si>
  <si>
    <t>SMG GA065G64G066D BK POST EMP</t>
  </si>
  <si>
    <t>SMG GA065G64G066D GA POST EMP</t>
  </si>
  <si>
    <t>SMG GA065G64G066D LG POST EMP</t>
  </si>
  <si>
    <t>SMG GXYA02SA025M NG POST EMP</t>
  </si>
  <si>
    <t>SMG GA05128/4A5DS BK POST EMP</t>
  </si>
  <si>
    <t>SMG GXA16128/6GDS KB POST EMP</t>
  </si>
  <si>
    <t>MOT MG54256GX2343 EE POST EMP</t>
  </si>
  <si>
    <t>SMG GLA04E32A042M NG POST EMP</t>
  </si>
  <si>
    <t>SMG GA341286346DS VR POST EMP</t>
  </si>
  <si>
    <t>SMG GA341286346DS GP POST EMP</t>
  </si>
  <si>
    <t>HOR X6B 5G 256GB MK POST EMP</t>
  </si>
  <si>
    <t>XIA RED13C5G128G SY POST EMP</t>
  </si>
  <si>
    <t>MOT MTG24P256/4GB ZG POST EMP</t>
  </si>
  <si>
    <t>ZTE BLADV70MX256G GR POST EMP</t>
  </si>
  <si>
    <t>ZTE BLADV70MX256G VR POST EMP</t>
  </si>
  <si>
    <t>XIA REDMI 9 64GB MR POST EMP</t>
  </si>
  <si>
    <t>SMG GA155G128/4DS KB POST EMP</t>
  </si>
  <si>
    <t>XIA REDMI 9 64GB NG POST EMP</t>
  </si>
  <si>
    <t>MOT MTG35128GXT24 NG POST EMP</t>
  </si>
  <si>
    <t>XIA REDMI10128G5G GG POST EMP</t>
  </si>
  <si>
    <t>HOR 90SMART256GB PL POST EMP</t>
  </si>
  <si>
    <t>HOR X6A PLUS 256G PL POST EMP</t>
  </si>
  <si>
    <t>VI Y36 256GB MO POST EMP</t>
  </si>
  <si>
    <t>XIA REDMINOT12128 OG POST EMP</t>
  </si>
  <si>
    <t>ZTE NUBIANEO2256G GR POST EMP</t>
  </si>
  <si>
    <t>SMG GXYA04S128ADS BL POST EMP</t>
  </si>
  <si>
    <t>XIA REDM13C5G256 BK POST EMP</t>
  </si>
  <si>
    <t>MOT MG55256XT24-1 NG POST EMP</t>
  </si>
  <si>
    <t>XIA REDNT145G256G MK POST EMP</t>
  </si>
  <si>
    <t>MOT MG84256XT2347 EE POST EMP</t>
  </si>
  <si>
    <t>HOR 200SMART256GB FG POST EMP</t>
  </si>
  <si>
    <t>SMG GXYA25128/6DS KB POST EMP</t>
  </si>
  <si>
    <t>SMG GXYA325MODS NG POST EMP</t>
  </si>
  <si>
    <t>XIA REDMI 10 128G GR POST EMP</t>
  </si>
  <si>
    <t>MOT MG55256XT24-1 RS POST EMP</t>
  </si>
  <si>
    <t>MOT MG55256XT24-1 VR POST EMP</t>
  </si>
  <si>
    <t>SMG GXYS20FE5G128 AZ POST EMP</t>
  </si>
  <si>
    <t>XIA 12 256GB GA POST EMP</t>
  </si>
  <si>
    <t>XIA RENOT135G256G GK POST EMP</t>
  </si>
  <si>
    <t>HOR 90 LITE 256GB NG POST EMP</t>
  </si>
  <si>
    <t>XIA RENOT12PPL256 NG POST EMP</t>
  </si>
  <si>
    <t>XIA RENOT12PPL256 AC POST EMP</t>
  </si>
  <si>
    <t>SMG GA26128GA266D BL POST EMP</t>
  </si>
  <si>
    <t>SMG GA26128GA266D NG POST EMP</t>
  </si>
  <si>
    <t>SMG GA26128GA266D VC POST EMP</t>
  </si>
  <si>
    <t>HOR 200 LITE 256G MK POST EMP</t>
  </si>
  <si>
    <t>HOR 200 LITE 256G RU POST EMP</t>
  </si>
  <si>
    <t>VI Y39 256GB DU POST+BUNDS EMP</t>
  </si>
  <si>
    <t>VI Y39 256GB YP POST +BUNDS EMP</t>
  </si>
  <si>
    <t>SMG GA23128236MDS NG POST EMP</t>
  </si>
  <si>
    <t>SMG GXYZFP4256OP GR POST EMP</t>
  </si>
  <si>
    <t>HOR MAGIC6LT256G VR POST EMP</t>
  </si>
  <si>
    <t>SMG GXYA35128/6GD WI POST EMP</t>
  </si>
  <si>
    <t>HOR 400LIT256/12G BK POST EMP</t>
  </si>
  <si>
    <t>HOR 400LIT256/12G BK POST+X7 LITE EMP</t>
  </si>
  <si>
    <t>HOR 400LIT256/12G GA POST EMP</t>
  </si>
  <si>
    <t>HOR 400LIT256/12G GA POST+X7 LITE EMP</t>
  </si>
  <si>
    <t>HOR 400LIT256/12G SV POST EMP</t>
  </si>
  <si>
    <t>HOR 400LIT256/12G SV POST+X7 LITE EMP</t>
  </si>
  <si>
    <t>MOT EDGE50FUS256G RL POST EMP</t>
  </si>
  <si>
    <t>SMG GA35256A356DS WI POST EMP</t>
  </si>
  <si>
    <t>SMG GA35256A356DS WN POST EMP</t>
  </si>
  <si>
    <t>XIA RDNT14PR5G256 MK POST EMP</t>
  </si>
  <si>
    <t>XIA RDNT14PR5G256 MK POST+POCKET 5W EMP</t>
  </si>
  <si>
    <t>APP IPH1264GBLACK NG POST EMP</t>
  </si>
  <si>
    <t>SMG GA35256A356DS WN POST+CARG. 25W EMP</t>
  </si>
  <si>
    <t>HOR MAGIC7LT512G TK POST EMP</t>
  </si>
  <si>
    <t>HOR MAGIC7LT512G TK POST+PARL+AUDIF EMP</t>
  </si>
  <si>
    <t>SMG GXA55G12A556D WI POST EMP</t>
  </si>
  <si>
    <t>VI V50LT5G256/8G IO POST + TWS 3E EMP</t>
  </si>
  <si>
    <t>VI V50LT5G256/8G PB POST+TWS 3E EMP</t>
  </si>
  <si>
    <t>SMG GS23P256916DS NG POST EMP</t>
  </si>
  <si>
    <t>SMG GA36256A366DS GR POST EMP</t>
  </si>
  <si>
    <t>SMG GA36256A366DS OO POST EMP</t>
  </si>
  <si>
    <t>SMG GA36256A366DS VC POST EMP</t>
  </si>
  <si>
    <t>HOR 200 256GB EG POST EMP</t>
  </si>
  <si>
    <t>SMG GA55256A556DS WN POST EMP</t>
  </si>
  <si>
    <t>XIA REDNT13PRP512 MK POST EMP</t>
  </si>
  <si>
    <t>XIA RDNT14PRP256G MK POST EMP</t>
  </si>
  <si>
    <t>XIA RDNT14PRP256G MK POST+POCKET 5W EMP</t>
  </si>
  <si>
    <t>APP IPH1164GBLACK NG POST EMP</t>
  </si>
  <si>
    <t>HOR 200 512GB VE POST EMP</t>
  </si>
  <si>
    <t>XIA 11T 256GB ODS GR POST EMP</t>
  </si>
  <si>
    <t>SMG GXA56256/12GD GR POST EMP</t>
  </si>
  <si>
    <t>SMG GXA56256/12GD NG POST EMP</t>
  </si>
  <si>
    <t>SMG GXA56256/12GD OO POST EMP</t>
  </si>
  <si>
    <t>SMG GXA56256/12GD VR POST EMP</t>
  </si>
  <si>
    <t>XIA 14T 512GB TC POST EMP</t>
  </si>
  <si>
    <t>SMG GA54256A546DS GP POST EMP</t>
  </si>
  <si>
    <t>SMG GXS24FE128GDS GP POST EMP</t>
  </si>
  <si>
    <t>XIA 14T 512GB TC POST+ GIFT BOX EMP</t>
  </si>
  <si>
    <t>APP IPH12128GBP LE POST EMP</t>
  </si>
  <si>
    <t>APP IPH12128GBLK NG POST EMP</t>
  </si>
  <si>
    <t>APP IPH13128GMN MN POST EMP</t>
  </si>
  <si>
    <t>APP IPH14PROMAXSP SP POST EMP</t>
  </si>
  <si>
    <t>SMG GS23F128S7BDS GP POST EMP</t>
  </si>
  <si>
    <t>SMG GXS24FE256GDS GP POST EMP</t>
  </si>
  <si>
    <t>SMG GS23F128S7BDS RA POST EMP</t>
  </si>
  <si>
    <t>SMG GS24256GS921D BY POST EMP</t>
  </si>
  <si>
    <t>SMG GS24256GS921D EY POST EMP</t>
  </si>
  <si>
    <t>SMG GS24256GS921D XK POST EMP</t>
  </si>
  <si>
    <t>APP IPH14128GBMID MN POST EMP</t>
  </si>
  <si>
    <t>SMG GS25128S931DS IN POST EMP</t>
  </si>
  <si>
    <t>SMG GS25128S931DS SH POST EMP</t>
  </si>
  <si>
    <t>SMG GS24P256G926D EY POST EMP</t>
  </si>
  <si>
    <t>SMG GS24P256G926D XK POST EMP</t>
  </si>
  <si>
    <t>SMG GS25256G931DS IN POST EMP</t>
  </si>
  <si>
    <t>SMG GS25256G931DS YN POST EMP</t>
  </si>
  <si>
    <t>APP IPHONE16128GB BK POST EMP</t>
  </si>
  <si>
    <t>SMG GXF256F731BDS GF POST EMP</t>
  </si>
  <si>
    <t>XIA 15 512GB BK POST EMP</t>
  </si>
  <si>
    <t>XIA 15 512GB BK POST+BUDS 5 EMP</t>
  </si>
  <si>
    <t>SMG GS25PL256S9DS YN POST EMP</t>
  </si>
  <si>
    <t>SMG GS24U256G928D TK POST EMP</t>
  </si>
  <si>
    <t>APP IP15PR128GNTT NV POST EMP</t>
  </si>
  <si>
    <t>APP IP15PR128GBKT BZ POST EMP</t>
  </si>
  <si>
    <t>SMG GS25U256S93DS IS POST EMP</t>
  </si>
  <si>
    <t>SMG GS25U256S93DS TK POST EMP</t>
  </si>
  <si>
    <t>APP IPH16PRO128GB BF POST EMP</t>
  </si>
  <si>
    <t>APP IPH16PRO128GB DF POST EMP</t>
  </si>
  <si>
    <t>APP IPH16PRO128GB NF POST EMP</t>
  </si>
  <si>
    <t>XIA 15 ULTRA512GB BK POST EMP</t>
  </si>
  <si>
    <t>XIA 15 ULTRA512GB BK POST+FOTO KIT EMP</t>
  </si>
  <si>
    <t>SMG GXYZFLD5256DS HA POST EMP</t>
  </si>
  <si>
    <t>SMG GXYZFLD5256DS NG POST EMP</t>
  </si>
  <si>
    <t>APP IP15PR256GNTT NV POST EMP</t>
  </si>
  <si>
    <t>APP IP15PM256GNTT NV POST EMP</t>
  </si>
  <si>
    <t>APP IPH16PM256GB BF POST EMP</t>
  </si>
  <si>
    <t>APP IPH16PM256GB NF POST EMP</t>
  </si>
  <si>
    <t>APP IPH14PMAXSPBL SP POST EMP</t>
  </si>
  <si>
    <t>APP IPH16PM512GB BF POST EMP</t>
  </si>
  <si>
    <t>A54 128GB Azul EMP</t>
  </si>
  <si>
    <t>A13 128GB Negro EMP</t>
  </si>
  <si>
    <t>Redmi 10C 128GB Gris EMP</t>
  </si>
  <si>
    <t>Redmi A2 32GB Black EMP</t>
  </si>
  <si>
    <t>A35 64GB Starry Black EMP</t>
  </si>
  <si>
    <t>Redmi 9A 32GB Verde EMP</t>
  </si>
  <si>
    <t>Redmi 9A 32GB Verde Aurora EMP</t>
  </si>
  <si>
    <t>X8A 5G 128GB Silver EMP</t>
  </si>
  <si>
    <t>A17 64GB Midnight Black EMP</t>
  </si>
  <si>
    <t>Redmi 12C 128GB Graphite Gray EMP</t>
  </si>
  <si>
    <t>A73 128GB Space Gray EMP</t>
  </si>
  <si>
    <t>A75 5G 128GB Negro EMP</t>
  </si>
  <si>
    <t>A53 5G 128GB Negro EMP</t>
  </si>
  <si>
    <t>A5 64GB Midnight Black EMP</t>
  </si>
  <si>
    <t>A04 64GB Negro EMP</t>
  </si>
  <si>
    <t>A04 64GB Blanco EMP</t>
  </si>
  <si>
    <t>A06 5G 64GB Black EMP</t>
  </si>
  <si>
    <t>A06 5G 64GB Gray EMP</t>
  </si>
  <si>
    <t>A06 5G 64GB Light Green EMP</t>
  </si>
  <si>
    <t>A02S 32GB Negro EMP</t>
  </si>
  <si>
    <t>A05 128GB Black EMP</t>
  </si>
  <si>
    <t>A16 5G 128GB Blue Black EMP</t>
  </si>
  <si>
    <t>G54 256GB Negro Espacial EMP</t>
  </si>
  <si>
    <t>A04E 32GB Negro EMP</t>
  </si>
  <si>
    <t>A34 5G 128GB Verde EMP</t>
  </si>
  <si>
    <t>A34 5G 128GB Graphite EMP</t>
  </si>
  <si>
    <t>X6B 5G 256GB Midnight Black EMP</t>
  </si>
  <si>
    <t>Redmi 13C 5G 128GB Starry Black EMP</t>
  </si>
  <si>
    <t>G24 Power 256GB Azul Glaciar EMP</t>
  </si>
  <si>
    <t>V70 Max 256GB Gris EMP</t>
  </si>
  <si>
    <t>V70 Max 256GB Verde EMP</t>
  </si>
  <si>
    <t>Redmi 9 64GB Morado EMP</t>
  </si>
  <si>
    <t>A15 5G 128GB Blue Black EMP</t>
  </si>
  <si>
    <t>Redmi 9 64GB Negro EMP</t>
  </si>
  <si>
    <t>G35 5G 128GB Negro EMP</t>
  </si>
  <si>
    <t>Redmi 10 5G 128GB Gris Grafito EMP</t>
  </si>
  <si>
    <t>H90 Smart 256GB Plata EMP</t>
  </si>
  <si>
    <t>X6A Plus 256GB Plata EMP</t>
  </si>
  <si>
    <t>Y36 5G 256GB Negro Místico EMP</t>
  </si>
  <si>
    <t>Redmi Note 12 128GB Onyx Gray EMP</t>
  </si>
  <si>
    <t>Nubia Neo 2 256GB Gris EMP</t>
  </si>
  <si>
    <t>A04S 128GB Blanco EMP</t>
  </si>
  <si>
    <t>Redmi 13C 5G 256GB Black EMP</t>
  </si>
  <si>
    <t>G55 5G 256GB V2 Negro EMP</t>
  </si>
  <si>
    <t>Redmi Note 14 5G 256GB Midnight Black EMP</t>
  </si>
  <si>
    <t>G84 256GB Negro Espacial EMP</t>
  </si>
  <si>
    <t>H200 Smart 5G 256GB Forest Green EMP</t>
  </si>
  <si>
    <t>A25 5G 128GB Blue Black EMP</t>
  </si>
  <si>
    <t>A32 128GB Negro Open EMP</t>
  </si>
  <si>
    <t>Redmi 10 128GB Gris EMP</t>
  </si>
  <si>
    <t>G55 5G 256GB Rosa EMP</t>
  </si>
  <si>
    <t>G55 5G 256GB Verde EMP</t>
  </si>
  <si>
    <t>S20 FE 5G 128GB Azul EMP</t>
  </si>
  <si>
    <t>12 256GB Gris EMP</t>
  </si>
  <si>
    <t>Redmi Note 13 5G 256GB Gris EMP</t>
  </si>
  <si>
    <t>H90 Lite 256GB Black EMP</t>
  </si>
  <si>
    <t>Redmi Note 12 Pro Plus 256GB Negro EMP</t>
  </si>
  <si>
    <t>Redmi Note 12 Pro Plus 256GB Azul Cielo EMP</t>
  </si>
  <si>
    <t>A26 5G 128GB Blanco EMP</t>
  </si>
  <si>
    <t>A26 5G 128GB Negro EMP</t>
  </si>
  <si>
    <t>A26 5G 128GB Verde Claro EMP</t>
  </si>
  <si>
    <t>H200 Lite 256GB Midnight Black EMP</t>
  </si>
  <si>
    <t>H200 Lite 256GB Starry Blue EMP</t>
  </si>
  <si>
    <t>Y39 5G 256GB Ocean Blue Bundle EMP</t>
  </si>
  <si>
    <t>Y39 5G 256GB Lotus Purple Bundle EMP</t>
  </si>
  <si>
    <t>A23 5G 128GB Negro EMP</t>
  </si>
  <si>
    <t>Z Flip 4 256GB Gris Open EMP</t>
  </si>
  <si>
    <t>Magic 6 Lite 256GB Verde EMP</t>
  </si>
  <si>
    <t>A35 5G 128GB Awesome Iceblue EMP</t>
  </si>
  <si>
    <t>H400 Lite 5G R12 256GB Black EMP</t>
  </si>
  <si>
    <t>H400 Lite 5G R12 256GB Black Bundle EMP</t>
  </si>
  <si>
    <t>H400 Lite 5G R12 256GB Gris EMP</t>
  </si>
  <si>
    <t>H400 Lite 5G R12 256GB Gris Bundle EMP</t>
  </si>
  <si>
    <t>H400 Lite 5G R12 256GB Silver EMP</t>
  </si>
  <si>
    <t>H400 Lite 5G R12 256GB Silver Bundle EMP</t>
  </si>
  <si>
    <t>Edge 50 Fusion 256GB Relucent Blue EMP</t>
  </si>
  <si>
    <t>A35 5G 256GB Awesome Iceblue EMP</t>
  </si>
  <si>
    <t>A35 5G 256GB Awesome Navy EMP</t>
  </si>
  <si>
    <t>Redmi Note 14 Pro 5G 256GB Midnight Black EMP</t>
  </si>
  <si>
    <t>Redmi Note 14 Pro 5G 256GB Bundle Midnight Black EMP</t>
  </si>
  <si>
    <t>iPhone 12 64GB Negro EMP</t>
  </si>
  <si>
    <t>A35 5G 256GB + Cargador Awesome Navy EMP</t>
  </si>
  <si>
    <t>Magic 7 lite 5G 512GB Titanium Black EMP</t>
  </si>
  <si>
    <t>Magic 7 Lite 512GB Bundle Titanium Black EMP</t>
  </si>
  <si>
    <t>A55 5G 128GB Awesome Iceblue EMP</t>
  </si>
  <si>
    <t>V50 Lite 5G 256GB Titanium Gold Bundle EMP</t>
  </si>
  <si>
    <t>V50 Lite 5G 256GB Phantom Black Bundle EMP</t>
  </si>
  <si>
    <t>S23 Plus 256GB Negro EMP</t>
  </si>
  <si>
    <t>A36 5G 256GB Gris EMP</t>
  </si>
  <si>
    <t>A36 5G 256GB Rosado Claro EMP</t>
  </si>
  <si>
    <t>A36 5G 256GB Verde Claro EMP</t>
  </si>
  <si>
    <t>H200 5G 256GB Emerald Green EMP</t>
  </si>
  <si>
    <t>A55 5G 256GB Awesome Navy EMP</t>
  </si>
  <si>
    <t>Redmi Note 13 Pro Plus 512GB Midnight Black EMP</t>
  </si>
  <si>
    <t>Redmi Note 14 Pro Plus 5g 256GB Midnight Black EMP</t>
  </si>
  <si>
    <t>Redmi Note 14 Pro Plus 5G 256GB Bundle Midnight Black EMP</t>
  </si>
  <si>
    <t>iPhone 11 64GB Negro S/Carg EMP</t>
  </si>
  <si>
    <t>iPhone 11 64GB Negro EMP</t>
  </si>
  <si>
    <t>H200 5G 512GB Emerald Green EMP</t>
  </si>
  <si>
    <t>11T 256GB Gris Open EMP</t>
  </si>
  <si>
    <t>A56 5G 256GB Gris EMP</t>
  </si>
  <si>
    <t>A56 5G 256GB Negro EMP</t>
  </si>
  <si>
    <t>A56 5G 256GB Light Blue EMP</t>
  </si>
  <si>
    <t>A56 5G 256GB Verde EMP</t>
  </si>
  <si>
    <t>14T 512GB Titan Black EMP</t>
  </si>
  <si>
    <t>A54 5G 256GB Graphite EMP</t>
  </si>
  <si>
    <t>S24 FE 5G 128GB Graphite EMP</t>
  </si>
  <si>
    <t>14T 512GB + GB Titan Black EMP</t>
  </si>
  <si>
    <t>iPhone 12 128GB Purple EMP</t>
  </si>
  <si>
    <t>iPhone 12 128GB Negro EMP</t>
  </si>
  <si>
    <t>iPhone 13 128GB Midnight EMP</t>
  </si>
  <si>
    <t>iPhone 14 Pro Max 128GB Space Black EMP</t>
  </si>
  <si>
    <t>S23 FE 5G 128GB Graphite EMP</t>
  </si>
  <si>
    <t>S24 FE 5G 256GB Graphite EMP</t>
  </si>
  <si>
    <t>S23 FE 5G 128GB Cream EMP</t>
  </si>
  <si>
    <t>S24 256GB Amber Yellow EMP</t>
  </si>
  <si>
    <t>S24 256GB Marble Gray EMP</t>
  </si>
  <si>
    <t>S24 256GB Onyx Black EMP</t>
  </si>
  <si>
    <t>iPhone 14 128GB Midnight EMP</t>
  </si>
  <si>
    <t>S25 128GB Ice Blue EMP</t>
  </si>
  <si>
    <t>S25 128GB Silver Shadow EMP</t>
  </si>
  <si>
    <t>S24 Plus 256GB Marble Gray EMP</t>
  </si>
  <si>
    <t>S24 Plus 256GB Onyx Black EMP</t>
  </si>
  <si>
    <t>S25 256GB Ice Blue EMP</t>
  </si>
  <si>
    <t>S25 256GB Navy EMP</t>
  </si>
  <si>
    <t>iPhone 16 128GB Black EMP</t>
  </si>
  <si>
    <t>Z Flip 5 256GB Grafito EMP</t>
  </si>
  <si>
    <t>15 512GB Black EMP</t>
  </si>
  <si>
    <t>15 + Buds 5 512GB Black EMP</t>
  </si>
  <si>
    <t>S25 Plus 256GB Navy EMP</t>
  </si>
  <si>
    <t>S24 Ultra 256GB Titanium Black EMP</t>
  </si>
  <si>
    <t>iPhone 15 Pro 128GB Titanium EMP</t>
  </si>
  <si>
    <t>iPhone 15 Pro 128GB Black EMP</t>
  </si>
  <si>
    <t>S25 Ultra 256GB Titanium Silver Blue EMP</t>
  </si>
  <si>
    <t>S25 Ultra 256GB Titanium Black EMP</t>
  </si>
  <si>
    <t>iPhone 16 Pro 128GB Black Titanium EMP</t>
  </si>
  <si>
    <t>iPhone 16 Pro 128GB Desert Titanium EMP</t>
  </si>
  <si>
    <t>iPhone 16 Pro 128GB Natural Titanium EMP</t>
  </si>
  <si>
    <t>15 Ultra 512GB Black EMP</t>
  </si>
  <si>
    <t>15 Ultra + Photography Kit 512GB Black EMP</t>
  </si>
  <si>
    <t>Z Fold 5 256GB Azul Helado EMP</t>
  </si>
  <si>
    <t>Z Fold 5 256GB Negro EMP</t>
  </si>
  <si>
    <t>iPhone 15 Pro 256GB Titanium EMP</t>
  </si>
  <si>
    <t>iPhone 15 Pro Max 256GB Titanium EMP</t>
  </si>
  <si>
    <t>iPhone 16 Pro Max 256GB Black Titanium EMP</t>
  </si>
  <si>
    <t>iPhone 16 Pro Max 256GB Natural Titanium EMP</t>
  </si>
  <si>
    <t>iPhone 14 Pro Max 256GB Space Black EMP</t>
  </si>
  <si>
    <t>iPhone 16 Pro Max 512GB Black Titanium EMP</t>
  </si>
  <si>
    <t>ZTE NUBIANEO3256G DO POST</t>
  </si>
  <si>
    <t>ZTE NUBIANEO3256G NG POST</t>
  </si>
  <si>
    <t>ZTE NUBIANEO3256G PL POST</t>
  </si>
  <si>
    <t>ZTE NUBNEO3GT256G AM POST</t>
  </si>
  <si>
    <t>ZTE NUBNEO3GT256G GR POST</t>
  </si>
  <si>
    <t>Nubia Neo 3 5G 256GB</t>
  </si>
  <si>
    <t>Nubia Neo 3 GT 5G 256GB</t>
  </si>
  <si>
    <t>Nubia Neo 3 5G 256GB Dorado</t>
  </si>
  <si>
    <t>Nubia Neo 3 5G 256GB Negro</t>
  </si>
  <si>
    <t>Nubia Neo 3 5G 256GB Plata</t>
  </si>
  <si>
    <t>Nubia Neo 3 GT 5G 256GB Gris</t>
  </si>
  <si>
    <t>Nubia Neo 3 GT 5G 256GB Amarillo</t>
  </si>
  <si>
    <t>SMG GXA56256/12GD WG POST</t>
  </si>
  <si>
    <t>A56 5G 256GB Awesome Graphite</t>
  </si>
  <si>
    <t>M34 5G 128GB</t>
  </si>
  <si>
    <t>ZTE MF79N BL POST EMP</t>
  </si>
  <si>
    <t>ZTE MF79U BL POST EMP</t>
  </si>
  <si>
    <t>ZTE MF833N BL POST EMP</t>
  </si>
  <si>
    <t>ZTE MF937 BL POST EMP</t>
  </si>
  <si>
    <t>Apple</t>
  </si>
  <si>
    <t>SMG GA141284145DS NG POST EMP</t>
  </si>
  <si>
    <t>SMG GXM34128M346D DR POST EMP</t>
  </si>
  <si>
    <t>SMG GXA31128A315G NG POST EMP</t>
  </si>
  <si>
    <t>SMG GS23128911BDS NG POST EMP</t>
  </si>
  <si>
    <t>XIA 12 LITE 128/8 NG POST EMP</t>
  </si>
  <si>
    <t>HUA E5576-508 NG POST EMP</t>
  </si>
  <si>
    <t>Cargador 30W Dual C/Cable</t>
  </si>
  <si>
    <t>PROTECTOR PANTALLA UNIVERSAL TRANSPARENT</t>
  </si>
  <si>
    <t>PRIMO PROTECT</t>
  </si>
  <si>
    <t>HOR X5B 128GB NG POST EMP</t>
  </si>
  <si>
    <t>X5B 128GB Negro EMP</t>
  </si>
  <si>
    <t>APP IPHON16E128GB BK POST EMP</t>
  </si>
  <si>
    <t>APP IPHONE16128GB UL POST EMP</t>
  </si>
  <si>
    <t>iPhone 16e 128GB Black EMP</t>
  </si>
  <si>
    <t>iPhone 16e 128GB Ultramarine EMP</t>
  </si>
  <si>
    <t>A36 5G 256GB Negro EMP</t>
  </si>
  <si>
    <t>SMG GXA56256/12GD WG POST EMP</t>
  </si>
  <si>
    <t>A56 5G 256GB Awesome Graphite EMP</t>
  </si>
  <si>
    <t>SMG GA36256A366DS NG POST EMP</t>
  </si>
  <si>
    <t>Redmi Buds 6</t>
  </si>
  <si>
    <t>Smart Camera C200</t>
  </si>
  <si>
    <t>HOR MAGIC7PRO512G BK POST EMP+PARL+AUDIF</t>
  </si>
  <si>
    <t>Magic 7 Pro 5G 512GB + Music Box + X5 Black EMP</t>
  </si>
  <si>
    <t>ZTE NUBIANEO3256G DO POST + GAMEPAD</t>
  </si>
  <si>
    <t>ZTE NUBIANEO3256G NG POST + GAMEPAD</t>
  </si>
  <si>
    <t>ZTE NUBIANEO3256G PL POST + GAMEPAD</t>
  </si>
  <si>
    <t>ZTE NUBNEO3GT256G AM POST + GAMEPAD</t>
  </si>
  <si>
    <t>ZTE NUBNEO3GT256G GR POST + GAMEPAD</t>
  </si>
  <si>
    <t>XIA 15 ULTRA512GB SV POST + FOTO KIT</t>
  </si>
  <si>
    <t>XIA 15 ULTRA512GB SV POST</t>
  </si>
  <si>
    <t>ZTE NFOC25G256/8G AZ POST</t>
  </si>
  <si>
    <t>ZTE NFOC25G256/8G BL POST</t>
  </si>
  <si>
    <t>ZTE NFOC25G256/8G NG POST</t>
  </si>
  <si>
    <t>15 Ultra + Photography Kit 512GB Silver</t>
  </si>
  <si>
    <t>Nubia Focus 256GB 8GB Azul</t>
  </si>
  <si>
    <t>Nubia Focus 256GB 8GB Blanco</t>
  </si>
  <si>
    <t>Nubia Focus 256GB 8GB Negro</t>
  </si>
  <si>
    <t>ZTE MF296C BL POST EMP</t>
  </si>
  <si>
    <t>HUA E5576-508 BL POST EMP</t>
  </si>
  <si>
    <t>Datacard MF 79N</t>
  </si>
  <si>
    <t>MiFi MF937</t>
  </si>
  <si>
    <t>Router MF296C</t>
  </si>
  <si>
    <t>MiFi E5576</t>
  </si>
  <si>
    <t>Modem ZTE MF79U</t>
  </si>
  <si>
    <t>Modem MF833N</t>
  </si>
  <si>
    <t>Nubia Neo 3 5G 256GB Dorado con Gamepad</t>
  </si>
  <si>
    <t>Nubia Neo 3 5G 256GB Negro con Gamepad</t>
  </si>
  <si>
    <t>Nubia Neo 3 5G 256GB Plata con Gamepad</t>
  </si>
  <si>
    <t>Nubia Neo 3 GT 5G 256GB Amarillo con Gamepad</t>
  </si>
  <si>
    <t>Nubia Neo 3 GT 5G 256GB Gris con Gamepad</t>
  </si>
  <si>
    <t>EarPods (USB-C)</t>
  </si>
  <si>
    <t>ZTE Watch Live 3 Black</t>
  </si>
  <si>
    <t>ZTE Nubia Live Clip White</t>
  </si>
  <si>
    <t>AirTag (1 Pack)</t>
  </si>
  <si>
    <t>AirTag (4 Pack)</t>
  </si>
  <si>
    <t>AirPods 4</t>
  </si>
  <si>
    <t>AirPods 4 with Active Noise Cancellation</t>
  </si>
  <si>
    <t>HUAWEI FREEBUDS PRO 4 GREEN</t>
  </si>
  <si>
    <t xml:space="preserve">CONTROL REMOTO RCU                      </t>
  </si>
  <si>
    <t xml:space="preserve">CARCASA BLANCA XT1032 MOTOROLA          </t>
  </si>
  <si>
    <t xml:space="preserve">CARCASA TURQUESA XT1032 MOTOROLA        </t>
  </si>
  <si>
    <t xml:space="preserve">CARCASA VERDE LIMON XT1032 MOTOROLA     </t>
  </si>
  <si>
    <t xml:space="preserve">CARCASA URBANO IPHONE 6 AZUL            </t>
  </si>
  <si>
    <t xml:space="preserve">HUAWEI AUDIFONO BLUETOOTH SPORT         </t>
  </si>
  <si>
    <t xml:space="preserve">HUAWEI BODY FAT SCALE WHITE             </t>
  </si>
  <si>
    <t xml:space="preserve">HUAWEI PORTABLE BLUETOOTH SPEAKER       </t>
  </si>
  <si>
    <t>SANDISK TARJETA MICRO SD 32 GB</t>
  </si>
  <si>
    <t>HUAWEI BODY FAT SCALE WHITE</t>
  </si>
  <si>
    <t xml:space="preserve">CARGAGOR HUAWEI CP60                    </t>
  </si>
  <si>
    <t xml:space="preserve">CARGADOR URBANO AUTO BLACK              </t>
  </si>
  <si>
    <t>SOPORTE URBANO CLIP BLACK</t>
  </si>
  <si>
    <t>HUAWEI TRIPOD SELFIE STICK BT.BLACK</t>
  </si>
  <si>
    <t>SAMSUNG NEX DEX CABLE</t>
  </si>
  <si>
    <t xml:space="preserve">CABLE URBANO TIPO C WHITE               </t>
  </si>
  <si>
    <t xml:space="preserve">KEYBOARD WIRELESS BT                    </t>
  </si>
  <si>
    <t xml:space="preserve">CONTROL REMOTO SERIADO DTH &amp; HFC (CL02) </t>
  </si>
  <si>
    <t xml:space="preserve">CARGADOR URBANO AC WHITE                </t>
  </si>
  <si>
    <t>HUAWEI FREEBUDS 4I NEGRO</t>
  </si>
  <si>
    <t xml:space="preserve">CONTROL REMOTO DTH &amp; HFC (CL03)         </t>
  </si>
  <si>
    <t xml:space="preserve">MOUSE GAMER LVLUP NEGRO                 </t>
  </si>
  <si>
    <t>LVLUP</t>
  </si>
  <si>
    <t>ARO DE LUZ BLANCO VIVITAR</t>
  </si>
  <si>
    <t>ARO DE LUZ COLORES VIVITAR</t>
  </si>
  <si>
    <t>XIAOMI MI WATCH BLACK BE</t>
  </si>
  <si>
    <t>Consola Nintendo Switch Lite Blue</t>
  </si>
  <si>
    <t>Huawei Band 7 Pink</t>
  </si>
  <si>
    <t>JBL TUNE 110 BLACK</t>
  </si>
  <si>
    <t>JBL GO 2 AZUL</t>
  </si>
  <si>
    <t>JBL GO 2 RED</t>
  </si>
  <si>
    <t>Consola Nintendo Switch Lite Coral</t>
  </si>
  <si>
    <t>Honor Band 6 Pink</t>
  </si>
  <si>
    <t>CHIP PREPAGO MULTIMEDIA 2023</t>
  </si>
  <si>
    <t>Claro</t>
  </si>
  <si>
    <t xml:space="preserve">Samsung - Cargadores 15W S/ Cable       </t>
  </si>
  <si>
    <t xml:space="preserve">HUAWEI ROUTER B310S-518 POSTPAGO        </t>
  </si>
  <si>
    <t xml:space="preserve">SMART CAR ECOMMERCE                     </t>
  </si>
  <si>
    <t>Redmi A5 64GB</t>
  </si>
  <si>
    <t>Magic 7 Lite 5G 512GB Bundle</t>
  </si>
  <si>
    <t>Prima Mensual</t>
  </si>
  <si>
    <t>Desde</t>
  </si>
  <si>
    <t>Hasta</t>
  </si>
  <si>
    <t>&gt;</t>
  </si>
  <si>
    <t>APP IPH16PRO256GB BF POST EMP</t>
  </si>
  <si>
    <t>iPhone 16 Pro 256GB Black Titanium EMP</t>
  </si>
  <si>
    <t>SMG GA065G128/4GD BK POST EMP</t>
  </si>
  <si>
    <t>SMG GA065G128/4GD BK POST</t>
  </si>
  <si>
    <t>ZTE NUBIANEO3256G DO POST EMP + GAMEPAD</t>
  </si>
  <si>
    <t>ZTE NUBIANEO3256G NG POST EMP + GAMEPAD</t>
  </si>
  <si>
    <t>ZTE NUBIANEO3256G PL POST EMP + GAMEPAD</t>
  </si>
  <si>
    <t>ZTE NUBIANEO3256G DO POST EMP</t>
  </si>
  <si>
    <t>ZTE NUBIANEO3256G NG POST EMP</t>
  </si>
  <si>
    <t>ZTE NUBIANEO3256G PL POST EMP</t>
  </si>
  <si>
    <t>Nubia Neo 3 5G 256GB Dorado con Gamepad EMP</t>
  </si>
  <si>
    <t>Nubia Neo 3 5G 256GB Negro con Gamepad EMP</t>
  </si>
  <si>
    <t>Nubia Neo 3 5G 256GB Plata con Gamepad EMP</t>
  </si>
  <si>
    <t>Nubia Neo 3 5G 256GB Dorado EMP</t>
  </si>
  <si>
    <t>Nubia Neo 3 5G 256GB Negro EMP</t>
  </si>
  <si>
    <t>Nubia Neo 3 5G 256GB Plata EMP</t>
  </si>
  <si>
    <t>A06 5G 128GB</t>
  </si>
  <si>
    <t>A06 5G 128GB Black EMP</t>
  </si>
  <si>
    <t>A06 5G 128GB Black</t>
  </si>
  <si>
    <t>Redmi Note 14 5G 256GB Coral Green EMP</t>
  </si>
  <si>
    <t>XIA REDNT145G256G C_ POST EMP</t>
  </si>
  <si>
    <t>SMG GS25256G931DS SH POST EMP</t>
  </si>
  <si>
    <t>S25 256GB Silver Shadow EMP</t>
  </si>
  <si>
    <t>HOR 400 512GB MK POST</t>
  </si>
  <si>
    <t>HOR 400 512GB MK POST + CLIP</t>
  </si>
  <si>
    <t>HOR 400 512GB ED POST</t>
  </si>
  <si>
    <t>HOR 400 512GB ED POST + CLIP</t>
  </si>
  <si>
    <t>HOR 400 512GB MK POST EMP</t>
  </si>
  <si>
    <t>HOR 400 512GB MK POST EMP + CLIP</t>
  </si>
  <si>
    <t>HOR 400 512GB ED POST EMP</t>
  </si>
  <si>
    <t>HOR 400 512GB ED POST EMP + CLIP</t>
  </si>
  <si>
    <t>ZTE NUBNEO3GT256G AM POST EMP</t>
  </si>
  <si>
    <t>ZTE NUBNEO3GT256G AM POST EMP + GAMEPAD</t>
  </si>
  <si>
    <t>ZTE NUBNEO3GT256G GR POST EMP</t>
  </si>
  <si>
    <t>ZTE NUBNEO3GT256G GR POST EMP + GAMEPAD</t>
  </si>
  <si>
    <t>H400 512GB Midnight Black</t>
  </si>
  <si>
    <t>H400 512GB Midnight Black + CLIP</t>
  </si>
  <si>
    <t>H400 512GB Desert Gold</t>
  </si>
  <si>
    <t>H400 512GB Desert Gold + CLIP</t>
  </si>
  <si>
    <t>H400 512GB Midnight Black EMP</t>
  </si>
  <si>
    <t>H400 512GB Midnight Black EMP + CLIP</t>
  </si>
  <si>
    <t>H400 512GB Desert Gold EMP</t>
  </si>
  <si>
    <t>H400 512GB Desert Gold EMP + CLIP</t>
  </si>
  <si>
    <t>Nubia Neo 3 GT 5G 256GB Amarillo EMP</t>
  </si>
  <si>
    <t>Nubia Neo 3 GT 5G 256GB Amarillo EMP + GAMEPAD</t>
  </si>
  <si>
    <t>Nubia Neo 3 GT 5G 256GB Gris EMP</t>
  </si>
  <si>
    <t>Nubia Neo 3 GT 5G 256GB Gris EMP + GAMEPAD</t>
  </si>
  <si>
    <t>Nubia Neo 3 5G 256GB Dorado EMP + GAMEPAD</t>
  </si>
  <si>
    <t>Nubia Neo 3 5G 256GB Negro EMP + GAMEPAD</t>
  </si>
  <si>
    <t>Nubia Neo 3 5G 256GB Plata EMP + GAMEPAD</t>
  </si>
  <si>
    <t>400 5G 512GB</t>
  </si>
  <si>
    <t>A10S 32GB</t>
  </si>
  <si>
    <t>A10S 32GB Negro</t>
  </si>
  <si>
    <t>A30S 64GB</t>
  </si>
  <si>
    <t>A30S 64GB Negro</t>
  </si>
  <si>
    <t>iPhone 11 64GB Negro</t>
  </si>
  <si>
    <t>iPhone 11 64GB Blanco</t>
  </si>
  <si>
    <t>Y9S 128GB</t>
  </si>
  <si>
    <t>Y9S 128GB Azul</t>
  </si>
  <si>
    <t>A11 32GB</t>
  </si>
  <si>
    <t>A11 32GB Negro</t>
  </si>
  <si>
    <t>A21S 64GB</t>
  </si>
  <si>
    <t>A21S 64GB Negro</t>
  </si>
  <si>
    <t>A31 128GB Negro</t>
  </si>
  <si>
    <t>G8 Power Lite 64GB</t>
  </si>
  <si>
    <t>G8 Power Lite 64GB Azul</t>
  </si>
  <si>
    <t>P40 Pro 256GB</t>
  </si>
  <si>
    <t>P40 Pro 256GB Azul</t>
  </si>
  <si>
    <t>Y6P 64GB</t>
  </si>
  <si>
    <t>HUA Y6P 64GB NG POST                   </t>
  </si>
  <si>
    <t>Y6P 64GB Negro</t>
  </si>
  <si>
    <t>Y7P 64GB</t>
  </si>
  <si>
    <t>HUA Y7P 64GB NG POST                   </t>
  </si>
  <si>
    <t>Y7P 64GB Negro</t>
  </si>
  <si>
    <t>HUA Y7P 64GB AZ POST                   </t>
  </si>
  <si>
    <t>Y7P 64GB Azul</t>
  </si>
  <si>
    <t>Redmi 9A 32GB Azul</t>
  </si>
  <si>
    <t>Redmi Note 9 128GB</t>
  </si>
  <si>
    <t>Redmi Note 9 128GB Gris Medianoche</t>
  </si>
  <si>
    <t>XIA REDMI 9 64GB NG POST               </t>
  </si>
  <si>
    <t>Redmi 9 64GB Negro</t>
  </si>
  <si>
    <t>Redmi 9A 32GB Negro</t>
  </si>
  <si>
    <t>K22 32GB</t>
  </si>
  <si>
    <t>K22 32GB Titan</t>
  </si>
  <si>
    <t>G9 Play 64GB</t>
  </si>
  <si>
    <t>G9 Play 64GB Azul</t>
  </si>
  <si>
    <t>XIA REDMI 9 64GB MR POST               </t>
  </si>
  <si>
    <t>Redmi 9 64GB Morado</t>
  </si>
  <si>
    <t>XIA REDMI 9 64GB NG + MI SPEAKER POST  </t>
  </si>
  <si>
    <t>Redmi 9 64GB Negro + Speaker</t>
  </si>
  <si>
    <t>Redmi 9C 64GB</t>
  </si>
  <si>
    <t>Redmi 9C 64GB Gris</t>
  </si>
  <si>
    <t>Redmi Note 9 128GB Verde</t>
  </si>
  <si>
    <t>Y8P 128GB</t>
  </si>
  <si>
    <t>HUA Y8P 128GB NG POST</t>
  </si>
  <si>
    <t>Y8P 128GB Negro</t>
  </si>
  <si>
    <t>G9 Power 128GB</t>
  </si>
  <si>
    <t>G9 Power 128GB Verde</t>
  </si>
  <si>
    <t>HUA Y8P 128GB LU POST</t>
  </si>
  <si>
    <t>Y8P 128GB Piedra Luna</t>
  </si>
  <si>
    <t>Y7A 64GB</t>
  </si>
  <si>
    <t>HUA Y7A 64GB NG POST                   </t>
  </si>
  <si>
    <t>Y7A 64GB Negro</t>
  </si>
  <si>
    <t>Y7A 64GB Verde</t>
  </si>
  <si>
    <t>XIA REDMI 9C 64GB GR + MI SPEAKER POST </t>
  </si>
  <si>
    <t>Redmi 9C 64GB Gris + Speaker</t>
  </si>
  <si>
    <t>Iphone 12 Mini 64GB</t>
  </si>
  <si>
    <t>APP IPH12MINI6BLA NG POST              </t>
  </si>
  <si>
    <t>iPhone 12 Mini 64GB Negro</t>
  </si>
  <si>
    <t>iPhone 12 64GB Negro</t>
  </si>
  <si>
    <t>iPhone 12 Mini 64GB Blanco</t>
  </si>
  <si>
    <t>iPhone 12 128GB Negro</t>
  </si>
  <si>
    <t>iPhone 12 128GB Blanco</t>
  </si>
  <si>
    <t>Iphone 12 Pro 256GB</t>
  </si>
  <si>
    <t>iPhone 12 Pro 256GB Grafito</t>
  </si>
  <si>
    <t>Iphone 12 Pro Max 128GB</t>
  </si>
  <si>
    <t>iPhone 12 Pro Max 128GB Grafito</t>
  </si>
  <si>
    <t>Iphone 12 Pro 128GB</t>
  </si>
  <si>
    <t>iPhone 12 Pro 128GB Grafito</t>
  </si>
  <si>
    <t>iPhone 11 64GB Negro S/Carg</t>
  </si>
  <si>
    <t>Iphone 11 128GB</t>
  </si>
  <si>
    <t>iPhone 11 128GB Negro S/Carg</t>
  </si>
  <si>
    <t>Iphone SE 2020 64GB</t>
  </si>
  <si>
    <t>iPhone SE 2020 64GB Negro S/Carg</t>
  </si>
  <si>
    <t>SMG GXYA02SA025M NG 32GB POST          </t>
  </si>
  <si>
    <t>A02S 32GB Negro</t>
  </si>
  <si>
    <t>E7 32GB</t>
  </si>
  <si>
    <t>E7 32GB Gris</t>
  </si>
  <si>
    <t>A02S 64GB</t>
  </si>
  <si>
    <t>SMG GALAXYA02SA02 NG POST              </t>
  </si>
  <si>
    <t>A02S 64GB Negro</t>
  </si>
  <si>
    <t>S21 Ultra 128GB</t>
  </si>
  <si>
    <t>S21 Ultra 128GB Negro</t>
  </si>
  <si>
    <t>S21 256GB</t>
  </si>
  <si>
    <t>S21 256GB Gris</t>
  </si>
  <si>
    <t>A12 128GB Negro</t>
  </si>
  <si>
    <t>A52 128GB</t>
  </si>
  <si>
    <t>A52 128GB Negro</t>
  </si>
  <si>
    <t>A54 128GB Negro</t>
  </si>
  <si>
    <t>A15 32GB</t>
  </si>
  <si>
    <t>A15 32GB Negro</t>
  </si>
  <si>
    <t>G100 128GB</t>
  </si>
  <si>
    <t>G100 128GB Verde</t>
  </si>
  <si>
    <t>A72 256GB</t>
  </si>
  <si>
    <t>SMG GXYA72A725M NG POST</t>
  </si>
  <si>
    <t>A72 256GB Negro</t>
  </si>
  <si>
    <t>A32 128GB Negro</t>
  </si>
  <si>
    <t>A02 32GB</t>
  </si>
  <si>
    <t>SMG GXYA0232/2A02 NG POST</t>
  </si>
  <si>
    <t>A02 32GB Negro</t>
  </si>
  <si>
    <t>E7I Power 32GB</t>
  </si>
  <si>
    <t>E7I Power 32GB Azul</t>
  </si>
  <si>
    <t>Y9A 128GB</t>
  </si>
  <si>
    <t>Y9A 128GB Negro</t>
  </si>
  <si>
    <t>Redmi Note 10 Pro 128GB</t>
  </si>
  <si>
    <t>Redmi Note 10 Pro 128GB Azul</t>
  </si>
  <si>
    <t>Redmi Note 10S 128GB</t>
  </si>
  <si>
    <t>Redmi Note 10S 128GB Azul</t>
  </si>
  <si>
    <t>MI 11 Lite 128GB</t>
  </si>
  <si>
    <t>XIA MI11LITE128GB AZ POST</t>
  </si>
  <si>
    <t>MI 11 Lite 128GB Azul</t>
  </si>
  <si>
    <t>XIA MI11LITE128GB NG POST</t>
  </si>
  <si>
    <t>MI 11 Lite 128GB Negro</t>
  </si>
  <si>
    <t>Redmi 9T 128GB</t>
  </si>
  <si>
    <t>XIA REDMI 9T 128G CARBON GREY POST</t>
  </si>
  <si>
    <t>Redmi 9T 128GB Gris Carbono</t>
  </si>
  <si>
    <t>A15 32GB Azul</t>
  </si>
  <si>
    <t>A54 128GB Azul</t>
  </si>
  <si>
    <t>Reno 5 Lite 128GB</t>
  </si>
  <si>
    <t>Reno 5 Lite 128GB Negro</t>
  </si>
  <si>
    <t>Reno 5 Lite 128GB Morado</t>
  </si>
  <si>
    <t>Redmi Note 9 128GB Negro</t>
  </si>
  <si>
    <t>Redmi Note 10 5G 128GB</t>
  </si>
  <si>
    <t>Redmi Note 10 5G 128GB Azul</t>
  </si>
  <si>
    <t>X Cover 5 64GB</t>
  </si>
  <si>
    <t>X Cover 5 64GB Negro</t>
  </si>
  <si>
    <t>G20 64GB</t>
  </si>
  <si>
    <t>MOT MG2064XT21281 AZ POST</t>
  </si>
  <si>
    <t>G20 64GB Azul</t>
  </si>
  <si>
    <t>Redmi Note 10S 128GB Gris</t>
  </si>
  <si>
    <t>SMG GXYA72A725M NG OPEN POST</t>
  </si>
  <si>
    <t>A72 256GB Negro Open</t>
  </si>
  <si>
    <t>A52 128GB Negro Open</t>
  </si>
  <si>
    <t>SMG GXYA3212A325M NG OPEN POST</t>
  </si>
  <si>
    <t>A32 128GB Negro Open</t>
  </si>
  <si>
    <t>Redmi Note 10 5G 128GB Gris</t>
  </si>
  <si>
    <t>A22 128GB</t>
  </si>
  <si>
    <t>A22 128GB Negro</t>
  </si>
  <si>
    <t>iPhone 12 Pro Max 128GB Azul</t>
  </si>
  <si>
    <t>A03S 64GB</t>
  </si>
  <si>
    <t>A03S 64GB Negro</t>
  </si>
  <si>
    <t>APP IPH1164GWHITE BL POST S/CARG</t>
  </si>
  <si>
    <t>iPhone 11 64GB Blanco S/Carg</t>
  </si>
  <si>
    <t>Redmi 9T 128GB Verde</t>
  </si>
  <si>
    <t>S20 FE 128GB</t>
  </si>
  <si>
    <t>SAMSUNG GALAXY S20 FE BLUE POST</t>
  </si>
  <si>
    <t>S20 FE 128GB Azul</t>
  </si>
  <si>
    <t>Edge 20 Lite 128GB</t>
  </si>
  <si>
    <t>Edge 20 Lite 128GB Gris</t>
  </si>
  <si>
    <t>G50 128GB</t>
  </si>
  <si>
    <t>G50 128GB Azul</t>
  </si>
  <si>
    <t>A03S 32GB</t>
  </si>
  <si>
    <t>A03S 32GB Negro</t>
  </si>
  <si>
    <t>Z Fold 3 256GB</t>
  </si>
  <si>
    <t>Z Fold 3 256GB Negro</t>
  </si>
  <si>
    <t>Z Flip 3 128GB</t>
  </si>
  <si>
    <t>Z Flip 3 128GB Negro</t>
  </si>
  <si>
    <t>Redmi 9A 32GB Verde</t>
  </si>
  <si>
    <t>11T Pro 256GB</t>
  </si>
  <si>
    <t>11T Pro 256GB Gris</t>
  </si>
  <si>
    <t>Redmi 10 128GB Gris</t>
  </si>
  <si>
    <t>11 Lite New Edition 128GB</t>
  </si>
  <si>
    <t>11 Lite New Edition 128GB Negro</t>
  </si>
  <si>
    <t>11T 256GB Gris</t>
  </si>
  <si>
    <t>11T 256GB Azul</t>
  </si>
  <si>
    <t>Redmi 10 128GB Azul</t>
  </si>
  <si>
    <t>iPhone 13 128GB Midnight</t>
  </si>
  <si>
    <t>iPhone 13 128GB Starlight</t>
  </si>
  <si>
    <t>iPhone 13 128GB Rosado</t>
  </si>
  <si>
    <t>Iphone 13 256GB</t>
  </si>
  <si>
    <t>iPhone 13 256GB Midnight</t>
  </si>
  <si>
    <t>Iphone 13 Pro Max 128GB</t>
  </si>
  <si>
    <t>iPhone 13 Pro Max 128GB Grafito</t>
  </si>
  <si>
    <t>iPhone 13 Pro Max 128GB Azul Sierra</t>
  </si>
  <si>
    <t>A16 64GB</t>
  </si>
  <si>
    <t>A16 64GB Azul</t>
  </si>
  <si>
    <t>A16 64GB Negro</t>
  </si>
  <si>
    <t>E20 32GB</t>
  </si>
  <si>
    <t>E20 32GB Gris</t>
  </si>
  <si>
    <t>E30 32GB</t>
  </si>
  <si>
    <t>E30 32GB Gris</t>
  </si>
  <si>
    <t>G20 128GB</t>
  </si>
  <si>
    <t>G20 128GB Verde</t>
  </si>
  <si>
    <t>G20 128GB Azul</t>
  </si>
  <si>
    <t>Reno 6 128GB</t>
  </si>
  <si>
    <t>Reno 6 128GB Azul</t>
  </si>
  <si>
    <t>Reno 6 128GB Negro</t>
  </si>
  <si>
    <t>Redmi Note 10S 128GB Blanco</t>
  </si>
  <si>
    <t>XIA 11LTNE128GB NG + MI BAND 6 POST</t>
  </si>
  <si>
    <t>11 Lite New Edition 128GB Negro + Band 6</t>
  </si>
  <si>
    <t>XIA 11T 256GB GR + BAND 6 + BUDS 3 POST</t>
  </si>
  <si>
    <t>11T 256GB Gris + Band 6 + Buds 3</t>
  </si>
  <si>
    <t>XIA 11T PRO 256GB GR + WATCH + BUDS POST</t>
  </si>
  <si>
    <t>11T Pro 256GB Gris + Watch + Buds</t>
  </si>
  <si>
    <t>XIA 11T PRO 256GB AZ + WATCH + BUDS POST</t>
  </si>
  <si>
    <t>11T Pro 256GB Azul + Watch + Buds</t>
  </si>
  <si>
    <t>Reno 6 Lite 128GB</t>
  </si>
  <si>
    <t>Reno 6 Lite 128GB Negro</t>
  </si>
  <si>
    <t>A12 128GB Negro Open</t>
  </si>
  <si>
    <t>A22 128GB Negro Open</t>
  </si>
  <si>
    <t>G10 64GB</t>
  </si>
  <si>
    <t>G10 64GB Azul Open</t>
  </si>
  <si>
    <t>A54 128GB Azul Open</t>
  </si>
  <si>
    <t>Reno 5 Lite 128GB Negro Open</t>
  </si>
  <si>
    <t>A54 128GB Negro Open</t>
  </si>
  <si>
    <t>11T Pro 256GB Gris Open</t>
  </si>
  <si>
    <t>Reno 6 Lite 128GB Plata</t>
  </si>
  <si>
    <t>11T 256GB Gris Open</t>
  </si>
  <si>
    <t>11T 256GB Azul Open</t>
  </si>
  <si>
    <t>11T Pro 256GB Azul Open</t>
  </si>
  <si>
    <t>A03 128GB</t>
  </si>
  <si>
    <t>A03 128GB Negro Open</t>
  </si>
  <si>
    <t>A22 5G 128GB</t>
  </si>
  <si>
    <t>SMG GXYA226128ODS GR OPEN POST         </t>
  </si>
  <si>
    <t>A22 5G 128GB Gris Open</t>
  </si>
  <si>
    <t>A32 5G 128GB</t>
  </si>
  <si>
    <t>A32 5G 128GB Negro Open</t>
  </si>
  <si>
    <t>G51 128GB</t>
  </si>
  <si>
    <t>G51 128GB Azul</t>
  </si>
  <si>
    <t>G200 128GB</t>
  </si>
  <si>
    <t>MOT MG200128XT217 MI POST              </t>
  </si>
  <si>
    <t>G200 128GB Morado</t>
  </si>
  <si>
    <t>Redmi Note 11 128GB</t>
  </si>
  <si>
    <t>Redmi Note 11 128GB Azul Estrella</t>
  </si>
  <si>
    <t>XIA REDMNOTE11128 GG POST              </t>
  </si>
  <si>
    <t>Redmi Note 11 128GB Gris Grafito</t>
  </si>
  <si>
    <t>Redmi Note 11 128GB Turquesa</t>
  </si>
  <si>
    <t>A03 Core 32GB</t>
  </si>
  <si>
    <t>A03 Core 32GB Negro Open</t>
  </si>
  <si>
    <t>Redmi Note 11 128GB Gris Grafito Open</t>
  </si>
  <si>
    <t>Iphone SE 2022 64GB</t>
  </si>
  <si>
    <t>iPhone SE 2022 64GB Midnight</t>
  </si>
  <si>
    <t>iPhone 13 128GB Verde</t>
  </si>
  <si>
    <t>A53 5G 128GB Negro</t>
  </si>
  <si>
    <t>Redmi Note 11S 5G 128GB</t>
  </si>
  <si>
    <t>Redmi Note 11S 5G 128GB Negro</t>
  </si>
  <si>
    <t>Redmi Note 11 Pro 128GB</t>
  </si>
  <si>
    <t>Redmi Note 11 Pro 128GB Gris Grafito</t>
  </si>
  <si>
    <t>Redmi Note 11 Pro 5G 128GB</t>
  </si>
  <si>
    <t>Redmi Note 11 Pro 5G 128GB Gris Grafito</t>
  </si>
  <si>
    <t>Redmi Note 11 Pro 5G 128GB Azul Atlantico</t>
  </si>
  <si>
    <t>12 256GB Gris</t>
  </si>
  <si>
    <t>A73 5G 256GB</t>
  </si>
  <si>
    <t>A73 5G 256GB Gris</t>
  </si>
  <si>
    <t>S22 256GB</t>
  </si>
  <si>
    <t>S22 256GB Negro</t>
  </si>
  <si>
    <t>A13 128GB Negro</t>
  </si>
  <si>
    <t>A03 32GB</t>
  </si>
  <si>
    <t>A03 32GB Negro Open</t>
  </si>
  <si>
    <t>A23 128GB</t>
  </si>
  <si>
    <t>A23 128GB Negro</t>
  </si>
  <si>
    <t>Redmi 10A 64GB</t>
  </si>
  <si>
    <t>Redmi 10A 64GB Gris Grafito</t>
  </si>
  <si>
    <t>12 Pro 256GB</t>
  </si>
  <si>
    <t>XIA 12PRO256GODS B1 OPEN POST</t>
  </si>
  <si>
    <t>12 Pro 256GB Blue Open</t>
  </si>
  <si>
    <t>S20 FE 5G 128GB Azul</t>
  </si>
  <si>
    <t>Redmi 10C 128GB Gris</t>
  </si>
  <si>
    <t>Redmi 10C 128GB Azul</t>
  </si>
  <si>
    <t>G22 128GB</t>
  </si>
  <si>
    <t>G22 128GB Negro</t>
  </si>
  <si>
    <t>Redmi 9C 64GB Verde</t>
  </si>
  <si>
    <t>Redmi 9A 32GB Verde Aurora</t>
  </si>
  <si>
    <t>12 Lite 128GB Negro</t>
  </si>
  <si>
    <t>Reno 7 5G 256GB</t>
  </si>
  <si>
    <t>Reno 7 5G 256GB Azul</t>
  </si>
  <si>
    <t>Reno 7 128GB</t>
  </si>
  <si>
    <t>Reno 7 128GB Azul</t>
  </si>
  <si>
    <t>Reno 7 128GB Negro</t>
  </si>
  <si>
    <t>X7 128GB</t>
  </si>
  <si>
    <t>X7 128GB Azul</t>
  </si>
  <si>
    <t>X8 128GB</t>
  </si>
  <si>
    <t>X8 128GB Plata</t>
  </si>
  <si>
    <t>X9 128GB</t>
  </si>
  <si>
    <t>X9 128GB Negro</t>
  </si>
  <si>
    <t>A03 Core 32GB CK Open</t>
  </si>
  <si>
    <t>G22 128GB Blanco</t>
  </si>
  <si>
    <t>Z Fold 4 256GB</t>
  </si>
  <si>
    <t>Z Fold 4 256GB Negro Open</t>
  </si>
  <si>
    <t>Edge 30 Fusion 256GB</t>
  </si>
  <si>
    <t>Edge 30 Fusion 256GB Negro</t>
  </si>
  <si>
    <t>Y55 128GB</t>
  </si>
  <si>
    <t>Z Flip 4 256GB Gris Open</t>
  </si>
  <si>
    <t>Redmi Note 11S 5G 128GB Turquesa</t>
  </si>
  <si>
    <t>X6S 128GB</t>
  </si>
  <si>
    <t>X6S 128GB Plata</t>
  </si>
  <si>
    <t>E22I 64GB</t>
  </si>
  <si>
    <t>iPhone 14 128GB Midnight</t>
  </si>
  <si>
    <t>iPhone 14 128GB Starlight</t>
  </si>
  <si>
    <t>Iphone 14 256GB</t>
  </si>
  <si>
    <t>iPhone 14 256GB Midnight</t>
  </si>
  <si>
    <t>iPhone 14 Plus 128GB</t>
  </si>
  <si>
    <t>iPhone 14 Plus 128GB Midnight</t>
  </si>
  <si>
    <t>iPhone 14 Plus 128GB Starlight</t>
  </si>
  <si>
    <t>iPhone 14 Plus 128GB Purple</t>
  </si>
  <si>
    <t>Iphone 14 Plus 256GB</t>
  </si>
  <si>
    <t>iPhone 14 Plus 256GB Midnight</t>
  </si>
  <si>
    <t>iPhone 14 Pro 128GB</t>
  </si>
  <si>
    <t>iPhone 14 Pro 128GB Space Black</t>
  </si>
  <si>
    <t>iPhone 14 Pro 128GB Silver</t>
  </si>
  <si>
    <t>iPhone 14 Pro 128GB Gold</t>
  </si>
  <si>
    <t>iPhone 14 Pro 256GB</t>
  </si>
  <si>
    <t>iPhone 14 Pro 256GB Space Black</t>
  </si>
  <si>
    <t>Iphone 14 Pro 512GB</t>
  </si>
  <si>
    <t>iPhone 14 Pro 512GB Space Black</t>
  </si>
  <si>
    <t>iPhone 14 Pro Max 128GB Space Black</t>
  </si>
  <si>
    <t>iPhone 14 Pro Max 128GB Silver</t>
  </si>
  <si>
    <t>iPhone 14 Pro Max 128GB Gold</t>
  </si>
  <si>
    <t>Iphone 14 Pro Max 512GB</t>
  </si>
  <si>
    <t>iPhone 14 Pro Max 512GB Space Black</t>
  </si>
  <si>
    <t>A04 128GB</t>
  </si>
  <si>
    <t>12T 256GB</t>
  </si>
  <si>
    <t>12T Pro 256GB</t>
  </si>
  <si>
    <t>H70 256GB</t>
  </si>
  <si>
    <t>iPhone 14 Plus 512GB</t>
  </si>
  <si>
    <t>iPhone 14 Plus 512GB Midnight</t>
  </si>
  <si>
    <t>iPhone 14 128GB Blue</t>
  </si>
  <si>
    <t>iPhone 14 256GB</t>
  </si>
  <si>
    <t>iPhone 14 256GB Starlight</t>
  </si>
  <si>
    <t>iPhone 14 Pro 256GB Starlight</t>
  </si>
  <si>
    <t>iPhone 14 Pro Max 256GB Space Black</t>
  </si>
  <si>
    <t>iPhone 14 Plus 256GB</t>
  </si>
  <si>
    <t>iPhone 12 Mini 128GB</t>
  </si>
  <si>
    <t>iPhone 12 Mini 256GB</t>
  </si>
  <si>
    <t>iPhone 14 512GB</t>
  </si>
  <si>
    <t>X7A 128GB</t>
  </si>
  <si>
    <t>Magic 5 Lite 128GB</t>
  </si>
  <si>
    <t>A78 5G 128GB</t>
  </si>
  <si>
    <t>Reno 7 256GB</t>
  </si>
  <si>
    <t>Redmi Note 12 Pro 5G 256GB</t>
  </si>
  <si>
    <t>A57 128GB</t>
  </si>
  <si>
    <t>A14 5G 128GB</t>
  </si>
  <si>
    <t>S21 FE 5G 256GB</t>
  </si>
  <si>
    <t>S23 256GB</t>
  </si>
  <si>
    <t>S23 Plus 512GB</t>
  </si>
  <si>
    <t>S23 Ultra 256GB</t>
  </si>
  <si>
    <t>S23 Ultra 512GB</t>
  </si>
  <si>
    <t>Y16 64GB</t>
  </si>
  <si>
    <t>V25 5G 128GB</t>
  </si>
  <si>
    <t>V25 5G 128GB Diamante</t>
  </si>
  <si>
    <t>V25 5G 128GB Amanecer</t>
  </si>
  <si>
    <t>Magic 5 pro 512GB</t>
  </si>
  <si>
    <t>A34 5G 128GB Plata</t>
  </si>
  <si>
    <t>A34 5G 128GB Verde</t>
  </si>
  <si>
    <t>A54 5G 128GB</t>
  </si>
  <si>
    <t>Y22S 128GB</t>
  </si>
  <si>
    <t>Edge 40 256GB</t>
  </si>
  <si>
    <t>Blade A33 32GB</t>
  </si>
  <si>
    <t>Redmi Note 12S 256GB</t>
  </si>
  <si>
    <t>A34 5G 128GB Graphite</t>
  </si>
  <si>
    <t>X6A 128GB</t>
  </si>
  <si>
    <t>H90 512GB</t>
  </si>
  <si>
    <t>Z Flip 5 512GB</t>
  </si>
  <si>
    <t>Z Fold 5 512GB</t>
  </si>
  <si>
    <t>Y27 5G 128GB</t>
  </si>
  <si>
    <t>iPhone 15 128GB</t>
  </si>
  <si>
    <t>APP IPH15128GBGRE YE POST</t>
  </si>
  <si>
    <t>Iphone 15 256GB</t>
  </si>
  <si>
    <t>iPhone 15 256GB</t>
  </si>
  <si>
    <t>iPhone 15 Plus 128GB</t>
  </si>
  <si>
    <t>APP IP15PL128GBYE YE POST</t>
  </si>
  <si>
    <t>APP IP15PL128GBGR GE POST</t>
  </si>
  <si>
    <t>APP IP15PR256GNTT NV POST</t>
  </si>
  <si>
    <t>APP IP15PR256GBKT BZ POST</t>
  </si>
  <si>
    <t>APP IP15PR256GWHT WT POST</t>
  </si>
  <si>
    <t>iPhone 15 Pro Max 256GB</t>
  </si>
  <si>
    <t>iPhone 15 Pro Max 512GB</t>
  </si>
  <si>
    <t>APP IP15PM512GBKT BZ POST</t>
  </si>
  <si>
    <t>APP IP15PM512GBLT BD POST</t>
  </si>
  <si>
    <t>APP IP15PM512GNTT NV POST</t>
  </si>
  <si>
    <t>APP IP15PM512GWHT WT POST</t>
  </si>
  <si>
    <t>Edge 40 Neo 256GB</t>
  </si>
  <si>
    <t>Blade A54 128GB</t>
  </si>
  <si>
    <t>A38 128GB</t>
  </si>
  <si>
    <t>S23 FE 5G 256GB</t>
  </si>
  <si>
    <t>G14 128GB</t>
  </si>
  <si>
    <t>Red Magic 8S Pro 256GB</t>
  </si>
  <si>
    <t>Axon 50 256GB</t>
  </si>
  <si>
    <t>Y17S 128GB Violeta Brillante</t>
  </si>
  <si>
    <t>Y17S 128GB Verde Oliva</t>
  </si>
  <si>
    <t>MOT ED40256X23031 EC POST</t>
  </si>
  <si>
    <t>A15 5G 256GB</t>
  </si>
  <si>
    <t>A25 5G 256GB</t>
  </si>
  <si>
    <t>S24 128GB</t>
  </si>
  <si>
    <t>SMG GS24128GS921D EY POST</t>
  </si>
  <si>
    <t>SMG GS24128GS921D XK POST</t>
  </si>
  <si>
    <t>SMG GS24128GS921D BY POST</t>
  </si>
  <si>
    <t>SMG GS24128GS921D CV POST</t>
  </si>
  <si>
    <t>S24 Ultra 512GB</t>
  </si>
  <si>
    <t>SMG GS24U512G928D TO POST</t>
  </si>
  <si>
    <t>SMG GS24256GS921D BY POST</t>
  </si>
  <si>
    <t>SMG GS24256GS921D CV POST</t>
  </si>
  <si>
    <t>SMG GS24256GS921D EY POST</t>
  </si>
  <si>
    <t>SMG GS24256GS921D XK POST</t>
  </si>
  <si>
    <t>SMG GS24U256G928D TK POST</t>
  </si>
  <si>
    <t>SMG GS24U256G928D TY POST</t>
  </si>
  <si>
    <t>SMG GS24U256G928D TO POST</t>
  </si>
  <si>
    <t>SMG GS24U512G928D TK POST</t>
  </si>
  <si>
    <t>SMG GS24U512G928D TY POST</t>
  </si>
  <si>
    <t>SMG GS24U256G928D YT POST</t>
  </si>
  <si>
    <t>SMG GS24P256G926D BY POST</t>
  </si>
  <si>
    <t>SMG GS24P256G926D CV POST</t>
  </si>
  <si>
    <t>SMG GS24P256G926D EY POST</t>
  </si>
  <si>
    <t>SMG GS24U512G928D YT POST</t>
  </si>
  <si>
    <t>G34 5G 256GB</t>
  </si>
  <si>
    <t>SMG GS24P256G926D XK POST</t>
  </si>
  <si>
    <t>S24 Plus 512GB</t>
  </si>
  <si>
    <t>SMG GS24P512G926D BY POST</t>
  </si>
  <si>
    <t>SMG GS24P512G926D CV POST</t>
  </si>
  <si>
    <t>SMG GS24P512G926D EY POST</t>
  </si>
  <si>
    <t>SMG GS24P512G926D XK POST</t>
  </si>
  <si>
    <t>V30 Lite 256GB</t>
  </si>
  <si>
    <t>Redmi Note 13 Pro 5G 256GB</t>
  </si>
  <si>
    <t>V30 512GB</t>
  </si>
  <si>
    <t>Redmi 13C 256GB</t>
  </si>
  <si>
    <t>V50 Design 256GB</t>
  </si>
  <si>
    <t>Nubia Focus 256GB</t>
  </si>
  <si>
    <t>Edge 50 Pro 512GB</t>
  </si>
  <si>
    <t>Nubia Focus Pro 256GB</t>
  </si>
  <si>
    <t>A75 5G 128GB Negro</t>
  </si>
  <si>
    <t>G85 5G 256GB</t>
  </si>
  <si>
    <t>Y28S 5G 256GB</t>
  </si>
  <si>
    <t>Y38 5G 256GB</t>
  </si>
  <si>
    <t>A79 5G 256GB</t>
  </si>
  <si>
    <t>Nubia Focus Pro 256GB + KF</t>
  </si>
  <si>
    <t>Nubia Neo 2 256GB Gris</t>
  </si>
  <si>
    <t>Nubia Neo 2 256GB Amarillo</t>
  </si>
  <si>
    <t>iPhone 16 128GB Ultramarine</t>
  </si>
  <si>
    <t>iPhone 16 Plus 128GB</t>
  </si>
  <si>
    <t>iPhone 16 Pro 128GB Black Titanium</t>
  </si>
  <si>
    <t>iPhone 16 Pro 128GB Natural Titanium</t>
  </si>
  <si>
    <t>iPhone 16 Pro 128GB Desert Titanium</t>
  </si>
  <si>
    <t>iPhone 16 Pro 256GB Black Titanium</t>
  </si>
  <si>
    <t>iPhone 16 Pro Max 256GB Natural Titanium</t>
  </si>
  <si>
    <t>iPhone 16 Pro Max 256GB Desert Titanium</t>
  </si>
  <si>
    <t>V40 SE 5G 256GB + Tws 3e</t>
  </si>
  <si>
    <t>70012433</t>
  </si>
  <si>
    <t>70012440</t>
  </si>
  <si>
    <t>a</t>
  </si>
  <si>
    <t>SMG GXA56256/12GD LB POST</t>
  </si>
  <si>
    <t>Redmi Note 14 Pro Plus 5G 256GB</t>
  </si>
  <si>
    <t>400 5G 512GB Midnight Black</t>
  </si>
  <si>
    <t>400 5G 512GB Midnight Black + CLIP</t>
  </si>
  <si>
    <t>400 5G 512GB Desert Gold</t>
  </si>
  <si>
    <t>400 5G 512GB Desert Gold + CLIP</t>
  </si>
  <si>
    <t>V70 Max 256GB Gris</t>
  </si>
  <si>
    <t>V70 Max 256GB Verde</t>
  </si>
  <si>
    <t>A55 5G 256GB + Buds FE</t>
  </si>
  <si>
    <t>Nubia Focus 2 5G 256GB</t>
  </si>
  <si>
    <t>iPhone 16 256GB</t>
  </si>
  <si>
    <t>HOR MAGIC7LT512G TK POST + PARL</t>
  </si>
  <si>
    <t>HOR MAGIC7LT512G TK POST</t>
  </si>
  <si>
    <t>Magic 7 Lite 5G 512GB Titanium Black</t>
  </si>
  <si>
    <t>Y29s 5G 256GB</t>
  </si>
  <si>
    <t>G05 64GB</t>
  </si>
  <si>
    <t>V50 5G 512GB</t>
  </si>
  <si>
    <t>14C 128GB</t>
  </si>
  <si>
    <t>V40 SE 5G 256GB</t>
  </si>
  <si>
    <t>A75 5G 128GB EC</t>
  </si>
  <si>
    <t>A35 5G 256GB EC</t>
  </si>
  <si>
    <t>A35 5G 128GB + Cargador</t>
  </si>
  <si>
    <t>A55 5G 128GB + Buds FE</t>
  </si>
  <si>
    <t>A05 128GB EC</t>
  </si>
  <si>
    <t>Magic 6 Lite 256GB + Earbuds Verde</t>
  </si>
  <si>
    <t>V50 Design 256GB + Speaker Negro</t>
  </si>
  <si>
    <t>A73 128GB EC Space Gray</t>
  </si>
  <si>
    <t>V30 Lite 256GB + TWS 3e Dorado</t>
  </si>
  <si>
    <t>V30 512GB + TWS 3e Negro</t>
  </si>
  <si>
    <t>G14 128GB EC Gris Acero</t>
  </si>
  <si>
    <t>S23 FE 5G 128GB EC</t>
  </si>
  <si>
    <t>S23 FE 5G 128GB EC Mint</t>
  </si>
  <si>
    <t>A54 5G 256GB EC</t>
  </si>
  <si>
    <t>H90 Lite 256GB EC</t>
  </si>
  <si>
    <t>A34 5G 128GB EC</t>
  </si>
  <si>
    <t>G54 256GB EC</t>
  </si>
  <si>
    <t>Redmi Note 12 Pro 5G 256GB EC</t>
  </si>
  <si>
    <t>A23 5G 128GB EC</t>
  </si>
  <si>
    <t>Redmi 10 5G 128GB EC</t>
  </si>
  <si>
    <t>A14 LTE 128GB EC</t>
  </si>
  <si>
    <t>A14 5G 128GB EC</t>
  </si>
  <si>
    <t>ZTE BLADEA72SV2128G AZ POST</t>
  </si>
  <si>
    <t>Redmi Note 12 128GB + Smartband 2</t>
  </si>
  <si>
    <t>Redmi Note 12 Pro Plus 256GB + Watch S1</t>
  </si>
  <si>
    <t>A54 5G 128GB + Watch 5 44mm</t>
  </si>
  <si>
    <t>Magic 5 Lite 128GB + Band 6</t>
  </si>
  <si>
    <t>Magic 5 Lite 128GB + Band 6 Verde Black</t>
  </si>
  <si>
    <t>Magic 5 Lite 128GB + Band 6 Verde Pink</t>
  </si>
  <si>
    <t>S23 256GB + Buds 2 Pro</t>
  </si>
  <si>
    <t>S23 256GB + Buds 2 Pro Negro Negro</t>
  </si>
  <si>
    <t>S23 256GB + Buds 2 Pro Beige Negro</t>
  </si>
  <si>
    <t>Redmi Note 11 Pro 5G 128GB Azul Atlantico + Watch 2 Lite</t>
  </si>
  <si>
    <t>Redmi Note 11 Pro 5G 128GB Gris Grafito + Watch 2 Lite</t>
  </si>
  <si>
    <t>Redmi Note 11 128GB Azul Estrella + Buds 3 Lite</t>
  </si>
  <si>
    <t>12 256GB Gris + Buds3 + Watch</t>
  </si>
  <si>
    <t>12 256GB Morado + Buds3 + Watch</t>
  </si>
  <si>
    <t>12 256GB Blue + Buds3 + Watch</t>
  </si>
  <si>
    <t>12 Pro 256GB Blue + Bud3T + Watch</t>
  </si>
  <si>
    <t>12 Pro 256GB Morado + Bud3T + Watch</t>
  </si>
  <si>
    <t>Redmi Note 11 128GB Turquesa + Buds 3 Lite</t>
  </si>
  <si>
    <t>Redmi Note 11 128GB Gris Grafito + Buds 3 Lite</t>
  </si>
  <si>
    <t>Redmi Note 11 128GB Turquesa + Buds 3 Lite Open</t>
  </si>
  <si>
    <t>Redmi Note 11 128GB Gris Grafito + Buds 3 Lite Open</t>
  </si>
  <si>
    <t>Nova 9 128GB</t>
  </si>
  <si>
    <t>HUA NOVA 9 128GB AZ + FREEBUDS 4 POST</t>
  </si>
  <si>
    <t>Nova 9 128GB Azul + Freebuds 4</t>
  </si>
  <si>
    <t>SMG GA065G128/4GD BK POST+CAJA"1ER PLAN"</t>
  </si>
  <si>
    <t>SMG GS25128S931DS YN POST EMP</t>
  </si>
  <si>
    <t>70012850 </t>
  </si>
  <si>
    <t>ZTE NUBIAMUSIC128 OR POST</t>
  </si>
  <si>
    <t>S25 128GB Navy EMP</t>
  </si>
  <si>
    <t>A06 5G 128GB MPP</t>
  </si>
  <si>
    <t>A06 5G 128GB MPP Black</t>
  </si>
  <si>
    <t>Nubia Music 128GB</t>
  </si>
  <si>
    <t>Nubia Music 128GB Pop Art</t>
  </si>
  <si>
    <t>Redmi Pad 2 4+128</t>
  </si>
  <si>
    <t>Redmi 13C 5G 128GB Starry Black EMP Buds 6 Play</t>
  </si>
  <si>
    <t>Redmi 13C 5G 128GB Starry Black Bus 6 Play</t>
  </si>
  <si>
    <t xml:space="preserve">XIA 15 512GB BK POST REDMI PAD2          </t>
  </si>
  <si>
    <t>XIA 15 512GB BK POST EMP REDMI PAD 2</t>
  </si>
  <si>
    <t>15 512GB Black EMP Redmi Pad 2</t>
  </si>
  <si>
    <t>15 512GB Black Redmi Pad 2</t>
  </si>
  <si>
    <t>XIA RED13G128V2 SY POST BUDS 6 PLAY</t>
  </si>
  <si>
    <t>XIA RED13C128V2 SY POST EMP BUDS 6 PLAY</t>
  </si>
  <si>
    <t>S25 Plus 256GB Silver Shadow EMP</t>
  </si>
  <si>
    <t xml:space="preserve">SMG GS25PL256S9DS SH POST EMP           </t>
  </si>
  <si>
    <t>S25 256GB Menta EMP</t>
  </si>
  <si>
    <t xml:space="preserve">SMG GS25256G931DS MT POST EMP           </t>
  </si>
  <si>
    <t>ZTE NUBFOC2UL256G NG POST</t>
  </si>
  <si>
    <t>ZTE NUBFOC2UL256G NG POST EMP</t>
  </si>
  <si>
    <t>ZTE NUBFOC2UL256G VR POST</t>
  </si>
  <si>
    <t>ZTE NUBFOC2UL256G VR POST EMP</t>
  </si>
  <si>
    <t>Nubia Focus 2 Ultra 256GB</t>
  </si>
  <si>
    <t>Nubia Focus 2 Ultra 256GB Negro</t>
  </si>
  <si>
    <t>Nubia Focus 2 Ultra 256GB Negro EMP</t>
  </si>
  <si>
    <t>Nubia Focus 2 Ultra 256GB Verde</t>
  </si>
  <si>
    <t>Nubia Focus 2 Ultra 256GB Verde EMP</t>
  </si>
  <si>
    <t>XIA REDMI15C128GB BK POST</t>
  </si>
  <si>
    <t>15C 128GB Black</t>
  </si>
  <si>
    <t>XIA REDMI15C128GB BK POST EMP</t>
  </si>
  <si>
    <t>15C 128GB Black EMP</t>
  </si>
  <si>
    <t>XIA REDMI15C128GB B1 POST</t>
  </si>
  <si>
    <t>15C 128GB Blue</t>
  </si>
  <si>
    <t>XIA REDMI15C128GB B1 POST EMP</t>
  </si>
  <si>
    <t>15C 128GB Blue EMP</t>
  </si>
  <si>
    <t>XIA REDMI15C128GB GE POST</t>
  </si>
  <si>
    <t>15C 128GB Green</t>
  </si>
  <si>
    <t>XIA REDMI15C128GB GE POST EMP</t>
  </si>
  <si>
    <t>15C 128GB Green EMP</t>
  </si>
  <si>
    <t>400 Smart 5G 256GB</t>
  </si>
  <si>
    <t>HOR 400SMRT256/8G GD POST</t>
  </si>
  <si>
    <t>400 Smart 5G 256GB Gold</t>
  </si>
  <si>
    <t>HOR 400SMRT256/8G GD POST EMP</t>
  </si>
  <si>
    <t>400 Smart 5G 256GB Gold EMP</t>
  </si>
  <si>
    <t>HOR 400SMRT256/8G SV POST</t>
  </si>
  <si>
    <t>400 Smart 5G 256GB Silver</t>
  </si>
  <si>
    <t>HOR 400SMRT256/8G SV POST EMP</t>
  </si>
  <si>
    <t>400 Smart 5G 256GB Silver EMP</t>
  </si>
  <si>
    <t>A56 5G 128GB</t>
  </si>
  <si>
    <t>SMG GXYA56128GADS WG POST</t>
  </si>
  <si>
    <t>A56 5G 128GB Awesome Graphite</t>
  </si>
  <si>
    <t>SMG GXYA56128GADS WG POST EMP</t>
  </si>
  <si>
    <t>A56 5G 128GB Awesome Graphite EMP</t>
  </si>
  <si>
    <t>Nubia Focus 2 Ultra 5G 256GB</t>
  </si>
  <si>
    <t>ZTE NUBFOC2UL256G BL POST</t>
  </si>
  <si>
    <t>Nubia Focus 2 Ultra 5G 256GB Blanco</t>
  </si>
  <si>
    <t>ZTE NUBFOC2UL256G BL POST EMP</t>
  </si>
  <si>
    <t>Nubia Focus 2 Ultra 5G 256GB Blanco EMP</t>
  </si>
  <si>
    <t>Z Flip 7 256GB</t>
  </si>
  <si>
    <t>SMG GZFP256F766DS JB POST EMP</t>
  </si>
  <si>
    <t>Z Flip 7 256GB Jet Black EMP</t>
  </si>
  <si>
    <t>SMG GZFP256F766DS SH POST EMP</t>
  </si>
  <si>
    <t>Z Flip 7 256GB Silver Shadow EMP</t>
  </si>
  <si>
    <t>Z Flip 7 FE 128GB</t>
  </si>
  <si>
    <t>SMG GZFP7FE128GDS BK POST EMP</t>
  </si>
  <si>
    <t>Z Flip 7 FE 128GB Black EMP</t>
  </si>
  <si>
    <t>SMG GZFP7FE128GDS WH POST EMP</t>
  </si>
  <si>
    <t>Z Flip 7 FE 128GB White EMP</t>
  </si>
  <si>
    <t>Z Fold 7 256GB</t>
  </si>
  <si>
    <t>SMG GXZFLD7256GDS JB POST EMP</t>
  </si>
  <si>
    <t>Z Fold 7 256GB Jet Black EMP</t>
  </si>
  <si>
    <t>SMG GXZFLD7256GDS SH POST EMP</t>
  </si>
  <si>
    <t>Z Fold 7 256GB Silver Shadow EMP</t>
  </si>
  <si>
    <t>SMG GZFP256F766DS JB POST</t>
  </si>
  <si>
    <t>Z Flip 7 256GB Jet Black</t>
  </si>
  <si>
    <t>SMG GZFP256F766DS SH POST</t>
  </si>
  <si>
    <t>Z Flip 7 256GB Silver Shadow</t>
  </si>
  <si>
    <t>SMG GZFP7FE128GDS BK POST</t>
  </si>
  <si>
    <t>Z Flip 7 FE 128GB Black</t>
  </si>
  <si>
    <t>SMG GZFP7FE128GDS WH POST</t>
  </si>
  <si>
    <t>Z Flip 7 FE 128GB White</t>
  </si>
  <si>
    <t>SMG GXZFLD7256GDS JB POST</t>
  </si>
  <si>
    <t>Z Fold 7 256GB Jet Black</t>
  </si>
  <si>
    <t>SMG GXZFLD7256GDS SH POST</t>
  </si>
  <si>
    <t>Z Fold 7 256GB Silver Shadow</t>
  </si>
  <si>
    <t>SMG GZFP256F766DS LH POST</t>
  </si>
  <si>
    <t>Z Flip 7 256GB Blue Shadow</t>
  </si>
  <si>
    <t>SMG GZFP256F766DS LH POST EMP</t>
  </si>
  <si>
    <t>Z Flip 7 256GB Blue Shadow EMP</t>
  </si>
  <si>
    <t>SMG GXZFLD7256GDS LH POST</t>
  </si>
  <si>
    <t>Z Fold 7 256GB Blue Shadow</t>
  </si>
  <si>
    <t>SMG GXZFLD7256GDS LH POST EMP</t>
  </si>
  <si>
    <t>Z Fold 7 256GB Blue Shadow EMP</t>
  </si>
  <si>
    <t>Cable de carga USB-C de 60 W (1 metro)</t>
  </si>
  <si>
    <t>Beats Solo Buds Black</t>
  </si>
  <si>
    <t>Beats</t>
  </si>
  <si>
    <t>Beats Pill Black</t>
  </si>
  <si>
    <t>Beats USB-C a USB-C 1,5M Black</t>
  </si>
  <si>
    <t>Beats USB-C a Lightning 1,5M Black</t>
  </si>
  <si>
    <t>Huawei Smartwatch GT 6 41mm White</t>
  </si>
  <si>
    <t>Huawei Smartwatch GT 6 41mm Purple</t>
  </si>
  <si>
    <t>Huawei Smartwatch GT 6 46mm Black</t>
  </si>
  <si>
    <t>Huawei Smartwatch GT 6 46mm Green</t>
  </si>
  <si>
    <t>PS5 HW 2015 GT7+ASTRO_DIGITAL_CHI/UY</t>
  </si>
  <si>
    <t>PS5 HW 2015 GT7+ASTRO_STANDARD_CHI/UY</t>
  </si>
  <si>
    <t>SAMSUNG 25W POWER ADAPTER</t>
  </si>
  <si>
    <t>TAB NXTPPR 11 G2 128GB 9465X6</t>
  </si>
  <si>
    <t>TCL</t>
  </si>
  <si>
    <t>TAB 10L GEN4 128GB 8483A2</t>
  </si>
  <si>
    <t>iPhone 17 Pro Max 256GB</t>
  </si>
  <si>
    <t>iPhone 17 Pro 256GB</t>
  </si>
  <si>
    <t>iPhone 17 Pro 512GB</t>
  </si>
  <si>
    <t>iPhone 17 256GB</t>
  </si>
  <si>
    <t>iPhone Air 256GB</t>
  </si>
  <si>
    <t>APP IP17PMAX256GB CQ POST</t>
  </si>
  <si>
    <t>APP IP17PMAX256GB CQ POST EMP</t>
  </si>
  <si>
    <t>APP IP17PMAX256GB DH POST</t>
  </si>
  <si>
    <t>APP IP17PMAX256GB DH POST EMP</t>
  </si>
  <si>
    <t>APP IP17PMAX256GB SV POST</t>
  </si>
  <si>
    <t>APP IP17PMAX256GB SV POST EMP</t>
  </si>
  <si>
    <t>APP IPH17PRO256GB CQ POST</t>
  </si>
  <si>
    <t>APP IPH17PRO256GB CQ POST EMP</t>
  </si>
  <si>
    <t>APP IPH17PRO256GB DH POST</t>
  </si>
  <si>
    <t>APP IPH17PRO256GB DH POST EMP</t>
  </si>
  <si>
    <t>APP IPH17PRO256GB SV POST</t>
  </si>
  <si>
    <t>APP IPH17PRO256GB SV POST EMP</t>
  </si>
  <si>
    <t>APP IPH17PRO512GB CQ POST</t>
  </si>
  <si>
    <t>APP IPH17PRO512GB CQ POST EMP</t>
  </si>
  <si>
    <t>APP IPH17PRO512GB DH POST</t>
  </si>
  <si>
    <t>APP IPH17PRO512GB DH POST EMP</t>
  </si>
  <si>
    <t>APP IPH17PRO512GB SV POST</t>
  </si>
  <si>
    <t>APP IPH17PRO512GB SV POST EMP</t>
  </si>
  <si>
    <t>APP IPHONE17256GB BK POST</t>
  </si>
  <si>
    <t>APP IPHONE17256GB BK POST EMP</t>
  </si>
  <si>
    <t>APP IPHONE17256GB LR POST</t>
  </si>
  <si>
    <t>APP IPHONE17256GB LR POST EMP</t>
  </si>
  <si>
    <t>APP IPHONE17256GB MF POST</t>
  </si>
  <si>
    <t>APP IPHONE17256GB MF POST EMP</t>
  </si>
  <si>
    <t>APP IPHONE17256GB SF POST</t>
  </si>
  <si>
    <t>APP IPHONE17256GB SF POST EMP</t>
  </si>
  <si>
    <t>APP IPHONE17256GB WH POST</t>
  </si>
  <si>
    <t>APP IPHONE17256GB WH POST EMP</t>
  </si>
  <si>
    <t>APP IPHONAIR256GB CJ POST</t>
  </si>
  <si>
    <t>APP IPHONAIR256GB CJ POST EMP</t>
  </si>
  <si>
    <t>APP IPHONAIR256GB LZ POST</t>
  </si>
  <si>
    <t>APP IPHONAIR256GB LZ POST EMP</t>
  </si>
  <si>
    <t>APP IPHONAIR256GB SK POST</t>
  </si>
  <si>
    <t>APP IPHONAIR256GB SK POST EMP</t>
  </si>
  <si>
    <t>APP IPHONAIR256GB SP POST</t>
  </si>
  <si>
    <t>APP IPHONAIR256GB SP POST EMP</t>
  </si>
  <si>
    <t>iPhone 17 Pro Max 256GB Cosmic Orange</t>
  </si>
  <si>
    <t>iPhone 17 Pro Max 256GB Cosmic Orange EMP</t>
  </si>
  <si>
    <t>iPhone 17 Pro Max 256GB Deep Blue</t>
  </si>
  <si>
    <t>iPhone 17 Pro Max 256GB Deep Blue EMP</t>
  </si>
  <si>
    <t>iPhone 17 Pro Max 256GB Silver</t>
  </si>
  <si>
    <t>iPhone 17 Pro Max 256GB Silver EMP</t>
  </si>
  <si>
    <t>iPhone 17 Pro 256GB Cosmic Orange</t>
  </si>
  <si>
    <t>iPhone 17 Pro 256GB Cosmic Orange EMP</t>
  </si>
  <si>
    <t>iPhone 17 Pro 256GB Deep Blue</t>
  </si>
  <si>
    <t>iPhone 17 Pro 256GB Deep Blue EMP</t>
  </si>
  <si>
    <t>iPhone 17 Pro 256GB Silver</t>
  </si>
  <si>
    <t>iPhone 17 Pro 256GB Silver EMP</t>
  </si>
  <si>
    <t>iPhone 17 Pro 512GB Cosmic Orange</t>
  </si>
  <si>
    <t>iPhone 17 Pro 512GB Cosmic Orange EMP</t>
  </si>
  <si>
    <t>iPhone 17 Pro 512GB Deep Blue</t>
  </si>
  <si>
    <t>iPhone 17 Pro 512GB Deep Blue EMP</t>
  </si>
  <si>
    <t>iPhone 17 Pro 512GB Silver</t>
  </si>
  <si>
    <t>iPhone 17 Pro 512GB Silver EMP</t>
  </si>
  <si>
    <t>iPhone 17 256GB Black</t>
  </si>
  <si>
    <t>iPhone 17 256GB Black EMP</t>
  </si>
  <si>
    <t>iPhone 17 256GB Lavender</t>
  </si>
  <si>
    <t>iPhone 17 256GB Lavender EMP</t>
  </si>
  <si>
    <t>iPhone 17 256GB Mist Blue</t>
  </si>
  <si>
    <t>iPhone 17 256GB Mist Blue EMP</t>
  </si>
  <si>
    <t>iPhone 17 256GB Sage</t>
  </si>
  <si>
    <t>iPhone 17 256GB Sage EMP</t>
  </si>
  <si>
    <t>iPhone 17 256GB White</t>
  </si>
  <si>
    <t>iPhone 17 256GB White EMP</t>
  </si>
  <si>
    <t>iPhone Air 256GB Cloud White</t>
  </si>
  <si>
    <t>iPhone Air 256GB Cloud White EMP</t>
  </si>
  <si>
    <t>iPhone Air 256GB Light Gold</t>
  </si>
  <si>
    <t>iPhone Air 256GB Light Gold EMP</t>
  </si>
  <si>
    <t>iPhone Air 256GB Sky Blue</t>
  </si>
  <si>
    <t>iPhone Air 256GB Sky Blue EMP</t>
  </si>
  <si>
    <t>iPhone Air 256GB Space Black</t>
  </si>
  <si>
    <t>iPhone Air 256GB Space Black EMP</t>
  </si>
  <si>
    <t>PROMO Freebuds Se 2 White</t>
  </si>
  <si>
    <t>PROMO Watch 5 Active Gray</t>
  </si>
  <si>
    <t xml:space="preserve">HW SWITCH 1 1 SP ED LT2       </t>
  </si>
  <si>
    <t xml:space="preserve">HW SWITCH 2 BUNDLE MKW LT2    </t>
  </si>
  <si>
    <t>HW SWITCH OLED WHITE BUNDLE WONDER</t>
  </si>
  <si>
    <t xml:space="preserve">SMG GS25PL256S9DS MT POST EMP           </t>
  </si>
  <si>
    <t xml:space="preserve">SMG GS25PL256S9DS IN POST EMP           </t>
  </si>
  <si>
    <t>S25 Plus 256GB Menta EMP</t>
  </si>
  <si>
    <t>S25 Plus 256GB Ice Blue EMP</t>
  </si>
  <si>
    <t xml:space="preserve">SMG GXA07128/4GDS BK POST               </t>
  </si>
  <si>
    <t xml:space="preserve">SMG GXA07128/4GDS BK POST EMP           </t>
  </si>
  <si>
    <t xml:space="preserve">SMG GXA07128/4GDS GE POST               </t>
  </si>
  <si>
    <t xml:space="preserve">SMG GXA07128/4GDS GE POST EMP           </t>
  </si>
  <si>
    <t xml:space="preserve">SMG GXA07128/4GDS L9 POST               </t>
  </si>
  <si>
    <t xml:space="preserve">SMG GXA07128/4GDS L9 POST EMP           </t>
  </si>
  <si>
    <t xml:space="preserve">SMG GA175128/4ADS BK POST               </t>
  </si>
  <si>
    <t xml:space="preserve">SMG GA175128/4ADS BK POST EMP           </t>
  </si>
  <si>
    <t xml:space="preserve">SMG GA175128/4ADS GA POST               </t>
  </si>
  <si>
    <t xml:space="preserve">SMG GA175128/4ADS GA POST EMP           </t>
  </si>
  <si>
    <t xml:space="preserve">SMG GA175128/4ADS LB POST               </t>
  </si>
  <si>
    <t xml:space="preserve">SMG GA175128/4ADS LB POST EMP           </t>
  </si>
  <si>
    <t>A07 128GB</t>
  </si>
  <si>
    <t>A17 5G 128GB</t>
  </si>
  <si>
    <t>A07 128GB Black</t>
  </si>
  <si>
    <t>A07 128GB Black EMP</t>
  </si>
  <si>
    <t>A07 128GB Green</t>
  </si>
  <si>
    <t>A07 128GB Green EMP</t>
  </si>
  <si>
    <t>A07 128GB Light Violet</t>
  </si>
  <si>
    <t>A17 5G 128GB Light Violet EMP</t>
  </si>
  <si>
    <t>A17 5G 128GB Black</t>
  </si>
  <si>
    <t>A17 5G 128GB Black EMP</t>
  </si>
  <si>
    <t>A17 5G 128GB Gray</t>
  </si>
  <si>
    <t>A17 5G 128GB Gray EMP</t>
  </si>
  <si>
    <t>A17 5G 128GB Light Blue</t>
  </si>
  <si>
    <t>A17 5G 128GB Light Blue EMP</t>
  </si>
  <si>
    <t>15T 512GB</t>
  </si>
  <si>
    <t>XIA 15T 512GB BK POST+W5 LITE</t>
  </si>
  <si>
    <t>XIA 15T 512GB BK POST EMP+W5 LITE</t>
  </si>
  <si>
    <t>XIA 15T 512GB LO POST+W5 LITE</t>
  </si>
  <si>
    <t>XIA 15T 512GB LO POST EMP+W5 LITE</t>
  </si>
  <si>
    <t>XIA 15T 512GB LO POST</t>
  </si>
  <si>
    <t>XIA 15T 512GB LO POST EMP</t>
  </si>
  <si>
    <t>XIA 15T PRO 512GB BK POST+BUDS 5</t>
  </si>
  <si>
    <t>XIA 15T PRO 512GB BK POST EMP+BUDS 5</t>
  </si>
  <si>
    <t>XIA 15T PRO 512GB MH POST+BUDS 5</t>
  </si>
  <si>
    <t>XIA 15T PRO 512GB MH POST EMP+BUDS 5</t>
  </si>
  <si>
    <t>XIA 15T PRO 512GB MH POST</t>
  </si>
  <si>
    <t>XIA 15T PRO 512GB MH POST EMP</t>
  </si>
  <si>
    <t>SMG GXS25FE128GDS BK POST</t>
  </si>
  <si>
    <t>SMG GXS25FE128GDS BK POST EMP</t>
  </si>
  <si>
    <t>SMG GXS25FE128GDS DR POST</t>
  </si>
  <si>
    <t>SMG GXS25FE128GDS DR POST EMP</t>
  </si>
  <si>
    <t>SMG GXS25FE128GDS JB POST</t>
  </si>
  <si>
    <t>SMG GXS25FE128GDS JB POST EMP</t>
  </si>
  <si>
    <t>SMG GXS25FE128GDS LB POST</t>
  </si>
  <si>
    <t>SMG GXS25FE128GDS LB POST EMP</t>
  </si>
  <si>
    <t>SMG GXS25FE128GDS WH POST</t>
  </si>
  <si>
    <t>SMG GXS25FE128GDS WH POST EMP</t>
  </si>
  <si>
    <t>SMG G25F256S731DS BK POST</t>
  </si>
  <si>
    <t>SMG G25F256S731DS BK POST EMP</t>
  </si>
  <si>
    <t>SMG G25F256S731DS DR POST</t>
  </si>
  <si>
    <t>SMG G25F256S731DS DR POST EMP</t>
  </si>
  <si>
    <t>SMG G25F256S731DS JB POST</t>
  </si>
  <si>
    <t>SMG G25F256S731DS JB POST EMP</t>
  </si>
  <si>
    <t>SMG G25F256S731DS LB POST</t>
  </si>
  <si>
    <t>SMG G25F256S731DS LB POST EMP</t>
  </si>
  <si>
    <t>SMG G25F256S731DS WH POST</t>
  </si>
  <si>
    <t>SMG G25F256S731DS WH POST EMP</t>
  </si>
  <si>
    <t>15T Pro 512GB</t>
  </si>
  <si>
    <t>S25 FE 5G 128GB</t>
  </si>
  <si>
    <t>S25 FE 5G 256GB</t>
  </si>
  <si>
    <t>15T 512GB Black</t>
  </si>
  <si>
    <t>15T 512GB Black EMP</t>
  </si>
  <si>
    <t>15T 512GB Oro Rosa</t>
  </si>
  <si>
    <t>15T 512GB Oro Rosa EMP</t>
  </si>
  <si>
    <t>15T Pro 512GB Black</t>
  </si>
  <si>
    <t>15T Pro 512GB Black EMP</t>
  </si>
  <si>
    <t>15T Pro 512GB Moca</t>
  </si>
  <si>
    <t>15T Pro 512GB Moca EMP</t>
  </si>
  <si>
    <t>S25 FE 5G 128GB Black</t>
  </si>
  <si>
    <t>S25 FE 5G 128GB Black EMP</t>
  </si>
  <si>
    <t>S25 FE 5G 128GB Dark Blue</t>
  </si>
  <si>
    <t>S25 FE 5G 128GB Dark Blue EMP</t>
  </si>
  <si>
    <t>S25 FE 5G 128GB Jet Black</t>
  </si>
  <si>
    <t>S25 FE 5G 128GB Jet Black EMP</t>
  </si>
  <si>
    <t>S25 FE 5G 128GB Light Blue</t>
  </si>
  <si>
    <t>S25 FE 5G 128GB Light Blue EMP</t>
  </si>
  <si>
    <t>S25 FE 5G 128GB White</t>
  </si>
  <si>
    <t>S25 FE 5G 128GB White EMP</t>
  </si>
  <si>
    <t>S25 FE 5G 256GB Black</t>
  </si>
  <si>
    <t>S25 FE 5G 256GB Black EMP</t>
  </si>
  <si>
    <t>S25 FE 5G 256GB Dark Blue</t>
  </si>
  <si>
    <t>S25 FE 5G 256GB Dark Blue EMP</t>
  </si>
  <si>
    <t>S25 FE 5G 256GB Jet Black</t>
  </si>
  <si>
    <t>S25 FE 5G 256GB Jet Black EMP</t>
  </si>
  <si>
    <t>S25 FE 5G 256GB Light Blue</t>
  </si>
  <si>
    <t>S25 FE 5G 256GB Light Blue EMP</t>
  </si>
  <si>
    <t>S25 FE 5G 256GB White</t>
  </si>
  <si>
    <t>S25 FE 5G 256GB White EMP</t>
  </si>
  <si>
    <t>A76 5G 128GB</t>
  </si>
  <si>
    <t>ZTE BLADEA76128GB NG POST EMP</t>
  </si>
  <si>
    <t>ZTE BLADEA76128GB NG POST</t>
  </si>
  <si>
    <t>A76 5G 128GB Negro EMP</t>
  </si>
  <si>
    <t>A76 5G 128GB Negro</t>
  </si>
  <si>
    <t>X5C 128GB</t>
  </si>
  <si>
    <t>HOR X5C 128GB BK POST EMP</t>
  </si>
  <si>
    <t>X5C 128GB Black EMP</t>
  </si>
  <si>
    <t>iPhone 17 Pro 256GB + Airpods 4</t>
  </si>
  <si>
    <t>iPhone 15 128GB + Airpods 4</t>
  </si>
  <si>
    <t xml:space="preserve">APP IPH17PRO256GB SV POST+AIRPODS 4     </t>
  </si>
  <si>
    <t xml:space="preserve">APP IPH17PRO256GB SV POST EMP+AIRPODS 4 </t>
  </si>
  <si>
    <t xml:space="preserve">APP IPH17PRO256GB CQ POST+AIRPODS 4     </t>
  </si>
  <si>
    <t xml:space="preserve">APP IPH17PRO256GB CQ POST EMP+AIRPODS 4 </t>
  </si>
  <si>
    <t xml:space="preserve">APP IPH17PRO256GB DH POST+AIRPODS 4     </t>
  </si>
  <si>
    <t xml:space="preserve">APP IPH17PRO256GB DH POST EMP+AIRPODS 4 </t>
  </si>
  <si>
    <t xml:space="preserve">APP IPH15128GBBLK BK POST+AIRPODS 4     </t>
  </si>
  <si>
    <t xml:space="preserve">APP IPH15128GBBLK BK POST EMP+AIRPODS 4 </t>
  </si>
  <si>
    <t xml:space="preserve">APP IPH15128GBPIN PY POST+AIRPODS 4     </t>
  </si>
  <si>
    <t xml:space="preserve">APP IPH15128GBPIN PY POST EMP+AIRPODS 4 </t>
  </si>
  <si>
    <t xml:space="preserve">APP IPH15128GBYEL YE POST+AIRPODS 4     </t>
  </si>
  <si>
    <t xml:space="preserve">APP IPH15128GBYEL YE POST EMP+AIRPODS 4 </t>
  </si>
  <si>
    <t xml:space="preserve">APP IPH15128GBBLU B1 POST+AIRPODS 4     </t>
  </si>
  <si>
    <t xml:space="preserve">APP IPH15128GBBLU B1 POST EMP+AIRPODS 4 </t>
  </si>
  <si>
    <t xml:space="preserve">APP IPH15128GBGRE GE POST+AIRPODS 4     </t>
  </si>
  <si>
    <t xml:space="preserve">APP IPH15128GBGRE GE POST EMP+AIRPODS 4 </t>
  </si>
  <si>
    <t xml:space="preserve">HOR X5C 128GB BK POST                   </t>
  </si>
  <si>
    <t>iPhone 17 Pro 256GB + Airpods 4 Silver</t>
  </si>
  <si>
    <t>iPhone 17 Pro 256GB + Airpods 4 Cosmic Orange</t>
  </si>
  <si>
    <t>iPhone 17 Pro 256GB + Airpods 4 Deep Blue</t>
  </si>
  <si>
    <t>iPhone 15 128GB + Airpods 4 Black</t>
  </si>
  <si>
    <t>iPhone 15 128GB + Airpods 4 Pink</t>
  </si>
  <si>
    <t>iPhone 15 128GB + Airpods 4 Yellow</t>
  </si>
  <si>
    <t>iPhone 15 128GB + Airpods 4 Blue</t>
  </si>
  <si>
    <t>iPhone 15 128GB + Airpods 4 Green</t>
  </si>
  <si>
    <t>X5C 128GB Black</t>
  </si>
  <si>
    <t>HOR X5C 128GB BK POST</t>
  </si>
  <si>
    <t>APP IPH17PRO256GB SV POST+AIRPODS 4</t>
  </si>
  <si>
    <t>APP IPH17PRO256GB CQ POST+AIRPODS 4</t>
  </si>
  <si>
    <t>APP IPH17PRO256GB DH POST+AIRPODS 4</t>
  </si>
  <si>
    <t>APP IPH15128GBBLK BK POST+AIRPODS 4</t>
  </si>
  <si>
    <t>APP IPH15128GBPIN PY POST+AIRPODS 4</t>
  </si>
  <si>
    <t>APP IPH15128GBYEL YE POST+AIRPODS 4</t>
  </si>
  <si>
    <t>APP IPH15128GBBLU B1 POST+AIRPODS 4</t>
  </si>
  <si>
    <t>APP IPH15128GBGRE GE POST+AIRPODS 4</t>
  </si>
  <si>
    <t>HOR 400LITE256/8G BK POST</t>
  </si>
  <si>
    <t>HOR 400LITE256/8G SV POST</t>
  </si>
  <si>
    <t>HOR 400LITE256/8G GA POST</t>
  </si>
  <si>
    <t>HOR 400LIT256/12G GA POST</t>
  </si>
  <si>
    <t>HOR 400LIT256/12G SV POST</t>
  </si>
  <si>
    <t>HOR 400LIT256/12G BK POST</t>
  </si>
  <si>
    <t>XIA REDMI14C128GB MK POST</t>
  </si>
  <si>
    <t>XIA RDNT14PR5G256 MK POST</t>
  </si>
  <si>
    <t>XIA RDNT14PRP256G MK POST</t>
  </si>
  <si>
    <t>SMG GS25256G931DS SH POST</t>
  </si>
  <si>
    <t>MOT MTG35128GXT24 NG POST</t>
  </si>
  <si>
    <t>XIA 15 512GB BK POST</t>
  </si>
  <si>
    <t>XIA 15 ULTRA512GB BK POST</t>
  </si>
  <si>
    <t>XIA 15 512GB BK POST + BUDS 5</t>
  </si>
  <si>
    <t>XIA REDMI A5 64GB MK POST</t>
  </si>
  <si>
    <t>SMG GXA07128/4GDS BK POST</t>
  </si>
  <si>
    <t>SMG GXA07128/4GDS GE POST</t>
  </si>
  <si>
    <t>SMG GXA07128/4GDS L9 POST</t>
  </si>
  <si>
    <t>SMG GA175128/4ADS BK POST</t>
  </si>
  <si>
    <t>SMG GA175128/4ADS GA POST</t>
  </si>
  <si>
    <t>SMG GA175128/4ADS LB POST</t>
  </si>
  <si>
    <t>XIA 15 512GB BK POST REDMI PAD2</t>
  </si>
  <si>
    <t>A56 Pro 128GB</t>
  </si>
  <si>
    <t>Nubia Air 5G 256GB</t>
  </si>
  <si>
    <t>Edge 60 Fusion 256GB</t>
  </si>
  <si>
    <t xml:space="preserve">ZTE BLDA56PRO128G NG POST               </t>
  </si>
  <si>
    <t xml:space="preserve">ZTE BLDA56PRO128G NG POST EMP           </t>
  </si>
  <si>
    <t xml:space="preserve">ZTE NUBIAAIR256GB NG POST               </t>
  </si>
  <si>
    <t xml:space="preserve">ZTE NUBIAAIR256GB NG POST EMP           </t>
  </si>
  <si>
    <t xml:space="preserve">ZTE NUBIAAIR256GB DO POST               </t>
  </si>
  <si>
    <t xml:space="preserve">ZTE NUBIAAIR256GB DO POST EMP           </t>
  </si>
  <si>
    <t xml:space="preserve">MOT E60F256XT2501 VZ POST               </t>
  </si>
  <si>
    <t xml:space="preserve">MOT E60F256XT2501 VZ POST EMP           </t>
  </si>
  <si>
    <t xml:space="preserve">MOT E60F256XT2501 NG POST               </t>
  </si>
  <si>
    <t xml:space="preserve">MOT E60F256XT2501 ZM POST               </t>
  </si>
  <si>
    <t xml:space="preserve">MOT E60F256XT2501 ZM POST EMP           </t>
  </si>
  <si>
    <t xml:space="preserve">MOT E60F256XT2501 NG POST EMP           </t>
  </si>
  <si>
    <t>A56 Pro 128GB Negro</t>
  </si>
  <si>
    <t>A56 Pro 128GB Negro emp</t>
  </si>
  <si>
    <t>Nubia Air 5G 256GB Negro</t>
  </si>
  <si>
    <t>Nubia Air 5G 256GB Negro emp</t>
  </si>
  <si>
    <t>Nubia Air 5G 256GB Dorado</t>
  </si>
  <si>
    <t>Nubia Air 5G 256GB Dorado emp</t>
  </si>
  <si>
    <t>Edge 60 Fusion 256GB Verde Amazonite</t>
  </si>
  <si>
    <t>Edge 60 Fusion 256GB Verde Amazonite emp</t>
  </si>
  <si>
    <t>Edge 60 Fusion 256GB Negro</t>
  </si>
  <si>
    <t>Edge 60 Fusion 256GB Azul Slipstream</t>
  </si>
  <si>
    <t>Edge 60 Fusion 256GB Azul Slipstream emp</t>
  </si>
  <si>
    <t>Edge 60 Fusion 256GB Negro emp</t>
  </si>
  <si>
    <t>Redmi 15C 128GB</t>
  </si>
  <si>
    <t>XIA REDMI155G256G BK POST</t>
  </si>
  <si>
    <t>XIA REDMI155G256G BK POST EMP</t>
  </si>
  <si>
    <t>XIA RDM15C5G128G BK POST</t>
  </si>
  <si>
    <t>XIA RDM15C5G128G BK POST EMP</t>
  </si>
  <si>
    <t>XIA RDM15C5G128G GE POST</t>
  </si>
  <si>
    <t>XIA RDM15C5G256G GE POST</t>
  </si>
  <si>
    <t>XIA RDM15C5G256G GE POST EMP</t>
  </si>
  <si>
    <t>XIA RDM15C5G256G LE POST</t>
  </si>
  <si>
    <t>XIA RDM15C5G128G GE POST EMP</t>
  </si>
  <si>
    <t>XIA RDM15C5G128G LE POST</t>
  </si>
  <si>
    <t>XIA RDM15C5G128G LE POST EMP</t>
  </si>
  <si>
    <t>XIA RDM15C5G256G BK POST</t>
  </si>
  <si>
    <t>XIA RDM15C5G256G BK POST EMP</t>
  </si>
  <si>
    <t>XIA RDM15C5G256G LE POST EMP</t>
  </si>
  <si>
    <t>TCL 60SE512GT517H BW POST</t>
  </si>
  <si>
    <t>TCL 60SE512GT517H OK POST</t>
  </si>
  <si>
    <t>TCL 60SE512GT517H OK POST EMP</t>
  </si>
  <si>
    <t>TCL 60SE512GT517H BW POST EMP</t>
  </si>
  <si>
    <t>TCL 60SNX256GT521 VM POST</t>
  </si>
  <si>
    <t>TCL 60SNX256GT521 VM POST EMP</t>
  </si>
  <si>
    <t>TCL 60SNX256GT521 SG POST</t>
  </si>
  <si>
    <t>TCL 60SNX256GT521 SG POST EMP</t>
  </si>
  <si>
    <t>APP IPHONE16128GB PY POST EMP</t>
  </si>
  <si>
    <t>EMP</t>
  </si>
  <si>
    <t>Redmi 15 5G 256GB</t>
  </si>
  <si>
    <t>Redmi 15C 5G 128GB</t>
  </si>
  <si>
    <t>Redmi 15C 5G 256GB</t>
  </si>
  <si>
    <t>60 SE 512GB</t>
  </si>
  <si>
    <t>60 SE NXTPAPER 5G 256GB</t>
  </si>
  <si>
    <t>Redmi 15 5G 256GB Black</t>
  </si>
  <si>
    <t>Redmi 15 5G 256GB Black emp</t>
  </si>
  <si>
    <t>Redmi 15C 5G 128GB Black</t>
  </si>
  <si>
    <t>Redmi 15C 5G 128GB Black emp</t>
  </si>
  <si>
    <t>Redmi 15C 5G 128GB Green</t>
  </si>
  <si>
    <t>Redmi 15C 5G 256GB Green</t>
  </si>
  <si>
    <t>Redmi 15C 5G 256GB Green emp</t>
  </si>
  <si>
    <t>Redmi 15C 5G 256GB Purple</t>
  </si>
  <si>
    <t>Redmi 15C 5G 128GB Green emp</t>
  </si>
  <si>
    <t>Redmi 15C 5G 128GB Purple</t>
  </si>
  <si>
    <t>Redmi 15C 5G 128GB Purple emp</t>
  </si>
  <si>
    <t>Redmi 15C 5G 256GB Black</t>
  </si>
  <si>
    <t>Redmi 15C 5G 256GB Black emp</t>
  </si>
  <si>
    <t>Redmi 15C 5G 256GB Purple emp</t>
  </si>
  <si>
    <t>60 SE 512GB Blizzard White</t>
  </si>
  <si>
    <t>60 SE 512GB Obsidian Black</t>
  </si>
  <si>
    <t>60 SE 512GB Obsidian Black emp</t>
  </si>
  <si>
    <t>60 SE 512GB Blizzard White emp</t>
  </si>
  <si>
    <t>60 SE NXTPAPER 5G 256GB Verde Menta</t>
  </si>
  <si>
    <t>60 SE NXTPAPER 5G 256GB Verde Menta emp</t>
  </si>
  <si>
    <t>60 SE NXTPAPER 5G 256GB Space Grey</t>
  </si>
  <si>
    <t>60 SE NXTPAPER 5G 256GB Space Grey emp</t>
  </si>
  <si>
    <t>iPhone 16 128GB Pink emp</t>
  </si>
  <si>
    <t>APP IPH17PRO256GB SV POST EMP+AIRPODS 4</t>
  </si>
  <si>
    <t>iPhone 17 Pro 256GB + Airpods 4 Silver EMP</t>
  </si>
  <si>
    <t>APP IPH17PRO256GB CQ POST EMP+AIRPODS 4</t>
  </si>
  <si>
    <t>iPhone 17 Pro 256GB + Airpods 4 Cosmic Orange EMP</t>
  </si>
  <si>
    <t>APP IPH17PRO256GB DH POST EMP+AIRPODS 4</t>
  </si>
  <si>
    <t>iPhone 17 Pro 256GB + Airpods 4 Deep Blue EMP</t>
  </si>
  <si>
    <t>APP IPH15128GBBLK BK POST EMP+AIRPODS 4</t>
  </si>
  <si>
    <t>iPhone 15 128GB + Airpods 4 Black EMP</t>
  </si>
  <si>
    <t>APP IPH15128GBPIN PY POST EMP+AIRPODS 4</t>
  </si>
  <si>
    <t>iPhone 15 128GB + Airpods 4 Pink EMP</t>
  </si>
  <si>
    <t>APP IPH15128GBYEL YE POST EMP+AIRPODS 4</t>
  </si>
  <si>
    <t>iPhone 15 128GB + Airpods 4 Yellow EMP</t>
  </si>
  <si>
    <t>APP IPH15128GBBLU B1 POST EMP+AIRPODS 4</t>
  </si>
  <si>
    <t>iPhone 15 128GB + Airpods 4 Blue EMP</t>
  </si>
  <si>
    <t>APP IPH15128GBGRE GE POST EMP+AIRPODS 4</t>
  </si>
  <si>
    <t>iPhone 15 128GB + Airpods 4 Green EMP</t>
  </si>
  <si>
    <t>SMG GS25PL256S9DS MT POST EMP</t>
  </si>
  <si>
    <t>SMG GS25PL256S9DS IN POST EMP</t>
  </si>
  <si>
    <t>SMG GS25256G931DS MT POST EMP</t>
  </si>
  <si>
    <t>SMG GS25PL256S9DS SH POST EMP</t>
  </si>
  <si>
    <t>400 5G 512GB Midnight Black EMP</t>
  </si>
  <si>
    <t>400 5G 512GB Midnight Black EMP + CLIP</t>
  </si>
  <si>
    <t>400 5G 512GB Desert Gold EMP</t>
  </si>
  <si>
    <t>400 5G 512GB Desert Gold EMP + CLIP</t>
  </si>
  <si>
    <t>Magic 7 Lite 5G 512GB Titanium Black EMP</t>
  </si>
  <si>
    <t>SMG GXA07128/4GDS BK POST EMP</t>
  </si>
  <si>
    <t>SMG GXA07128/4GDS GE POST EMP</t>
  </si>
  <si>
    <t>SMG GXA07128/4GDS L9 POST EMP</t>
  </si>
  <si>
    <t>SMG GA175128/4ADS BK POST EMP</t>
  </si>
  <si>
    <t>SMG GA175128/4ADS GA POST EMP</t>
  </si>
  <si>
    <t>SMG GA175128/4ADS LB POST EMP</t>
  </si>
  <si>
    <t>E5576-508</t>
  </si>
  <si>
    <t>MF296C</t>
  </si>
  <si>
    <t>MF79N</t>
  </si>
  <si>
    <t>MF937</t>
  </si>
  <si>
    <t>Redmi Note 14 Pro Plus 5g 256GB</t>
  </si>
  <si>
    <t>12 Lite 128GB Negro EMP</t>
  </si>
  <si>
    <t>A14 LTE 128GB Negro EMP</t>
  </si>
  <si>
    <t>Reacondicionado Blade A72S 128 GB</t>
  </si>
  <si>
    <t>M34 5G 128GB Dark Blue EMP</t>
  </si>
  <si>
    <t>MF79U</t>
  </si>
  <si>
    <t>MF833N</t>
  </si>
  <si>
    <t>Redmi Note 14 Pro Plus 5G 256GB Bundle</t>
  </si>
  <si>
    <t>S23 128GB Negro EMP</t>
  </si>
  <si>
    <t>BUDS CORE BLACK</t>
  </si>
  <si>
    <t>Audio</t>
  </si>
  <si>
    <t>BUDS CORE WHITE</t>
  </si>
  <si>
    <t>Galaxy watch 8 40mm GRAPHITE</t>
  </si>
  <si>
    <t>Wearables</t>
  </si>
  <si>
    <t>Galaxy watch 8 40mm SILVER</t>
  </si>
  <si>
    <t>G06 128GB</t>
  </si>
  <si>
    <t>MOT MG06128GXT253 VR POST</t>
  </si>
  <si>
    <t>MOT MG06128GXT253 VR POST EMP</t>
  </si>
  <si>
    <t>MOT MG06128GXT253 OJ POST</t>
  </si>
  <si>
    <t>MOT MG06128GXT253 AZ POST</t>
  </si>
  <si>
    <t>MOT MG06128GXT253 AZ POST EMP</t>
  </si>
  <si>
    <t>MOT MG06128GXT253 OJ POST EMP</t>
  </si>
  <si>
    <t>G06 128GB Verde</t>
  </si>
  <si>
    <t>G06 128GB Verde emp</t>
  </si>
  <si>
    <t>G06 128GB Naranjo</t>
  </si>
  <si>
    <t>G06 128GB Azul</t>
  </si>
  <si>
    <t>G06 128GB Azul emp</t>
  </si>
  <si>
    <t>G06 128GB Naranjo emp</t>
  </si>
  <si>
    <t xml:space="preserve">XIA 15T 512GB BK POST                   </t>
  </si>
  <si>
    <t xml:space="preserve">XIA 15T PRO 512GB BK POST               </t>
  </si>
  <si>
    <t>iPhone 17 Pro Max 512GB</t>
  </si>
  <si>
    <t>G56 5G 256GB</t>
  </si>
  <si>
    <t>APP IP17PMAX512GB SV POST EMP</t>
  </si>
  <si>
    <t>APP IP17PMAX512GB CQ POST EMP</t>
  </si>
  <si>
    <t>APP IP17PMAX512GB DH POST EMP</t>
  </si>
  <si>
    <t>MOT MG56256GX29-1 AZ POST EMP</t>
  </si>
  <si>
    <t>MOT MG56256GX29-1 VR POST EMP</t>
  </si>
  <si>
    <t>iPhone 17 Pro Max 512GB Silver emp</t>
  </si>
  <si>
    <t>iPhone 17 Pro Max 512GB Cosmic Orange emp</t>
  </si>
  <si>
    <t>iPhone 17 Pro Max 512GB Deep Blue emp</t>
  </si>
  <si>
    <t>G56 5G 256GB Azul emp</t>
  </si>
  <si>
    <t>G56 5G 256GB Verde emp</t>
  </si>
  <si>
    <t>S25 FE 5G 256GB + Buds 3 FE</t>
  </si>
  <si>
    <t>15T 512GB + Buds 6 Lite</t>
  </si>
  <si>
    <t>Nubia Air 5G 256GB + Buds 2</t>
  </si>
  <si>
    <t>Magic 7 Lite 5G 512GB + Honor Choice Earbuds X7 Lite</t>
  </si>
  <si>
    <t>Edge 60 Pro 512GB</t>
  </si>
  <si>
    <t>S25 FE 5G 256GB + Buds 3 FE Black</t>
  </si>
  <si>
    <t>15T 512GB + Buds 6 Lite Oro Rosa</t>
  </si>
  <si>
    <t>15T 512GB + Buds 6 Lite Black</t>
  </si>
  <si>
    <t>Nubia Air 5G 256GB + Buds 2 Dorado</t>
  </si>
  <si>
    <t>Nubia Air 5G 256GB + Buds 2 Negro</t>
  </si>
  <si>
    <t>Magic 7 Lite 5G 512GB + Honor Choice Earbuds X7 Lite Titanium Black</t>
  </si>
  <si>
    <t>G56 5G 256GB Azul</t>
  </si>
  <si>
    <t>G56 5G 256GB Verde</t>
  </si>
  <si>
    <t>Edge 60 Pro 512GB Azul</t>
  </si>
  <si>
    <t>Edge 60 Pro 512GB Gris</t>
  </si>
  <si>
    <t>60 SE 512GB Blizzard White emp 2</t>
  </si>
  <si>
    <t>60 SE 512GB Blizzard White 2</t>
  </si>
  <si>
    <t>TCL 60SE512GT517H BW POST EMP 2</t>
  </si>
  <si>
    <t>TCL 60SE512GT517H BW POST 2</t>
  </si>
  <si>
    <t>SMG G25F256S731DS BK POST+BUDS 3 FE</t>
  </si>
  <si>
    <t>XIA 15T 512GB LO POST+BUDS 6 LITE</t>
  </si>
  <si>
    <t>XIA 15T 512GB BK POST+BUDS 6 LITE</t>
  </si>
  <si>
    <t>ZTE NUBIAAIR256GB DO POST+BUDS 2</t>
  </si>
  <si>
    <t>ZTE NUBIAAIR256GB NG POST+BUDS 2</t>
  </si>
  <si>
    <t>HOR MAGIC7LT512G TK POST+CHOICE X7</t>
  </si>
  <si>
    <t>MOT MG56256GX29-1 AZ POST</t>
  </si>
  <si>
    <t>MOT MG56256GX29-1 VR POST</t>
  </si>
  <si>
    <t>MOT ED60P512GX7-1 AZ POST</t>
  </si>
  <si>
    <t>MOT ED60P512GX7-1 GR POST</t>
  </si>
  <si>
    <t>MOT E60F256XT2501 VZ POST              </t>
  </si>
  <si>
    <t>MOT E60F256XT2501 NG POST              </t>
  </si>
  <si>
    <t>MOT E60F256XT2501 ZM POST              </t>
  </si>
  <si>
    <t>MOT E60F256XT2501 VZ POST EMP          </t>
  </si>
  <si>
    <t>MOT E60F256XT2501 ZM POST EMP          </t>
  </si>
  <si>
    <t>MOT E60F256XT2501 NG POST EMP          </t>
  </si>
  <si>
    <t>XIA 15T 512GB BK POST</t>
  </si>
  <si>
    <t>XIA 15T PRO 512GB BK POST</t>
  </si>
  <si>
    <t>ZTE NUBIAAIR256GB NG POST              </t>
  </si>
  <si>
    <t>ZTE NUBIAAIR256GB DO POST              </t>
  </si>
  <si>
    <t>ZTE BLDA56PRO128G NG POST              </t>
  </si>
  <si>
    <t>ZTE BLDA56PRO128G NG POST EMP          </t>
  </si>
  <si>
    <t>ZTE NUBIAAIR256GB NG POST EMP          </t>
  </si>
  <si>
    <t>ZTE NUBIAAIR256GB DO POST EMP          </t>
  </si>
  <si>
    <t>V50 5G 512GB Starry Blue</t>
  </si>
  <si>
    <t>V50 Lite 5G 256GB Phantom Black</t>
  </si>
  <si>
    <t>V50 Lite 5G 256GB Titanium Gold</t>
  </si>
  <si>
    <t>ZTE BLDA56PRO128G GR POST              </t>
  </si>
  <si>
    <t>A56 Pro 128GB Gris</t>
  </si>
  <si>
    <t>15T 512GB Black con W5 Lite</t>
  </si>
  <si>
    <t>15T 512GB Oro Rosa con W5 Lite</t>
  </si>
  <si>
    <t xml:space="preserve">SMG GXA56256/12GD GR POST+BUDS CORE     </t>
  </si>
  <si>
    <t xml:space="preserve">SMG GXA56256/12GD NG POST+BUDS CORE     </t>
  </si>
  <si>
    <t xml:space="preserve">SMG GXA56256/12GD VR POST+BUDS CORE     </t>
  </si>
  <si>
    <t xml:space="preserve">SMG GXA56256/12GD WG POST+BUDS CORE     </t>
  </si>
  <si>
    <t>A56 5G 256GB + Buds Core</t>
  </si>
  <si>
    <t>A56 5G 256GB + Buds Core Gris</t>
  </si>
  <si>
    <t>A56 5G 256GB + Buds Core Negro</t>
  </si>
  <si>
    <t>A56 5G 256GB + Buds Core Verde</t>
  </si>
  <si>
    <t>A56 5G 256GB + Buds Core Awesome Graphite</t>
  </si>
  <si>
    <t>Segmento</t>
  </si>
  <si>
    <t>Status</t>
  </si>
  <si>
    <t>High</t>
  </si>
  <si>
    <t>Vigente</t>
  </si>
  <si>
    <t>Mid</t>
  </si>
  <si>
    <t>Premium</t>
  </si>
  <si>
    <t>Low</t>
  </si>
  <si>
    <t>Antiguo</t>
  </si>
  <si>
    <t>G35 5G 256GB</t>
  </si>
  <si>
    <t>H400 Lite 5G 256GB Porta</t>
  </si>
  <si>
    <t>iPhone 13 128GB Porta</t>
  </si>
  <si>
    <t>Redmi 15 5G 256GB + Buds 6 Play</t>
  </si>
  <si>
    <t>Redmi Note 14 5G 256GB Porta</t>
  </si>
  <si>
    <t>Redmi Note 14 Pro 5g 256GB + Sound Pocket</t>
  </si>
  <si>
    <t>Redmi Note 14 Pro 5G 256GB Porta</t>
  </si>
  <si>
    <t>S25 FE 5G 128GB Porta</t>
  </si>
  <si>
    <t>A56 5G 128GB Porta</t>
  </si>
  <si>
    <t>Redmi 15C 5G 128GB Porta</t>
  </si>
  <si>
    <t>MOT G35256GXT2433 NG POST</t>
  </si>
  <si>
    <t>HOR 400LIT256/12G BK PORTA</t>
  </si>
  <si>
    <t>HOR 400LIT256/12G GA PORTA</t>
  </si>
  <si>
    <t>APP IPH13128GMN MN PORTA</t>
  </si>
  <si>
    <t>APP IPH13128GSL SL PORTA</t>
  </si>
  <si>
    <t>XIA REDMI155G256G BK POST+BUDS 6 PLAY</t>
  </si>
  <si>
    <t>XIA REDNT145G256G C_ PORTA</t>
  </si>
  <si>
    <t>XIA REDNT145G256G MK PORTA</t>
  </si>
  <si>
    <t>XIA RDNT14PR5G256 MK POST+S.P. GRIS</t>
  </si>
  <si>
    <t>XIA RDNT14PR5G256 MK POST+S.P. ROSA</t>
  </si>
  <si>
    <t>XIA RDNT14PR5G256 NG POST+S.P. GRIS</t>
  </si>
  <si>
    <t>XIA RDNT14PR5G256 NG POST+S.P. ROSA</t>
  </si>
  <si>
    <t>XIA RDNT14PR5G256 LP PORTA</t>
  </si>
  <si>
    <t>XIA RDNT14PR5G256 MK PORTA</t>
  </si>
  <si>
    <t>SMG GXS25FE128GDS BK PORTA</t>
  </si>
  <si>
    <t>VI V60LITE256GB BK POST++BUDS XE</t>
  </si>
  <si>
    <t>VI V60LITE256GB PY POST++BUDS XE</t>
  </si>
  <si>
    <t xml:space="preserve">SMG GXYA56128GADS WG PORTA              </t>
  </si>
  <si>
    <t>XIA RDM15C5G128G BK PORTA</t>
  </si>
  <si>
    <t>G35 256GB Negro</t>
  </si>
  <si>
    <t>H400 Lite 5G 256GB Porta Black</t>
  </si>
  <si>
    <t>H400 Lite 5G 256GB Porta Gray</t>
  </si>
  <si>
    <t>iPhone 13 128GB Porta Midnight</t>
  </si>
  <si>
    <t>iPhone 13 128GB Porta Starlight</t>
  </si>
  <si>
    <t>Redmi 15 5G 256GB + Buds 6 Play Black</t>
  </si>
  <si>
    <t>Redmi Note 14 5G 256GB Porta Coral Green</t>
  </si>
  <si>
    <t>Redmi Note 14 5G 256GB Porta Midnight Black</t>
  </si>
  <si>
    <t>Redmi Note 14 Pro 5G 256GB + Sound Pocket Gris Midnight Black</t>
  </si>
  <si>
    <t>Redmi Note 14 Pro 5G 256GB + Sound Pocket Rosa Midnight Black</t>
  </si>
  <si>
    <t>Redmi Note 14 Pro 5G 256GB + Sound Pocket Gris Negro</t>
  </si>
  <si>
    <t>Redmi Note 14 Pro 5G 256GB + Sound Pocket Rosa Negro</t>
  </si>
  <si>
    <t>Redmi Note 14 Pro 5G 256GB Porta Lavender Purple</t>
  </si>
  <si>
    <t>Redmi Note 14 Pro 5G 256GB Porta Midnight Black</t>
  </si>
  <si>
    <t>S25 FE 128GB Porta Black</t>
  </si>
  <si>
    <t>V60 Lite 256GB + Buds XE Black</t>
  </si>
  <si>
    <t>V60 Lite 256GB + Buds XE Pink</t>
  </si>
  <si>
    <t>A56 5G 128GB Porta Awesome Graphite</t>
  </si>
  <si>
    <t>Redmi 15C 5G 128GB Porta Black</t>
  </si>
  <si>
    <t>XIA 15T PRO 512GB BK POST EMP</t>
  </si>
  <si>
    <t>APP IP17PMAX512GB DH POST</t>
  </si>
  <si>
    <t>APP IP17PMAX512GB CQ POST</t>
  </si>
  <si>
    <t>APP IP17PMAX512GB SV POST</t>
  </si>
  <si>
    <t>XIA 15T PRO 512GB CF POST EMP</t>
  </si>
  <si>
    <t>XIA 15T PRO 512GB TI POST EMP</t>
  </si>
  <si>
    <t>15T Pro 512GB Black emp</t>
  </si>
  <si>
    <t>iPhone 17 Pro Max 512GB Deep Blue</t>
  </si>
  <si>
    <t>iPhone 17 Pro Max 512GB Cosmic Orange</t>
  </si>
  <si>
    <t>iPhone 17 Pro Max 512GB Silver</t>
  </si>
  <si>
    <t>15T Pro 512GB Cafe emp</t>
  </si>
  <si>
    <t>15T Pro 512GB Titanium emp</t>
  </si>
  <si>
    <t>400 5G 512GB + Clip</t>
  </si>
  <si>
    <t>V60 Lite 5G 256GB</t>
  </si>
  <si>
    <t>Playstation</t>
  </si>
  <si>
    <t>Gaming</t>
  </si>
  <si>
    <t>Pie Referencial</t>
  </si>
  <si>
    <t>18 cuotas referenciales</t>
  </si>
  <si>
    <t>Pie mínimo</t>
  </si>
  <si>
    <t>Pie máximo</t>
  </si>
  <si>
    <t>Empresas</t>
  </si>
  <si>
    <t>Financiamiento Corp</t>
  </si>
  <si>
    <t>No Disp.</t>
  </si>
  <si>
    <t>XIA 15 ULTRA512GB SV POST EMP + FOTO KIT</t>
  </si>
  <si>
    <t>15 Ultra + Photography Kit 512GB Silver EMP</t>
  </si>
  <si>
    <t xml:space="preserve">HOR MAGIC8LT512G FG POST+X8I BL         </t>
  </si>
  <si>
    <t xml:space="preserve">HOR MAGIC8LT512G MK POST+X8I BL         </t>
  </si>
  <si>
    <t xml:space="preserve">TCL 60SNX256GT521 SG POST+BUDS          </t>
  </si>
  <si>
    <t xml:space="preserve">TCL 60SNX256GT521 VM POST+BUDS          </t>
  </si>
  <si>
    <t>Magic 8 Lite 5G 512GB Forest Green+X8I Bl</t>
  </si>
  <si>
    <t>Magic 8 Lite 512GB 5G Midnight Black+X8I Bl</t>
  </si>
  <si>
    <t>Magic 8 Lite 5G 512GB + Earbuds X8I</t>
  </si>
  <si>
    <t>60 SE NXTPAPER 5G 256GB Space Grey+Buds</t>
  </si>
  <si>
    <t>60 SE NXTPAPER 5G 256GB Verde Menta+Buds</t>
  </si>
  <si>
    <t>XIA 15T 512GB BK POST EMP+BUDS 6 LITE</t>
  </si>
  <si>
    <t>XIA 15T 512GB TI POST EMP+BUDS 6 LITE</t>
  </si>
  <si>
    <t>XIA 15T 512GB CF POST EMP+BUDS 6 LITE</t>
  </si>
  <si>
    <t>XIA 15T 512GB LO POST EMP+BUDS 6 LITE</t>
  </si>
  <si>
    <t>XIA 15T 512GB BK POST EMP</t>
  </si>
  <si>
    <t>XIA 15T 512GB TI POST EMP</t>
  </si>
  <si>
    <t>XIA 15T 512GB CF POST EMP</t>
  </si>
  <si>
    <t>15T 512GB + Buds 6 Lite Black+Buds 6 Lite emp</t>
  </si>
  <si>
    <t>15T 512GB + Buds 6 Lite Titanium+Buds 6 Lite emp</t>
  </si>
  <si>
    <t>15T 512GB + Buds 6 Lite Cafe+Buds 6 Lite emp</t>
  </si>
  <si>
    <t>15T 512GB + Buds 6 Lite Oro Rosa+Buds 6 Lite emp</t>
  </si>
  <si>
    <t>15T 512GB Black emp</t>
  </si>
  <si>
    <t>15T 512GB Titanium emp</t>
  </si>
  <si>
    <t>15T 512GB Cafe emp</t>
  </si>
  <si>
    <t xml:space="preserve">APP IPH17PRMAX1TB SV POST               </t>
  </si>
  <si>
    <t xml:space="preserve">APP IPH17PRMAX1TB CQ POST               </t>
  </si>
  <si>
    <t xml:space="preserve">APP IPH17PRMAX1TB DH POST               </t>
  </si>
  <si>
    <t>iPhone 17 Pro Max 1TB</t>
  </si>
  <si>
    <t>iPhone 17 Pro Max 1TB Silver</t>
  </si>
  <si>
    <t>iPhone 17 Pro Max 1TB Cosmic Orange</t>
  </si>
  <si>
    <t>iPhone 17 Pro Max 1TB Deep Blue</t>
  </si>
  <si>
    <t>SAMSUNG BUDS 3 FE NEGRO</t>
  </si>
  <si>
    <t>Redmi Note 14 Pro 5G 256GB Midnight Black Emp +S.P. Gris</t>
  </si>
  <si>
    <t>Redmi Note 15 5G 256GB</t>
  </si>
  <si>
    <t>Redmi Note 15 Pro 5G 512GB</t>
  </si>
  <si>
    <t>Redmi Note 15 5G 256GB Black</t>
  </si>
  <si>
    <t>Redmi Note 15 5G 256GB Black+Buds 6 Play</t>
  </si>
  <si>
    <t>Redmi Note 15 5G 256GB Glacier Blue</t>
  </si>
  <si>
    <t>Redmi Note 15 5G 256GB Glacier Blue+Buds 6 Play</t>
  </si>
  <si>
    <t>Redmi Note 15 Pro 512GB Black</t>
  </si>
  <si>
    <t>Redmi Note 15 Pro 512GB Black+Buds 6 Play</t>
  </si>
  <si>
    <t>Redmi Note 15 Pro 5G 512GB Titanio</t>
  </si>
  <si>
    <t>Redmi Note 15 Pro 5G 512GB Titanio+Buds 6 Play</t>
  </si>
  <si>
    <t>Redmi Note 15 Pro Plus 512GB Black</t>
  </si>
  <si>
    <t>Redmi Note 15 Pro Plus 512GB Black+S.Pocket</t>
  </si>
  <si>
    <t>Redmi Note 15 Pro Plus 512GB Marron</t>
  </si>
  <si>
    <t>Redmi Note 15 Pro Plus 512GB Marron+S.Pocket</t>
  </si>
  <si>
    <t>Redmi Note 15 5G 256GB + Buds 6 Play</t>
  </si>
  <si>
    <t>Redmi Note 15 Pro 5G 512GB + Buds 6 Play</t>
  </si>
  <si>
    <t>Redmi Note 15 Pro Plus 5G 512GB + Sound Pocket</t>
  </si>
  <si>
    <t>A56 5G 128GB + Buds Core</t>
  </si>
  <si>
    <t>SMG GXYA56128GADS WG POST+BUDS CORE</t>
  </si>
  <si>
    <t>XIA RDMNT155G256G BK POST</t>
  </si>
  <si>
    <t>XIA RDMNT155G256G BK POST+BUDS 6 PLAY</t>
  </si>
  <si>
    <t>XIA RDMNT155G256G ZB POST</t>
  </si>
  <si>
    <t>XIA RDMNT155G256G ZB POST+BUDS 6 PLAY</t>
  </si>
  <si>
    <t>XIA RDNT15PR5G512 BK POST</t>
  </si>
  <si>
    <t>XIA RDNT15PR5G512 BK POST+BUDS 6 PLAY</t>
  </si>
  <si>
    <t>XIA RDNT15PR5G512 TT POST</t>
  </si>
  <si>
    <t>XIA RDNT15PR5G512 TT POST+BUDS 6 PLAY</t>
  </si>
  <si>
    <t>XIA RMNT15PPL512G BK POST</t>
  </si>
  <si>
    <t>XIA RMNT15PPL512G BK POST+S.POCKET</t>
  </si>
  <si>
    <t>XIA RMNT15PPL512G MA POST</t>
  </si>
  <si>
    <t>XIA RMNT15PPL512G MA POST+S.POCKET</t>
  </si>
  <si>
    <t>XIA RDNT14PR5G256 MK POST EMP+S.P. GRIS</t>
  </si>
  <si>
    <t>A56 5G 128GB + Buds Core Awesome Graphite</t>
  </si>
  <si>
    <t>Redmi Note 15 Pro Plus 5G 512GB</t>
  </si>
  <si>
    <t>Samsung Cable tipo C a tipo C 1,8m - 100W</t>
  </si>
  <si>
    <t>Energia</t>
  </si>
  <si>
    <t>Samsung Power Adapter 45W C/C</t>
  </si>
  <si>
    <t>Xiaomi Sound Pocket Black</t>
  </si>
  <si>
    <t>Xiaomi</t>
  </si>
  <si>
    <t>Xiaomi Sound Pocket Blue Gray</t>
  </si>
  <si>
    <t>Redmi Buds 8 Lite Black</t>
  </si>
  <si>
    <t>Redmi Buds 8 Lite White</t>
  </si>
  <si>
    <t>Xiaomi Smart Camera C201</t>
  </si>
  <si>
    <t>Otros</t>
  </si>
  <si>
    <t>ZTE Cargador 33W Blanco S/C</t>
  </si>
  <si>
    <t>Zte</t>
  </si>
  <si>
    <t>Mondo Freestyle Headphone - Black</t>
  </si>
  <si>
    <t>Mondo</t>
  </si>
  <si>
    <t>Mondo Freestyle Headphone - Transparent</t>
  </si>
  <si>
    <t>Mondo Over-Ear Headphone - Black</t>
  </si>
  <si>
    <t>Mondo Over-Ear Headphone - Transparent</t>
  </si>
  <si>
    <t>Mondo Speaker Large - Brass</t>
  </si>
  <si>
    <t>Mondo Speaker Large - Metal Gray</t>
  </si>
  <si>
    <t>Mondo Speaker Medium - Brass</t>
  </si>
  <si>
    <t>Mondo Speaker Medium - Metal gray</t>
  </si>
  <si>
    <t>Redmi 15C 128GB Black EMP</t>
  </si>
  <si>
    <t>REDMI 15C 128GB Blue EMP</t>
  </si>
  <si>
    <t>Redmi 15C 128GB Green EMP</t>
  </si>
  <si>
    <t>HOR MAGIC8PRO512G UD POST</t>
  </si>
  <si>
    <t>HOR MAGIC8LT512G FG POST EMP+X8I BL</t>
  </si>
  <si>
    <t>HOR MAGIC8LT512G FG POST EMP</t>
  </si>
  <si>
    <t>XIA REDMI155G256G BK POST EMP+BUDS 6 PLA</t>
  </si>
  <si>
    <t>VI Y31 256/6GB GN POST</t>
  </si>
  <si>
    <t>VI Y31 256/6GB RW POST</t>
  </si>
  <si>
    <t>VI Y31 512GB GN POST</t>
  </si>
  <si>
    <t>VI Y31 512GB RW POST</t>
  </si>
  <si>
    <t>VI Y31 256GB GN POST</t>
  </si>
  <si>
    <t>VI V70 512GB HG POST</t>
  </si>
  <si>
    <t>VI V70 512GB UK POST</t>
  </si>
  <si>
    <t>VI Y31 256GB RW POST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</si>
  <si>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</si>
  <si>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</si>
  <si>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</si>
  <si>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</si>
  <si>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</si>
  <si>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</si>
  <si>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Magic 8 Lite 5G 512GB</t>
  </si>
  <si>
    <t>Magic 8 Lite 5G 512GB Forest Green emp</t>
  </si>
  <si>
    <t>Magic 8 Lite 5G 512GB Midnight Black</t>
  </si>
  <si>
    <t>Magic 8 Lite 5G 512GB Forest Green</t>
  </si>
  <si>
    <t>Magic 8 Lite 5G 512GB Negro</t>
  </si>
  <si>
    <t>Magic 8 Lite 5G 512GB Sunrise Gold</t>
  </si>
  <si>
    <t>Magic 8 Lite 5G 512GB Verde</t>
  </si>
  <si>
    <t>Magic 8 Lite 5G 512GB Dorado</t>
  </si>
  <si>
    <t>Proveedor</t>
  </si>
  <si>
    <t>Activo/Inactivo</t>
  </si>
  <si>
    <t>Portafolio</t>
  </si>
  <si>
    <t>Precio Ref.</t>
  </si>
  <si>
    <t>GT 5 41MM</t>
  </si>
  <si>
    <t>Huawei</t>
  </si>
  <si>
    <t>Activo</t>
  </si>
  <si>
    <t>EOL</t>
  </si>
  <si>
    <t>GT 5 46MM</t>
  </si>
  <si>
    <t>GT 5 Pro 41MM</t>
  </si>
  <si>
    <t>GT 5 Pro 46MM</t>
  </si>
  <si>
    <t>FreeBuds Pro 4</t>
  </si>
  <si>
    <t>Fit 4</t>
  </si>
  <si>
    <t>HUAWEI SMARTWATCH FIT 4 WHITE</t>
  </si>
  <si>
    <t>Intcomex</t>
  </si>
  <si>
    <t>HUAWEI SMARTWATCH FIT 4 BLACK</t>
  </si>
  <si>
    <t>Band 10</t>
  </si>
  <si>
    <t>Multiwireless</t>
  </si>
  <si>
    <t>Magic 8 Pro 5G 512GB</t>
  </si>
  <si>
    <t>Magic 8 Pro 5G 512GB Sunrise Gold</t>
  </si>
  <si>
    <t>V70 5G 512GB</t>
  </si>
  <si>
    <t>Y31 5G 256GB</t>
  </si>
  <si>
    <t>V70 5G 512GB Golden Hour</t>
  </si>
  <si>
    <t>V70 5G 512GB Authentic Black</t>
  </si>
  <si>
    <t>Y31 5G 256GB Glowing Black</t>
  </si>
  <si>
    <t>Y31 5G 256GB Marble White</t>
  </si>
  <si>
    <t>Magic 8 Lite 5G 512GB con Earbuds X8I Forest Green emp</t>
  </si>
  <si>
    <t>Redmi 15 5G 256GB con Buds 6 Play Black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</si>
</sst>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_);[Red]\(&quot;$&quot;#,##0\)"/>
    <numFmt numFmtId="165" formatCode="&quot;$&quot;#,##0"/>
    <numFmt numFmtId="166" formatCode="&quot;$&quot;\ #,##0"/>
    <numFmt numFmtId="167" formatCode="_-&quot;$&quot;\ * #,##0.00_-;\-&quot;$&quot;\ * #,##0.00_-;_-&quot;$&quot;\ * &quot;-&quot;??_-;_-@_-"/>
    <numFmt numFmtId="168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9D08E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2" fillId="0" borderId="0"/>
    <xf numFmtId="42" fontId="7" fillId="0" borderId="0"/>
    <xf numFmtId="9" fontId="7" fillId="0" borderId="0"/>
    <xf numFmtId="41" fontId="7" fillId="0" borderId="0"/>
    <xf numFmtId="42" fontId="7" fillId="0" borderId="0"/>
    <xf numFmtId="167" fontId="7" fillId="0" borderId="0"/>
    <xf numFmtId="41" fontId="7" fillId="0" borderId="0"/>
    <xf numFmtId="42" fontId="7" fillId="0" borderId="0"/>
    <xf numFmtId="41" fontId="7" fillId="0" borderId="0"/>
    <xf numFmtId="42" fontId="7" fillId="0" borderId="0"/>
    <xf numFmtId="0" fontId="2" fillId="0" borderId="0"/>
    <xf numFmtId="41" fontId="7" fillId="0" borderId="0"/>
    <xf numFmtId="42" fontId="7" fillId="0" borderId="0"/>
    <xf numFmtId="41" fontId="7" fillId="0" borderId="0"/>
    <xf numFmtId="42" fontId="7" fillId="0" borderId="0"/>
    <xf numFmtId="41" fontId="7" fillId="0" borderId="0"/>
  </cellStyleXfs>
  <cellXfs count="2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2" fontId="5" fillId="4" borderId="1" xfId="2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0" fontId="14" fillId="9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 wrapText="1"/>
    </xf>
    <xf numFmtId="0" fontId="6" fillId="0" borderId="1" xfId="0" applyFont="1" applyBorder="1"/>
    <xf numFmtId="0" fontId="0" fillId="0" borderId="4" xfId="0" applyBorder="1"/>
    <xf numFmtId="0" fontId="3" fillId="0" borderId="5" xfId="1" applyFont="1" applyBorder="1" applyAlignment="1">
      <alignment horizontal="left" vertical="center" wrapText="1"/>
    </xf>
    <xf numFmtId="0" fontId="0" fillId="0" borderId="5" xfId="0" applyBorder="1"/>
    <xf numFmtId="1" fontId="0" fillId="0" borderId="1" xfId="0" applyNumberForma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1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3" fillId="0" borderId="1" xfId="1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42" fontId="5" fillId="4" borderId="2" xfId="2" applyFont="1" applyFill="1" applyBorder="1" applyAlignment="1">
      <alignment horizontal="left" vertical="center" wrapText="1"/>
    </xf>
    <xf numFmtId="42" fontId="1" fillId="2" borderId="2" xfId="2" applyFont="1" applyFill="1" applyBorder="1" applyAlignment="1">
      <alignment horizontal="left" vertical="center" wrapText="1"/>
    </xf>
    <xf numFmtId="42" fontId="1" fillId="3" borderId="2" xfId="2" applyFont="1" applyFill="1" applyBorder="1" applyAlignment="1">
      <alignment horizontal="left" vertical="center" wrapText="1"/>
    </xf>
    <xf numFmtId="42" fontId="4" fillId="5" borderId="2" xfId="2" applyFont="1" applyFill="1" applyBorder="1" applyAlignment="1">
      <alignment horizontal="left" vertical="center" wrapText="1"/>
    </xf>
    <xf numFmtId="42" fontId="5" fillId="4" borderId="3" xfId="2" applyFont="1" applyFill="1" applyBorder="1" applyAlignment="1">
      <alignment horizontal="left" vertical="center" wrapText="1"/>
    </xf>
    <xf numFmtId="165" fontId="1" fillId="2" borderId="1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1" fillId="2" borderId="6" xfId="2" applyNumberFormat="1" applyFont="1" applyFill="1" applyBorder="1" applyAlignment="1">
      <alignment horizontal="left" vertical="center" wrapText="1"/>
    </xf>
    <xf numFmtId="165" fontId="1" fillId="10" borderId="12" xfId="2" applyNumberFormat="1" applyFont="1" applyFill="1" applyBorder="1" applyAlignment="1">
      <alignment horizontal="left" vertical="center" wrapText="1"/>
    </xf>
    <xf numFmtId="165" fontId="1" fillId="10" borderId="13" xfId="2" applyNumberFormat="1" applyFont="1" applyFill="1" applyBorder="1" applyAlignment="1">
      <alignment horizontal="left" vertical="center" wrapText="1"/>
    </xf>
    <xf numFmtId="165" fontId="1" fillId="10" borderId="14" xfId="2" applyNumberFormat="1" applyFont="1" applyFill="1" applyBorder="1" applyAlignment="1">
      <alignment horizontal="left" vertical="center" wrapText="1"/>
    </xf>
    <xf numFmtId="165" fontId="1" fillId="2" borderId="3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2" fontId="1" fillId="2" borderId="1" xfId="2" applyFont="1" applyFill="1" applyBorder="1" applyAlignment="1">
      <alignment horizontal="center" vertical="center" wrapText="1"/>
    </xf>
    <xf numFmtId="165" fontId="8" fillId="0" borderId="0" xfId="2" applyNumberFormat="1" applyFont="1" applyAlignment="1">
      <alignment horizontal="center" vertical="center"/>
    </xf>
    <xf numFmtId="42" fontId="1" fillId="2" borderId="2" xfId="2" applyFont="1" applyFill="1" applyBorder="1" applyAlignment="1">
      <alignment horizontal="center" vertical="center" wrapText="1"/>
    </xf>
    <xf numFmtId="42" fontId="0" fillId="0" borderId="0" xfId="2" applyFont="1" applyAlignment="1">
      <alignment horizontal="center" vertical="center"/>
    </xf>
    <xf numFmtId="42" fontId="0" fillId="0" borderId="0" xfId="2" applyFont="1"/>
    <xf numFmtId="42" fontId="0" fillId="0" borderId="1" xfId="2" applyFont="1" applyBorder="1"/>
    <xf numFmtId="42" fontId="0" fillId="0" borderId="3" xfId="2" applyFont="1" applyBorder="1"/>
    <xf numFmtId="42" fontId="0" fillId="0" borderId="1" xfId="2" applyFont="1" applyBorder="1" applyAlignment="1">
      <alignment horizontal="center"/>
    </xf>
    <xf numFmtId="1" fontId="7" fillId="0" borderId="0" xfId="0" applyNumberFormat="1" applyFont="1"/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1" fillId="0" borderId="9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left" vertical="center" wrapText="1"/>
    </xf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42" fontId="4" fillId="0" borderId="1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5" fontId="12" fillId="0" borderId="15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12" fillId="0" borderId="19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165" fontId="0" fillId="0" borderId="3" xfId="2" applyNumberFormat="1" applyFont="1" applyFill="1" applyBorder="1" applyAlignment="1">
      <alignment horizontal="center" vertical="center"/>
    </xf>
    <xf numFmtId="165" fontId="0" fillId="0" borderId="9" xfId="2" applyNumberFormat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left" vertical="center"/>
    </xf>
    <xf numFmtId="42" fontId="5" fillId="0" borderId="1" xfId="2" applyFont="1" applyFill="1" applyBorder="1" applyAlignment="1">
      <alignment horizontal="left" vertical="center"/>
    </xf>
    <xf numFmtId="42" fontId="3" fillId="0" borderId="1" xfId="2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42" fontId="3" fillId="0" borderId="1" xfId="2" applyFont="1" applyFill="1" applyBorder="1" applyAlignment="1">
      <alignment horizontal="left"/>
    </xf>
    <xf numFmtId="1" fontId="3" fillId="0" borderId="1" xfId="16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42" fontId="0" fillId="0" borderId="1" xfId="2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9" fontId="5" fillId="0" borderId="1" xfId="0" applyNumberFormat="1" applyFont="1" applyFill="1" applyBorder="1" applyAlignment="1">
      <alignment horizontal="left" vertical="center"/>
    </xf>
    <xf numFmtId="1" fontId="0" fillId="0" borderId="0" xfId="2" applyNumberFormat="1" applyFont="1" applyFill="1" applyAlignment="1">
      <alignment horizontal="center" vertical="center"/>
    </xf>
    <xf numFmtId="42" fontId="4" fillId="0" borderId="0" xfId="2" applyFont="1" applyBorder="1" applyAlignment="1">
      <alignment horizontal="left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2" fontId="4" fillId="0" borderId="1" xfId="2" applyFont="1" applyFill="1" applyBorder="1" applyAlignment="1">
      <alignment horizontal="center" vertical="center"/>
    </xf>
    <xf numFmtId="0" fontId="0" fillId="11" borderId="0" xfId="0" applyFill="1" applyBorder="1" applyAlignment="1">
      <alignment horizontal="left" vertical="center"/>
    </xf>
    <xf numFmtId="0" fontId="0" fillId="11" borderId="0" xfId="0" applyFill="1" applyBorder="1"/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0" xfId="0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42" fontId="3" fillId="0" borderId="1" xfId="2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right"/>
    </xf>
    <xf numFmtId="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42" fontId="7" fillId="0" borderId="1" xfId="2" applyFill="1" applyBorder="1"/>
    <xf numFmtId="42" fontId="0" fillId="0" borderId="1" xfId="0" applyNumberFormat="1" applyFill="1" applyBorder="1" applyAlignment="1">
      <alignment horizontal="center" vertical="center"/>
    </xf>
    <xf numFmtId="9" fontId="7" fillId="0" borderId="1" xfId="3" applyFill="1" applyBorder="1"/>
    <xf numFmtId="42" fontId="4" fillId="0" borderId="1" xfId="2" applyFont="1" applyFill="1" applyBorder="1"/>
    <xf numFmtId="0" fontId="18" fillId="5" borderId="1" xfId="0" applyFont="1" applyFill="1" applyBorder="1" applyAlignment="1">
      <alignment horizontal="left" vertical="center" wrapText="1"/>
    </xf>
    <xf numFmtId="165" fontId="7" fillId="0" borderId="0" xfId="2" applyNumberFormat="1" applyFill="1" applyBorder="1" applyAlignment="1">
      <alignment horizontal="center" vertical="center"/>
    </xf>
    <xf numFmtId="42" fontId="4" fillId="12" borderId="2" xfId="2" applyFont="1" applyFill="1" applyBorder="1" applyAlignment="1">
      <alignment horizontal="left" vertical="center" wrapText="1"/>
    </xf>
    <xf numFmtId="42" fontId="4" fillId="7" borderId="2" xfId="2" applyFont="1" applyFill="1" applyBorder="1" applyAlignment="1">
      <alignment horizontal="left" vertical="center" wrapText="1"/>
    </xf>
    <xf numFmtId="0" fontId="7" fillId="0" borderId="20" xfId="0" applyFont="1" applyBorder="1"/>
    <xf numFmtId="42" fontId="5" fillId="4" borderId="15" xfId="2" applyFont="1" applyFill="1" applyBorder="1" applyAlignment="1">
      <alignment horizontal="left" vertical="center" wrapText="1"/>
    </xf>
    <xf numFmtId="42" fontId="5" fillId="0" borderId="1" xfId="2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2" fontId="7" fillId="0" borderId="1" xfId="2" applyFont="1" applyFill="1" applyBorder="1" applyAlignment="1">
      <alignment horizontal="center" vertical="center"/>
    </xf>
    <xf numFmtId="42" fontId="0" fillId="0" borderId="1" xfId="0" applyNumberFormat="1" applyFont="1" applyFill="1" applyBorder="1" applyAlignment="1">
      <alignment horizontal="center" vertical="center"/>
    </xf>
    <xf numFmtId="168" fontId="7" fillId="0" borderId="1" xfId="3" applyNumberFormat="1" applyFont="1" applyFill="1" applyBorder="1"/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" fontId="3" fillId="9" borderId="1" xfId="1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42" fontId="5" fillId="8" borderId="1" xfId="2" applyFont="1" applyFill="1" applyBorder="1" applyAlignment="1">
      <alignment horizontal="left" vertical="center"/>
    </xf>
    <xf numFmtId="165" fontId="0" fillId="8" borderId="1" xfId="2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9" borderId="10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left" vertical="center"/>
    </xf>
    <xf numFmtId="42" fontId="7" fillId="0" borderId="1" xfId="2" applyFont="1" applyFill="1" applyBorder="1" applyAlignment="1">
      <alignment horizontal="left" vertical="center"/>
    </xf>
    <xf numFmtId="1" fontId="3" fillId="8" borderId="1" xfId="0" applyNumberFormat="1" applyFont="1" applyFill="1" applyBorder="1" applyAlignment="1">
      <alignment horizontal="left"/>
    </xf>
    <xf numFmtId="1" fontId="3" fillId="9" borderId="0" xfId="1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/>
    </xf>
    <xf numFmtId="165" fontId="0" fillId="0" borderId="1" xfId="0" applyNumberFormat="1" applyFill="1" applyBorder="1" applyAlignment="1">
      <alignment horizontal="center"/>
    </xf>
    <xf numFmtId="42" fontId="1" fillId="0" borderId="0" xfId="2" applyFont="1" applyFill="1" applyAlignment="1">
      <alignment horizontal="center" vertical="center" wrapText="1"/>
    </xf>
    <xf numFmtId="42" fontId="5" fillId="0" borderId="0" xfId="2" applyFont="1" applyFill="1" applyAlignment="1">
      <alignment horizontal="center" vertical="center" wrapText="1"/>
    </xf>
    <xf numFmtId="42" fontId="5" fillId="0" borderId="0" xfId="2" applyFont="1" applyFill="1" applyAlignment="1">
      <alignment horizontal="left" vertical="center" wrapText="1"/>
    </xf>
    <xf numFmtId="0" fontId="0" fillId="0" borderId="0" xfId="0" applyFill="1"/>
    <xf numFmtId="0" fontId="0" fillId="9" borderId="1" xfId="0" applyFill="1" applyBorder="1"/>
    <xf numFmtId="0" fontId="0" fillId="9" borderId="0" xfId="0" applyFill="1" applyBorder="1"/>
    <xf numFmtId="1" fontId="5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vertical="center"/>
    </xf>
    <xf numFmtId="42" fontId="4" fillId="0" borderId="1" xfId="0" applyNumberFormat="1" applyFont="1" applyFill="1" applyBorder="1" applyAlignment="1">
      <alignment horizontal="center" vertical="center"/>
    </xf>
    <xf numFmtId="168" fontId="4" fillId="0" borderId="1" xfId="3" applyNumberFormat="1" applyFont="1" applyFill="1" applyBorder="1"/>
    <xf numFmtId="0" fontId="19" fillId="2" borderId="21" xfId="0" applyFont="1" applyFill="1" applyBorder="1" applyAlignment="1">
      <alignment vertical="center"/>
    </xf>
    <xf numFmtId="0" fontId="19" fillId="2" borderId="22" xfId="0" applyFont="1" applyFill="1" applyBorder="1" applyAlignment="1">
      <alignment vertical="center"/>
    </xf>
    <xf numFmtId="0" fontId="20" fillId="13" borderId="22" xfId="0" applyFont="1" applyFill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6" fontId="9" fillId="0" borderId="24" xfId="0" applyNumberFormat="1" applyFont="1" applyBorder="1" applyAlignment="1">
      <alignment horizontal="right" vertical="center"/>
    </xf>
    <xf numFmtId="166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3" fillId="8" borderId="1" xfId="2" applyNumberFormat="1" applyFont="1" applyFill="1" applyBorder="1" applyAlignment="1">
      <alignment horizontal="center" vertical="center"/>
    </xf>
    <xf numFmtId="1" fontId="3" fillId="8" borderId="1" xfId="1" applyNumberFormat="1" applyFont="1" applyFill="1" applyBorder="1" applyAlignment="1">
      <alignment horizontal="center" vertical="center" wrapText="1"/>
    </xf>
    <xf numFmtId="1" fontId="0" fillId="8" borderId="10" xfId="0" applyNumberForma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0" xfId="0" applyFill="1" applyBorder="1" applyAlignment="1">
      <alignment horizontal="left" vertical="center"/>
    </xf>
    <xf numFmtId="1" fontId="3" fillId="8" borderId="0" xfId="1" applyNumberFormat="1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2" fontId="1" fillId="3" borderId="1" xfId="2" applyFont="1" applyFill="1" applyBorder="1" applyAlignment="1">
      <alignment horizontal="center" vertical="center" wrapText="1"/>
    </xf>
    <xf numFmtId="0" fontId="7" fillId="0" borderId="6" xfId="0" applyFont="1" applyBorder="1"/>
    <xf numFmtId="165" fontId="1" fillId="10" borderId="11" xfId="2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11" xfId="0" applyFont="1" applyBorder="1"/>
    <xf numFmtId="42" fontId="5" fillId="4" borderId="1" xfId="2" applyFont="1" applyFill="1" applyBorder="1" applyAlignment="1">
      <alignment horizontal="center" vertical="center" wrapText="1"/>
    </xf>
    <xf numFmtId="165" fontId="1" fillId="2" borderId="1" xfId="2" applyNumberFormat="1" applyFont="1" applyFill="1" applyBorder="1" applyAlignment="1">
      <alignment horizontal="center" vertical="center" wrapText="1"/>
    </xf>
    <xf numFmtId="0" fontId="7" fillId="0" borderId="7" xfId="0" applyFont="1" applyBorder="1"/>
    <xf numFmtId="165" fontId="1" fillId="3" borderId="2" xfId="2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16" xfId="0" applyFont="1" applyBorder="1"/>
    <xf numFmtId="42" fontId="1" fillId="2" borderId="1" xfId="2" applyFont="1" applyFill="1" applyBorder="1" applyAlignment="1">
      <alignment horizontal="center" vertical="center" wrapText="1"/>
    </xf>
    <xf numFmtId="165" fontId="1" fillId="2" borderId="6" xfId="2" applyNumberFormat="1" applyFont="1" applyFill="1" applyBorder="1" applyAlignment="1">
      <alignment horizontal="center" vertical="center" wrapText="1"/>
    </xf>
    <xf numFmtId="42" fontId="1" fillId="3" borderId="3" xfId="2" applyFont="1" applyFill="1" applyBorder="1" applyAlignment="1">
      <alignment horizontal="center" vertical="center" wrapText="1"/>
    </xf>
    <xf numFmtId="42" fontId="1" fillId="3" borderId="7" xfId="2" applyFont="1" applyFill="1" applyBorder="1" applyAlignment="1">
      <alignment horizontal="center" vertical="center" wrapText="1"/>
    </xf>
    <xf numFmtId="42" fontId="1" fillId="3" borderId="6" xfId="2" applyFont="1" applyFill="1" applyBorder="1" applyAlignment="1">
      <alignment horizontal="center" vertical="center" wrapText="1"/>
    </xf>
    <xf numFmtId="42" fontId="5" fillId="4" borderId="3" xfId="2" applyFont="1" applyFill="1" applyBorder="1" applyAlignment="1">
      <alignment horizontal="center" vertical="center" wrapText="1"/>
    </xf>
    <xf numFmtId="42" fontId="5" fillId="4" borderId="7" xfId="2" applyFont="1" applyFill="1" applyBorder="1" applyAlignment="1">
      <alignment horizontal="center" vertical="center" wrapText="1"/>
    </xf>
    <xf numFmtId="42" fontId="5" fillId="4" borderId="6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0" xfId="0" applyBorder="1"/>
    <xf numFmtId="42" fontId="4" fillId="6" borderId="1" xfId="2" applyFont="1" applyFill="1" applyBorder="1" applyAlignment="1">
      <alignment horizontal="center" vertical="center"/>
    </xf>
  </cellXfs>
  <cellStyles count="17">
    <cellStyle name="Currency 508" xfId="6" xr:uid="{00000000-0005-0000-0000-000006000000}"/>
    <cellStyle name="Millares [0]" xfId="16" builtinId="6"/>
    <cellStyle name="Millares [0] 2" xfId="4" xr:uid="{00000000-0005-0000-0000-000004000000}"/>
    <cellStyle name="Millares [0] 3" xfId="7" xr:uid="{00000000-0005-0000-0000-000007000000}"/>
    <cellStyle name="Millares [0] 4" xfId="9" xr:uid="{00000000-0005-0000-0000-000009000000}"/>
    <cellStyle name="Millares [0] 5" xfId="12" xr:uid="{00000000-0005-0000-0000-00000C000000}"/>
    <cellStyle name="Millares [0] 6" xfId="14" xr:uid="{00000000-0005-0000-0000-00000E000000}"/>
    <cellStyle name="Moneda [0]" xfId="2" builtinId="7"/>
    <cellStyle name="Moneda [0] 2" xfId="5" xr:uid="{00000000-0005-0000-0000-000005000000}"/>
    <cellStyle name="Moneda [0] 3" xfId="8" xr:uid="{00000000-0005-0000-0000-000008000000}"/>
    <cellStyle name="Moneda [0] 4" xfId="10" xr:uid="{00000000-0005-0000-0000-00000A000000}"/>
    <cellStyle name="Moneda [0] 5" xfId="13" xr:uid="{00000000-0005-0000-0000-00000D000000}"/>
    <cellStyle name="Moneda [0] 6" xfId="15" xr:uid="{00000000-0005-0000-0000-00000F000000}"/>
    <cellStyle name="Normal" xfId="0" builtinId="0"/>
    <cellStyle name="Normal 3" xfId="11" xr:uid="{00000000-0005-0000-0000-00000B000000}"/>
    <cellStyle name="Normal_equipos" xfId="1" xr:uid="{00000000-0005-0000-0000-000001000000}"/>
    <cellStyle name="Porcentaje" xfId="3" builtinId="5"/>
  </cellStyles>
  <dxfs count="44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1134"/>
  <sheetViews>
    <sheetView showGridLines="0" tabSelected="1" zoomScale="45" zoomScaleNormal="46" workbookViewId="0">
      <pane xSplit="10" ySplit="3" topLeftCell="K4" activePane="bottomRight" state="frozen"/>
      <selection pane="topRight" activeCell="L1" sqref="L1"/>
      <selection pane="bottomLeft" activeCell="A4" sqref="A4"/>
      <selection pane="bottomRight" activeCell="W13" sqref="W13"/>
    </sheetView>
  </sheetViews>
  <sheetFormatPr baseColWidth="10" defaultColWidth="14.42578125" defaultRowHeight="15" outlineLevelCol="1" x14ac:dyDescent="0.25"/>
  <cols>
    <col min="1" max="1" width="18.5703125" bestFit="1" customWidth="1"/>
    <col min="2" max="2" width="10.7109375" customWidth="1"/>
    <col min="3" max="5" width="13.140625" customWidth="1"/>
    <col min="6" max="6" width="10.28515625" bestFit="1" customWidth="1"/>
    <col min="7" max="7" width="20.5703125" style="49" customWidth="1"/>
    <col min="8" max="8" width="15" style="49" customWidth="1" outlineLevel="1"/>
    <col min="9" max="9" width="13.5703125" style="49" bestFit="1" customWidth="1"/>
    <col min="10" max="10" width="58" style="41" bestFit="1" customWidth="1"/>
    <col min="11" max="11" width="55.140625" style="41" bestFit="1" customWidth="1"/>
    <col min="12" max="12" width="62.42578125" style="41" bestFit="1" customWidth="1"/>
    <col min="13" max="13" width="23.140625" bestFit="1" customWidth="1"/>
    <col min="14" max="14" width="16.5703125" bestFit="1" customWidth="1"/>
    <col min="15" max="15" width="11.42578125" bestFit="1" customWidth="1"/>
    <col min="16" max="16" width="18.85546875" bestFit="1" customWidth="1"/>
    <col min="17" max="17" width="18.85546875" customWidth="1"/>
    <col min="18" max="18" width="15.85546875" bestFit="1" customWidth="1"/>
    <col min="19" max="19" width="17.7109375" bestFit="1" customWidth="1"/>
    <col min="20" max="20" width="15.85546875" bestFit="1" customWidth="1"/>
    <col min="21" max="21" width="17.7109375" bestFit="1" customWidth="1"/>
    <col min="22" max="22" width="15.85546875" bestFit="1" customWidth="1"/>
    <col min="23" max="23" width="17.7109375" bestFit="1" customWidth="1"/>
    <col min="24" max="24" width="15.85546875" style="188" bestFit="1" customWidth="1"/>
    <col min="25" max="25" width="12.28515625" bestFit="1" customWidth="1"/>
    <col min="26" max="26" width="20.85546875" bestFit="1" customWidth="1"/>
    <col min="27" max="28" width="20.85546875" customWidth="1"/>
    <col min="29" max="29" width="13.28515625" bestFit="1" customWidth="1"/>
    <col min="30" max="30" width="16.5703125" bestFit="1" customWidth="1"/>
    <col min="31" max="31" width="12.85546875" bestFit="1" customWidth="1"/>
    <col min="32" max="32" width="20.85546875" bestFit="1" customWidth="1"/>
    <col min="33" max="33" width="13.28515625" bestFit="1" customWidth="1"/>
    <col min="34" max="34" width="16.5703125" bestFit="1" customWidth="1"/>
    <col min="35" max="35" width="16.5703125" customWidth="1"/>
    <col min="36" max="36" width="16.140625" style="70" bestFit="1" customWidth="1"/>
    <col min="37" max="37" width="9.7109375" style="49" bestFit="1" customWidth="1"/>
    <col min="38" max="38" width="16.5703125" style="49" bestFit="1" customWidth="1"/>
    <col min="39" max="39" width="15.85546875" style="49" bestFit="1" customWidth="1"/>
    <col min="40" max="40" width="9.7109375" style="49" bestFit="1" customWidth="1"/>
    <col min="41" max="41" width="16.5703125" style="49" bestFit="1" customWidth="1"/>
    <col min="42" max="42" width="15.85546875" style="49" bestFit="1" customWidth="1"/>
    <col min="43" max="43" width="9.7109375" style="49" bestFit="1" customWidth="1"/>
    <col min="44" max="44" width="16.5703125" style="49" bestFit="1" customWidth="1"/>
    <col min="45" max="45" width="15.85546875" style="49" bestFit="1" customWidth="1"/>
  </cols>
  <sheetData>
    <row r="1" spans="1:45" s="16" customFormat="1" ht="45" customHeight="1" x14ac:dyDescent="0.25">
      <c r="A1" s="19" t="s">
        <v>0</v>
      </c>
      <c r="B1" s="20" t="s">
        <v>1</v>
      </c>
      <c r="C1" s="59"/>
      <c r="D1" s="59"/>
      <c r="E1" s="59"/>
      <c r="F1" s="59"/>
      <c r="G1" s="92"/>
      <c r="H1" s="61"/>
      <c r="I1" s="60"/>
      <c r="J1" s="62"/>
      <c r="K1" s="62"/>
      <c r="L1" s="62"/>
      <c r="M1" s="51" t="s">
        <v>2</v>
      </c>
      <c r="N1" s="52">
        <f>+IF(M1&gt;=1750001,12000,
IF(M1&gt;=1000001,9500,
IF(M1&gt;=700001,7000,
IF(M1&gt;=300001,6000,
IF(M1&gt;=170001,4000,
IF(M1&gt;=5000,2500,
""))))))</f>
        <v>12000</v>
      </c>
      <c r="O1" s="52">
        <f>+IF(M1&gt;=1750001,15500,
IF(M1&gt;=1000001,13500,
IF(M1&gt;=700001,10000,
IF(M1&gt;=300001,8500,
IF(M1&gt;=170001,6000,
IF(M1&gt;=5000,4000,
""))))))</f>
        <v>15500</v>
      </c>
      <c r="P1" s="52"/>
      <c r="Q1" s="52"/>
      <c r="R1" s="215" t="s">
        <v>3</v>
      </c>
      <c r="S1" s="222"/>
      <c r="T1" s="222"/>
      <c r="U1" s="222"/>
      <c r="V1" s="222"/>
      <c r="W1" s="216"/>
      <c r="X1" s="185"/>
      <c r="Y1" s="226" t="s">
        <v>4</v>
      </c>
      <c r="Z1" s="222"/>
      <c r="AA1" s="222"/>
      <c r="AB1" s="222"/>
      <c r="AC1" s="222"/>
      <c r="AD1" s="222"/>
      <c r="AE1" s="222"/>
      <c r="AF1" s="222"/>
      <c r="AG1" s="222"/>
      <c r="AH1" s="216"/>
      <c r="AI1" s="155"/>
      <c r="AJ1" s="67"/>
      <c r="AK1" s="223" t="s">
        <v>5</v>
      </c>
      <c r="AL1" s="224"/>
      <c r="AM1" s="224"/>
      <c r="AN1" s="224"/>
      <c r="AO1" s="224"/>
      <c r="AP1" s="224"/>
      <c r="AQ1" s="224"/>
      <c r="AR1" s="224"/>
      <c r="AS1" s="225"/>
    </row>
    <row r="2" spans="1:45" s="16" customFormat="1" ht="45" customHeight="1" x14ac:dyDescent="0.25">
      <c r="A2" s="60"/>
      <c r="B2" s="60"/>
      <c r="C2" s="60"/>
      <c r="D2" s="60"/>
      <c r="E2" s="60"/>
      <c r="F2" s="61"/>
      <c r="G2" s="61"/>
      <c r="H2" s="61"/>
      <c r="I2" s="60"/>
      <c r="J2" s="62"/>
      <c r="K2" s="62"/>
      <c r="L2" s="62"/>
      <c r="M2" s="53" t="s">
        <v>6</v>
      </c>
      <c r="N2" s="215" t="s">
        <v>7</v>
      </c>
      <c r="O2" s="216"/>
      <c r="R2" s="220" t="s">
        <v>8</v>
      </c>
      <c r="S2" s="216"/>
      <c r="T2" s="226" t="s">
        <v>9</v>
      </c>
      <c r="U2" s="216"/>
      <c r="V2" s="220" t="s">
        <v>10</v>
      </c>
      <c r="W2" s="216"/>
      <c r="X2" s="186"/>
      <c r="Y2" s="228" t="s">
        <v>11</v>
      </c>
      <c r="Z2" s="229"/>
      <c r="AA2" s="229"/>
      <c r="AB2" s="229"/>
      <c r="AC2" s="229"/>
      <c r="AD2" s="230"/>
      <c r="AE2" s="231" t="s">
        <v>12</v>
      </c>
      <c r="AF2" s="232"/>
      <c r="AG2" s="232"/>
      <c r="AH2" s="233"/>
      <c r="AI2" s="157" t="s">
        <v>4611</v>
      </c>
      <c r="AJ2" s="68"/>
      <c r="AK2" s="221" t="s">
        <v>13</v>
      </c>
      <c r="AL2" s="222"/>
      <c r="AM2" s="216"/>
      <c r="AN2" s="217" t="s">
        <v>14</v>
      </c>
      <c r="AO2" s="218"/>
      <c r="AP2" s="219"/>
      <c r="AQ2" s="227" t="s">
        <v>15</v>
      </c>
      <c r="AR2" s="222"/>
      <c r="AS2" s="216"/>
    </row>
    <row r="3" spans="1:45" s="66" customFormat="1" ht="45" customHeight="1" x14ac:dyDescent="0.25">
      <c r="A3" s="14" t="s">
        <v>16</v>
      </c>
      <c r="B3" s="30" t="s">
        <v>17</v>
      </c>
      <c r="C3" s="30" t="s">
        <v>18</v>
      </c>
      <c r="D3" s="151" t="s">
        <v>4535</v>
      </c>
      <c r="E3" s="151" t="s">
        <v>4536</v>
      </c>
      <c r="F3" s="29" t="s">
        <v>19</v>
      </c>
      <c r="G3" s="15" t="s">
        <v>20</v>
      </c>
      <c r="H3" s="29" t="s">
        <v>21</v>
      </c>
      <c r="I3" s="14" t="s">
        <v>22</v>
      </c>
      <c r="J3" s="13" t="s">
        <v>23</v>
      </c>
      <c r="K3" s="14" t="s">
        <v>24</v>
      </c>
      <c r="L3" s="14" t="s">
        <v>25</v>
      </c>
      <c r="M3" s="77" t="s">
        <v>26</v>
      </c>
      <c r="N3" s="77" t="s">
        <v>27</v>
      </c>
      <c r="O3" s="77" t="s">
        <v>28</v>
      </c>
      <c r="P3" s="77" t="s">
        <v>29</v>
      </c>
      <c r="Q3" s="129"/>
      <c r="R3" s="35" t="s">
        <v>30</v>
      </c>
      <c r="S3" s="35" t="s">
        <v>31</v>
      </c>
      <c r="T3" s="36" t="s">
        <v>30</v>
      </c>
      <c r="U3" s="36" t="s">
        <v>31</v>
      </c>
      <c r="V3" s="35" t="s">
        <v>30</v>
      </c>
      <c r="W3" s="17" t="s">
        <v>31</v>
      </c>
      <c r="X3" s="187"/>
      <c r="Y3" s="37" t="s">
        <v>4607</v>
      </c>
      <c r="Z3" s="38" t="s">
        <v>4608</v>
      </c>
      <c r="AA3" s="153" t="s">
        <v>4609</v>
      </c>
      <c r="AB3" s="154" t="s">
        <v>4610</v>
      </c>
      <c r="AC3" s="37" t="s">
        <v>35</v>
      </c>
      <c r="AD3" s="37" t="s">
        <v>36</v>
      </c>
      <c r="AE3" s="35" t="s">
        <v>32</v>
      </c>
      <c r="AF3" s="38" t="s">
        <v>33</v>
      </c>
      <c r="AG3" s="17" t="s">
        <v>35</v>
      </c>
      <c r="AH3" s="39" t="s">
        <v>36</v>
      </c>
      <c r="AI3" s="156" t="s">
        <v>4612</v>
      </c>
      <c r="AJ3" s="69"/>
      <c r="AK3" s="40" t="s">
        <v>32</v>
      </c>
      <c r="AL3" s="40" t="s">
        <v>34</v>
      </c>
      <c r="AM3" s="46" t="s">
        <v>37</v>
      </c>
      <c r="AN3" s="43" t="s">
        <v>32</v>
      </c>
      <c r="AO3" s="44" t="s">
        <v>34</v>
      </c>
      <c r="AP3" s="45" t="s">
        <v>37</v>
      </c>
      <c r="AQ3" s="42" t="s">
        <v>32</v>
      </c>
      <c r="AR3" s="40" t="s">
        <v>34</v>
      </c>
      <c r="AS3" s="40" t="s">
        <v>37</v>
      </c>
    </row>
    <row r="4" spans="1:45" s="101" customFormat="1" x14ac:dyDescent="0.25">
      <c r="A4" s="90" t="s">
        <v>38</v>
      </c>
      <c r="B4" s="90" t="s">
        <v>40</v>
      </c>
      <c r="C4" s="90" t="s">
        <v>39</v>
      </c>
      <c r="D4" s="168" t="s">
        <v>4539</v>
      </c>
      <c r="E4" s="168" t="s">
        <v>4538</v>
      </c>
      <c r="F4" s="169"/>
      <c r="G4" s="176">
        <v>70015951</v>
      </c>
      <c r="H4" s="177" t="s">
        <v>3896</v>
      </c>
      <c r="I4" s="178" t="s">
        <v>41</v>
      </c>
      <c r="J4" s="190" t="s">
        <v>4724</v>
      </c>
      <c r="K4" s="166" t="s">
        <v>4718</v>
      </c>
      <c r="L4" s="189" t="s">
        <v>4726</v>
      </c>
      <c r="M4" s="175">
        <v>429900</v>
      </c>
      <c r="N4" s="95">
        <v>6000</v>
      </c>
      <c r="O4" s="95">
        <v>8500</v>
      </c>
      <c r="P4" s="96">
        <v>399990</v>
      </c>
      <c r="Q4" s="152"/>
      <c r="R4" s="175">
        <v>479990</v>
      </c>
      <c r="S4" s="95">
        <v>13620.833333333334</v>
      </c>
      <c r="T4" s="175">
        <v>429900</v>
      </c>
      <c r="U4" s="95">
        <v>13620.833333333334</v>
      </c>
      <c r="V4" s="175">
        <v>429900</v>
      </c>
      <c r="W4" s="95">
        <v>13620.833333333334</v>
      </c>
      <c r="X4" s="128"/>
      <c r="Y4" s="175">
        <v>69900</v>
      </c>
      <c r="Z4" s="175">
        <v>33500</v>
      </c>
      <c r="AA4" s="95">
        <f>IFERROR(IF(D4="Premium",0.4*Y4,0),"No Disp")</f>
        <v>0</v>
      </c>
      <c r="AB4" s="95">
        <f>IFERROR(IF(4*Y4&gt;AC4,1.5*Y4,4*Y4),"No Disp")</f>
        <v>279600</v>
      </c>
      <c r="AC4" s="95">
        <f>IF(Z4="No Disp","No Disp",(Z4*18)+Y4)</f>
        <v>672900</v>
      </c>
      <c r="AD4" s="95">
        <f>IF($H4="EMP",18*Z4-100,18*Z4-100+Y4)</f>
        <v>672800</v>
      </c>
      <c r="AE4" s="175">
        <v>29900</v>
      </c>
      <c r="AF4" s="175">
        <v>30500</v>
      </c>
      <c r="AG4" s="95">
        <f>IF(AF4="No Disp","No Disp",(AF4*18)+AE4)</f>
        <v>578900</v>
      </c>
      <c r="AH4" s="95">
        <f>IF($H4="EMP",18*AF4-100,18*AF4-100+AE4)</f>
        <v>578800</v>
      </c>
      <c r="AI4" s="95" t="s">
        <v>4613</v>
      </c>
      <c r="AJ4" s="99"/>
      <c r="AK4" s="100" t="s">
        <v>43</v>
      </c>
      <c r="AL4" s="100" t="s">
        <v>43</v>
      </c>
      <c r="AM4" s="100" t="s">
        <v>43</v>
      </c>
      <c r="AN4" s="100" t="s">
        <v>43</v>
      </c>
      <c r="AO4" s="100" t="s">
        <v>43</v>
      </c>
      <c r="AP4" s="100" t="s">
        <v>43</v>
      </c>
      <c r="AQ4" s="100" t="s">
        <v>43</v>
      </c>
      <c r="AR4" s="100" t="s">
        <v>43</v>
      </c>
      <c r="AS4" s="100" t="s">
        <v>43</v>
      </c>
    </row>
    <row r="5" spans="1:45" s="101" customFormat="1" x14ac:dyDescent="0.25">
      <c r="A5" s="90" t="s">
        <v>38</v>
      </c>
      <c r="B5" s="90" t="s">
        <v>40</v>
      </c>
      <c r="C5" s="90" t="s">
        <v>39</v>
      </c>
      <c r="D5" s="168" t="s">
        <v>4539</v>
      </c>
      <c r="E5" s="168" t="s">
        <v>4538</v>
      </c>
      <c r="F5" s="169"/>
      <c r="G5" s="176">
        <v>70015956</v>
      </c>
      <c r="H5" s="177" t="s">
        <v>3896</v>
      </c>
      <c r="I5" s="178" t="s">
        <v>41</v>
      </c>
      <c r="J5" s="189" t="s">
        <v>4724</v>
      </c>
      <c r="K5" s="166" t="s">
        <v>4719</v>
      </c>
      <c r="L5" s="189" t="s">
        <v>4727</v>
      </c>
      <c r="M5" s="175">
        <v>429900</v>
      </c>
      <c r="N5" s="95">
        <v>6000</v>
      </c>
      <c r="O5" s="95">
        <v>8500</v>
      </c>
      <c r="P5" s="96">
        <v>399990</v>
      </c>
      <c r="Q5" s="152"/>
      <c r="R5" s="175">
        <v>479990</v>
      </c>
      <c r="S5" s="95">
        <v>13620.833333333334</v>
      </c>
      <c r="T5" s="175">
        <v>429900</v>
      </c>
      <c r="U5" s="95">
        <v>13620.833333333334</v>
      </c>
      <c r="V5" s="175">
        <v>429900</v>
      </c>
      <c r="W5" s="95">
        <v>13620.833333333334</v>
      </c>
      <c r="X5" s="128"/>
      <c r="Y5" s="175">
        <v>69900</v>
      </c>
      <c r="Z5" s="175">
        <v>33500</v>
      </c>
      <c r="AA5" s="95">
        <f>IFERROR(IF(D5="Premium",0.4*Y5,0),"No Disp")</f>
        <v>0</v>
      </c>
      <c r="AB5" s="95">
        <f>IFERROR(IF(4*Y5&gt;AC5,1.5*Y5,4*Y5),"No Disp")</f>
        <v>279600</v>
      </c>
      <c r="AC5" s="95">
        <f>IF(Z5="No Disp","No Disp",(Z5*18)+Y5)</f>
        <v>672900</v>
      </c>
      <c r="AD5" s="95">
        <f>IF($H5="EMP",18*Z5-100,18*Z5-100+Y5)</f>
        <v>672800</v>
      </c>
      <c r="AE5" s="175">
        <v>29900</v>
      </c>
      <c r="AF5" s="175">
        <v>30500</v>
      </c>
      <c r="AG5" s="95">
        <f>IF(AF5="No Disp","No Disp",(AF5*18)+AE5)</f>
        <v>578900</v>
      </c>
      <c r="AH5" s="95">
        <f>IF($H5="EMP",18*AF5-100,18*AF5-100+AE5)</f>
        <v>578800</v>
      </c>
      <c r="AI5" s="95" t="s">
        <v>4613</v>
      </c>
      <c r="AJ5" s="99"/>
      <c r="AK5" s="100" t="s">
        <v>43</v>
      </c>
      <c r="AL5" s="100" t="s">
        <v>43</v>
      </c>
      <c r="AM5" s="100" t="s">
        <v>43</v>
      </c>
      <c r="AN5" s="100" t="s">
        <v>43</v>
      </c>
      <c r="AO5" s="100" t="s">
        <v>43</v>
      </c>
      <c r="AP5" s="100" t="s">
        <v>43</v>
      </c>
      <c r="AQ5" s="100" t="s">
        <v>43</v>
      </c>
      <c r="AR5" s="100" t="s">
        <v>43</v>
      </c>
      <c r="AS5" s="100" t="s">
        <v>43</v>
      </c>
    </row>
    <row r="6" spans="1:45" s="101" customFormat="1" x14ac:dyDescent="0.25">
      <c r="A6" s="90" t="s">
        <v>38</v>
      </c>
      <c r="B6" s="90" t="s">
        <v>40</v>
      </c>
      <c r="C6" s="90" t="s">
        <v>39</v>
      </c>
      <c r="D6" s="168" t="s">
        <v>4539</v>
      </c>
      <c r="E6" s="168" t="s">
        <v>4538</v>
      </c>
      <c r="F6" s="169"/>
      <c r="G6" s="176">
        <v>70015993</v>
      </c>
      <c r="H6" s="177" t="s">
        <v>3896</v>
      </c>
      <c r="I6" s="178" t="s">
        <v>41</v>
      </c>
      <c r="J6" s="189" t="s">
        <v>4724</v>
      </c>
      <c r="K6" s="166" t="s">
        <v>4720</v>
      </c>
      <c r="L6" s="189" t="s">
        <v>4728</v>
      </c>
      <c r="M6" s="175">
        <v>429900</v>
      </c>
      <c r="N6" s="95">
        <v>6000</v>
      </c>
      <c r="O6" s="95">
        <v>8500</v>
      </c>
      <c r="P6" s="96">
        <v>399990</v>
      </c>
      <c r="Q6" s="152"/>
      <c r="R6" s="175">
        <v>479990</v>
      </c>
      <c r="S6" s="95">
        <v>13620.833333333334</v>
      </c>
      <c r="T6" s="175">
        <v>429900</v>
      </c>
      <c r="U6" s="95">
        <v>13620.833333333334</v>
      </c>
      <c r="V6" s="175">
        <v>429900</v>
      </c>
      <c r="W6" s="95">
        <v>13620.833333333334</v>
      </c>
      <c r="X6" s="128"/>
      <c r="Y6" s="175">
        <v>69900</v>
      </c>
      <c r="Z6" s="175">
        <v>33500</v>
      </c>
      <c r="AA6" s="95">
        <f>IFERROR(IF(D6="Premium",0.4*Y6,0),"No Disp")</f>
        <v>0</v>
      </c>
      <c r="AB6" s="95">
        <f>IFERROR(IF(4*Y6&gt;AC6,1.5*Y6,4*Y6),"No Disp")</f>
        <v>279600</v>
      </c>
      <c r="AC6" s="95">
        <f>IF(Z6="No Disp","No Disp",(Z6*18)+Y6)</f>
        <v>672900</v>
      </c>
      <c r="AD6" s="95">
        <f>IF($H6="EMP",18*Z6-100,18*Z6-100+Y6)</f>
        <v>672800</v>
      </c>
      <c r="AE6" s="175">
        <v>29900</v>
      </c>
      <c r="AF6" s="175">
        <v>30500</v>
      </c>
      <c r="AG6" s="95">
        <f>IF(AF6="No Disp","No Disp",(AF6*18)+AE6)</f>
        <v>578900</v>
      </c>
      <c r="AH6" s="95">
        <f>IF($H6="EMP",18*AF6-100,18*AF6-100+AE6)</f>
        <v>578800</v>
      </c>
      <c r="AI6" s="95" t="s">
        <v>4613</v>
      </c>
      <c r="AJ6" s="99"/>
      <c r="AK6" s="100" t="s">
        <v>43</v>
      </c>
      <c r="AL6" s="100" t="s">
        <v>43</v>
      </c>
      <c r="AM6" s="100" t="s">
        <v>43</v>
      </c>
      <c r="AN6" s="100" t="s">
        <v>43</v>
      </c>
      <c r="AO6" s="100" t="s">
        <v>43</v>
      </c>
      <c r="AP6" s="100" t="s">
        <v>43</v>
      </c>
      <c r="AQ6" s="100" t="s">
        <v>43</v>
      </c>
      <c r="AR6" s="100" t="s">
        <v>43</v>
      </c>
      <c r="AS6" s="100" t="s">
        <v>43</v>
      </c>
    </row>
    <row r="7" spans="1:45" s="101" customFormat="1" x14ac:dyDescent="0.25">
      <c r="A7" s="90" t="s">
        <v>38</v>
      </c>
      <c r="B7" s="90" t="s">
        <v>40</v>
      </c>
      <c r="C7" s="90" t="s">
        <v>39</v>
      </c>
      <c r="D7" s="168" t="s">
        <v>4539</v>
      </c>
      <c r="E7" s="168" t="s">
        <v>4538</v>
      </c>
      <c r="F7" s="169"/>
      <c r="G7" s="176">
        <v>70016000</v>
      </c>
      <c r="H7" s="177" t="s">
        <v>3896</v>
      </c>
      <c r="I7" s="178" t="s">
        <v>41</v>
      </c>
      <c r="J7" s="189" t="s">
        <v>4724</v>
      </c>
      <c r="K7" s="166" t="s">
        <v>4721</v>
      </c>
      <c r="L7" s="189" t="s">
        <v>4729</v>
      </c>
      <c r="M7" s="175">
        <v>429900</v>
      </c>
      <c r="N7" s="95">
        <v>6000</v>
      </c>
      <c r="O7" s="95">
        <v>8500</v>
      </c>
      <c r="P7" s="96">
        <v>399990</v>
      </c>
      <c r="Q7" s="152"/>
      <c r="R7" s="175">
        <v>479990</v>
      </c>
      <c r="S7" s="95">
        <v>13620.833333333334</v>
      </c>
      <c r="T7" s="175">
        <v>429900</v>
      </c>
      <c r="U7" s="95">
        <v>13620.833333333334</v>
      </c>
      <c r="V7" s="175">
        <v>429900</v>
      </c>
      <c r="W7" s="95">
        <v>13620.833333333334</v>
      </c>
      <c r="X7" s="128"/>
      <c r="Y7" s="175">
        <v>69900</v>
      </c>
      <c r="Z7" s="175">
        <v>33500</v>
      </c>
      <c r="AA7" s="95">
        <f>IFERROR(IF(D7="Premium",0.4*Y7,0),"No Disp")</f>
        <v>0</v>
      </c>
      <c r="AB7" s="95">
        <f>IFERROR(IF(4*Y7&gt;AC7,1.5*Y7,4*Y7),"No Disp")</f>
        <v>279600</v>
      </c>
      <c r="AC7" s="95">
        <f>IF(Z7="No Disp","No Disp",(Z7*18)+Y7)</f>
        <v>672900</v>
      </c>
      <c r="AD7" s="95">
        <f>IF($H7="EMP",18*Z7-100,18*Z7-100+Y7)</f>
        <v>672800</v>
      </c>
      <c r="AE7" s="175">
        <v>29900</v>
      </c>
      <c r="AF7" s="175">
        <v>30500</v>
      </c>
      <c r="AG7" s="95">
        <f>IF(AF7="No Disp","No Disp",(AF7*18)+AE7)</f>
        <v>578900</v>
      </c>
      <c r="AH7" s="95">
        <f>IF($H7="EMP",18*AF7-100,18*AF7-100+AE7)</f>
        <v>578800</v>
      </c>
      <c r="AI7" s="95" t="s">
        <v>4613</v>
      </c>
      <c r="AJ7" s="99"/>
      <c r="AK7" s="100" t="s">
        <v>43</v>
      </c>
      <c r="AL7" s="100" t="s">
        <v>43</v>
      </c>
      <c r="AM7" s="100" t="s">
        <v>43</v>
      </c>
      <c r="AN7" s="100" t="s">
        <v>43</v>
      </c>
      <c r="AO7" s="100" t="s">
        <v>43</v>
      </c>
      <c r="AP7" s="100" t="s">
        <v>43</v>
      </c>
      <c r="AQ7" s="100" t="s">
        <v>43</v>
      </c>
      <c r="AR7" s="100" t="s">
        <v>43</v>
      </c>
      <c r="AS7" s="100" t="s">
        <v>43</v>
      </c>
    </row>
    <row r="8" spans="1:45" s="101" customFormat="1" x14ac:dyDescent="0.25">
      <c r="A8" s="90" t="s">
        <v>38</v>
      </c>
      <c r="B8" s="90" t="s">
        <v>40</v>
      </c>
      <c r="C8" s="90" t="s">
        <v>39</v>
      </c>
      <c r="D8" s="168" t="s">
        <v>4539</v>
      </c>
      <c r="E8" s="168" t="s">
        <v>4538</v>
      </c>
      <c r="F8" s="169"/>
      <c r="G8" s="176">
        <v>70016005</v>
      </c>
      <c r="H8" s="177" t="s">
        <v>3896</v>
      </c>
      <c r="I8" s="178" t="s">
        <v>41</v>
      </c>
      <c r="J8" s="189" t="s">
        <v>4724</v>
      </c>
      <c r="K8" s="166" t="s">
        <v>4722</v>
      </c>
      <c r="L8" s="189" t="s">
        <v>4730</v>
      </c>
      <c r="M8" s="175">
        <v>429900</v>
      </c>
      <c r="N8" s="95">
        <v>6000</v>
      </c>
      <c r="O8" s="95">
        <v>8500</v>
      </c>
      <c r="P8" s="96">
        <v>399990</v>
      </c>
      <c r="Q8" s="152"/>
      <c r="R8" s="175">
        <v>479990</v>
      </c>
      <c r="S8" s="95">
        <v>13620.833333333334</v>
      </c>
      <c r="T8" s="175">
        <v>429900</v>
      </c>
      <c r="U8" s="95">
        <v>13620.833333333334</v>
      </c>
      <c r="V8" s="175">
        <v>429900</v>
      </c>
      <c r="W8" s="95">
        <v>13620.833333333334</v>
      </c>
      <c r="X8" s="128"/>
      <c r="Y8" s="175">
        <v>69900</v>
      </c>
      <c r="Z8" s="175">
        <v>33500</v>
      </c>
      <c r="AA8" s="95">
        <f>IFERROR(IF(D8="Premium",0.4*Y8,0),"No Disp")</f>
        <v>0</v>
      </c>
      <c r="AB8" s="95">
        <f>IFERROR(IF(4*Y8&gt;AC8,1.5*Y8,4*Y8),"No Disp")</f>
        <v>279600</v>
      </c>
      <c r="AC8" s="95">
        <f>IF(Z8="No Disp","No Disp",(Z8*18)+Y8)</f>
        <v>672900</v>
      </c>
      <c r="AD8" s="95">
        <f>IF($H8="EMP",18*Z8-100,18*Z8-100+Y8)</f>
        <v>672800</v>
      </c>
      <c r="AE8" s="175">
        <v>29900</v>
      </c>
      <c r="AF8" s="175">
        <v>30500</v>
      </c>
      <c r="AG8" s="95">
        <f>IF(AF8="No Disp","No Disp",(AF8*18)+AE8)</f>
        <v>578900</v>
      </c>
      <c r="AH8" s="95">
        <f>IF($H8="EMP",18*AF8-100,18*AF8-100+AE8)</f>
        <v>578800</v>
      </c>
      <c r="AI8" s="95" t="s">
        <v>4613</v>
      </c>
      <c r="AJ8" s="99"/>
      <c r="AK8" s="100" t="s">
        <v>43</v>
      </c>
      <c r="AL8" s="100" t="s">
        <v>43</v>
      </c>
      <c r="AM8" s="100" t="s">
        <v>43</v>
      </c>
      <c r="AN8" s="100" t="s">
        <v>43</v>
      </c>
      <c r="AO8" s="100" t="s">
        <v>43</v>
      </c>
      <c r="AP8" s="100" t="s">
        <v>43</v>
      </c>
      <c r="AQ8" s="100" t="s">
        <v>43</v>
      </c>
      <c r="AR8" s="100" t="s">
        <v>43</v>
      </c>
      <c r="AS8" s="100" t="s">
        <v>43</v>
      </c>
    </row>
    <row r="9" spans="1:45" s="101" customFormat="1" x14ac:dyDescent="0.25">
      <c r="A9" s="90" t="s">
        <v>38</v>
      </c>
      <c r="B9" s="90" t="s">
        <v>40</v>
      </c>
      <c r="C9" s="90" t="s">
        <v>39</v>
      </c>
      <c r="D9" s="168" t="s">
        <v>4539</v>
      </c>
      <c r="E9" s="168" t="s">
        <v>4538</v>
      </c>
      <c r="F9" s="169"/>
      <c r="G9" s="176">
        <v>70016008</v>
      </c>
      <c r="H9" s="177" t="s">
        <v>3896</v>
      </c>
      <c r="I9" s="178" t="s">
        <v>41</v>
      </c>
      <c r="J9" s="189" t="s">
        <v>4724</v>
      </c>
      <c r="K9" s="166" t="s">
        <v>4723</v>
      </c>
      <c r="L9" s="189" t="s">
        <v>4731</v>
      </c>
      <c r="M9" s="175">
        <v>429900</v>
      </c>
      <c r="N9" s="95">
        <v>6000</v>
      </c>
      <c r="O9" s="95">
        <v>8500</v>
      </c>
      <c r="P9" s="96">
        <v>399990</v>
      </c>
      <c r="Q9" s="152"/>
      <c r="R9" s="175">
        <v>479990</v>
      </c>
      <c r="S9" s="95">
        <v>13620.833333333334</v>
      </c>
      <c r="T9" s="175">
        <v>429900</v>
      </c>
      <c r="U9" s="95">
        <v>13620.833333333334</v>
      </c>
      <c r="V9" s="175">
        <v>429900</v>
      </c>
      <c r="W9" s="95">
        <v>13620.833333333334</v>
      </c>
      <c r="X9" s="128"/>
      <c r="Y9" s="175">
        <v>69900</v>
      </c>
      <c r="Z9" s="175">
        <v>33500</v>
      </c>
      <c r="AA9" s="95">
        <f>IFERROR(IF(D9="Premium",0.4*Y9,0),"No Disp")</f>
        <v>0</v>
      </c>
      <c r="AB9" s="95">
        <f>IFERROR(IF(4*Y9&gt;AC9,1.5*Y9,4*Y9),"No Disp")</f>
        <v>279600</v>
      </c>
      <c r="AC9" s="95">
        <f>IF(Z9="No Disp","No Disp",(Z9*18)+Y9)</f>
        <v>672900</v>
      </c>
      <c r="AD9" s="95">
        <f>IF($H9="EMP",18*Z9-100,18*Z9-100+Y9)</f>
        <v>672800</v>
      </c>
      <c r="AE9" s="175">
        <v>29900</v>
      </c>
      <c r="AF9" s="175">
        <v>30500</v>
      </c>
      <c r="AG9" s="95">
        <f>IF(AF9="No Disp","No Disp",(AF9*18)+AE9)</f>
        <v>578900</v>
      </c>
      <c r="AH9" s="95">
        <f>IF($H9="EMP",18*AF9-100,18*AF9-100+AE9)</f>
        <v>578800</v>
      </c>
      <c r="AI9" s="95" t="s">
        <v>4613</v>
      </c>
      <c r="AJ9" s="99"/>
      <c r="AK9" s="100" t="s">
        <v>43</v>
      </c>
      <c r="AL9" s="100" t="s">
        <v>43</v>
      </c>
      <c r="AM9" s="100" t="s">
        <v>43</v>
      </c>
      <c r="AN9" s="100" t="s">
        <v>43</v>
      </c>
      <c r="AO9" s="100" t="s">
        <v>43</v>
      </c>
      <c r="AP9" s="100" t="s">
        <v>43</v>
      </c>
      <c r="AQ9" s="100" t="s">
        <v>43</v>
      </c>
      <c r="AR9" s="100" t="s">
        <v>43</v>
      </c>
      <c r="AS9" s="100" t="s">
        <v>43</v>
      </c>
    </row>
    <row r="10" spans="1:45" s="101" customFormat="1" x14ac:dyDescent="0.25">
      <c r="A10" s="90" t="s">
        <v>38</v>
      </c>
      <c r="B10" s="90" t="s">
        <v>40</v>
      </c>
      <c r="C10" s="90" t="s">
        <v>39</v>
      </c>
      <c r="D10" s="168" t="s">
        <v>4540</v>
      </c>
      <c r="E10" s="168" t="s">
        <v>4538</v>
      </c>
      <c r="F10" s="169"/>
      <c r="G10" s="176">
        <v>70016198</v>
      </c>
      <c r="H10" s="177" t="s">
        <v>3896</v>
      </c>
      <c r="I10" s="178" t="s">
        <v>41</v>
      </c>
      <c r="J10" s="189" t="s">
        <v>4750</v>
      </c>
      <c r="K10" s="166" t="s">
        <v>4706</v>
      </c>
      <c r="L10" s="189" t="s">
        <v>4751</v>
      </c>
      <c r="M10" s="175">
        <v>1399900</v>
      </c>
      <c r="N10" s="95">
        <v>6000</v>
      </c>
      <c r="O10" s="95">
        <v>8500</v>
      </c>
      <c r="P10" s="96">
        <v>399990</v>
      </c>
      <c r="Q10" s="152"/>
      <c r="R10" s="175">
        <v>1499990</v>
      </c>
      <c r="S10" s="95">
        <v>13620.833333333334</v>
      </c>
      <c r="T10" s="175">
        <v>1399900</v>
      </c>
      <c r="U10" s="95">
        <v>13620.833333333334</v>
      </c>
      <c r="V10" s="175">
        <v>1399900</v>
      </c>
      <c r="W10" s="95">
        <v>13620.833333333334</v>
      </c>
      <c r="X10" s="128"/>
      <c r="Y10" s="175">
        <v>499900</v>
      </c>
      <c r="Z10" s="175">
        <v>76000</v>
      </c>
      <c r="AA10" s="95">
        <f>IFERROR(IF(D10="Premium",0.4*Y10,0),"No Disp")</f>
        <v>199960</v>
      </c>
      <c r="AB10" s="95">
        <f>IFERROR(IF(4*Y10&gt;AC10,1.5*Y10,4*Y10),"No Disp")</f>
        <v>749850</v>
      </c>
      <c r="AC10" s="95">
        <f>IF(Z10="No Disp","No Disp",(Z10*18)+Y10)</f>
        <v>1867900</v>
      </c>
      <c r="AD10" s="95">
        <f>IF($H10="EMP",18*Z10-100,18*Z10-100+Y10)</f>
        <v>1867800</v>
      </c>
      <c r="AE10" s="175">
        <v>329900</v>
      </c>
      <c r="AF10" s="175">
        <v>76000</v>
      </c>
      <c r="AG10" s="95">
        <f>IF(AF10="No Disp","No Disp",(AF10*18)+AE10)</f>
        <v>1697900</v>
      </c>
      <c r="AH10" s="95">
        <f>IF($H10="EMP",18*AF10-100,18*AF10-100+AE10)</f>
        <v>1697800</v>
      </c>
      <c r="AI10" s="95" t="s">
        <v>4613</v>
      </c>
      <c r="AJ10" s="99"/>
      <c r="AK10" s="100" t="s">
        <v>43</v>
      </c>
      <c r="AL10" s="100" t="s">
        <v>43</v>
      </c>
      <c r="AM10" s="100" t="s">
        <v>43</v>
      </c>
      <c r="AN10" s="100" t="s">
        <v>43</v>
      </c>
      <c r="AO10" s="100" t="s">
        <v>43</v>
      </c>
      <c r="AP10" s="100" t="s">
        <v>43</v>
      </c>
      <c r="AQ10" s="100" t="s">
        <v>43</v>
      </c>
      <c r="AR10" s="100" t="s">
        <v>43</v>
      </c>
      <c r="AS10" s="100" t="s">
        <v>43</v>
      </c>
    </row>
    <row r="11" spans="1:45" s="101" customFormat="1" x14ac:dyDescent="0.25">
      <c r="A11" s="90" t="s">
        <v>38</v>
      </c>
      <c r="B11" s="90" t="s">
        <v>40</v>
      </c>
      <c r="C11" s="90" t="s">
        <v>39</v>
      </c>
      <c r="D11" s="168" t="s">
        <v>4540</v>
      </c>
      <c r="E11" s="168" t="s">
        <v>4538</v>
      </c>
      <c r="F11" s="169"/>
      <c r="G11" s="176">
        <v>70016159</v>
      </c>
      <c r="H11" s="177" t="s">
        <v>3896</v>
      </c>
      <c r="I11" s="178" t="s">
        <v>171</v>
      </c>
      <c r="J11" s="189" t="s">
        <v>4752</v>
      </c>
      <c r="K11" s="166" t="s">
        <v>4715</v>
      </c>
      <c r="L11" s="189" t="s">
        <v>4754</v>
      </c>
      <c r="M11" s="175">
        <v>359900</v>
      </c>
      <c r="N11" s="95">
        <v>6000</v>
      </c>
      <c r="O11" s="95">
        <v>8500</v>
      </c>
      <c r="P11" s="96">
        <v>399990</v>
      </c>
      <c r="Q11" s="152"/>
      <c r="R11" s="175">
        <v>399990</v>
      </c>
      <c r="S11" s="95">
        <v>13620.833333333334</v>
      </c>
      <c r="T11" s="175">
        <v>359900</v>
      </c>
      <c r="U11" s="95">
        <v>13620.833333333334</v>
      </c>
      <c r="V11" s="175">
        <v>359900</v>
      </c>
      <c r="W11" s="95">
        <v>13620.833333333334</v>
      </c>
      <c r="X11" s="128"/>
      <c r="Y11" s="175">
        <v>49900</v>
      </c>
      <c r="Z11" s="175">
        <v>30000</v>
      </c>
      <c r="AA11" s="95">
        <f>IFERROR(IF(D11="Premium",0.4*Y11,0),"No Disp")</f>
        <v>19960</v>
      </c>
      <c r="AB11" s="95">
        <f>IFERROR(IF(4*Y11&gt;AC11,1.5*Y11,4*Y11),"No Disp")</f>
        <v>199600</v>
      </c>
      <c r="AC11" s="95">
        <f>IF(Z11="No Disp","No Disp",(Z11*18)+Y11)</f>
        <v>589900</v>
      </c>
      <c r="AD11" s="95">
        <f>IF($H11="EMP",18*Z11-100,18*Z11-100+Y11)</f>
        <v>589800</v>
      </c>
      <c r="AE11" s="175">
        <v>29900</v>
      </c>
      <c r="AF11" s="175">
        <v>27500</v>
      </c>
      <c r="AG11" s="95">
        <f>IF(AF11="No Disp","No Disp",(AF11*18)+AE11)</f>
        <v>524900</v>
      </c>
      <c r="AH11" s="95">
        <f>IF($H11="EMP",18*AF11-100,18*AF11-100+AE11)</f>
        <v>524800</v>
      </c>
      <c r="AI11" s="95" t="s">
        <v>4613</v>
      </c>
      <c r="AJ11" s="99"/>
      <c r="AK11" s="100" t="s">
        <v>43</v>
      </c>
      <c r="AL11" s="100" t="s">
        <v>43</v>
      </c>
      <c r="AM11" s="100" t="s">
        <v>43</v>
      </c>
      <c r="AN11" s="100" t="s">
        <v>43</v>
      </c>
      <c r="AO11" s="100" t="s">
        <v>43</v>
      </c>
      <c r="AP11" s="100" t="s">
        <v>43</v>
      </c>
      <c r="AQ11" s="100" t="s">
        <v>43</v>
      </c>
      <c r="AR11" s="100" t="s">
        <v>43</v>
      </c>
      <c r="AS11" s="100" t="s">
        <v>43</v>
      </c>
    </row>
    <row r="12" spans="1:45" s="101" customFormat="1" x14ac:dyDescent="0.25">
      <c r="A12" s="90" t="s">
        <v>38</v>
      </c>
      <c r="B12" s="90" t="s">
        <v>40</v>
      </c>
      <c r="C12" s="90" t="s">
        <v>39</v>
      </c>
      <c r="D12" s="168" t="s">
        <v>4540</v>
      </c>
      <c r="E12" s="168" t="s">
        <v>4538</v>
      </c>
      <c r="F12" s="169"/>
      <c r="G12" s="176">
        <v>70016163</v>
      </c>
      <c r="H12" s="177" t="s">
        <v>3896</v>
      </c>
      <c r="I12" s="178" t="s">
        <v>171</v>
      </c>
      <c r="J12" s="189" t="s">
        <v>4752</v>
      </c>
      <c r="K12" s="166" t="s">
        <v>4716</v>
      </c>
      <c r="L12" s="189" t="s">
        <v>4755</v>
      </c>
      <c r="M12" s="175">
        <v>359900</v>
      </c>
      <c r="N12" s="95">
        <v>6000</v>
      </c>
      <c r="O12" s="95">
        <v>8500</v>
      </c>
      <c r="P12" s="96">
        <v>399990</v>
      </c>
      <c r="Q12" s="152"/>
      <c r="R12" s="175">
        <v>399990</v>
      </c>
      <c r="S12" s="95">
        <v>13620.833333333334</v>
      </c>
      <c r="T12" s="175">
        <v>359900</v>
      </c>
      <c r="U12" s="95">
        <v>13620.833333333334</v>
      </c>
      <c r="V12" s="175">
        <v>359900</v>
      </c>
      <c r="W12" s="95">
        <v>13620.833333333334</v>
      </c>
      <c r="X12" s="128"/>
      <c r="Y12" s="175">
        <v>49900</v>
      </c>
      <c r="Z12" s="175">
        <v>30000</v>
      </c>
      <c r="AA12" s="95">
        <f>IFERROR(IF(D12="Premium",0.4*Y12,0),"No Disp")</f>
        <v>19960</v>
      </c>
      <c r="AB12" s="95">
        <f>IFERROR(IF(4*Y12&gt;AC12,1.5*Y12,4*Y12),"No Disp")</f>
        <v>199600</v>
      </c>
      <c r="AC12" s="95">
        <f>IF(Z12="No Disp","No Disp",(Z12*18)+Y12)</f>
        <v>589900</v>
      </c>
      <c r="AD12" s="95">
        <f>IF($H12="EMP",18*Z12-100,18*Z12-100+Y12)</f>
        <v>589800</v>
      </c>
      <c r="AE12" s="175">
        <v>29900</v>
      </c>
      <c r="AF12" s="175">
        <v>27500</v>
      </c>
      <c r="AG12" s="95">
        <f>IF(AF12="No Disp","No Disp",(AF12*18)+AE12)</f>
        <v>524900</v>
      </c>
      <c r="AH12" s="95">
        <f>IF($H12="EMP",18*AF12-100,18*AF12-100+AE12)</f>
        <v>524800</v>
      </c>
      <c r="AI12" s="95" t="s">
        <v>4613</v>
      </c>
      <c r="AJ12" s="99"/>
      <c r="AK12" s="100" t="s">
        <v>43</v>
      </c>
      <c r="AL12" s="100" t="s">
        <v>43</v>
      </c>
      <c r="AM12" s="100" t="s">
        <v>43</v>
      </c>
      <c r="AN12" s="100" t="s">
        <v>43</v>
      </c>
      <c r="AO12" s="100" t="s">
        <v>43</v>
      </c>
      <c r="AP12" s="100" t="s">
        <v>43</v>
      </c>
      <c r="AQ12" s="100" t="s">
        <v>43</v>
      </c>
      <c r="AR12" s="100" t="s">
        <v>43</v>
      </c>
      <c r="AS12" s="100" t="s">
        <v>43</v>
      </c>
    </row>
    <row r="13" spans="1:45" s="101" customFormat="1" x14ac:dyDescent="0.25">
      <c r="A13" s="90" t="s">
        <v>38</v>
      </c>
      <c r="B13" s="90" t="s">
        <v>40</v>
      </c>
      <c r="C13" s="90" t="s">
        <v>39</v>
      </c>
      <c r="D13" s="168" t="s">
        <v>4539</v>
      </c>
      <c r="E13" s="168" t="s">
        <v>4538</v>
      </c>
      <c r="F13" s="169"/>
      <c r="G13" s="176">
        <v>70016288</v>
      </c>
      <c r="H13" s="177" t="s">
        <v>3896</v>
      </c>
      <c r="I13" s="178" t="s">
        <v>171</v>
      </c>
      <c r="J13" s="189" t="s">
        <v>4753</v>
      </c>
      <c r="K13" s="166" t="s">
        <v>4710</v>
      </c>
      <c r="L13" s="189" t="s">
        <v>4756</v>
      </c>
      <c r="M13" s="175">
        <v>359900</v>
      </c>
      <c r="N13" s="95">
        <v>6000</v>
      </c>
      <c r="O13" s="95">
        <v>8500</v>
      </c>
      <c r="P13" s="96">
        <v>399990</v>
      </c>
      <c r="Q13" s="152"/>
      <c r="R13" s="175">
        <v>399990</v>
      </c>
      <c r="S13" s="95">
        <v>13620.833333333334</v>
      </c>
      <c r="T13" s="175">
        <v>359900</v>
      </c>
      <c r="U13" s="95">
        <v>13620.833333333334</v>
      </c>
      <c r="V13" s="175">
        <v>359900</v>
      </c>
      <c r="W13" s="95">
        <v>13620.833333333334</v>
      </c>
      <c r="X13" s="128"/>
      <c r="Y13" s="175">
        <v>49900</v>
      </c>
      <c r="Z13" s="175">
        <v>30000</v>
      </c>
      <c r="AA13" s="95">
        <f>IFERROR(IF(D13="Premium",0.4*Y13,0),"No Disp")</f>
        <v>0</v>
      </c>
      <c r="AB13" s="95">
        <f>IFERROR(IF(4*Y13&gt;AC13,1.5*Y13,4*Y13),"No Disp")</f>
        <v>199600</v>
      </c>
      <c r="AC13" s="95">
        <f>IF(Z13="No Disp","No Disp",(Z13*18)+Y13)</f>
        <v>589900</v>
      </c>
      <c r="AD13" s="95">
        <f>IF($H13="EMP",18*Z13-100,18*Z13-100+Y13)</f>
        <v>589800</v>
      </c>
      <c r="AE13" s="175">
        <v>29900</v>
      </c>
      <c r="AF13" s="175">
        <v>27500</v>
      </c>
      <c r="AG13" s="95">
        <f>IF(AF13="No Disp","No Disp",(AF13*18)+AE13)</f>
        <v>524900</v>
      </c>
      <c r="AH13" s="95">
        <f>IF($H13="EMP",18*AF13-100,18*AF13-100+AE13)</f>
        <v>524800</v>
      </c>
      <c r="AI13" s="95" t="s">
        <v>4613</v>
      </c>
      <c r="AJ13" s="99"/>
      <c r="AK13" s="100" t="s">
        <v>43</v>
      </c>
      <c r="AL13" s="100" t="s">
        <v>43</v>
      </c>
      <c r="AM13" s="100" t="s">
        <v>43</v>
      </c>
      <c r="AN13" s="100" t="s">
        <v>43</v>
      </c>
      <c r="AO13" s="100" t="s">
        <v>43</v>
      </c>
      <c r="AP13" s="100" t="s">
        <v>43</v>
      </c>
      <c r="AQ13" s="100" t="s">
        <v>43</v>
      </c>
      <c r="AR13" s="100" t="s">
        <v>43</v>
      </c>
      <c r="AS13" s="100" t="s">
        <v>43</v>
      </c>
    </row>
    <row r="14" spans="1:45" s="101" customFormat="1" x14ac:dyDescent="0.25">
      <c r="A14" s="90" t="s">
        <v>38</v>
      </c>
      <c r="B14" s="90" t="s">
        <v>40</v>
      </c>
      <c r="C14" s="90" t="s">
        <v>39</v>
      </c>
      <c r="D14" s="168" t="s">
        <v>4539</v>
      </c>
      <c r="E14" s="168" t="s">
        <v>4538</v>
      </c>
      <c r="F14" s="169"/>
      <c r="G14" s="176">
        <v>70016292</v>
      </c>
      <c r="H14" s="177" t="s">
        <v>3896</v>
      </c>
      <c r="I14" s="178" t="s">
        <v>171</v>
      </c>
      <c r="J14" s="189" t="s">
        <v>4753</v>
      </c>
      <c r="K14" s="166" t="s">
        <v>4711</v>
      </c>
      <c r="L14" s="189" t="s">
        <v>4757</v>
      </c>
      <c r="M14" s="175">
        <v>359900</v>
      </c>
      <c r="N14" s="95">
        <v>6000</v>
      </c>
      <c r="O14" s="95">
        <v>8500</v>
      </c>
      <c r="P14" s="96">
        <v>399990</v>
      </c>
      <c r="Q14" s="152"/>
      <c r="R14" s="175">
        <v>399990</v>
      </c>
      <c r="S14" s="95">
        <v>13620.833333333334</v>
      </c>
      <c r="T14" s="175">
        <v>359900</v>
      </c>
      <c r="U14" s="95">
        <v>13620.833333333334</v>
      </c>
      <c r="V14" s="175">
        <v>359900</v>
      </c>
      <c r="W14" s="95">
        <v>13620.833333333334</v>
      </c>
      <c r="X14" s="128"/>
      <c r="Y14" s="175">
        <v>49900</v>
      </c>
      <c r="Z14" s="175">
        <v>30000</v>
      </c>
      <c r="AA14" s="95">
        <f>IFERROR(IF(D14="Premium",0.4*Y14,0),"No Disp")</f>
        <v>0</v>
      </c>
      <c r="AB14" s="95">
        <f>IFERROR(IF(4*Y14&gt;AC14,1.5*Y14,4*Y14),"No Disp")</f>
        <v>199600</v>
      </c>
      <c r="AC14" s="95">
        <f>IF(Z14="No Disp","No Disp",(Z14*18)+Y14)</f>
        <v>589900</v>
      </c>
      <c r="AD14" s="95">
        <f>IF($H14="EMP",18*Z14-100,18*Z14-100+Y14)</f>
        <v>589800</v>
      </c>
      <c r="AE14" s="175">
        <v>29900</v>
      </c>
      <c r="AF14" s="175">
        <v>27500</v>
      </c>
      <c r="AG14" s="95">
        <f>IF(AF14="No Disp","No Disp",(AF14*18)+AE14)</f>
        <v>524900</v>
      </c>
      <c r="AH14" s="95">
        <f>IF($H14="EMP",18*AF14-100,18*AF14-100+AE14)</f>
        <v>524800</v>
      </c>
      <c r="AI14" s="95" t="s">
        <v>4613</v>
      </c>
      <c r="AJ14" s="99"/>
      <c r="AK14" s="100" t="s">
        <v>43</v>
      </c>
      <c r="AL14" s="100" t="s">
        <v>43</v>
      </c>
      <c r="AM14" s="100" t="s">
        <v>43</v>
      </c>
      <c r="AN14" s="100" t="s">
        <v>43</v>
      </c>
      <c r="AO14" s="100" t="s">
        <v>43</v>
      </c>
      <c r="AP14" s="100" t="s">
        <v>43</v>
      </c>
      <c r="AQ14" s="100" t="s">
        <v>43</v>
      </c>
      <c r="AR14" s="100" t="s">
        <v>43</v>
      </c>
      <c r="AS14" s="100" t="s">
        <v>43</v>
      </c>
    </row>
    <row r="15" spans="1:45" s="101" customFormat="1" x14ac:dyDescent="0.25">
      <c r="A15" s="90" t="s">
        <v>38</v>
      </c>
      <c r="B15" s="90" t="s">
        <v>40</v>
      </c>
      <c r="C15" s="90" t="s">
        <v>39</v>
      </c>
      <c r="D15" s="168" t="s">
        <v>4539</v>
      </c>
      <c r="E15" s="168" t="s">
        <v>4538</v>
      </c>
      <c r="F15" s="169"/>
      <c r="G15" s="176">
        <v>70016202</v>
      </c>
      <c r="H15" s="177" t="s">
        <v>3896</v>
      </c>
      <c r="I15" s="178" t="s">
        <v>171</v>
      </c>
      <c r="J15" s="189" t="s">
        <v>4753</v>
      </c>
      <c r="K15" s="166" t="s">
        <v>4712</v>
      </c>
      <c r="L15" s="189" t="s">
        <v>4756</v>
      </c>
      <c r="M15" s="175">
        <v>359900</v>
      </c>
      <c r="N15" s="95">
        <v>6000</v>
      </c>
      <c r="O15" s="95">
        <v>8500</v>
      </c>
      <c r="P15" s="96">
        <v>399990</v>
      </c>
      <c r="Q15" s="152"/>
      <c r="R15" s="175">
        <v>399990</v>
      </c>
      <c r="S15" s="95">
        <v>13620.833333333334</v>
      </c>
      <c r="T15" s="175">
        <v>359900</v>
      </c>
      <c r="U15" s="95">
        <v>13620.833333333334</v>
      </c>
      <c r="V15" s="175">
        <v>359900</v>
      </c>
      <c r="W15" s="95">
        <v>13620.833333333334</v>
      </c>
      <c r="X15" s="128"/>
      <c r="Y15" s="175">
        <v>49900</v>
      </c>
      <c r="Z15" s="175">
        <v>30000</v>
      </c>
      <c r="AA15" s="95">
        <f>IFERROR(IF(D15="Premium",0.4*Y15,0),"No Disp")</f>
        <v>0</v>
      </c>
      <c r="AB15" s="95">
        <f>IFERROR(IF(4*Y15&gt;AC15,1.5*Y15,4*Y15),"No Disp")</f>
        <v>199600</v>
      </c>
      <c r="AC15" s="95">
        <f>IF(Z15="No Disp","No Disp",(Z15*18)+Y15)</f>
        <v>589900</v>
      </c>
      <c r="AD15" s="95">
        <f>IF($H15="EMP",18*Z15-100,18*Z15-100+Y15)</f>
        <v>589800</v>
      </c>
      <c r="AE15" s="175">
        <v>29900</v>
      </c>
      <c r="AF15" s="175">
        <v>27500</v>
      </c>
      <c r="AG15" s="95">
        <f>IF(AF15="No Disp","No Disp",(AF15*18)+AE15)</f>
        <v>524900</v>
      </c>
      <c r="AH15" s="95">
        <f>IF($H15="EMP",18*AF15-100,18*AF15-100+AE15)</f>
        <v>524800</v>
      </c>
      <c r="AI15" s="95" t="s">
        <v>4613</v>
      </c>
      <c r="AJ15" s="99"/>
      <c r="AK15" s="100" t="s">
        <v>43</v>
      </c>
      <c r="AL15" s="100" t="s">
        <v>43</v>
      </c>
      <c r="AM15" s="100" t="s">
        <v>43</v>
      </c>
      <c r="AN15" s="100" t="s">
        <v>43</v>
      </c>
      <c r="AO15" s="100" t="s">
        <v>43</v>
      </c>
      <c r="AP15" s="100" t="s">
        <v>43</v>
      </c>
      <c r="AQ15" s="100" t="s">
        <v>43</v>
      </c>
      <c r="AR15" s="100" t="s">
        <v>43</v>
      </c>
      <c r="AS15" s="100" t="s">
        <v>43</v>
      </c>
    </row>
    <row r="16" spans="1:45" s="101" customFormat="1" x14ac:dyDescent="0.25">
      <c r="A16" s="90" t="s">
        <v>38</v>
      </c>
      <c r="B16" s="90" t="s">
        <v>40</v>
      </c>
      <c r="C16" s="90" t="s">
        <v>39</v>
      </c>
      <c r="D16" s="168" t="s">
        <v>4539</v>
      </c>
      <c r="E16" s="168" t="s">
        <v>4538</v>
      </c>
      <c r="F16" s="169"/>
      <c r="G16" s="176">
        <v>70016206</v>
      </c>
      <c r="H16" s="177" t="s">
        <v>3896</v>
      </c>
      <c r="I16" s="178" t="s">
        <v>171</v>
      </c>
      <c r="J16" s="189" t="s">
        <v>4753</v>
      </c>
      <c r="K16" s="166" t="s">
        <v>4713</v>
      </c>
      <c r="L16" s="189" t="s">
        <v>4757</v>
      </c>
      <c r="M16" s="175">
        <v>359900</v>
      </c>
      <c r="N16" s="95">
        <v>6000</v>
      </c>
      <c r="O16" s="95">
        <v>8500</v>
      </c>
      <c r="P16" s="96">
        <v>399990</v>
      </c>
      <c r="Q16" s="152"/>
      <c r="R16" s="175">
        <v>399990</v>
      </c>
      <c r="S16" s="95">
        <v>13620.833333333334</v>
      </c>
      <c r="T16" s="175">
        <v>359900</v>
      </c>
      <c r="U16" s="95">
        <v>13620.833333333334</v>
      </c>
      <c r="V16" s="175">
        <v>359900</v>
      </c>
      <c r="W16" s="95">
        <v>13620.833333333334</v>
      </c>
      <c r="X16" s="128"/>
      <c r="Y16" s="175">
        <v>49900</v>
      </c>
      <c r="Z16" s="175">
        <v>30000</v>
      </c>
      <c r="AA16" s="95">
        <f>IFERROR(IF(D16="Premium",0.4*Y16,0),"No Disp")</f>
        <v>0</v>
      </c>
      <c r="AB16" s="95">
        <f>IFERROR(IF(4*Y16&gt;AC16,1.5*Y16,4*Y16),"No Disp")</f>
        <v>199600</v>
      </c>
      <c r="AC16" s="95">
        <f>IF(Z16="No Disp","No Disp",(Z16*18)+Y16)</f>
        <v>589900</v>
      </c>
      <c r="AD16" s="95">
        <f>IF($H16="EMP",18*Z16-100,18*Z16-100+Y16)</f>
        <v>589800</v>
      </c>
      <c r="AE16" s="175">
        <v>29900</v>
      </c>
      <c r="AF16" s="175">
        <v>27500</v>
      </c>
      <c r="AG16" s="95">
        <f>IF(AF16="No Disp","No Disp",(AF16*18)+AE16)</f>
        <v>524900</v>
      </c>
      <c r="AH16" s="95">
        <f>IF($H16="EMP",18*AF16-100,18*AF16-100+AE16)</f>
        <v>524800</v>
      </c>
      <c r="AI16" s="95" t="s">
        <v>4613</v>
      </c>
      <c r="AJ16" s="99"/>
      <c r="AK16" s="100" t="s">
        <v>43</v>
      </c>
      <c r="AL16" s="100" t="s">
        <v>43</v>
      </c>
      <c r="AM16" s="100" t="s">
        <v>43</v>
      </c>
      <c r="AN16" s="100" t="s">
        <v>43</v>
      </c>
      <c r="AO16" s="100" t="s">
        <v>43</v>
      </c>
      <c r="AP16" s="100" t="s">
        <v>43</v>
      </c>
      <c r="AQ16" s="100" t="s">
        <v>43</v>
      </c>
      <c r="AR16" s="100" t="s">
        <v>43</v>
      </c>
      <c r="AS16" s="100" t="s">
        <v>43</v>
      </c>
    </row>
    <row r="17" spans="1:45" s="101" customFormat="1" x14ac:dyDescent="0.25">
      <c r="A17" s="90" t="s">
        <v>38</v>
      </c>
      <c r="B17" s="90" t="s">
        <v>40</v>
      </c>
      <c r="C17" s="90" t="s">
        <v>39</v>
      </c>
      <c r="D17" s="168" t="s">
        <v>4539</v>
      </c>
      <c r="E17" s="168" t="s">
        <v>4538</v>
      </c>
      <c r="F17" s="169"/>
      <c r="G17" s="176">
        <v>70016150</v>
      </c>
      <c r="H17" s="177" t="s">
        <v>3896</v>
      </c>
      <c r="I17" s="178" t="s">
        <v>171</v>
      </c>
      <c r="J17" s="189" t="s">
        <v>4753</v>
      </c>
      <c r="K17" s="166" t="s">
        <v>4714</v>
      </c>
      <c r="L17" s="189" t="s">
        <v>4756</v>
      </c>
      <c r="M17" s="175">
        <v>359900</v>
      </c>
      <c r="N17" s="95">
        <v>6000</v>
      </c>
      <c r="O17" s="95">
        <v>8500</v>
      </c>
      <c r="P17" s="96">
        <v>399990</v>
      </c>
      <c r="Q17" s="152"/>
      <c r="R17" s="175">
        <v>399990</v>
      </c>
      <c r="S17" s="95">
        <v>13620.833333333334</v>
      </c>
      <c r="T17" s="175">
        <v>359900</v>
      </c>
      <c r="U17" s="95">
        <v>13620.833333333334</v>
      </c>
      <c r="V17" s="175">
        <v>359900</v>
      </c>
      <c r="W17" s="95">
        <v>13620.833333333334</v>
      </c>
      <c r="X17" s="128"/>
      <c r="Y17" s="175">
        <v>49900</v>
      </c>
      <c r="Z17" s="175">
        <v>30000</v>
      </c>
      <c r="AA17" s="95">
        <f>IFERROR(IF(D17="Premium",0.4*Y17,0),"No Disp")</f>
        <v>0</v>
      </c>
      <c r="AB17" s="95">
        <f>IFERROR(IF(4*Y17&gt;AC17,1.5*Y17,4*Y17),"No Disp")</f>
        <v>199600</v>
      </c>
      <c r="AC17" s="95">
        <f>IF(Z17="No Disp","No Disp",(Z17*18)+Y17)</f>
        <v>589900</v>
      </c>
      <c r="AD17" s="95">
        <f>IF($H17="EMP",18*Z17-100,18*Z17-100+Y17)</f>
        <v>589800</v>
      </c>
      <c r="AE17" s="175">
        <v>29900</v>
      </c>
      <c r="AF17" s="175">
        <v>27500</v>
      </c>
      <c r="AG17" s="95">
        <f>IF(AF17="No Disp","No Disp",(AF17*18)+AE17)</f>
        <v>524900</v>
      </c>
      <c r="AH17" s="95">
        <f>IF($H17="EMP",18*AF17-100,18*AF17-100+AE17)</f>
        <v>524800</v>
      </c>
      <c r="AI17" s="95" t="s">
        <v>4613</v>
      </c>
      <c r="AJ17" s="99"/>
      <c r="AK17" s="100" t="s">
        <v>43</v>
      </c>
      <c r="AL17" s="100" t="s">
        <v>43</v>
      </c>
      <c r="AM17" s="100" t="s">
        <v>43</v>
      </c>
      <c r="AN17" s="100" t="s">
        <v>43</v>
      </c>
      <c r="AO17" s="100" t="s">
        <v>43</v>
      </c>
      <c r="AP17" s="100" t="s">
        <v>43</v>
      </c>
      <c r="AQ17" s="100" t="s">
        <v>43</v>
      </c>
      <c r="AR17" s="100" t="s">
        <v>43</v>
      </c>
      <c r="AS17" s="100" t="s">
        <v>43</v>
      </c>
    </row>
    <row r="18" spans="1:45" s="101" customFormat="1" x14ac:dyDescent="0.25">
      <c r="A18" s="90" t="s">
        <v>38</v>
      </c>
      <c r="B18" s="90" t="s">
        <v>40</v>
      </c>
      <c r="C18" s="90" t="s">
        <v>39</v>
      </c>
      <c r="D18" s="168" t="s">
        <v>4539</v>
      </c>
      <c r="E18" s="168" t="s">
        <v>4538</v>
      </c>
      <c r="F18" s="169"/>
      <c r="G18" s="176">
        <v>70016169</v>
      </c>
      <c r="H18" s="177" t="s">
        <v>3896</v>
      </c>
      <c r="I18" s="178" t="s">
        <v>171</v>
      </c>
      <c r="J18" s="189" t="s">
        <v>4753</v>
      </c>
      <c r="K18" s="166" t="s">
        <v>4717</v>
      </c>
      <c r="L18" s="189" t="s">
        <v>4757</v>
      </c>
      <c r="M18" s="175">
        <v>359900</v>
      </c>
      <c r="N18" s="95">
        <v>6000</v>
      </c>
      <c r="O18" s="95">
        <v>8500</v>
      </c>
      <c r="P18" s="96">
        <v>399990</v>
      </c>
      <c r="Q18" s="152"/>
      <c r="R18" s="175">
        <v>399990</v>
      </c>
      <c r="S18" s="95">
        <v>13620.833333333334</v>
      </c>
      <c r="T18" s="175">
        <v>359900</v>
      </c>
      <c r="U18" s="95">
        <v>13620.833333333334</v>
      </c>
      <c r="V18" s="175">
        <v>359900</v>
      </c>
      <c r="W18" s="95">
        <v>13620.833333333334</v>
      </c>
      <c r="X18" s="128"/>
      <c r="Y18" s="175">
        <v>49900</v>
      </c>
      <c r="Z18" s="175">
        <v>30000</v>
      </c>
      <c r="AA18" s="95">
        <f>IFERROR(IF(D18="Premium",0.4*Y18,0),"No Disp")</f>
        <v>0</v>
      </c>
      <c r="AB18" s="95">
        <f>IFERROR(IF(4*Y18&gt;AC18,1.5*Y18,4*Y18),"No Disp")</f>
        <v>199600</v>
      </c>
      <c r="AC18" s="95">
        <f>IF(Z18="No Disp","No Disp",(Z18*18)+Y18)</f>
        <v>589900</v>
      </c>
      <c r="AD18" s="95">
        <f>IF($H18="EMP",18*Z18-100,18*Z18-100+Y18)</f>
        <v>589800</v>
      </c>
      <c r="AE18" s="175">
        <v>29900</v>
      </c>
      <c r="AF18" s="175">
        <v>27500</v>
      </c>
      <c r="AG18" s="95">
        <f>IF(AF18="No Disp","No Disp",(AF18*18)+AE18)</f>
        <v>524900</v>
      </c>
      <c r="AH18" s="95">
        <f>IF($H18="EMP",18*AF18-100,18*AF18-100+AE18)</f>
        <v>524800</v>
      </c>
      <c r="AI18" s="95" t="s">
        <v>4613</v>
      </c>
      <c r="AJ18" s="99"/>
      <c r="AK18" s="100" t="s">
        <v>43</v>
      </c>
      <c r="AL18" s="100" t="s">
        <v>43</v>
      </c>
      <c r="AM18" s="100" t="s">
        <v>43</v>
      </c>
      <c r="AN18" s="100" t="s">
        <v>43</v>
      </c>
      <c r="AO18" s="100" t="s">
        <v>43</v>
      </c>
      <c r="AP18" s="100" t="s">
        <v>43</v>
      </c>
      <c r="AQ18" s="100" t="s">
        <v>43</v>
      </c>
      <c r="AR18" s="100" t="s">
        <v>43</v>
      </c>
      <c r="AS18" s="100" t="s">
        <v>43</v>
      </c>
    </row>
    <row r="19" spans="1:45" s="101" customFormat="1" x14ac:dyDescent="0.25">
      <c r="A19" s="90" t="s">
        <v>38</v>
      </c>
      <c r="B19" s="90" t="s">
        <v>40</v>
      </c>
      <c r="C19" s="90" t="s">
        <v>39</v>
      </c>
      <c r="D19" s="168" t="s">
        <v>4539</v>
      </c>
      <c r="E19" s="168" t="s">
        <v>4538</v>
      </c>
      <c r="F19" s="169"/>
      <c r="G19" s="176">
        <v>70015987</v>
      </c>
      <c r="H19" s="177" t="s">
        <v>4370</v>
      </c>
      <c r="I19" s="178" t="s">
        <v>41</v>
      </c>
      <c r="J19" s="189" t="s">
        <v>4724</v>
      </c>
      <c r="K19" s="166" t="s">
        <v>4708</v>
      </c>
      <c r="L19" s="189" t="s">
        <v>4725</v>
      </c>
      <c r="M19" s="175">
        <v>389900</v>
      </c>
      <c r="N19" s="95">
        <v>6000</v>
      </c>
      <c r="O19" s="95">
        <v>8500</v>
      </c>
      <c r="P19" s="96">
        <v>399990</v>
      </c>
      <c r="Q19" s="152"/>
      <c r="R19" s="175">
        <v>389900</v>
      </c>
      <c r="S19" s="175">
        <v>13620.833333333334</v>
      </c>
      <c r="T19" s="175">
        <v>389900</v>
      </c>
      <c r="U19" s="175">
        <v>13620.833333333334</v>
      </c>
      <c r="V19" s="175">
        <v>389900</v>
      </c>
      <c r="W19" s="175">
        <v>13620.833333333334</v>
      </c>
      <c r="X19" s="128"/>
      <c r="Y19" s="175">
        <v>89900</v>
      </c>
      <c r="Z19" s="175">
        <v>20000</v>
      </c>
      <c r="AA19" s="95">
        <f>IFERROR(IF(D19="Premium",0.4*Y19,0),"No Disp")</f>
        <v>0</v>
      </c>
      <c r="AB19" s="95">
        <f>IFERROR(IF(4*Y19&gt;AC19,1.5*Y19,4*Y19),"No Disp")</f>
        <v>359600</v>
      </c>
      <c r="AC19" s="95">
        <f>IF(Z19="No Disp","No Disp",(Z19*18)+Y19)</f>
        <v>449900</v>
      </c>
      <c r="AD19" s="95">
        <f>IF($H19="EMP",18*Z19-100,18*Z19-100+Y19)</f>
        <v>359900</v>
      </c>
      <c r="AE19" s="175">
        <v>89900</v>
      </c>
      <c r="AF19" s="175">
        <v>20000</v>
      </c>
      <c r="AG19" s="95">
        <f>IF(AF19="No Disp","No Disp",(AF19*18)+AE19)</f>
        <v>449900</v>
      </c>
      <c r="AH19" s="95">
        <f>IF($H19="EMP",18*AF19-100,18*AF19-100+AE19)</f>
        <v>359900</v>
      </c>
      <c r="AI19" s="175">
        <v>24000</v>
      </c>
      <c r="AJ19" s="99"/>
      <c r="AK19" s="100" t="s">
        <v>43</v>
      </c>
      <c r="AL19" s="100" t="s">
        <v>43</v>
      </c>
      <c r="AM19" s="100" t="s">
        <v>43</v>
      </c>
      <c r="AN19" s="100" t="s">
        <v>43</v>
      </c>
      <c r="AO19" s="100" t="s">
        <v>43</v>
      </c>
      <c r="AP19" s="100" t="s">
        <v>43</v>
      </c>
      <c r="AQ19" s="100" t="s">
        <v>43</v>
      </c>
      <c r="AR19" s="100" t="s">
        <v>43</v>
      </c>
      <c r="AS19" s="100" t="s">
        <v>43</v>
      </c>
    </row>
    <row r="20" spans="1:45" s="101" customFormat="1" x14ac:dyDescent="0.25">
      <c r="A20" s="90" t="s">
        <v>38</v>
      </c>
      <c r="B20" s="90" t="s">
        <v>40</v>
      </c>
      <c r="C20" s="90" t="s">
        <v>39</v>
      </c>
      <c r="D20" s="168" t="s">
        <v>4539</v>
      </c>
      <c r="E20" s="168" t="s">
        <v>4538</v>
      </c>
      <c r="F20" s="169"/>
      <c r="G20" s="176">
        <v>70016028</v>
      </c>
      <c r="H20" s="177" t="s">
        <v>4370</v>
      </c>
      <c r="I20" s="178" t="s">
        <v>41</v>
      </c>
      <c r="J20" s="189" t="s">
        <v>4622</v>
      </c>
      <c r="K20" s="166" t="s">
        <v>4707</v>
      </c>
      <c r="L20" s="189" t="s">
        <v>4758</v>
      </c>
      <c r="M20" s="175">
        <v>389900</v>
      </c>
      <c r="N20" s="95">
        <v>6000</v>
      </c>
      <c r="O20" s="95">
        <v>8500</v>
      </c>
      <c r="P20" s="96">
        <v>399990</v>
      </c>
      <c r="Q20" s="152"/>
      <c r="R20" s="175">
        <v>389900</v>
      </c>
      <c r="S20" s="175">
        <v>13620.833333333334</v>
      </c>
      <c r="T20" s="175">
        <v>389900</v>
      </c>
      <c r="U20" s="175">
        <v>13620.833333333334</v>
      </c>
      <c r="V20" s="175">
        <v>389900</v>
      </c>
      <c r="W20" s="175">
        <v>13620.833333333334</v>
      </c>
      <c r="X20" s="128"/>
      <c r="Y20" s="175">
        <v>89900</v>
      </c>
      <c r="Z20" s="175">
        <v>20000</v>
      </c>
      <c r="AA20" s="95">
        <f>IFERROR(IF(D20="Premium",0.4*Y20,0),"No Disp")</f>
        <v>0</v>
      </c>
      <c r="AB20" s="95">
        <f>IFERROR(IF(4*Y20&gt;AC20,1.5*Y20,4*Y20),"No Disp")</f>
        <v>359600</v>
      </c>
      <c r="AC20" s="95">
        <f>IF(Z20="No Disp","No Disp",(Z20*18)+Y20)</f>
        <v>449900</v>
      </c>
      <c r="AD20" s="95">
        <f>IF($H20="EMP",18*Z20-100,18*Z20-100+Y20)</f>
        <v>359900</v>
      </c>
      <c r="AE20" s="175">
        <v>89900</v>
      </c>
      <c r="AF20" s="175">
        <v>20000</v>
      </c>
      <c r="AG20" s="95">
        <f>IF(AF20="No Disp","No Disp",(AF20*18)+AE20)</f>
        <v>449900</v>
      </c>
      <c r="AH20" s="95">
        <f>IF($H20="EMP",18*AF20-100,18*AF20-100+AE20)</f>
        <v>359900</v>
      </c>
      <c r="AI20" s="175">
        <v>24000</v>
      </c>
      <c r="AJ20" s="99"/>
      <c r="AK20" s="100" t="s">
        <v>43</v>
      </c>
      <c r="AL20" s="100" t="s">
        <v>43</v>
      </c>
      <c r="AM20" s="100" t="s">
        <v>43</v>
      </c>
      <c r="AN20" s="100" t="s">
        <v>43</v>
      </c>
      <c r="AO20" s="100" t="s">
        <v>43</v>
      </c>
      <c r="AP20" s="100" t="s">
        <v>43</v>
      </c>
      <c r="AQ20" s="100" t="s">
        <v>43</v>
      </c>
      <c r="AR20" s="100" t="s">
        <v>43</v>
      </c>
      <c r="AS20" s="100" t="s">
        <v>43</v>
      </c>
    </row>
    <row r="21" spans="1:45" s="101" customFormat="1" x14ac:dyDescent="0.25">
      <c r="A21" s="90" t="s">
        <v>38</v>
      </c>
      <c r="B21" s="90" t="s">
        <v>40</v>
      </c>
      <c r="C21" s="90" t="s">
        <v>39</v>
      </c>
      <c r="D21" s="168" t="s">
        <v>4539</v>
      </c>
      <c r="E21" s="168" t="s">
        <v>4538</v>
      </c>
      <c r="F21" s="169"/>
      <c r="G21" s="176">
        <v>70015978</v>
      </c>
      <c r="H21" s="177" t="s">
        <v>4370</v>
      </c>
      <c r="I21" s="178" t="s">
        <v>87</v>
      </c>
      <c r="J21" s="189" t="s">
        <v>4546</v>
      </c>
      <c r="K21" s="166" t="s">
        <v>4709</v>
      </c>
      <c r="L21" s="189" t="s">
        <v>4759</v>
      </c>
      <c r="M21" s="175">
        <v>205900</v>
      </c>
      <c r="N21" s="95">
        <v>6000</v>
      </c>
      <c r="O21" s="95">
        <v>8500</v>
      </c>
      <c r="P21" s="96">
        <v>399990</v>
      </c>
      <c r="Q21" s="152"/>
      <c r="R21" s="175">
        <v>205900</v>
      </c>
      <c r="S21" s="175">
        <v>13620.833333333334</v>
      </c>
      <c r="T21" s="175">
        <v>205900</v>
      </c>
      <c r="U21" s="175">
        <v>13620.833333333334</v>
      </c>
      <c r="V21" s="175">
        <v>205900</v>
      </c>
      <c r="W21" s="175">
        <v>13620.833333333334</v>
      </c>
      <c r="X21" s="128"/>
      <c r="Y21" s="175">
        <v>0</v>
      </c>
      <c r="Z21" s="175">
        <v>14000</v>
      </c>
      <c r="AA21" s="95">
        <f>IFERROR(IF(D21="Premium",0.4*Y21,0),"No Disp")</f>
        <v>0</v>
      </c>
      <c r="AB21" s="95">
        <f>IFERROR(IF(4*Y21&gt;AC21,1.5*Y21,4*Y21),"No Disp")</f>
        <v>0</v>
      </c>
      <c r="AC21" s="95">
        <f>IF(Z21="No Disp","No Disp",(Z21*18)+Y21)</f>
        <v>252000</v>
      </c>
      <c r="AD21" s="95">
        <f>IF($H21="EMP",18*Z21-100,18*Z21-100+Y21)</f>
        <v>251900</v>
      </c>
      <c r="AE21" s="175">
        <v>0</v>
      </c>
      <c r="AF21" s="175">
        <v>14000</v>
      </c>
      <c r="AG21" s="95">
        <f>IF(AF21="No Disp","No Disp",(AF21*18)+AE21)</f>
        <v>252000</v>
      </c>
      <c r="AH21" s="95">
        <f>IF($H21="EMP",18*AF21-100,18*AF21-100+AE21)</f>
        <v>251900</v>
      </c>
      <c r="AI21" s="175">
        <v>14000</v>
      </c>
      <c r="AJ21" s="99"/>
      <c r="AK21" s="100" t="s">
        <v>43</v>
      </c>
      <c r="AL21" s="100" t="s">
        <v>43</v>
      </c>
      <c r="AM21" s="100" t="s">
        <v>43</v>
      </c>
      <c r="AN21" s="100" t="s">
        <v>43</v>
      </c>
      <c r="AO21" s="100" t="s">
        <v>43</v>
      </c>
      <c r="AP21" s="100" t="s">
        <v>43</v>
      </c>
      <c r="AQ21" s="100" t="s">
        <v>43</v>
      </c>
      <c r="AR21" s="100" t="s">
        <v>43</v>
      </c>
      <c r="AS21" s="100" t="s">
        <v>43</v>
      </c>
    </row>
    <row r="22" spans="1:45" s="101" customFormat="1" x14ac:dyDescent="0.25">
      <c r="A22" s="90" t="s">
        <v>38</v>
      </c>
      <c r="B22" s="90" t="s">
        <v>39</v>
      </c>
      <c r="C22" s="90" t="s">
        <v>39</v>
      </c>
      <c r="D22" s="168" t="s">
        <v>4539</v>
      </c>
      <c r="E22" s="168" t="s">
        <v>4538</v>
      </c>
      <c r="F22" s="169"/>
      <c r="G22" s="205">
        <v>70016016</v>
      </c>
      <c r="H22" s="206" t="s">
        <v>3896</v>
      </c>
      <c r="I22" s="207" t="s">
        <v>41</v>
      </c>
      <c r="J22" s="211" t="s">
        <v>4622</v>
      </c>
      <c r="K22" s="173" t="s">
        <v>4616</v>
      </c>
      <c r="L22" s="211" t="s">
        <v>4620</v>
      </c>
      <c r="M22" s="175">
        <v>398160</v>
      </c>
      <c r="N22" s="95">
        <v>4000</v>
      </c>
      <c r="O22" s="95">
        <v>6000</v>
      </c>
      <c r="P22" s="96">
        <v>549990</v>
      </c>
      <c r="Q22" s="152"/>
      <c r="R22" s="175">
        <v>448990</v>
      </c>
      <c r="S22" s="95">
        <f>R22/24</f>
        <v>18707.916666666668</v>
      </c>
      <c r="T22" s="175">
        <v>398160</v>
      </c>
      <c r="U22" s="95">
        <f>T22/24</f>
        <v>16590</v>
      </c>
      <c r="V22" s="175">
        <v>398160</v>
      </c>
      <c r="W22" s="95">
        <f>V22/24</f>
        <v>16590</v>
      </c>
      <c r="X22" s="128"/>
      <c r="Y22" s="175">
        <v>49900</v>
      </c>
      <c r="Z22" s="175">
        <v>35500</v>
      </c>
      <c r="AA22" s="95">
        <f>IFERROR(IF(D22="Premium",0.4*Y22,0),"No Disp")</f>
        <v>0</v>
      </c>
      <c r="AB22" s="95">
        <f>IFERROR(IF(4*Y22&gt;AC22,1.5*Y22,4*Y22),"No Disp")</f>
        <v>199600</v>
      </c>
      <c r="AC22" s="95">
        <f>IF(Z22="No Disp","No Disp",(Z22*18)+Y22)</f>
        <v>688900</v>
      </c>
      <c r="AD22" s="95">
        <f>18*Z22-100+Y22</f>
        <v>688800</v>
      </c>
      <c r="AE22" s="175">
        <v>19900</v>
      </c>
      <c r="AF22" s="175">
        <v>34000</v>
      </c>
      <c r="AG22" s="95">
        <f>IF(AF22="No Disp","No Disp",(AF22*18)+AE22)</f>
        <v>631900</v>
      </c>
      <c r="AH22" s="95">
        <f>18*AF22-100+AE22</f>
        <v>631800</v>
      </c>
      <c r="AI22" s="95" t="s">
        <v>4613</v>
      </c>
      <c r="AJ22" s="99"/>
      <c r="AK22" s="100" t="s">
        <v>43</v>
      </c>
      <c r="AL22" s="100" t="s">
        <v>43</v>
      </c>
      <c r="AM22" s="100" t="str">
        <f>IF(AL22&lt;&gt;"No Disp",AK22+12*AL22,"No Disp")</f>
        <v>No Disp</v>
      </c>
      <c r="AN22" s="100" t="s">
        <v>43</v>
      </c>
      <c r="AO22" s="100" t="s">
        <v>43</v>
      </c>
      <c r="AP22" s="100" t="str">
        <f>IF(AO22&lt;&gt;"No Disp",AN22+12*AO22,"No Disp")</f>
        <v>No Disp</v>
      </c>
      <c r="AQ22" s="100" t="s">
        <v>43</v>
      </c>
      <c r="AR22" s="100" t="s">
        <v>43</v>
      </c>
      <c r="AS22" s="100" t="str">
        <f>IF(AR22&lt;&gt;"No Disp",AQ22+12*AR22,"No Disp")</f>
        <v>No Disp</v>
      </c>
    </row>
    <row r="23" spans="1:45" s="101" customFormat="1" x14ac:dyDescent="0.25">
      <c r="A23" s="90" t="s">
        <v>38</v>
      </c>
      <c r="B23" s="90" t="s">
        <v>39</v>
      </c>
      <c r="C23" s="90" t="s">
        <v>39</v>
      </c>
      <c r="D23" s="168" t="s">
        <v>4539</v>
      </c>
      <c r="E23" s="168" t="s">
        <v>4538</v>
      </c>
      <c r="F23" s="169"/>
      <c r="G23" s="205">
        <v>70016012</v>
      </c>
      <c r="H23" s="206" t="s">
        <v>3896</v>
      </c>
      <c r="I23" s="207" t="s">
        <v>41</v>
      </c>
      <c r="J23" s="211" t="s">
        <v>4622</v>
      </c>
      <c r="K23" s="173" t="s">
        <v>4617</v>
      </c>
      <c r="L23" s="211" t="s">
        <v>4621</v>
      </c>
      <c r="M23" s="175">
        <v>398160</v>
      </c>
      <c r="N23" s="95">
        <v>4000</v>
      </c>
      <c r="O23" s="95">
        <v>6000</v>
      </c>
      <c r="P23" s="96">
        <v>549990</v>
      </c>
      <c r="Q23" s="152"/>
      <c r="R23" s="175">
        <v>448990</v>
      </c>
      <c r="S23" s="95">
        <f>R23/24</f>
        <v>18707.916666666668</v>
      </c>
      <c r="T23" s="175">
        <v>398160</v>
      </c>
      <c r="U23" s="95">
        <f>T23/24</f>
        <v>16590</v>
      </c>
      <c r="V23" s="175">
        <v>398160</v>
      </c>
      <c r="W23" s="95">
        <f>V23/24</f>
        <v>16590</v>
      </c>
      <c r="X23" s="128"/>
      <c r="Y23" s="175">
        <v>49900</v>
      </c>
      <c r="Z23" s="175">
        <v>35500</v>
      </c>
      <c r="AA23" s="95">
        <f>IFERROR(IF(D23="Premium",0.4*Y23,0),"No Disp")</f>
        <v>0</v>
      </c>
      <c r="AB23" s="95">
        <f>IFERROR(IF(4*Y23&gt;AC23,1.5*Y23,4*Y23),"No Disp")</f>
        <v>199600</v>
      </c>
      <c r="AC23" s="95">
        <f>IF(Z23="No Disp","No Disp",(Z23*18)+Y23)</f>
        <v>688900</v>
      </c>
      <c r="AD23" s="95">
        <f>18*Z23-100+Y23</f>
        <v>688800</v>
      </c>
      <c r="AE23" s="175">
        <v>19900</v>
      </c>
      <c r="AF23" s="175">
        <v>34000</v>
      </c>
      <c r="AG23" s="95">
        <f>IF(AF23="No Disp","No Disp",(AF23*18)+AE23)</f>
        <v>631900</v>
      </c>
      <c r="AH23" s="95">
        <f>18*AF23-100+AE23</f>
        <v>631800</v>
      </c>
      <c r="AI23" s="95" t="s">
        <v>4613</v>
      </c>
      <c r="AJ23" s="99"/>
      <c r="AK23" s="100" t="s">
        <v>43</v>
      </c>
      <c r="AL23" s="100" t="s">
        <v>43</v>
      </c>
      <c r="AM23" s="100" t="str">
        <f>IF(AL23&lt;&gt;"No Disp",AK23+12*AL23,"No Disp")</f>
        <v>No Disp</v>
      </c>
      <c r="AN23" s="100" t="s">
        <v>43</v>
      </c>
      <c r="AO23" s="100" t="s">
        <v>43</v>
      </c>
      <c r="AP23" s="100" t="str">
        <f>IF(AO23&lt;&gt;"No Disp",AN23+12*AO23,"No Disp")</f>
        <v>No Disp</v>
      </c>
      <c r="AQ23" s="100" t="s">
        <v>43</v>
      </c>
      <c r="AR23" s="100" t="s">
        <v>43</v>
      </c>
      <c r="AS23" s="100" t="str">
        <f>IF(AR23&lt;&gt;"No Disp",AQ23+12*AR23,"No Disp")</f>
        <v>No Disp</v>
      </c>
    </row>
    <row r="24" spans="1:45" s="101" customFormat="1" x14ac:dyDescent="0.25">
      <c r="A24" s="90" t="s">
        <v>38</v>
      </c>
      <c r="B24" s="90" t="s">
        <v>40</v>
      </c>
      <c r="C24" s="90" t="s">
        <v>39</v>
      </c>
      <c r="D24" s="168" t="s">
        <v>4540</v>
      </c>
      <c r="E24" s="168" t="s">
        <v>4538</v>
      </c>
      <c r="F24" s="169">
        <v>772</v>
      </c>
      <c r="G24" s="205">
        <v>70014674</v>
      </c>
      <c r="H24" s="206" t="s">
        <v>3896</v>
      </c>
      <c r="I24" s="207" t="s">
        <v>87</v>
      </c>
      <c r="J24" s="211" t="s">
        <v>4188</v>
      </c>
      <c r="K24" s="173" t="s">
        <v>4511</v>
      </c>
      <c r="L24" s="211" t="s">
        <v>4224</v>
      </c>
      <c r="M24" s="204">
        <v>479760</v>
      </c>
      <c r="N24" s="95">
        <v>6000</v>
      </c>
      <c r="O24" s="95">
        <v>8500</v>
      </c>
      <c r="P24" s="96">
        <v>599990</v>
      </c>
      <c r="Q24" s="152"/>
      <c r="R24" s="175">
        <v>539990</v>
      </c>
      <c r="S24" s="95">
        <v>22082.916666666668</v>
      </c>
      <c r="T24" s="204">
        <v>479760</v>
      </c>
      <c r="U24" s="95">
        <v>20790</v>
      </c>
      <c r="V24" s="204">
        <v>479760</v>
      </c>
      <c r="W24" s="95">
        <v>20790</v>
      </c>
      <c r="X24" s="128"/>
      <c r="Y24" s="175">
        <v>49900</v>
      </c>
      <c r="Z24" s="175">
        <v>46000</v>
      </c>
      <c r="AA24" s="95">
        <f>IFERROR(IF(D24="Premium",0.4*Y24,0),"No Disp")</f>
        <v>19960</v>
      </c>
      <c r="AB24" s="95">
        <f>IFERROR(IF(4*Y24&gt;AC24,1.5*Y24,4*Y24),"No Disp")</f>
        <v>199600</v>
      </c>
      <c r="AC24" s="95">
        <f>IF(Z24="No Disp","No Disp",(Z24*18)+Y24)</f>
        <v>877900</v>
      </c>
      <c r="AD24" s="95">
        <f>18*Z24-100+Y24</f>
        <v>877800</v>
      </c>
      <c r="AE24" s="175">
        <v>29900</v>
      </c>
      <c r="AF24" s="175">
        <v>41000</v>
      </c>
      <c r="AG24" s="95">
        <f>IF(AF24="No Disp","No Disp",(AF24*18)+AE24)</f>
        <v>767900</v>
      </c>
      <c r="AH24" s="95">
        <f>18*AF24-100+AE24</f>
        <v>767800</v>
      </c>
      <c r="AI24" s="95" t="s">
        <v>4613</v>
      </c>
      <c r="AJ24" s="99"/>
      <c r="AK24" s="100" t="s">
        <v>43</v>
      </c>
      <c r="AL24" s="100" t="s">
        <v>43</v>
      </c>
      <c r="AM24" s="100" t="str">
        <f>IF(AL24&lt;&gt;"No Disp",AK24+12*AL24,"No Disp")</f>
        <v>No Disp</v>
      </c>
      <c r="AN24" s="100" t="s">
        <v>43</v>
      </c>
      <c r="AO24" s="100" t="s">
        <v>43</v>
      </c>
      <c r="AP24" s="100" t="str">
        <f>IF(AO24&lt;&gt;"No Disp",AN24+12*AO24,"No Disp")</f>
        <v>No Disp</v>
      </c>
      <c r="AQ24" s="100" t="s">
        <v>43</v>
      </c>
      <c r="AR24" s="100" t="s">
        <v>43</v>
      </c>
      <c r="AS24" s="100" t="str">
        <f>IF(AR24&lt;&gt;"No Disp",AQ24+12*AR24,"No Disp")</f>
        <v>No Disp</v>
      </c>
    </row>
    <row r="25" spans="1:45" s="101" customFormat="1" x14ac:dyDescent="0.25">
      <c r="A25" s="90" t="s">
        <v>38</v>
      </c>
      <c r="B25" s="90" t="s">
        <v>40</v>
      </c>
      <c r="C25" s="90" t="s">
        <v>39</v>
      </c>
      <c r="D25" s="168" t="s">
        <v>4540</v>
      </c>
      <c r="E25" s="168" t="s">
        <v>4538</v>
      </c>
      <c r="F25" s="169">
        <v>704</v>
      </c>
      <c r="G25" s="205">
        <v>70015671</v>
      </c>
      <c r="H25" s="206" t="s">
        <v>3896</v>
      </c>
      <c r="I25" s="207" t="s">
        <v>87</v>
      </c>
      <c r="J25" s="211" t="s">
        <v>4188</v>
      </c>
      <c r="K25" s="173" t="s">
        <v>4189</v>
      </c>
      <c r="L25" s="211" t="s">
        <v>4524</v>
      </c>
      <c r="M25" s="204">
        <v>479760</v>
      </c>
      <c r="N25" s="95">
        <v>6000</v>
      </c>
      <c r="O25" s="95">
        <v>8500</v>
      </c>
      <c r="P25" s="96">
        <v>599990</v>
      </c>
      <c r="Q25" s="152"/>
      <c r="R25" s="175">
        <v>539990</v>
      </c>
      <c r="S25" s="95">
        <f>R25/24</f>
        <v>22499.583333333332</v>
      </c>
      <c r="T25" s="204">
        <v>479760</v>
      </c>
      <c r="U25" s="95">
        <f>T25/24</f>
        <v>19990</v>
      </c>
      <c r="V25" s="204">
        <v>479760</v>
      </c>
      <c r="W25" s="95">
        <f>V25/24</f>
        <v>19990</v>
      </c>
      <c r="X25" s="128"/>
      <c r="Y25" s="175">
        <v>49900</v>
      </c>
      <c r="Z25" s="175">
        <v>46000</v>
      </c>
      <c r="AA25" s="95">
        <f>IFERROR(IF(D25="Premium",0.4*Y25,0),"No Disp")</f>
        <v>19960</v>
      </c>
      <c r="AB25" s="95">
        <f>IFERROR(IF(4*Y25&gt;AC25,1.5*Y25,4*Y25),"No Disp")</f>
        <v>199600</v>
      </c>
      <c r="AC25" s="95">
        <f>IF(Z25="No Disp","No Disp",(Z25*18)+Y25)</f>
        <v>877900</v>
      </c>
      <c r="AD25" s="95">
        <f>18*Z25-100+Y25</f>
        <v>877800</v>
      </c>
      <c r="AE25" s="175">
        <v>29900</v>
      </c>
      <c r="AF25" s="175">
        <v>41000</v>
      </c>
      <c r="AG25" s="95">
        <f>IF(AF25="No Disp","No Disp",(AF25*18)+AE25)</f>
        <v>767900</v>
      </c>
      <c r="AH25" s="95">
        <f>18*AF25-100+AE25</f>
        <v>767800</v>
      </c>
      <c r="AI25" s="95" t="s">
        <v>4613</v>
      </c>
      <c r="AJ25" s="99"/>
      <c r="AK25" s="100">
        <v>0</v>
      </c>
      <c r="AL25" s="100">
        <v>25000</v>
      </c>
      <c r="AM25" s="100">
        <f>IF(AL25&lt;&gt;"No Disp",AK25+12*AL25,"No Disp")</f>
        <v>300000</v>
      </c>
      <c r="AN25" s="100">
        <v>0</v>
      </c>
      <c r="AO25" s="100">
        <v>25000</v>
      </c>
      <c r="AP25" s="100">
        <f>IF(AO25&lt;&gt;"No Disp",AN25+12*AO25,"No Disp")</f>
        <v>300000</v>
      </c>
      <c r="AQ25" s="100">
        <v>0</v>
      </c>
      <c r="AR25" s="100">
        <v>25000</v>
      </c>
      <c r="AS25" s="100">
        <f>IF(AR25&lt;&gt;"No Disp",AQ25+12*AR25,"No Disp")</f>
        <v>300000</v>
      </c>
    </row>
    <row r="26" spans="1:45" s="101" customFormat="1" x14ac:dyDescent="0.25">
      <c r="A26" s="90" t="s">
        <v>38</v>
      </c>
      <c r="B26" s="90" t="s">
        <v>40</v>
      </c>
      <c r="C26" s="90" t="s">
        <v>39</v>
      </c>
      <c r="D26" s="168" t="s">
        <v>4540</v>
      </c>
      <c r="E26" s="168" t="s">
        <v>4538</v>
      </c>
      <c r="F26" s="169">
        <v>703</v>
      </c>
      <c r="G26" s="205">
        <v>70015676</v>
      </c>
      <c r="H26" s="206" t="s">
        <v>3896</v>
      </c>
      <c r="I26" s="207" t="s">
        <v>87</v>
      </c>
      <c r="J26" s="211" t="s">
        <v>4188</v>
      </c>
      <c r="K26" s="173" t="s">
        <v>4191</v>
      </c>
      <c r="L26" s="211" t="s">
        <v>4525</v>
      </c>
      <c r="M26" s="204">
        <v>479760</v>
      </c>
      <c r="N26" s="95">
        <v>6000</v>
      </c>
      <c r="O26" s="95">
        <v>8500</v>
      </c>
      <c r="P26" s="96">
        <v>599990</v>
      </c>
      <c r="Q26" s="152"/>
      <c r="R26" s="175">
        <v>539990</v>
      </c>
      <c r="S26" s="95">
        <f>R26/24</f>
        <v>22499.583333333332</v>
      </c>
      <c r="T26" s="204">
        <v>479760</v>
      </c>
      <c r="U26" s="95">
        <f>T26/24</f>
        <v>19990</v>
      </c>
      <c r="V26" s="204">
        <v>479760</v>
      </c>
      <c r="W26" s="95">
        <f>V26/24</f>
        <v>19990</v>
      </c>
      <c r="X26" s="128"/>
      <c r="Y26" s="175">
        <v>49900</v>
      </c>
      <c r="Z26" s="175">
        <v>46000</v>
      </c>
      <c r="AA26" s="95">
        <f>IFERROR(IF(D26="Premium",0.4*Y26,0),"No Disp")</f>
        <v>19960</v>
      </c>
      <c r="AB26" s="95">
        <f>IFERROR(IF(4*Y26&gt;AC26,1.5*Y26,4*Y26),"No Disp")</f>
        <v>199600</v>
      </c>
      <c r="AC26" s="95">
        <f>IF(Z26="No Disp","No Disp",(Z26*18)+Y26)</f>
        <v>877900</v>
      </c>
      <c r="AD26" s="95">
        <f>18*Z26-100+Y26</f>
        <v>877800</v>
      </c>
      <c r="AE26" s="175">
        <v>29900</v>
      </c>
      <c r="AF26" s="175">
        <v>41000</v>
      </c>
      <c r="AG26" s="95">
        <f>IF(AF26="No Disp","No Disp",(AF26*18)+AE26)</f>
        <v>767900</v>
      </c>
      <c r="AH26" s="95">
        <f>18*AF26-100+AE26</f>
        <v>767800</v>
      </c>
      <c r="AI26" s="95" t="s">
        <v>4613</v>
      </c>
      <c r="AJ26" s="99"/>
      <c r="AK26" s="100">
        <v>0</v>
      </c>
      <c r="AL26" s="100">
        <v>25000</v>
      </c>
      <c r="AM26" s="100">
        <f>IF(AL26&lt;&gt;"No Disp",AK26+12*AL26,"No Disp")</f>
        <v>300000</v>
      </c>
      <c r="AN26" s="100">
        <v>0</v>
      </c>
      <c r="AO26" s="100">
        <v>25000</v>
      </c>
      <c r="AP26" s="100">
        <f>IF(AO26&lt;&gt;"No Disp",AN26+12*AO26,"No Disp")</f>
        <v>300000</v>
      </c>
      <c r="AQ26" s="100">
        <v>0</v>
      </c>
      <c r="AR26" s="100">
        <v>25000</v>
      </c>
      <c r="AS26" s="100">
        <f>IF(AR26&lt;&gt;"No Disp",AQ26+12*AR26,"No Disp")</f>
        <v>300000</v>
      </c>
    </row>
    <row r="27" spans="1:45" s="101" customFormat="1" x14ac:dyDescent="0.25">
      <c r="A27" s="90" t="s">
        <v>38</v>
      </c>
      <c r="B27" s="90" t="s">
        <v>40</v>
      </c>
      <c r="C27" s="90" t="s">
        <v>39</v>
      </c>
      <c r="D27" s="168" t="s">
        <v>4540</v>
      </c>
      <c r="E27" s="168" t="s">
        <v>4538</v>
      </c>
      <c r="F27" s="169">
        <v>702</v>
      </c>
      <c r="G27" s="205">
        <v>70015688</v>
      </c>
      <c r="H27" s="206" t="s">
        <v>3896</v>
      </c>
      <c r="I27" s="207" t="s">
        <v>87</v>
      </c>
      <c r="J27" s="211" t="s">
        <v>4188</v>
      </c>
      <c r="K27" s="173" t="s">
        <v>4193</v>
      </c>
      <c r="L27" s="211" t="s">
        <v>4226</v>
      </c>
      <c r="M27" s="204">
        <v>479760</v>
      </c>
      <c r="N27" s="95">
        <v>6000</v>
      </c>
      <c r="O27" s="95">
        <v>8500</v>
      </c>
      <c r="P27" s="96">
        <v>599990</v>
      </c>
      <c r="Q27" s="152"/>
      <c r="R27" s="175">
        <v>539990</v>
      </c>
      <c r="S27" s="95">
        <f>R27/24</f>
        <v>22499.583333333332</v>
      </c>
      <c r="T27" s="204">
        <v>479760</v>
      </c>
      <c r="U27" s="95">
        <f>T27/24</f>
        <v>19990</v>
      </c>
      <c r="V27" s="204">
        <v>479760</v>
      </c>
      <c r="W27" s="95">
        <f>V27/24</f>
        <v>19990</v>
      </c>
      <c r="X27" s="128"/>
      <c r="Y27" s="175">
        <v>49900</v>
      </c>
      <c r="Z27" s="175">
        <v>46000</v>
      </c>
      <c r="AA27" s="95">
        <f>IFERROR(IF(D27="Premium",0.4*Y27,0),"No Disp")</f>
        <v>19960</v>
      </c>
      <c r="AB27" s="95">
        <f>IFERROR(IF(4*Y27&gt;AC27,1.5*Y27,4*Y27),"No Disp")</f>
        <v>199600</v>
      </c>
      <c r="AC27" s="95">
        <f>IF(Z27="No Disp","No Disp",(Z27*18)+Y27)</f>
        <v>877900</v>
      </c>
      <c r="AD27" s="95">
        <f>18*Z27-100+Y27</f>
        <v>877800</v>
      </c>
      <c r="AE27" s="175">
        <v>29900</v>
      </c>
      <c r="AF27" s="175">
        <v>41000</v>
      </c>
      <c r="AG27" s="95">
        <f>IF(AF27="No Disp","No Disp",(AF27*18)+AE27)</f>
        <v>767900</v>
      </c>
      <c r="AH27" s="95">
        <f>18*AF27-100+AE27</f>
        <v>767800</v>
      </c>
      <c r="AI27" s="95" t="s">
        <v>4613</v>
      </c>
      <c r="AJ27" s="99"/>
      <c r="AK27" s="100">
        <v>0</v>
      </c>
      <c r="AL27" s="100">
        <v>25000</v>
      </c>
      <c r="AM27" s="100">
        <f>IF(AL27&lt;&gt;"No Disp",AK27+12*AL27,"No Disp")</f>
        <v>300000</v>
      </c>
      <c r="AN27" s="100">
        <v>0</v>
      </c>
      <c r="AO27" s="100">
        <v>25000</v>
      </c>
      <c r="AP27" s="100">
        <f>IF(AO27&lt;&gt;"No Disp",AN27+12*AO27,"No Disp")</f>
        <v>300000</v>
      </c>
      <c r="AQ27" s="100">
        <v>0</v>
      </c>
      <c r="AR27" s="100">
        <v>25000</v>
      </c>
      <c r="AS27" s="100">
        <f>IF(AR27&lt;&gt;"No Disp",AQ27+12*AR27,"No Disp")</f>
        <v>300000</v>
      </c>
    </row>
    <row r="28" spans="1:45" s="101" customFormat="1" x14ac:dyDescent="0.25">
      <c r="A28" s="90" t="s">
        <v>102</v>
      </c>
      <c r="B28" s="90" t="s">
        <v>39</v>
      </c>
      <c r="C28" s="90" t="s">
        <v>40</v>
      </c>
      <c r="D28" s="168" t="s">
        <v>4540</v>
      </c>
      <c r="E28" s="168" t="s">
        <v>4538</v>
      </c>
      <c r="F28" s="169">
        <v>781</v>
      </c>
      <c r="G28" s="205">
        <v>70015932</v>
      </c>
      <c r="H28" s="206" t="s">
        <v>3896</v>
      </c>
      <c r="I28" s="207" t="s">
        <v>87</v>
      </c>
      <c r="J28" s="211" t="s">
        <v>4477</v>
      </c>
      <c r="K28" s="173" t="s">
        <v>4496</v>
      </c>
      <c r="L28" s="211" t="s">
        <v>4482</v>
      </c>
      <c r="M28" s="175">
        <v>479760</v>
      </c>
      <c r="N28" s="95">
        <v>6000</v>
      </c>
      <c r="O28" s="95">
        <v>8500</v>
      </c>
      <c r="P28" s="96">
        <v>629990</v>
      </c>
      <c r="Q28" s="152"/>
      <c r="R28" s="175">
        <v>539990</v>
      </c>
      <c r="S28" s="95">
        <f>R28/24</f>
        <v>22499.583333333332</v>
      </c>
      <c r="T28" s="175">
        <v>479760</v>
      </c>
      <c r="U28" s="95">
        <f>T28/24</f>
        <v>19990</v>
      </c>
      <c r="V28" s="175">
        <v>479760</v>
      </c>
      <c r="W28" s="95">
        <f>V28/24</f>
        <v>19990</v>
      </c>
      <c r="X28" s="128"/>
      <c r="Y28" s="175">
        <v>49900</v>
      </c>
      <c r="Z28" s="175">
        <v>46000</v>
      </c>
      <c r="AA28" s="95">
        <f>IFERROR(IF(D28="Premium",0.4*Y28,0),"No Disp")</f>
        <v>19960</v>
      </c>
      <c r="AB28" s="95">
        <f>IFERROR(IF(4*Y28&gt;AC28,1.5*Y28,4*Y28),"No Disp")</f>
        <v>199600</v>
      </c>
      <c r="AC28" s="95">
        <f>IF(Z28="No Disp","No Disp",(Z28*18)+Y28)</f>
        <v>877900</v>
      </c>
      <c r="AD28" s="95">
        <f>18*Z28-100+Y28</f>
        <v>877800</v>
      </c>
      <c r="AE28" s="175">
        <v>29900</v>
      </c>
      <c r="AF28" s="175">
        <v>41000</v>
      </c>
      <c r="AG28" s="95">
        <f>IF(AF28="No Disp","No Disp",(AF28*18)+AE28)</f>
        <v>767900</v>
      </c>
      <c r="AH28" s="95">
        <f>18*AF28-100+AE28</f>
        <v>767800</v>
      </c>
      <c r="AI28" s="95" t="s">
        <v>4613</v>
      </c>
      <c r="AJ28" s="99"/>
      <c r="AK28" s="100" t="s">
        <v>43</v>
      </c>
      <c r="AL28" s="100" t="s">
        <v>43</v>
      </c>
      <c r="AM28" s="100" t="str">
        <f>IF(AL28&lt;&gt;"No Disp",AK28+12*AL28,"No Disp")</f>
        <v>No Disp</v>
      </c>
      <c r="AN28" s="100" t="s">
        <v>43</v>
      </c>
      <c r="AO28" s="100" t="s">
        <v>43</v>
      </c>
      <c r="AP28" s="100" t="str">
        <f>IF(AO28&lt;&gt;"No Disp",AN28+12*AO28,"No Disp")</f>
        <v>No Disp</v>
      </c>
      <c r="AQ28" s="100" t="s">
        <v>43</v>
      </c>
      <c r="AR28" s="100" t="s">
        <v>43</v>
      </c>
      <c r="AS28" s="100" t="str">
        <f>IF(AR28&lt;&gt;"No Disp",AQ28+12*AR28,"No Disp")</f>
        <v>No Disp</v>
      </c>
    </row>
    <row r="29" spans="1:45" s="101" customFormat="1" x14ac:dyDescent="0.25">
      <c r="A29" s="90" t="s">
        <v>102</v>
      </c>
      <c r="B29" s="90" t="s">
        <v>39</v>
      </c>
      <c r="C29" s="90" t="s">
        <v>40</v>
      </c>
      <c r="D29" s="168" t="s">
        <v>4540</v>
      </c>
      <c r="E29" s="168" t="s">
        <v>4538</v>
      </c>
      <c r="F29" s="169">
        <v>780</v>
      </c>
      <c r="G29" s="205">
        <v>70015920</v>
      </c>
      <c r="H29" s="206" t="s">
        <v>3896</v>
      </c>
      <c r="I29" s="207" t="s">
        <v>87</v>
      </c>
      <c r="J29" s="211" t="s">
        <v>4477</v>
      </c>
      <c r="K29" s="173" t="s">
        <v>4497</v>
      </c>
      <c r="L29" s="211" t="s">
        <v>4483</v>
      </c>
      <c r="M29" s="175">
        <v>479760</v>
      </c>
      <c r="N29" s="95">
        <v>6000</v>
      </c>
      <c r="O29" s="95">
        <v>8500</v>
      </c>
      <c r="P29" s="96">
        <v>629990</v>
      </c>
      <c r="Q29" s="152"/>
      <c r="R29" s="175">
        <v>539990</v>
      </c>
      <c r="S29" s="95">
        <f>R29/24</f>
        <v>22499.583333333332</v>
      </c>
      <c r="T29" s="175">
        <v>479760</v>
      </c>
      <c r="U29" s="95">
        <f>T29/24</f>
        <v>19990</v>
      </c>
      <c r="V29" s="175">
        <v>479760</v>
      </c>
      <c r="W29" s="95">
        <f>V29/24</f>
        <v>19990</v>
      </c>
      <c r="X29" s="128"/>
      <c r="Y29" s="175">
        <v>49900</v>
      </c>
      <c r="Z29" s="175">
        <v>46000</v>
      </c>
      <c r="AA29" s="95">
        <f>IFERROR(IF(D29="Premium",0.4*Y29,0),"No Disp")</f>
        <v>19960</v>
      </c>
      <c r="AB29" s="95">
        <f>IFERROR(IF(4*Y29&gt;AC29,1.5*Y29,4*Y29),"No Disp")</f>
        <v>199600</v>
      </c>
      <c r="AC29" s="95">
        <f>IF(Z29="No Disp","No Disp",(Z29*18)+Y29)</f>
        <v>877900</v>
      </c>
      <c r="AD29" s="95">
        <f>18*Z29-100+Y29</f>
        <v>877800</v>
      </c>
      <c r="AE29" s="175">
        <v>29900</v>
      </c>
      <c r="AF29" s="175">
        <v>41000</v>
      </c>
      <c r="AG29" s="95">
        <f>IF(AF29="No Disp","No Disp",(AF29*18)+AE29)</f>
        <v>767900</v>
      </c>
      <c r="AH29" s="95">
        <f>18*AF29-100+AE29</f>
        <v>767800</v>
      </c>
      <c r="AI29" s="95" t="s">
        <v>4613</v>
      </c>
      <c r="AJ29" s="99"/>
      <c r="AK29" s="100" t="s">
        <v>43</v>
      </c>
      <c r="AL29" s="100" t="s">
        <v>43</v>
      </c>
      <c r="AM29" s="100" t="str">
        <f>IF(AL29&lt;&gt;"No Disp",AK29+12*AL29,"No Disp")</f>
        <v>No Disp</v>
      </c>
      <c r="AN29" s="100" t="s">
        <v>43</v>
      </c>
      <c r="AO29" s="100" t="s">
        <v>43</v>
      </c>
      <c r="AP29" s="100" t="str">
        <f>IF(AO29&lt;&gt;"No Disp",AN29+12*AO29,"No Disp")</f>
        <v>No Disp</v>
      </c>
      <c r="AQ29" s="100" t="s">
        <v>43</v>
      </c>
      <c r="AR29" s="100" t="s">
        <v>43</v>
      </c>
      <c r="AS29" s="100" t="str">
        <f>IF(AR29&lt;&gt;"No Disp",AQ29+12*AR29,"No Disp")</f>
        <v>No Disp</v>
      </c>
    </row>
    <row r="30" spans="1:45" s="101" customFormat="1" x14ac:dyDescent="0.25">
      <c r="A30" s="90" t="s">
        <v>38</v>
      </c>
      <c r="B30" s="90" t="s">
        <v>40</v>
      </c>
      <c r="C30" s="90" t="s">
        <v>39</v>
      </c>
      <c r="D30" s="168" t="s">
        <v>4540</v>
      </c>
      <c r="E30" s="168" t="s">
        <v>4538</v>
      </c>
      <c r="F30" s="169">
        <v>735</v>
      </c>
      <c r="G30" s="205">
        <v>70015290</v>
      </c>
      <c r="H30" s="206" t="s">
        <v>3896</v>
      </c>
      <c r="I30" s="207" t="s">
        <v>46</v>
      </c>
      <c r="J30" s="211" t="s">
        <v>4223</v>
      </c>
      <c r="K30" s="173" t="s">
        <v>4211</v>
      </c>
      <c r="L30" s="211" t="s">
        <v>4242</v>
      </c>
      <c r="M30" s="175">
        <v>599760</v>
      </c>
      <c r="N30" s="95">
        <v>6000</v>
      </c>
      <c r="O30" s="95">
        <v>8500</v>
      </c>
      <c r="P30" s="96">
        <v>799990</v>
      </c>
      <c r="Q30" s="152"/>
      <c r="R30" s="175">
        <v>669990</v>
      </c>
      <c r="S30" s="95">
        <f>R30/24</f>
        <v>27916.25</v>
      </c>
      <c r="T30" s="175">
        <v>599760</v>
      </c>
      <c r="U30" s="95">
        <f>T30/24</f>
        <v>24990</v>
      </c>
      <c r="V30" s="175">
        <v>599760</v>
      </c>
      <c r="W30" s="95">
        <f>V30/24</f>
        <v>24990</v>
      </c>
      <c r="X30" s="128"/>
      <c r="Y30" s="175">
        <v>69900</v>
      </c>
      <c r="Z30" s="175">
        <v>55500</v>
      </c>
      <c r="AA30" s="95">
        <f>IFERROR(IF(D30="Premium",0.4*Y30,0),"No Disp")</f>
        <v>27960</v>
      </c>
      <c r="AB30" s="95">
        <f>IFERROR(IF(4*Y30&gt;AC30,1.5*Y30,4*Y30),"No Disp")</f>
        <v>279600</v>
      </c>
      <c r="AC30" s="95">
        <f>IF(Z30="No Disp","No Disp",(Z30*18)+Y30)</f>
        <v>1068900</v>
      </c>
      <c r="AD30" s="95">
        <f>18*Z30-100+Y30</f>
        <v>1068800</v>
      </c>
      <c r="AE30" s="175">
        <v>39900</v>
      </c>
      <c r="AF30" s="175">
        <v>49500</v>
      </c>
      <c r="AG30" s="95">
        <f>IF(AF30="No Disp","No Disp",(AF30*18)+AE30)</f>
        <v>930900</v>
      </c>
      <c r="AH30" s="95">
        <f>18*AF30-100+AE30</f>
        <v>930800</v>
      </c>
      <c r="AI30" s="95" t="s">
        <v>4613</v>
      </c>
      <c r="AJ30" s="99"/>
      <c r="AK30" s="100">
        <v>0</v>
      </c>
      <c r="AL30" s="100">
        <v>27000</v>
      </c>
      <c r="AM30" s="100">
        <f>IF(AL30&lt;&gt;"No Disp",AK30+12*AL30,"No Disp")</f>
        <v>324000</v>
      </c>
      <c r="AN30" s="100">
        <v>0</v>
      </c>
      <c r="AO30" s="100">
        <v>27000</v>
      </c>
      <c r="AP30" s="100">
        <f>IF(AO30&lt;&gt;"No Disp",AN30+12*AO30,"No Disp")</f>
        <v>324000</v>
      </c>
      <c r="AQ30" s="100">
        <v>0</v>
      </c>
      <c r="AR30" s="100">
        <v>27000</v>
      </c>
      <c r="AS30" s="100">
        <f>IF(AR30&lt;&gt;"No Disp",AQ30+12*AR30,"No Disp")</f>
        <v>324000</v>
      </c>
    </row>
    <row r="31" spans="1:45" s="101" customFormat="1" x14ac:dyDescent="0.25">
      <c r="A31" s="90" t="s">
        <v>38</v>
      </c>
      <c r="B31" s="90" t="s">
        <v>40</v>
      </c>
      <c r="C31" s="90" t="s">
        <v>39</v>
      </c>
      <c r="D31" s="168" t="s">
        <v>4540</v>
      </c>
      <c r="E31" s="168" t="s">
        <v>4538</v>
      </c>
      <c r="F31" s="169">
        <v>734</v>
      </c>
      <c r="G31" s="205">
        <v>70015294</v>
      </c>
      <c r="H31" s="206" t="s">
        <v>3896</v>
      </c>
      <c r="I31" s="207" t="s">
        <v>46</v>
      </c>
      <c r="J31" s="211" t="s">
        <v>4223</v>
      </c>
      <c r="K31" s="173" t="s">
        <v>4213</v>
      </c>
      <c r="L31" s="211" t="s">
        <v>4244</v>
      </c>
      <c r="M31" s="175">
        <v>599760</v>
      </c>
      <c r="N31" s="95">
        <v>6000</v>
      </c>
      <c r="O31" s="95">
        <v>8500</v>
      </c>
      <c r="P31" s="96">
        <v>799990</v>
      </c>
      <c r="Q31" s="152"/>
      <c r="R31" s="175">
        <v>669990</v>
      </c>
      <c r="S31" s="95">
        <f>R31/24</f>
        <v>27916.25</v>
      </c>
      <c r="T31" s="175">
        <v>599760</v>
      </c>
      <c r="U31" s="95">
        <f>T31/24</f>
        <v>24990</v>
      </c>
      <c r="V31" s="175">
        <v>599760</v>
      </c>
      <c r="W31" s="95">
        <f>V31/24</f>
        <v>24990</v>
      </c>
      <c r="X31" s="128"/>
      <c r="Y31" s="175">
        <v>69900</v>
      </c>
      <c r="Z31" s="175">
        <v>55500</v>
      </c>
      <c r="AA31" s="95">
        <f>IFERROR(IF(D31="Premium",0.4*Y31,0),"No Disp")</f>
        <v>27960</v>
      </c>
      <c r="AB31" s="95">
        <f>IFERROR(IF(4*Y31&gt;AC31,1.5*Y31,4*Y31),"No Disp")</f>
        <v>279600</v>
      </c>
      <c r="AC31" s="95">
        <f>IF(Z31="No Disp","No Disp",(Z31*18)+Y31)</f>
        <v>1068900</v>
      </c>
      <c r="AD31" s="95">
        <f>18*Z31-100+Y31</f>
        <v>1068800</v>
      </c>
      <c r="AE31" s="175">
        <v>39900</v>
      </c>
      <c r="AF31" s="175">
        <v>49500</v>
      </c>
      <c r="AG31" s="95">
        <f>IF(AF31="No Disp","No Disp",(AF31*18)+AE31)</f>
        <v>930900</v>
      </c>
      <c r="AH31" s="95">
        <f>18*AF31-100+AE31</f>
        <v>930800</v>
      </c>
      <c r="AI31" s="95" t="s">
        <v>4613</v>
      </c>
      <c r="AJ31" s="99"/>
      <c r="AK31" s="100">
        <v>0</v>
      </c>
      <c r="AL31" s="100">
        <v>27000</v>
      </c>
      <c r="AM31" s="100">
        <f>IF(AL31&lt;&gt;"No Disp",AK31+12*AL31,"No Disp")</f>
        <v>324000</v>
      </c>
      <c r="AN31" s="100">
        <v>0</v>
      </c>
      <c r="AO31" s="100">
        <v>27000</v>
      </c>
      <c r="AP31" s="100">
        <f>IF(AO31&lt;&gt;"No Disp",AN31+12*AO31,"No Disp")</f>
        <v>324000</v>
      </c>
      <c r="AQ31" s="100">
        <v>0</v>
      </c>
      <c r="AR31" s="100">
        <v>27000</v>
      </c>
      <c r="AS31" s="100">
        <f>IF(AR31&lt;&gt;"No Disp",AQ31+12*AR31,"No Disp")</f>
        <v>324000</v>
      </c>
    </row>
    <row r="32" spans="1:45" s="101" customFormat="1" x14ac:dyDescent="0.25">
      <c r="A32" s="90" t="s">
        <v>38</v>
      </c>
      <c r="B32" s="90" t="s">
        <v>40</v>
      </c>
      <c r="C32" s="90" t="s">
        <v>39</v>
      </c>
      <c r="D32" s="168" t="s">
        <v>4540</v>
      </c>
      <c r="E32" s="168" t="s">
        <v>4538</v>
      </c>
      <c r="F32" s="169">
        <v>733</v>
      </c>
      <c r="G32" s="205">
        <v>70015302</v>
      </c>
      <c r="H32" s="206" t="s">
        <v>3896</v>
      </c>
      <c r="I32" s="207" t="s">
        <v>46</v>
      </c>
      <c r="J32" s="211" t="s">
        <v>4223</v>
      </c>
      <c r="K32" s="173" t="s">
        <v>4215</v>
      </c>
      <c r="L32" s="211" t="s">
        <v>4246</v>
      </c>
      <c r="M32" s="175">
        <v>599760</v>
      </c>
      <c r="N32" s="95">
        <v>6000</v>
      </c>
      <c r="O32" s="95">
        <v>8500</v>
      </c>
      <c r="P32" s="96">
        <v>799990</v>
      </c>
      <c r="Q32" s="152"/>
      <c r="R32" s="175">
        <v>669990</v>
      </c>
      <c r="S32" s="95">
        <f>R32/24</f>
        <v>27916.25</v>
      </c>
      <c r="T32" s="175">
        <v>599760</v>
      </c>
      <c r="U32" s="95">
        <f>T32/24</f>
        <v>24990</v>
      </c>
      <c r="V32" s="175">
        <v>599760</v>
      </c>
      <c r="W32" s="95">
        <f>V32/24</f>
        <v>24990</v>
      </c>
      <c r="X32" s="128"/>
      <c r="Y32" s="175">
        <v>69900</v>
      </c>
      <c r="Z32" s="175">
        <v>55500</v>
      </c>
      <c r="AA32" s="95">
        <f>IFERROR(IF(D32="Premium",0.4*Y32,0),"No Disp")</f>
        <v>27960</v>
      </c>
      <c r="AB32" s="95">
        <f>IFERROR(IF(4*Y32&gt;AC32,1.5*Y32,4*Y32),"No Disp")</f>
        <v>279600</v>
      </c>
      <c r="AC32" s="95">
        <f>IF(Z32="No Disp","No Disp",(Z32*18)+Y32)</f>
        <v>1068900</v>
      </c>
      <c r="AD32" s="95">
        <f>18*Z32-100+Y32</f>
        <v>1068800</v>
      </c>
      <c r="AE32" s="175">
        <v>39900</v>
      </c>
      <c r="AF32" s="175">
        <v>49500</v>
      </c>
      <c r="AG32" s="95">
        <f>IF(AF32="No Disp","No Disp",(AF32*18)+AE32)</f>
        <v>930900</v>
      </c>
      <c r="AH32" s="95">
        <f>18*AF32-100+AE32</f>
        <v>930800</v>
      </c>
      <c r="AI32" s="95" t="s">
        <v>4613</v>
      </c>
      <c r="AJ32" s="99"/>
      <c r="AK32" s="100">
        <v>0</v>
      </c>
      <c r="AL32" s="100">
        <v>27000</v>
      </c>
      <c r="AM32" s="100">
        <f>IF(AL32&lt;&gt;"No Disp",AK32+12*AL32,"No Disp")</f>
        <v>324000</v>
      </c>
      <c r="AN32" s="100">
        <v>0</v>
      </c>
      <c r="AO32" s="100">
        <v>27000</v>
      </c>
      <c r="AP32" s="100">
        <f>IF(AO32&lt;&gt;"No Disp",AN32+12*AO32,"No Disp")</f>
        <v>324000</v>
      </c>
      <c r="AQ32" s="100">
        <v>0</v>
      </c>
      <c r="AR32" s="100">
        <v>27000</v>
      </c>
      <c r="AS32" s="100">
        <f>IF(AR32&lt;&gt;"No Disp",AQ32+12*AR32,"No Disp")</f>
        <v>324000</v>
      </c>
    </row>
    <row r="33" spans="1:45" s="101" customFormat="1" x14ac:dyDescent="0.25">
      <c r="A33" s="90" t="s">
        <v>38</v>
      </c>
      <c r="B33" s="90" t="s">
        <v>40</v>
      </c>
      <c r="C33" s="90" t="s">
        <v>39</v>
      </c>
      <c r="D33" s="168" t="s">
        <v>4540</v>
      </c>
      <c r="E33" s="168" t="s">
        <v>4538</v>
      </c>
      <c r="F33" s="169">
        <v>732</v>
      </c>
      <c r="G33" s="205">
        <v>70015298</v>
      </c>
      <c r="H33" s="206" t="s">
        <v>3896</v>
      </c>
      <c r="I33" s="207" t="s">
        <v>46</v>
      </c>
      <c r="J33" s="211" t="s">
        <v>4223</v>
      </c>
      <c r="K33" s="173" t="s">
        <v>4217</v>
      </c>
      <c r="L33" s="211" t="s">
        <v>4248</v>
      </c>
      <c r="M33" s="175">
        <v>599760</v>
      </c>
      <c r="N33" s="95">
        <v>6000</v>
      </c>
      <c r="O33" s="95">
        <v>8500</v>
      </c>
      <c r="P33" s="96">
        <v>799990</v>
      </c>
      <c r="Q33" s="152"/>
      <c r="R33" s="175">
        <v>669990</v>
      </c>
      <c r="S33" s="95">
        <f>R33/24</f>
        <v>27916.25</v>
      </c>
      <c r="T33" s="175">
        <v>599760</v>
      </c>
      <c r="U33" s="95">
        <f>T33/24</f>
        <v>24990</v>
      </c>
      <c r="V33" s="175">
        <v>599760</v>
      </c>
      <c r="W33" s="95">
        <f>V33/24</f>
        <v>24990</v>
      </c>
      <c r="X33" s="128"/>
      <c r="Y33" s="175">
        <v>69900</v>
      </c>
      <c r="Z33" s="175">
        <v>55500</v>
      </c>
      <c r="AA33" s="95">
        <f>IFERROR(IF(D33="Premium",0.4*Y33,0),"No Disp")</f>
        <v>27960</v>
      </c>
      <c r="AB33" s="95">
        <f>IFERROR(IF(4*Y33&gt;AC33,1.5*Y33,4*Y33),"No Disp")</f>
        <v>279600</v>
      </c>
      <c r="AC33" s="95">
        <f>IF(Z33="No Disp","No Disp",(Z33*18)+Y33)</f>
        <v>1068900</v>
      </c>
      <c r="AD33" s="95">
        <f>18*Z33-100+Y33</f>
        <v>1068800</v>
      </c>
      <c r="AE33" s="175">
        <v>39900</v>
      </c>
      <c r="AF33" s="175">
        <v>49500</v>
      </c>
      <c r="AG33" s="95">
        <f>IF(AF33="No Disp","No Disp",(AF33*18)+AE33)</f>
        <v>930900</v>
      </c>
      <c r="AH33" s="95">
        <f>18*AF33-100+AE33</f>
        <v>930800</v>
      </c>
      <c r="AI33" s="95" t="s">
        <v>4613</v>
      </c>
      <c r="AJ33" s="99"/>
      <c r="AK33" s="100">
        <v>0</v>
      </c>
      <c r="AL33" s="100">
        <v>27000</v>
      </c>
      <c r="AM33" s="100">
        <f>IF(AL33&lt;&gt;"No Disp",AK33+12*AL33,"No Disp")</f>
        <v>324000</v>
      </c>
      <c r="AN33" s="100">
        <v>0</v>
      </c>
      <c r="AO33" s="100">
        <v>27000</v>
      </c>
      <c r="AP33" s="100">
        <f>IF(AO33&lt;&gt;"No Disp",AN33+12*AO33,"No Disp")</f>
        <v>324000</v>
      </c>
      <c r="AQ33" s="100">
        <v>0</v>
      </c>
      <c r="AR33" s="100">
        <v>27000</v>
      </c>
      <c r="AS33" s="100">
        <f>IF(AR33&lt;&gt;"No Disp",AQ33+12*AR33,"No Disp")</f>
        <v>324000</v>
      </c>
    </row>
    <row r="34" spans="1:45" s="101" customFormat="1" x14ac:dyDescent="0.25">
      <c r="A34" s="90" t="s">
        <v>38</v>
      </c>
      <c r="B34" s="90" t="s">
        <v>40</v>
      </c>
      <c r="C34" s="90" t="s">
        <v>39</v>
      </c>
      <c r="D34" s="168" t="s">
        <v>4540</v>
      </c>
      <c r="E34" s="168" t="s">
        <v>4538</v>
      </c>
      <c r="F34" s="169">
        <v>731</v>
      </c>
      <c r="G34" s="205">
        <v>70015217</v>
      </c>
      <c r="H34" s="206" t="s">
        <v>3896</v>
      </c>
      <c r="I34" s="207" t="s">
        <v>46</v>
      </c>
      <c r="J34" s="211" t="s">
        <v>4223</v>
      </c>
      <c r="K34" s="173" t="s">
        <v>4219</v>
      </c>
      <c r="L34" s="211" t="s">
        <v>4250</v>
      </c>
      <c r="M34" s="175">
        <v>599760</v>
      </c>
      <c r="N34" s="95">
        <v>6000</v>
      </c>
      <c r="O34" s="95">
        <v>8500</v>
      </c>
      <c r="P34" s="96">
        <v>799990</v>
      </c>
      <c r="Q34" s="152"/>
      <c r="R34" s="175">
        <v>669990</v>
      </c>
      <c r="S34" s="95">
        <f>R34/24</f>
        <v>27916.25</v>
      </c>
      <c r="T34" s="175">
        <v>599760</v>
      </c>
      <c r="U34" s="95">
        <f>T34/24</f>
        <v>24990</v>
      </c>
      <c r="V34" s="175">
        <v>599760</v>
      </c>
      <c r="W34" s="95">
        <f>V34/24</f>
        <v>24990</v>
      </c>
      <c r="X34" s="128"/>
      <c r="Y34" s="175">
        <v>69900</v>
      </c>
      <c r="Z34" s="175">
        <v>55500</v>
      </c>
      <c r="AA34" s="95">
        <f>IFERROR(IF(D34="Premium",0.4*Y34,0),"No Disp")</f>
        <v>27960</v>
      </c>
      <c r="AB34" s="95">
        <f>IFERROR(IF(4*Y34&gt;AC34,1.5*Y34,4*Y34),"No Disp")</f>
        <v>279600</v>
      </c>
      <c r="AC34" s="95">
        <f>IF(Z34="No Disp","No Disp",(Z34*18)+Y34)</f>
        <v>1068900</v>
      </c>
      <c r="AD34" s="95">
        <f>18*Z34-100+Y34</f>
        <v>1068800</v>
      </c>
      <c r="AE34" s="175">
        <v>39900</v>
      </c>
      <c r="AF34" s="175">
        <v>49500</v>
      </c>
      <c r="AG34" s="95">
        <f>IF(AF34="No Disp","No Disp",(AF34*18)+AE34)</f>
        <v>930900</v>
      </c>
      <c r="AH34" s="95">
        <f>18*AF34-100+AE34</f>
        <v>930800</v>
      </c>
      <c r="AI34" s="95" t="s">
        <v>4613</v>
      </c>
      <c r="AJ34" s="99"/>
      <c r="AK34" s="100">
        <v>0</v>
      </c>
      <c r="AL34" s="100">
        <v>27000</v>
      </c>
      <c r="AM34" s="100">
        <f>IF(AL34&lt;&gt;"No Disp",AK34+12*AL34,"No Disp")</f>
        <v>324000</v>
      </c>
      <c r="AN34" s="100">
        <v>0</v>
      </c>
      <c r="AO34" s="100">
        <v>27000</v>
      </c>
      <c r="AP34" s="100">
        <f>IF(AO34&lt;&gt;"No Disp",AN34+12*AO34,"No Disp")</f>
        <v>324000</v>
      </c>
      <c r="AQ34" s="100">
        <v>0</v>
      </c>
      <c r="AR34" s="100">
        <v>27000</v>
      </c>
      <c r="AS34" s="100">
        <f>IF(AR34&lt;&gt;"No Disp",AQ34+12*AR34,"No Disp")</f>
        <v>324000</v>
      </c>
    </row>
    <row r="35" spans="1:45" s="101" customFormat="1" x14ac:dyDescent="0.25">
      <c r="A35" s="90" t="s">
        <v>38</v>
      </c>
      <c r="B35" s="90" t="s">
        <v>39</v>
      </c>
      <c r="C35" s="90" t="s">
        <v>39</v>
      </c>
      <c r="D35" s="168" t="s">
        <v>4540</v>
      </c>
      <c r="E35" s="168" t="s">
        <v>4538</v>
      </c>
      <c r="F35" s="169">
        <v>673</v>
      </c>
      <c r="G35" s="212">
        <v>70015436</v>
      </c>
      <c r="H35" s="206">
        <v>70015437</v>
      </c>
      <c r="I35" s="207" t="s">
        <v>63</v>
      </c>
      <c r="J35" s="211" t="s">
        <v>4077</v>
      </c>
      <c r="K35" s="173" t="s">
        <v>4091</v>
      </c>
      <c r="L35" s="211" t="s">
        <v>4127</v>
      </c>
      <c r="M35" s="175">
        <v>1295760</v>
      </c>
      <c r="N35" s="95">
        <v>9500</v>
      </c>
      <c r="O35" s="95">
        <v>13500</v>
      </c>
      <c r="P35" s="96">
        <v>1429990</v>
      </c>
      <c r="Q35" s="152"/>
      <c r="R35" s="95">
        <v>1429990</v>
      </c>
      <c r="S35" s="95">
        <f>R35/24</f>
        <v>59582.916666666664</v>
      </c>
      <c r="T35" s="175">
        <v>1295760</v>
      </c>
      <c r="U35" s="95">
        <f>T35/24</f>
        <v>53990</v>
      </c>
      <c r="V35" s="175">
        <v>1295760</v>
      </c>
      <c r="W35" s="95">
        <f>V35/24</f>
        <v>53990</v>
      </c>
      <c r="X35" s="128"/>
      <c r="Y35" s="175">
        <v>699900</v>
      </c>
      <c r="Z35" s="175">
        <v>65000</v>
      </c>
      <c r="AA35" s="95">
        <f>IFERROR(IF(D35="Premium",0.4*Y35,0),"No Disp")</f>
        <v>279960</v>
      </c>
      <c r="AB35" s="95">
        <f>IFERROR(IF(4*Y35&gt;AC35,1.5*Y35,4*Y35),"No Disp")</f>
        <v>1049850</v>
      </c>
      <c r="AC35" s="95">
        <f>IF(Z35="No Disp","No Disp",(Z35*18)+Y35)</f>
        <v>1869900</v>
      </c>
      <c r="AD35" s="95">
        <f>18*Z35-100+Y35</f>
        <v>1869800</v>
      </c>
      <c r="AE35" s="175">
        <v>599900</v>
      </c>
      <c r="AF35" s="175">
        <v>67000</v>
      </c>
      <c r="AG35" s="95">
        <f>IF(AF35="No Disp","No Disp",(AF35*18)+AE35)</f>
        <v>1805900</v>
      </c>
      <c r="AH35" s="95">
        <f>18*AF35-100+AE35</f>
        <v>1805800</v>
      </c>
      <c r="AI35" s="95" t="s">
        <v>4613</v>
      </c>
      <c r="AJ35" s="99"/>
      <c r="AK35" s="100">
        <v>0</v>
      </c>
      <c r="AL35" s="100">
        <v>66000</v>
      </c>
      <c r="AM35" s="100">
        <f>IF(AL35&lt;&gt;"No Disp",AK35+12*AL35,"No Disp")</f>
        <v>792000</v>
      </c>
      <c r="AN35" s="100">
        <v>0</v>
      </c>
      <c r="AO35" s="100">
        <v>66000</v>
      </c>
      <c r="AP35" s="100">
        <f>IF(AO35&lt;&gt;"No Disp",AN35+12*AO35,"No Disp")</f>
        <v>792000</v>
      </c>
      <c r="AQ35" s="100">
        <v>0</v>
      </c>
      <c r="AR35" s="100">
        <v>66000</v>
      </c>
      <c r="AS35" s="100">
        <f>IF(AR35&lt;&gt;"No Disp",AQ35+12*AR35,"No Disp")</f>
        <v>792000</v>
      </c>
    </row>
    <row r="36" spans="1:45" s="101" customFormat="1" x14ac:dyDescent="0.25">
      <c r="A36" s="90" t="s">
        <v>38</v>
      </c>
      <c r="B36" s="90" t="s">
        <v>39</v>
      </c>
      <c r="C36" s="90" t="s">
        <v>39</v>
      </c>
      <c r="D36" s="90" t="s">
        <v>4540</v>
      </c>
      <c r="E36" s="90" t="s">
        <v>4538</v>
      </c>
      <c r="F36" s="91">
        <v>669</v>
      </c>
      <c r="G36" s="205">
        <v>70015440</v>
      </c>
      <c r="H36" s="213">
        <v>70015441</v>
      </c>
      <c r="I36" s="214" t="s">
        <v>63</v>
      </c>
      <c r="J36" s="173" t="s">
        <v>4077</v>
      </c>
      <c r="K36" s="173" t="s">
        <v>4087</v>
      </c>
      <c r="L36" s="173" t="s">
        <v>4123</v>
      </c>
      <c r="M36" s="175">
        <v>1295760</v>
      </c>
      <c r="N36" s="95">
        <v>9500</v>
      </c>
      <c r="O36" s="95">
        <v>13500</v>
      </c>
      <c r="P36" s="96">
        <v>1429990</v>
      </c>
      <c r="Q36" s="152"/>
      <c r="R36" s="95">
        <v>1429990</v>
      </c>
      <c r="S36" s="95">
        <f>R36/24</f>
        <v>59582.916666666664</v>
      </c>
      <c r="T36" s="175">
        <v>1295760</v>
      </c>
      <c r="U36" s="95">
        <f>T36/24</f>
        <v>53990</v>
      </c>
      <c r="V36" s="175">
        <v>1295760</v>
      </c>
      <c r="W36" s="95">
        <f>V36/24</f>
        <v>53990</v>
      </c>
      <c r="X36" s="128"/>
      <c r="Y36" s="175">
        <v>699900</v>
      </c>
      <c r="Z36" s="175">
        <v>65000</v>
      </c>
      <c r="AA36" s="95">
        <f>IFERROR(IF(D36="Premium",0.4*Y36,0),"No Disp")</f>
        <v>279960</v>
      </c>
      <c r="AB36" s="95">
        <f>IFERROR(IF(4*Y36&gt;AC36,1.5*Y36,4*Y36),"No Disp")</f>
        <v>1049850</v>
      </c>
      <c r="AC36" s="95">
        <f>IF(Z36="No Disp","No Disp",(Z36*18)+Y36)</f>
        <v>1869900</v>
      </c>
      <c r="AD36" s="95">
        <f>18*Z36-100+Y36</f>
        <v>1869800</v>
      </c>
      <c r="AE36" s="175">
        <v>599900</v>
      </c>
      <c r="AF36" s="175">
        <v>67000</v>
      </c>
      <c r="AG36" s="95">
        <f>IF(AF36="No Disp","No Disp",(AF36*18)+AE36)</f>
        <v>1805900</v>
      </c>
      <c r="AH36" s="95">
        <f>18*AF36-100+AE36</f>
        <v>1805800</v>
      </c>
      <c r="AI36" s="95" t="s">
        <v>4613</v>
      </c>
      <c r="AJ36" s="99"/>
      <c r="AK36" s="100">
        <v>0</v>
      </c>
      <c r="AL36" s="100">
        <v>66000</v>
      </c>
      <c r="AM36" s="100">
        <f>IF(AL36&lt;&gt;"No Disp",AK36+12*AL36,"No Disp")</f>
        <v>792000</v>
      </c>
      <c r="AN36" s="100">
        <v>0</v>
      </c>
      <c r="AO36" s="100">
        <v>66000</v>
      </c>
      <c r="AP36" s="100">
        <f>IF(AO36&lt;&gt;"No Disp",AN36+12*AO36,"No Disp")</f>
        <v>792000</v>
      </c>
      <c r="AQ36" s="100">
        <v>0</v>
      </c>
      <c r="AR36" s="100">
        <v>66000</v>
      </c>
      <c r="AS36" s="100">
        <f>IF(AR36&lt;&gt;"No Disp",AQ36+12*AR36,"No Disp")</f>
        <v>792000</v>
      </c>
    </row>
    <row r="37" spans="1:45" s="101" customFormat="1" x14ac:dyDescent="0.25">
      <c r="A37" s="90" t="s">
        <v>38</v>
      </c>
      <c r="B37" s="90" t="s">
        <v>39</v>
      </c>
      <c r="C37" s="90" t="s">
        <v>39</v>
      </c>
      <c r="D37" s="90" t="s">
        <v>4540</v>
      </c>
      <c r="E37" s="90" t="s">
        <v>4538</v>
      </c>
      <c r="F37" s="91">
        <v>671</v>
      </c>
      <c r="G37" s="205">
        <v>70015444</v>
      </c>
      <c r="H37" s="213">
        <v>70015445</v>
      </c>
      <c r="I37" s="214" t="s">
        <v>63</v>
      </c>
      <c r="J37" s="173" t="s">
        <v>4077</v>
      </c>
      <c r="K37" s="173" t="s">
        <v>4089</v>
      </c>
      <c r="L37" s="173" t="s">
        <v>4125</v>
      </c>
      <c r="M37" s="175">
        <v>1295760</v>
      </c>
      <c r="N37" s="95">
        <v>9500</v>
      </c>
      <c r="O37" s="95">
        <v>13500</v>
      </c>
      <c r="P37" s="96">
        <v>1429990</v>
      </c>
      <c r="Q37" s="152"/>
      <c r="R37" s="95">
        <v>1429990</v>
      </c>
      <c r="S37" s="95">
        <f>R37/24</f>
        <v>59582.916666666664</v>
      </c>
      <c r="T37" s="175">
        <v>1295760</v>
      </c>
      <c r="U37" s="95">
        <f>T37/24</f>
        <v>53990</v>
      </c>
      <c r="V37" s="175">
        <v>1295760</v>
      </c>
      <c r="W37" s="95">
        <f>V37/24</f>
        <v>53990</v>
      </c>
      <c r="X37" s="128"/>
      <c r="Y37" s="175">
        <v>699900</v>
      </c>
      <c r="Z37" s="175">
        <v>65000</v>
      </c>
      <c r="AA37" s="95">
        <f>IFERROR(IF(D37="Premium",0.4*Y37,0),"No Disp")</f>
        <v>279960</v>
      </c>
      <c r="AB37" s="95">
        <f>IFERROR(IF(4*Y37&gt;AC37,1.5*Y37,4*Y37),"No Disp")</f>
        <v>1049850</v>
      </c>
      <c r="AC37" s="95">
        <f>IF(Z37="No Disp","No Disp",(Z37*18)+Y37)</f>
        <v>1869900</v>
      </c>
      <c r="AD37" s="95">
        <f>18*Z37-100+Y37</f>
        <v>1869800</v>
      </c>
      <c r="AE37" s="175">
        <v>599900</v>
      </c>
      <c r="AF37" s="175">
        <v>67000</v>
      </c>
      <c r="AG37" s="95">
        <f>IF(AF37="No Disp","No Disp",(AF37*18)+AE37)</f>
        <v>1805900</v>
      </c>
      <c r="AH37" s="95">
        <f>18*AF37-100+AE37</f>
        <v>1805800</v>
      </c>
      <c r="AI37" s="95" t="s">
        <v>4613</v>
      </c>
      <c r="AJ37" s="99"/>
      <c r="AK37" s="100">
        <v>0</v>
      </c>
      <c r="AL37" s="100">
        <v>66000</v>
      </c>
      <c r="AM37" s="100">
        <f>IF(AL37&lt;&gt;"No Disp",AK37+12*AL37,"No Disp")</f>
        <v>792000</v>
      </c>
      <c r="AN37" s="100">
        <v>0</v>
      </c>
      <c r="AO37" s="100">
        <v>66000</v>
      </c>
      <c r="AP37" s="100">
        <f>IF(AO37&lt;&gt;"No Disp",AN37+12*AO37,"No Disp")</f>
        <v>792000</v>
      </c>
      <c r="AQ37" s="100">
        <v>0</v>
      </c>
      <c r="AR37" s="100">
        <v>66000</v>
      </c>
      <c r="AS37" s="100">
        <f>IF(AR37&lt;&gt;"No Disp",AQ37+12*AR37,"No Disp")</f>
        <v>792000</v>
      </c>
    </row>
    <row r="38" spans="1:45" s="101" customFormat="1" x14ac:dyDescent="0.25">
      <c r="A38" s="90" t="s">
        <v>102</v>
      </c>
      <c r="B38" s="90" t="s">
        <v>39</v>
      </c>
      <c r="C38" s="90" t="s">
        <v>40</v>
      </c>
      <c r="D38" s="90" t="s">
        <v>4540</v>
      </c>
      <c r="E38" s="90" t="s">
        <v>4538</v>
      </c>
      <c r="F38" s="91">
        <v>782</v>
      </c>
      <c r="G38" s="205">
        <v>70015943</v>
      </c>
      <c r="H38" s="213" t="s">
        <v>3896</v>
      </c>
      <c r="I38" s="214" t="s">
        <v>46</v>
      </c>
      <c r="J38" s="173" t="s">
        <v>4476</v>
      </c>
      <c r="K38" s="173" t="s">
        <v>4495</v>
      </c>
      <c r="L38" s="173" t="s">
        <v>4481</v>
      </c>
      <c r="M38" s="175">
        <v>669760</v>
      </c>
      <c r="N38" s="95">
        <v>6000</v>
      </c>
      <c r="O38" s="95">
        <v>8500</v>
      </c>
      <c r="P38" s="96">
        <v>939990</v>
      </c>
      <c r="Q38" s="152"/>
      <c r="R38" s="175">
        <v>749990</v>
      </c>
      <c r="S38" s="95">
        <f>R38/24</f>
        <v>31249.583333333332</v>
      </c>
      <c r="T38" s="175">
        <v>669760</v>
      </c>
      <c r="U38" s="95">
        <f>T38/24</f>
        <v>27906.666666666668</v>
      </c>
      <c r="V38" s="175">
        <v>669760</v>
      </c>
      <c r="W38" s="95">
        <f>V38/24</f>
        <v>27906.666666666668</v>
      </c>
      <c r="X38" s="128"/>
      <c r="Y38" s="95">
        <v>69900</v>
      </c>
      <c r="Z38" s="175">
        <v>59500</v>
      </c>
      <c r="AA38" s="95">
        <f>IFERROR(IF(D38="Premium",0.4*Y38,0),"No Disp")</f>
        <v>27960</v>
      </c>
      <c r="AB38" s="95">
        <f>IFERROR(IF(4*Y38&gt;AC38,1.5*Y38,4*Y38),"No Disp")</f>
        <v>279600</v>
      </c>
      <c r="AC38" s="95">
        <f>IF(Z38="No Disp","No Disp",(Z38*18)+Y38)</f>
        <v>1140900</v>
      </c>
      <c r="AD38" s="95">
        <f>18*Z38-100+Y38</f>
        <v>1140800</v>
      </c>
      <c r="AE38" s="175">
        <v>39900</v>
      </c>
      <c r="AF38" s="175">
        <v>54000</v>
      </c>
      <c r="AG38" s="95">
        <f>IF(AF38="No Disp","No Disp",(AF38*18)+AE38)</f>
        <v>1011900</v>
      </c>
      <c r="AH38" s="95">
        <f>18*AF38-100+AE38</f>
        <v>1011800</v>
      </c>
      <c r="AI38" s="95" t="s">
        <v>4613</v>
      </c>
      <c r="AJ38" s="99"/>
      <c r="AK38" s="100">
        <v>0</v>
      </c>
      <c r="AL38" s="100">
        <v>32000</v>
      </c>
      <c r="AM38" s="100">
        <f>IF(AL38&lt;&gt;"No Disp",AK38+12*AL38,"No Disp")</f>
        <v>384000</v>
      </c>
      <c r="AN38" s="100">
        <v>0</v>
      </c>
      <c r="AO38" s="100">
        <v>32000</v>
      </c>
      <c r="AP38" s="100">
        <f>IF(AO38&lt;&gt;"No Disp",AN38+12*AO38,"No Disp")</f>
        <v>384000</v>
      </c>
      <c r="AQ38" s="100">
        <v>0</v>
      </c>
      <c r="AR38" s="100">
        <v>32000</v>
      </c>
      <c r="AS38" s="100">
        <f>IF(AR38&lt;&gt;"No Disp",AQ38+12*AR38,"No Disp")</f>
        <v>384000</v>
      </c>
    </row>
    <row r="39" spans="1:45" s="101" customFormat="1" x14ac:dyDescent="0.25">
      <c r="A39" s="90" t="s">
        <v>38</v>
      </c>
      <c r="B39" s="90" t="s">
        <v>40</v>
      </c>
      <c r="C39" s="90" t="s">
        <v>39</v>
      </c>
      <c r="D39" s="90" t="s">
        <v>4539</v>
      </c>
      <c r="E39" s="90" t="s">
        <v>4538</v>
      </c>
      <c r="F39" s="91"/>
      <c r="G39" s="210">
        <v>70016173</v>
      </c>
      <c r="H39" s="213" t="s">
        <v>3896</v>
      </c>
      <c r="I39" s="214" t="s">
        <v>87</v>
      </c>
      <c r="J39" s="173" t="s">
        <v>4662</v>
      </c>
      <c r="K39" s="173" t="s">
        <v>4668</v>
      </c>
      <c r="L39" s="173" t="s">
        <v>4651</v>
      </c>
      <c r="M39" s="175">
        <v>227760</v>
      </c>
      <c r="N39" s="95">
        <v>6000</v>
      </c>
      <c r="O39" s="95">
        <v>8500</v>
      </c>
      <c r="P39" s="96">
        <v>399990</v>
      </c>
      <c r="Q39" s="152"/>
      <c r="R39" s="175">
        <v>257990</v>
      </c>
      <c r="S39" s="95">
        <v>13620.833333333334</v>
      </c>
      <c r="T39" s="175">
        <v>227760</v>
      </c>
      <c r="U39" s="95">
        <v>13620.833333333334</v>
      </c>
      <c r="V39" s="175">
        <v>227760</v>
      </c>
      <c r="W39" s="95">
        <v>13620.833333333334</v>
      </c>
      <c r="X39" s="128"/>
      <c r="Y39" s="95">
        <v>19900</v>
      </c>
      <c r="Z39" s="175">
        <v>22500</v>
      </c>
      <c r="AA39" s="95">
        <f>IFERROR(IF(D39="Premium",0.4*Y39,0),"No Disp")</f>
        <v>0</v>
      </c>
      <c r="AB39" s="95">
        <f>IFERROR(IF(4*Y39&gt;AC39,1.5*Y39,4*Y39),"No Disp")</f>
        <v>79600</v>
      </c>
      <c r="AC39" s="95">
        <f>IF(Z39="No Disp","No Disp",(Z39*18)+Y39)</f>
        <v>424900</v>
      </c>
      <c r="AD39" s="95">
        <f>IF($H39="EMP",18*Z39-100,18*Z39-100+Y39)</f>
        <v>424800</v>
      </c>
      <c r="AE39" s="95">
        <v>0</v>
      </c>
      <c r="AF39" s="175">
        <v>21000</v>
      </c>
      <c r="AG39" s="95">
        <f>IF(AF39="No Disp","No Disp",(AF39*18)+AE39)</f>
        <v>378000</v>
      </c>
      <c r="AH39" s="95">
        <f>IF($H39="EMP",18*AF39-100,18*AF39-100+AE39)</f>
        <v>377900</v>
      </c>
      <c r="AI39" s="95">
        <v>22000</v>
      </c>
      <c r="AJ39" s="99"/>
      <c r="AK39" s="100" t="s">
        <v>43</v>
      </c>
      <c r="AL39" s="100" t="s">
        <v>43</v>
      </c>
      <c r="AM39" s="100" t="s">
        <v>43</v>
      </c>
      <c r="AN39" s="100" t="s">
        <v>43</v>
      </c>
      <c r="AO39" s="100" t="s">
        <v>43</v>
      </c>
      <c r="AP39" s="100" t="s">
        <v>43</v>
      </c>
      <c r="AQ39" s="100" t="s">
        <v>43</v>
      </c>
      <c r="AR39" s="100" t="s">
        <v>43</v>
      </c>
      <c r="AS39" s="100" t="s">
        <v>43</v>
      </c>
    </row>
    <row r="40" spans="1:45" s="101" customFormat="1" x14ac:dyDescent="0.25">
      <c r="A40" s="90" t="s">
        <v>38</v>
      </c>
      <c r="B40" s="90" t="s">
        <v>40</v>
      </c>
      <c r="C40" s="90" t="s">
        <v>39</v>
      </c>
      <c r="D40" s="90" t="s">
        <v>4539</v>
      </c>
      <c r="E40" s="90" t="s">
        <v>4538</v>
      </c>
      <c r="F40" s="91"/>
      <c r="G40" s="210">
        <v>70016154</v>
      </c>
      <c r="H40" s="213" t="s">
        <v>3896</v>
      </c>
      <c r="I40" s="214" t="s">
        <v>87</v>
      </c>
      <c r="J40" s="173" t="s">
        <v>4662</v>
      </c>
      <c r="K40" s="173" t="s">
        <v>4670</v>
      </c>
      <c r="L40" s="173" t="s">
        <v>4653</v>
      </c>
      <c r="M40" s="175">
        <v>227760</v>
      </c>
      <c r="N40" s="95">
        <v>6000</v>
      </c>
      <c r="O40" s="95">
        <v>8500</v>
      </c>
      <c r="P40" s="96">
        <v>399990</v>
      </c>
      <c r="Q40" s="152"/>
      <c r="R40" s="175">
        <v>257990</v>
      </c>
      <c r="S40" s="95">
        <v>13620.833333333334</v>
      </c>
      <c r="T40" s="175">
        <v>227760</v>
      </c>
      <c r="U40" s="95">
        <v>13620.833333333334</v>
      </c>
      <c r="V40" s="175">
        <v>227760</v>
      </c>
      <c r="W40" s="95">
        <v>13620.833333333334</v>
      </c>
      <c r="X40" s="128"/>
      <c r="Y40" s="95">
        <v>19900</v>
      </c>
      <c r="Z40" s="175">
        <v>22500</v>
      </c>
      <c r="AA40" s="95">
        <f>IFERROR(IF(D40="Premium",0.4*Y40,0),"No Disp")</f>
        <v>0</v>
      </c>
      <c r="AB40" s="95">
        <f>IFERROR(IF(4*Y40&gt;AC40,1.5*Y40,4*Y40),"No Disp")</f>
        <v>79600</v>
      </c>
      <c r="AC40" s="95">
        <f>IF(Z40="No Disp","No Disp",(Z40*18)+Y40)</f>
        <v>424900</v>
      </c>
      <c r="AD40" s="95">
        <f>IF($H40="EMP",18*Z40-100,18*Z40-100+Y40)</f>
        <v>424800</v>
      </c>
      <c r="AE40" s="95">
        <v>0</v>
      </c>
      <c r="AF40" s="175">
        <v>21000</v>
      </c>
      <c r="AG40" s="95">
        <f>IF(AF40="No Disp","No Disp",(AF40*18)+AE40)</f>
        <v>378000</v>
      </c>
      <c r="AH40" s="95">
        <f>IF($H40="EMP",18*AF40-100,18*AF40-100+AE40)</f>
        <v>377900</v>
      </c>
      <c r="AI40" s="95">
        <v>22000</v>
      </c>
      <c r="AJ40" s="99"/>
      <c r="AK40" s="100" t="s">
        <v>43</v>
      </c>
      <c r="AL40" s="100" t="s">
        <v>43</v>
      </c>
      <c r="AM40" s="100" t="s">
        <v>43</v>
      </c>
      <c r="AN40" s="100" t="s">
        <v>43</v>
      </c>
      <c r="AO40" s="100" t="s">
        <v>43</v>
      </c>
      <c r="AP40" s="100" t="s">
        <v>43</v>
      </c>
      <c r="AQ40" s="100" t="s">
        <v>43</v>
      </c>
      <c r="AR40" s="100" t="s">
        <v>43</v>
      </c>
      <c r="AS40" s="100" t="s">
        <v>43</v>
      </c>
    </row>
    <row r="41" spans="1:45" s="101" customFormat="1" x14ac:dyDescent="0.25">
      <c r="A41" s="90" t="s">
        <v>38</v>
      </c>
      <c r="B41" s="90" t="s">
        <v>39</v>
      </c>
      <c r="C41" s="90" t="s">
        <v>39</v>
      </c>
      <c r="D41" s="90" t="s">
        <v>4540</v>
      </c>
      <c r="E41" s="90" t="s">
        <v>4538</v>
      </c>
      <c r="F41" s="91">
        <v>667</v>
      </c>
      <c r="G41" s="205">
        <v>70015469</v>
      </c>
      <c r="H41" s="213">
        <v>70015470</v>
      </c>
      <c r="I41" s="214" t="s">
        <v>63</v>
      </c>
      <c r="J41" s="173" t="s">
        <v>4076</v>
      </c>
      <c r="K41" s="173" t="s">
        <v>4085</v>
      </c>
      <c r="L41" s="173" t="s">
        <v>4121</v>
      </c>
      <c r="M41" s="175">
        <v>1398960</v>
      </c>
      <c r="N41" s="95">
        <v>9500</v>
      </c>
      <c r="O41" s="95">
        <v>13500</v>
      </c>
      <c r="P41" s="96">
        <v>1549990</v>
      </c>
      <c r="Q41" s="152"/>
      <c r="R41" s="95">
        <v>1549990</v>
      </c>
      <c r="S41" s="95">
        <f>R41/24</f>
        <v>64582.916666666664</v>
      </c>
      <c r="T41" s="175">
        <v>1398960</v>
      </c>
      <c r="U41" s="95">
        <f>T41/24</f>
        <v>58290</v>
      </c>
      <c r="V41" s="175">
        <v>1398960</v>
      </c>
      <c r="W41" s="95">
        <f>V41/24</f>
        <v>58290</v>
      </c>
      <c r="X41" s="128"/>
      <c r="Y41" s="95">
        <v>699900</v>
      </c>
      <c r="Z41" s="175">
        <v>75000</v>
      </c>
      <c r="AA41" s="95">
        <f>IFERROR(IF(D41="Premium",0.4*Y41,0),"No Disp")</f>
        <v>279960</v>
      </c>
      <c r="AB41" s="95">
        <f>IFERROR(IF(4*Y41&gt;AC41,1.5*Y41,4*Y41),"No Disp")</f>
        <v>1049850</v>
      </c>
      <c r="AC41" s="95">
        <f>IF(Z41="No Disp","No Disp",(Z41*18)+Y41)</f>
        <v>2049900</v>
      </c>
      <c r="AD41" s="95">
        <f>18*Z41-100+Y41</f>
        <v>2049800</v>
      </c>
      <c r="AE41" s="95">
        <v>599900</v>
      </c>
      <c r="AF41" s="175">
        <v>76000</v>
      </c>
      <c r="AG41" s="95">
        <f>IF(AF41="No Disp","No Disp",(AF41*18)+AE41)</f>
        <v>1967900</v>
      </c>
      <c r="AH41" s="95">
        <f>18*AF41-100+AE41</f>
        <v>1967800</v>
      </c>
      <c r="AI41" s="95" t="s">
        <v>4613</v>
      </c>
      <c r="AJ41" s="99"/>
      <c r="AK41" s="100">
        <v>0</v>
      </c>
      <c r="AL41" s="100">
        <v>72000</v>
      </c>
      <c r="AM41" s="100">
        <f>IF(AL41&lt;&gt;"No Disp",AK41+12*AL41,"No Disp")</f>
        <v>864000</v>
      </c>
      <c r="AN41" s="100">
        <v>0</v>
      </c>
      <c r="AO41" s="100">
        <v>72000</v>
      </c>
      <c r="AP41" s="100">
        <f>IF(AO41&lt;&gt;"No Disp",AN41+12*AO41,"No Disp")</f>
        <v>864000</v>
      </c>
      <c r="AQ41" s="100">
        <v>0</v>
      </c>
      <c r="AR41" s="100">
        <v>72000</v>
      </c>
      <c r="AS41" s="100">
        <f>IF(AR41&lt;&gt;"No Disp",AQ41+12*AR41,"No Disp")</f>
        <v>864000</v>
      </c>
    </row>
    <row r="42" spans="1:45" s="101" customFormat="1" x14ac:dyDescent="0.25">
      <c r="A42" s="90" t="s">
        <v>38</v>
      </c>
      <c r="B42" s="90" t="s">
        <v>39</v>
      </c>
      <c r="C42" s="90" t="s">
        <v>39</v>
      </c>
      <c r="D42" s="90" t="s">
        <v>4540</v>
      </c>
      <c r="E42" s="90" t="s">
        <v>4538</v>
      </c>
      <c r="F42" s="91">
        <v>663</v>
      </c>
      <c r="G42" s="205">
        <v>70015473</v>
      </c>
      <c r="H42" s="213">
        <v>70015474</v>
      </c>
      <c r="I42" s="214" t="s">
        <v>63</v>
      </c>
      <c r="J42" s="173" t="s">
        <v>4076</v>
      </c>
      <c r="K42" s="173" t="s">
        <v>4081</v>
      </c>
      <c r="L42" s="173" t="s">
        <v>4117</v>
      </c>
      <c r="M42" s="175">
        <v>1398960</v>
      </c>
      <c r="N42" s="95">
        <v>9500</v>
      </c>
      <c r="O42" s="95">
        <v>13500</v>
      </c>
      <c r="P42" s="96">
        <v>1549990</v>
      </c>
      <c r="Q42" s="152"/>
      <c r="R42" s="95">
        <v>1549990</v>
      </c>
      <c r="S42" s="95">
        <f>R42/24</f>
        <v>64582.916666666664</v>
      </c>
      <c r="T42" s="175">
        <v>1398960</v>
      </c>
      <c r="U42" s="95">
        <f>T42/24</f>
        <v>58290</v>
      </c>
      <c r="V42" s="175">
        <v>1398960</v>
      </c>
      <c r="W42" s="95">
        <f>V42/24</f>
        <v>58290</v>
      </c>
      <c r="X42" s="128"/>
      <c r="Y42" s="95">
        <v>699900</v>
      </c>
      <c r="Z42" s="175">
        <v>75000</v>
      </c>
      <c r="AA42" s="95">
        <f>IFERROR(IF(D42="Premium",0.4*Y42,0),"No Disp")</f>
        <v>279960</v>
      </c>
      <c r="AB42" s="95">
        <f>IFERROR(IF(4*Y42&gt;AC42,1.5*Y42,4*Y42),"No Disp")</f>
        <v>1049850</v>
      </c>
      <c r="AC42" s="95">
        <f>IF(Z42="No Disp","No Disp",(Z42*18)+Y42)</f>
        <v>2049900</v>
      </c>
      <c r="AD42" s="95">
        <f>18*Z42-100+Y42</f>
        <v>2049800</v>
      </c>
      <c r="AE42" s="95">
        <v>599900</v>
      </c>
      <c r="AF42" s="175">
        <v>76000</v>
      </c>
      <c r="AG42" s="95">
        <f>IF(AF42="No Disp","No Disp",(AF42*18)+AE42)</f>
        <v>1967900</v>
      </c>
      <c r="AH42" s="95">
        <f>18*AF42-100+AE42</f>
        <v>1967800</v>
      </c>
      <c r="AI42" s="95" t="s">
        <v>4613</v>
      </c>
      <c r="AJ42" s="99"/>
      <c r="AK42" s="100">
        <v>0</v>
      </c>
      <c r="AL42" s="100">
        <v>72000</v>
      </c>
      <c r="AM42" s="100">
        <f>IF(AL42&lt;&gt;"No Disp",AK42+12*AL42,"No Disp")</f>
        <v>864000</v>
      </c>
      <c r="AN42" s="100">
        <v>0</v>
      </c>
      <c r="AO42" s="100">
        <v>72000</v>
      </c>
      <c r="AP42" s="100">
        <f>IF(AO42&lt;&gt;"No Disp",AN42+12*AO42,"No Disp")</f>
        <v>864000</v>
      </c>
      <c r="AQ42" s="100">
        <v>0</v>
      </c>
      <c r="AR42" s="100">
        <v>72000</v>
      </c>
      <c r="AS42" s="100">
        <f>IF(AR42&lt;&gt;"No Disp",AQ42+12*AR42,"No Disp")</f>
        <v>864000</v>
      </c>
    </row>
    <row r="43" spans="1:45" s="101" customFormat="1" x14ac:dyDescent="0.25">
      <c r="A43" s="90" t="s">
        <v>38</v>
      </c>
      <c r="B43" s="90" t="s">
        <v>39</v>
      </c>
      <c r="C43" s="90" t="s">
        <v>39</v>
      </c>
      <c r="D43" s="90" t="s">
        <v>4540</v>
      </c>
      <c r="E43" s="90" t="s">
        <v>4538</v>
      </c>
      <c r="F43" s="91">
        <v>665</v>
      </c>
      <c r="G43" s="205">
        <v>70015477</v>
      </c>
      <c r="H43" s="213">
        <v>70015478</v>
      </c>
      <c r="I43" s="214" t="s">
        <v>63</v>
      </c>
      <c r="J43" s="173" t="s">
        <v>4076</v>
      </c>
      <c r="K43" s="173" t="s">
        <v>4083</v>
      </c>
      <c r="L43" s="173" t="s">
        <v>4119</v>
      </c>
      <c r="M43" s="175">
        <v>1398960</v>
      </c>
      <c r="N43" s="95">
        <v>9500</v>
      </c>
      <c r="O43" s="95">
        <v>13500</v>
      </c>
      <c r="P43" s="96">
        <v>1549990</v>
      </c>
      <c r="Q43" s="152"/>
      <c r="R43" s="95">
        <v>1549990</v>
      </c>
      <c r="S43" s="95">
        <f>R43/24</f>
        <v>64582.916666666664</v>
      </c>
      <c r="T43" s="175">
        <v>1398960</v>
      </c>
      <c r="U43" s="95">
        <f>T43/24</f>
        <v>58290</v>
      </c>
      <c r="V43" s="175">
        <v>1398960</v>
      </c>
      <c r="W43" s="95">
        <f>V43/24</f>
        <v>58290</v>
      </c>
      <c r="X43" s="128"/>
      <c r="Y43" s="95">
        <v>699900</v>
      </c>
      <c r="Z43" s="175">
        <v>75000</v>
      </c>
      <c r="AA43" s="95">
        <f>IFERROR(IF(D43="Premium",0.4*Y43,0),"No Disp")</f>
        <v>279960</v>
      </c>
      <c r="AB43" s="95">
        <f>IFERROR(IF(4*Y43&gt;AC43,1.5*Y43,4*Y43),"No Disp")</f>
        <v>1049850</v>
      </c>
      <c r="AC43" s="95">
        <f>IF(Z43="No Disp","No Disp",(Z43*18)+Y43)</f>
        <v>2049900</v>
      </c>
      <c r="AD43" s="95">
        <f>18*Z43-100+Y43</f>
        <v>2049800</v>
      </c>
      <c r="AE43" s="95">
        <v>599900</v>
      </c>
      <c r="AF43" s="175">
        <v>76000</v>
      </c>
      <c r="AG43" s="95">
        <f>IF(AF43="No Disp","No Disp",(AF43*18)+AE43)</f>
        <v>1967900</v>
      </c>
      <c r="AH43" s="95">
        <f>18*AF43-100+AE43</f>
        <v>1967800</v>
      </c>
      <c r="AI43" s="95" t="s">
        <v>4613</v>
      </c>
      <c r="AJ43" s="99"/>
      <c r="AK43" s="100">
        <v>0</v>
      </c>
      <c r="AL43" s="100">
        <v>72000</v>
      </c>
      <c r="AM43" s="100">
        <f>IF(AL43&lt;&gt;"No Disp",AK43+12*AL43,"No Disp")</f>
        <v>864000</v>
      </c>
      <c r="AN43" s="100">
        <v>0</v>
      </c>
      <c r="AO43" s="100">
        <v>72000</v>
      </c>
      <c r="AP43" s="100">
        <f>IF(AO43&lt;&gt;"No Disp",AN43+12*AO43,"No Disp")</f>
        <v>864000</v>
      </c>
      <c r="AQ43" s="100">
        <v>0</v>
      </c>
      <c r="AR43" s="100">
        <v>72000</v>
      </c>
      <c r="AS43" s="100">
        <f>IF(AR43&lt;&gt;"No Disp",AQ43+12*AR43,"No Disp")</f>
        <v>864000</v>
      </c>
    </row>
    <row r="44" spans="1:45" s="101" customFormat="1" x14ac:dyDescent="0.25">
      <c r="A44" s="90" t="s">
        <v>38</v>
      </c>
      <c r="B44" s="90" t="s">
        <v>39</v>
      </c>
      <c r="C44" s="90" t="s">
        <v>40</v>
      </c>
      <c r="D44" s="90" t="s">
        <v>4537</v>
      </c>
      <c r="E44" s="90" t="s">
        <v>4538</v>
      </c>
      <c r="F44" s="91">
        <v>728</v>
      </c>
      <c r="G44" s="205">
        <v>70015130</v>
      </c>
      <c r="H44" s="213">
        <v>70015131</v>
      </c>
      <c r="I44" s="214" t="s">
        <v>46</v>
      </c>
      <c r="J44" s="209" t="s">
        <v>4015</v>
      </c>
      <c r="K44" s="173" t="s">
        <v>4016</v>
      </c>
      <c r="L44" s="173" t="s">
        <v>4017</v>
      </c>
      <c r="M44" s="175">
        <v>287760</v>
      </c>
      <c r="N44" s="95">
        <v>6000</v>
      </c>
      <c r="O44" s="95">
        <v>8500</v>
      </c>
      <c r="P44" s="96">
        <v>499990</v>
      </c>
      <c r="Q44" s="152"/>
      <c r="R44" s="175">
        <v>317990</v>
      </c>
      <c r="S44" s="95">
        <f>R44/24</f>
        <v>13249.583333333334</v>
      </c>
      <c r="T44" s="175">
        <v>287760</v>
      </c>
      <c r="U44" s="95">
        <f>T44/24</f>
        <v>11990</v>
      </c>
      <c r="V44" s="175">
        <v>287760</v>
      </c>
      <c r="W44" s="95">
        <f>V44/24</f>
        <v>11990</v>
      </c>
      <c r="X44" s="128"/>
      <c r="Y44" s="175">
        <v>29900</v>
      </c>
      <c r="Z44" s="204">
        <v>28500</v>
      </c>
      <c r="AA44" s="95">
        <f>IFERROR(IF(D44="Premium",0.4*Y44,0),"No Disp")</f>
        <v>0</v>
      </c>
      <c r="AB44" s="95">
        <f>IFERROR(IF(4*Y44&gt;AC44,1.5*Y44,4*Y44),"No Disp")</f>
        <v>119600</v>
      </c>
      <c r="AC44" s="95">
        <f>IF(Z44="No Disp","No Disp",(Z44*18)+Y44)</f>
        <v>542900</v>
      </c>
      <c r="AD44" s="95">
        <f>18*Z44-100+Y44</f>
        <v>542800</v>
      </c>
      <c r="AE44" s="175">
        <v>19900</v>
      </c>
      <c r="AF44" s="95">
        <v>25000</v>
      </c>
      <c r="AG44" s="95">
        <f>IF(AF44="No Disp","No Disp",(AF44*18)+AE44)</f>
        <v>469900</v>
      </c>
      <c r="AH44" s="95">
        <f>18*AF44-100+AE44</f>
        <v>469800</v>
      </c>
      <c r="AI44" s="95" t="s">
        <v>4613</v>
      </c>
      <c r="AJ44" s="99"/>
      <c r="AK44" s="100" t="s">
        <v>43</v>
      </c>
      <c r="AL44" s="100" t="s">
        <v>43</v>
      </c>
      <c r="AM44" s="100" t="str">
        <f>IF(AL44&lt;&gt;"No Disp",AK44+12*AL44,"No Disp")</f>
        <v>No Disp</v>
      </c>
      <c r="AN44" s="100" t="s">
        <v>43</v>
      </c>
      <c r="AO44" s="100" t="s">
        <v>43</v>
      </c>
      <c r="AP44" s="100" t="str">
        <f>IF(AO44&lt;&gt;"No Disp",AN44+12*AO44,"No Disp")</f>
        <v>No Disp</v>
      </c>
      <c r="AQ44" s="100" t="s">
        <v>43</v>
      </c>
      <c r="AR44" s="100" t="s">
        <v>43</v>
      </c>
      <c r="AS44" s="100" t="str">
        <f>IF(AR44&lt;&gt;"No Disp",AQ44+12*AR44,"No Disp")</f>
        <v>No Disp</v>
      </c>
    </row>
    <row r="45" spans="1:45" s="101" customFormat="1" x14ac:dyDescent="0.25">
      <c r="A45" s="90" t="s">
        <v>102</v>
      </c>
      <c r="B45" s="90" t="s">
        <v>39</v>
      </c>
      <c r="C45" s="90" t="s">
        <v>40</v>
      </c>
      <c r="D45" s="90" t="s">
        <v>4537</v>
      </c>
      <c r="E45" s="90" t="s">
        <v>4538</v>
      </c>
      <c r="F45" s="91">
        <v>774</v>
      </c>
      <c r="G45" s="205">
        <v>70015258</v>
      </c>
      <c r="H45" s="213" t="s">
        <v>3896</v>
      </c>
      <c r="I45" s="214" t="s">
        <v>131</v>
      </c>
      <c r="J45" s="173" t="s">
        <v>4480</v>
      </c>
      <c r="K45" s="173" t="s">
        <v>4503</v>
      </c>
      <c r="L45" s="173" t="s">
        <v>4489</v>
      </c>
      <c r="M45" s="175">
        <v>477360</v>
      </c>
      <c r="N45" s="95">
        <v>6000</v>
      </c>
      <c r="O45" s="95">
        <v>8500</v>
      </c>
      <c r="P45" s="96">
        <v>699990</v>
      </c>
      <c r="Q45" s="152"/>
      <c r="R45" s="95">
        <v>537990</v>
      </c>
      <c r="S45" s="95">
        <f>R45/24</f>
        <v>22416.25</v>
      </c>
      <c r="T45" s="95">
        <v>477360</v>
      </c>
      <c r="U45" s="95">
        <f>T45/24</f>
        <v>19890</v>
      </c>
      <c r="V45" s="95">
        <v>477360</v>
      </c>
      <c r="W45" s="95">
        <f>V45/24</f>
        <v>19890</v>
      </c>
      <c r="X45" s="128"/>
      <c r="Y45" s="175">
        <v>49900</v>
      </c>
      <c r="Z45" s="95">
        <v>41000</v>
      </c>
      <c r="AA45" s="95">
        <f>IFERROR(IF(D45="Premium",0.4*Y45,0),"No Disp")</f>
        <v>0</v>
      </c>
      <c r="AB45" s="95">
        <f>IFERROR(IF(4*Y45&gt;AC45,1.5*Y45,4*Y45),"No Disp")</f>
        <v>199600</v>
      </c>
      <c r="AC45" s="95">
        <f>IF(Z45="No Disp","No Disp",(Z45*18)+Y45)</f>
        <v>787900</v>
      </c>
      <c r="AD45" s="95">
        <f>18*Z45-100+Y45</f>
        <v>787800</v>
      </c>
      <c r="AE45" s="175">
        <v>19900</v>
      </c>
      <c r="AF45" s="95">
        <v>38000</v>
      </c>
      <c r="AG45" s="95">
        <f>IF(AF45="No Disp","No Disp",(AF45*18)+AE45)</f>
        <v>703900</v>
      </c>
      <c r="AH45" s="95">
        <f>18*AF45-100+AE45</f>
        <v>703800</v>
      </c>
      <c r="AI45" s="95" t="s">
        <v>4613</v>
      </c>
      <c r="AJ45" s="99"/>
      <c r="AK45" s="100">
        <v>0</v>
      </c>
      <c r="AL45" s="100">
        <v>23000</v>
      </c>
      <c r="AM45" s="100">
        <f>IF(AL45&lt;&gt;"No Disp",AK45+12*AL45,"No Disp")</f>
        <v>276000</v>
      </c>
      <c r="AN45" s="100">
        <v>0</v>
      </c>
      <c r="AO45" s="100">
        <v>23000</v>
      </c>
      <c r="AP45" s="100">
        <f>IF(AO45&lt;&gt;"No Disp",AN45+12*AO45,"No Disp")</f>
        <v>276000</v>
      </c>
      <c r="AQ45" s="100">
        <v>0</v>
      </c>
      <c r="AR45" s="100">
        <v>23000</v>
      </c>
      <c r="AS45" s="100">
        <f>IF(AR45&lt;&gt;"No Disp",AQ45+12*AR45,"No Disp")</f>
        <v>276000</v>
      </c>
    </row>
    <row r="46" spans="1:45" s="101" customFormat="1" x14ac:dyDescent="0.25">
      <c r="A46" s="90" t="s">
        <v>102</v>
      </c>
      <c r="B46" s="90" t="s">
        <v>39</v>
      </c>
      <c r="C46" s="90" t="s">
        <v>40</v>
      </c>
      <c r="D46" s="90" t="s">
        <v>4537</v>
      </c>
      <c r="E46" s="168" t="s">
        <v>4538</v>
      </c>
      <c r="F46" s="91">
        <v>773</v>
      </c>
      <c r="G46" s="205">
        <v>70015262</v>
      </c>
      <c r="H46" s="213" t="s">
        <v>3896</v>
      </c>
      <c r="I46" s="214" t="s">
        <v>131</v>
      </c>
      <c r="J46" s="173" t="s">
        <v>4480</v>
      </c>
      <c r="K46" s="173" t="s">
        <v>4504</v>
      </c>
      <c r="L46" s="173" t="s">
        <v>4490</v>
      </c>
      <c r="M46" s="175">
        <v>477360</v>
      </c>
      <c r="N46" s="95">
        <v>6000</v>
      </c>
      <c r="O46" s="95">
        <v>8500</v>
      </c>
      <c r="P46" s="96">
        <v>699990</v>
      </c>
      <c r="Q46" s="152"/>
      <c r="R46" s="95">
        <v>537990</v>
      </c>
      <c r="S46" s="95">
        <f>R46/24</f>
        <v>22416.25</v>
      </c>
      <c r="T46" s="95">
        <v>477360</v>
      </c>
      <c r="U46" s="95">
        <f>T46/24</f>
        <v>19890</v>
      </c>
      <c r="V46" s="95">
        <v>477360</v>
      </c>
      <c r="W46" s="95">
        <f>V46/24</f>
        <v>19890</v>
      </c>
      <c r="X46" s="128"/>
      <c r="Y46" s="175">
        <v>49900</v>
      </c>
      <c r="Z46" s="95">
        <v>41000</v>
      </c>
      <c r="AA46" s="95">
        <f>IFERROR(IF(D46="Premium",0.4*Y46,0),"No Disp")</f>
        <v>0</v>
      </c>
      <c r="AB46" s="95">
        <f>IFERROR(IF(4*Y46&gt;AC46,1.5*Y46,4*Y46),"No Disp")</f>
        <v>199600</v>
      </c>
      <c r="AC46" s="95">
        <f>IF(Z46="No Disp","No Disp",(Z46*18)+Y46)</f>
        <v>787900</v>
      </c>
      <c r="AD46" s="95">
        <f>18*Z46-100+Y46</f>
        <v>787800</v>
      </c>
      <c r="AE46" s="175">
        <v>19900</v>
      </c>
      <c r="AF46" s="95">
        <v>38000</v>
      </c>
      <c r="AG46" s="95">
        <f>IF(AF46="No Disp","No Disp",(AF46*18)+AE46)</f>
        <v>703900</v>
      </c>
      <c r="AH46" s="95">
        <f>18*AF46-100+AE46</f>
        <v>703800</v>
      </c>
      <c r="AI46" s="95" t="s">
        <v>4613</v>
      </c>
      <c r="AJ46" s="99"/>
      <c r="AK46" s="100">
        <v>0</v>
      </c>
      <c r="AL46" s="100">
        <v>23000</v>
      </c>
      <c r="AM46" s="100">
        <f>IF(AL46&lt;&gt;"No Disp",AK46+12*AL46,"No Disp")</f>
        <v>276000</v>
      </c>
      <c r="AN46" s="100">
        <v>0</v>
      </c>
      <c r="AO46" s="100">
        <v>23000</v>
      </c>
      <c r="AP46" s="100">
        <f>IF(AO46&lt;&gt;"No Disp",AN46+12*AO46,"No Disp")</f>
        <v>276000</v>
      </c>
      <c r="AQ46" s="100">
        <v>0</v>
      </c>
      <c r="AR46" s="100">
        <v>23000</v>
      </c>
      <c r="AS46" s="100">
        <f>IF(AR46&lt;&gt;"No Disp",AQ46+12*AR46,"No Disp")</f>
        <v>276000</v>
      </c>
    </row>
    <row r="47" spans="1:45" s="101" customFormat="1" x14ac:dyDescent="0.25">
      <c r="A47" s="90" t="s">
        <v>38</v>
      </c>
      <c r="B47" s="90" t="s">
        <v>39</v>
      </c>
      <c r="C47" s="90" t="s">
        <v>40</v>
      </c>
      <c r="D47" s="90" t="s">
        <v>4539</v>
      </c>
      <c r="E47" s="168" t="s">
        <v>4538</v>
      </c>
      <c r="F47" s="91">
        <v>590</v>
      </c>
      <c r="G47" s="205">
        <v>70013732</v>
      </c>
      <c r="H47" s="213">
        <v>70013733</v>
      </c>
      <c r="I47" s="214" t="s">
        <v>46</v>
      </c>
      <c r="J47" s="173" t="s">
        <v>2819</v>
      </c>
      <c r="K47" s="173" t="s">
        <v>2826</v>
      </c>
      <c r="L47" s="173" t="s">
        <v>2827</v>
      </c>
      <c r="M47" s="175">
        <v>258960</v>
      </c>
      <c r="N47" s="95">
        <v>6000</v>
      </c>
      <c r="O47" s="95">
        <v>8500</v>
      </c>
      <c r="P47" s="96">
        <v>449990</v>
      </c>
      <c r="Q47" s="152"/>
      <c r="R47" s="95">
        <v>288990</v>
      </c>
      <c r="S47" s="95">
        <f>R47/24</f>
        <v>12041.25</v>
      </c>
      <c r="T47" s="95">
        <v>258960</v>
      </c>
      <c r="U47" s="95">
        <f>T47/24</f>
        <v>10790</v>
      </c>
      <c r="V47" s="95">
        <v>258960</v>
      </c>
      <c r="W47" s="95">
        <f>V47/24</f>
        <v>10790</v>
      </c>
      <c r="X47" s="128"/>
      <c r="Y47" s="175">
        <v>19900</v>
      </c>
      <c r="Z47" s="175">
        <v>26000</v>
      </c>
      <c r="AA47" s="95">
        <f>IFERROR(IF(D47="Premium",0.4*Y47,0),"No Disp")</f>
        <v>0</v>
      </c>
      <c r="AB47" s="95">
        <f>IFERROR(IF(4*Y47&gt;AC47,1.5*Y47,4*Y47),"No Disp")</f>
        <v>79600</v>
      </c>
      <c r="AC47" s="95">
        <f>IF(Z47="No Disp","No Disp",(Z47*18)+Y47)</f>
        <v>487900</v>
      </c>
      <c r="AD47" s="95">
        <f>18*Z47-100+Y47</f>
        <v>487800</v>
      </c>
      <c r="AE47" s="95">
        <v>0</v>
      </c>
      <c r="AF47" s="95">
        <v>25000</v>
      </c>
      <c r="AG47" s="95">
        <f>IF(AF47="No Disp","No Disp",(AF47*18)+AE47)</f>
        <v>450000</v>
      </c>
      <c r="AH47" s="95">
        <f>18*AF47-100+AE47</f>
        <v>449900</v>
      </c>
      <c r="AI47" s="95" t="s">
        <v>4613</v>
      </c>
      <c r="AJ47" s="99"/>
      <c r="AK47" s="100" t="s">
        <v>43</v>
      </c>
      <c r="AL47" s="100" t="s">
        <v>43</v>
      </c>
      <c r="AM47" s="100" t="str">
        <f>IF(AL47&lt;&gt;"No Disp",AK47+12*AL47,"No Disp")</f>
        <v>No Disp</v>
      </c>
      <c r="AN47" s="100" t="s">
        <v>43</v>
      </c>
      <c r="AO47" s="100" t="s">
        <v>43</v>
      </c>
      <c r="AP47" s="100" t="str">
        <f>IF(AO47&lt;&gt;"No Disp",AN47+12*AO47,"No Disp")</f>
        <v>No Disp</v>
      </c>
      <c r="AQ47" s="100" t="s">
        <v>43</v>
      </c>
      <c r="AR47" s="100" t="s">
        <v>43</v>
      </c>
      <c r="AS47" s="100" t="str">
        <f>IF(AR47&lt;&gt;"No Disp",AQ47+12*AR47,"No Disp")</f>
        <v>No Disp</v>
      </c>
    </row>
    <row r="48" spans="1:45" s="101" customFormat="1" x14ac:dyDescent="0.25">
      <c r="A48" s="90" t="s">
        <v>38</v>
      </c>
      <c r="B48" s="90" t="s">
        <v>39</v>
      </c>
      <c r="C48" s="90" t="s">
        <v>40</v>
      </c>
      <c r="D48" s="90" t="s">
        <v>4539</v>
      </c>
      <c r="E48" s="168" t="s">
        <v>4538</v>
      </c>
      <c r="F48" s="91">
        <v>592</v>
      </c>
      <c r="G48" s="205">
        <v>70013840</v>
      </c>
      <c r="H48" s="213">
        <v>70013841</v>
      </c>
      <c r="I48" s="214" t="s">
        <v>46</v>
      </c>
      <c r="J48" s="173" t="s">
        <v>2819</v>
      </c>
      <c r="K48" s="173" t="s">
        <v>2822</v>
      </c>
      <c r="L48" s="173" t="s">
        <v>2823</v>
      </c>
      <c r="M48" s="175">
        <v>258960</v>
      </c>
      <c r="N48" s="95">
        <v>6000</v>
      </c>
      <c r="O48" s="95">
        <v>8500</v>
      </c>
      <c r="P48" s="96">
        <v>449990</v>
      </c>
      <c r="Q48" s="152"/>
      <c r="R48" s="95">
        <v>288990</v>
      </c>
      <c r="S48" s="95">
        <f>R48/24</f>
        <v>12041.25</v>
      </c>
      <c r="T48" s="95">
        <v>258960</v>
      </c>
      <c r="U48" s="95">
        <f>T48/24</f>
        <v>10790</v>
      </c>
      <c r="V48" s="95">
        <v>258960</v>
      </c>
      <c r="W48" s="95">
        <f>V48/24</f>
        <v>10790</v>
      </c>
      <c r="X48" s="128"/>
      <c r="Y48" s="175">
        <v>19900</v>
      </c>
      <c r="Z48" s="175">
        <v>26000</v>
      </c>
      <c r="AA48" s="95">
        <f>IFERROR(IF(D48="Premium",0.4*Y48,0),"No Disp")</f>
        <v>0</v>
      </c>
      <c r="AB48" s="95">
        <f>IFERROR(IF(4*Y48&gt;AC48,1.5*Y48,4*Y48),"No Disp")</f>
        <v>79600</v>
      </c>
      <c r="AC48" s="95">
        <f>IF(Z48="No Disp","No Disp",(Z48*18)+Y48)</f>
        <v>487900</v>
      </c>
      <c r="AD48" s="95">
        <f>18*Z48-100+Y48</f>
        <v>487800</v>
      </c>
      <c r="AE48" s="95">
        <v>0</v>
      </c>
      <c r="AF48" s="95">
        <v>25000</v>
      </c>
      <c r="AG48" s="95">
        <f>IF(AF48="No Disp","No Disp",(AF48*18)+AE48)</f>
        <v>450000</v>
      </c>
      <c r="AH48" s="95">
        <f>18*AF48-100+AE48</f>
        <v>449900</v>
      </c>
      <c r="AI48" s="95" t="s">
        <v>4613</v>
      </c>
      <c r="AJ48" s="99"/>
      <c r="AK48" s="100" t="s">
        <v>43</v>
      </c>
      <c r="AL48" s="100" t="s">
        <v>43</v>
      </c>
      <c r="AM48" s="100" t="str">
        <f>IF(AL48&lt;&gt;"No Disp",AK48+12*AL48,"No Disp")</f>
        <v>No Disp</v>
      </c>
      <c r="AN48" s="100" t="s">
        <v>43</v>
      </c>
      <c r="AO48" s="100" t="s">
        <v>43</v>
      </c>
      <c r="AP48" s="100" t="str">
        <f>IF(AO48&lt;&gt;"No Disp",AN48+12*AO48,"No Disp")</f>
        <v>No Disp</v>
      </c>
      <c r="AQ48" s="100" t="s">
        <v>43</v>
      </c>
      <c r="AR48" s="100" t="s">
        <v>43</v>
      </c>
      <c r="AS48" s="100" t="str">
        <f>IF(AR48&lt;&gt;"No Disp",AQ48+12*AR48,"No Disp")</f>
        <v>No Disp</v>
      </c>
    </row>
    <row r="49" spans="1:45" s="101" customFormat="1" x14ac:dyDescent="0.25">
      <c r="A49" s="90" t="s">
        <v>38</v>
      </c>
      <c r="B49" s="90" t="s">
        <v>39</v>
      </c>
      <c r="C49" s="90" t="s">
        <v>40</v>
      </c>
      <c r="D49" s="90" t="s">
        <v>4539</v>
      </c>
      <c r="E49" s="168" t="s">
        <v>4538</v>
      </c>
      <c r="F49" s="91">
        <v>593</v>
      </c>
      <c r="G49" s="205">
        <v>70013767</v>
      </c>
      <c r="H49" s="213">
        <v>70013848</v>
      </c>
      <c r="I49" s="214" t="s">
        <v>46</v>
      </c>
      <c r="J49" s="173" t="s">
        <v>2819</v>
      </c>
      <c r="K49" s="173" t="s">
        <v>2820</v>
      </c>
      <c r="L49" s="173" t="s">
        <v>2821</v>
      </c>
      <c r="M49" s="175">
        <v>258960</v>
      </c>
      <c r="N49" s="95">
        <v>6000</v>
      </c>
      <c r="O49" s="95">
        <v>8500</v>
      </c>
      <c r="P49" s="96">
        <v>449990</v>
      </c>
      <c r="Q49" s="152"/>
      <c r="R49" s="95">
        <v>288990</v>
      </c>
      <c r="S49" s="95">
        <f>R49/24</f>
        <v>12041.25</v>
      </c>
      <c r="T49" s="95">
        <v>258960</v>
      </c>
      <c r="U49" s="95">
        <f>T49/24</f>
        <v>10790</v>
      </c>
      <c r="V49" s="95">
        <v>258960</v>
      </c>
      <c r="W49" s="95">
        <f>V49/24</f>
        <v>10790</v>
      </c>
      <c r="X49" s="128"/>
      <c r="Y49" s="175">
        <v>19900</v>
      </c>
      <c r="Z49" s="175">
        <v>26000</v>
      </c>
      <c r="AA49" s="95">
        <f>IFERROR(IF(D49="Premium",0.4*Y49,0),"No Disp")</f>
        <v>0</v>
      </c>
      <c r="AB49" s="95">
        <f>IFERROR(IF(4*Y49&gt;AC49,1.5*Y49,4*Y49),"No Disp")</f>
        <v>79600</v>
      </c>
      <c r="AC49" s="95">
        <f>IF(Z49="No Disp","No Disp",(Z49*18)+Y49)</f>
        <v>487900</v>
      </c>
      <c r="AD49" s="95">
        <f>18*Z49-100+Y49</f>
        <v>487800</v>
      </c>
      <c r="AE49" s="95">
        <v>0</v>
      </c>
      <c r="AF49" s="95">
        <v>25000</v>
      </c>
      <c r="AG49" s="95">
        <f>IF(AF49="No Disp","No Disp",(AF49*18)+AE49)</f>
        <v>450000</v>
      </c>
      <c r="AH49" s="95">
        <f>18*AF49-100+AE49</f>
        <v>449900</v>
      </c>
      <c r="AI49" s="95" t="s">
        <v>4613</v>
      </c>
      <c r="AJ49" s="99"/>
      <c r="AK49" s="100" t="s">
        <v>43</v>
      </c>
      <c r="AL49" s="100" t="s">
        <v>43</v>
      </c>
      <c r="AM49" s="100" t="str">
        <f>IF(AL49&lt;&gt;"No Disp",AK49+12*AL49,"No Disp")</f>
        <v>No Disp</v>
      </c>
      <c r="AN49" s="100" t="s">
        <v>43</v>
      </c>
      <c r="AO49" s="100" t="s">
        <v>43</v>
      </c>
      <c r="AP49" s="100" t="str">
        <f>IF(AO49&lt;&gt;"No Disp",AN49+12*AO49,"No Disp")</f>
        <v>No Disp</v>
      </c>
      <c r="AQ49" s="100" t="s">
        <v>43</v>
      </c>
      <c r="AR49" s="100" t="s">
        <v>43</v>
      </c>
      <c r="AS49" s="100" t="str">
        <f>IF(AR49&lt;&gt;"No Disp",AQ49+12*AR49,"No Disp")</f>
        <v>No Disp</v>
      </c>
    </row>
    <row r="50" spans="1:45" s="101" customFormat="1" x14ac:dyDescent="0.25">
      <c r="A50" s="90" t="s">
        <v>38</v>
      </c>
      <c r="B50" s="90" t="s">
        <v>39</v>
      </c>
      <c r="C50" s="90" t="s">
        <v>40</v>
      </c>
      <c r="D50" s="168" t="s">
        <v>4539</v>
      </c>
      <c r="E50" s="168" t="s">
        <v>4538</v>
      </c>
      <c r="F50" s="169">
        <v>591</v>
      </c>
      <c r="G50" s="212">
        <v>70013851</v>
      </c>
      <c r="H50" s="206">
        <v>70013852</v>
      </c>
      <c r="I50" s="207" t="s">
        <v>46</v>
      </c>
      <c r="J50" s="211" t="s">
        <v>2819</v>
      </c>
      <c r="K50" s="208" t="s">
        <v>2824</v>
      </c>
      <c r="L50" s="211" t="s">
        <v>2825</v>
      </c>
      <c r="M50" s="175">
        <v>258960</v>
      </c>
      <c r="N50" s="95">
        <v>6000</v>
      </c>
      <c r="O50" s="95">
        <v>8500</v>
      </c>
      <c r="P50" s="96">
        <v>449990</v>
      </c>
      <c r="Q50" s="152"/>
      <c r="R50" s="95">
        <v>288990</v>
      </c>
      <c r="S50" s="95">
        <f>R50/24</f>
        <v>12041.25</v>
      </c>
      <c r="T50" s="95">
        <v>258960</v>
      </c>
      <c r="U50" s="95">
        <f>T50/24</f>
        <v>10790</v>
      </c>
      <c r="V50" s="95">
        <v>258960</v>
      </c>
      <c r="W50" s="95">
        <f>V50/24</f>
        <v>10790</v>
      </c>
      <c r="X50" s="128"/>
      <c r="Y50" s="175">
        <v>19900</v>
      </c>
      <c r="Z50" s="175">
        <v>26000</v>
      </c>
      <c r="AA50" s="95">
        <f>IFERROR(IF(D50="Premium",0.4*Y50,0),"No Disp")</f>
        <v>0</v>
      </c>
      <c r="AB50" s="95">
        <f>IFERROR(IF(4*Y50&gt;AC50,1.5*Y50,4*Y50),"No Disp")</f>
        <v>79600</v>
      </c>
      <c r="AC50" s="95">
        <f>IF(Z50="No Disp","No Disp",(Z50*18)+Y50)</f>
        <v>487900</v>
      </c>
      <c r="AD50" s="95">
        <f>18*Z50-100+Y50</f>
        <v>487800</v>
      </c>
      <c r="AE50" s="95">
        <v>0</v>
      </c>
      <c r="AF50" s="95">
        <v>25000</v>
      </c>
      <c r="AG50" s="95">
        <f>IF(AF50="No Disp","No Disp",(AF50*18)+AE50)</f>
        <v>450000</v>
      </c>
      <c r="AH50" s="95">
        <f>18*AF50-100+AE50</f>
        <v>449900</v>
      </c>
      <c r="AI50" s="95" t="s">
        <v>4613</v>
      </c>
      <c r="AJ50" s="99"/>
      <c r="AK50" s="100" t="s">
        <v>43</v>
      </c>
      <c r="AL50" s="100" t="s">
        <v>43</v>
      </c>
      <c r="AM50" s="100" t="str">
        <f>IF(AL50&lt;&gt;"No Disp",AK50+12*AL50,"No Disp")</f>
        <v>No Disp</v>
      </c>
      <c r="AN50" s="100" t="s">
        <v>43</v>
      </c>
      <c r="AO50" s="100" t="s">
        <v>43</v>
      </c>
      <c r="AP50" s="100" t="str">
        <f>IF(AO50&lt;&gt;"No Disp",AN50+12*AO50,"No Disp")</f>
        <v>No Disp</v>
      </c>
      <c r="AQ50" s="100" t="s">
        <v>43</v>
      </c>
      <c r="AR50" s="100" t="s">
        <v>43</v>
      </c>
      <c r="AS50" s="100" t="str">
        <f>IF(AR50&lt;&gt;"No Disp",AQ50+12*AR50,"No Disp")</f>
        <v>No Disp</v>
      </c>
    </row>
    <row r="51" spans="1:45" s="101" customFormat="1" x14ac:dyDescent="0.25">
      <c r="A51" s="90" t="s">
        <v>102</v>
      </c>
      <c r="B51" s="90" t="s">
        <v>39</v>
      </c>
      <c r="C51" s="90" t="s">
        <v>40</v>
      </c>
      <c r="D51" s="90" t="s">
        <v>4539</v>
      </c>
      <c r="E51" s="90" t="s">
        <v>4538</v>
      </c>
      <c r="F51" s="91">
        <v>779</v>
      </c>
      <c r="G51" s="205">
        <v>70015917</v>
      </c>
      <c r="H51" s="213" t="s">
        <v>3896</v>
      </c>
      <c r="I51" s="214" t="s">
        <v>112</v>
      </c>
      <c r="J51" s="173" t="s">
        <v>4478</v>
      </c>
      <c r="K51" s="173" t="s">
        <v>4498</v>
      </c>
      <c r="L51" s="173" t="s">
        <v>4484</v>
      </c>
      <c r="M51" s="175">
        <v>189360</v>
      </c>
      <c r="N51" s="95">
        <v>4000</v>
      </c>
      <c r="O51" s="95">
        <v>6000</v>
      </c>
      <c r="P51" s="96">
        <v>336990</v>
      </c>
      <c r="Q51" s="152"/>
      <c r="R51" s="175">
        <v>209990</v>
      </c>
      <c r="S51" s="95">
        <f>R51/24</f>
        <v>8749.5833333333339</v>
      </c>
      <c r="T51" s="175">
        <v>189360</v>
      </c>
      <c r="U51" s="95">
        <f>T51/24</f>
        <v>7890</v>
      </c>
      <c r="V51" s="175">
        <v>189360</v>
      </c>
      <c r="W51" s="95">
        <f>V51/24</f>
        <v>7890</v>
      </c>
      <c r="X51" s="128"/>
      <c r="Y51" s="95">
        <v>0</v>
      </c>
      <c r="Z51" s="175">
        <v>22000</v>
      </c>
      <c r="AA51" s="95">
        <f>IFERROR(IF(D51="Premium",0.4*Y51,0),"No Disp")</f>
        <v>0</v>
      </c>
      <c r="AB51" s="95">
        <f>IFERROR(IF(4*Y51&gt;AC51,1.5*Y51,4*Y51),"No Disp")</f>
        <v>0</v>
      </c>
      <c r="AC51" s="95">
        <f>IF(Z51="No Disp","No Disp",(Z51*18)+Y51)</f>
        <v>396000</v>
      </c>
      <c r="AD51" s="95">
        <f>18*Z51-100+Y51</f>
        <v>395900</v>
      </c>
      <c r="AE51" s="95">
        <v>0</v>
      </c>
      <c r="AF51" s="95">
        <v>19000</v>
      </c>
      <c r="AG51" s="95">
        <f>IF(AF51="No Disp","No Disp",(AF51*18)+AE51)</f>
        <v>342000</v>
      </c>
      <c r="AH51" s="95">
        <f>18*AF51-100+AE51</f>
        <v>341900</v>
      </c>
      <c r="AI51" s="95" t="s">
        <v>4613</v>
      </c>
      <c r="AJ51" s="99"/>
      <c r="AK51" s="100" t="s">
        <v>43</v>
      </c>
      <c r="AL51" s="100" t="s">
        <v>43</v>
      </c>
      <c r="AM51" s="100" t="str">
        <f>IF(AL51&lt;&gt;"No Disp",AK51+12*AL51,"No Disp")</f>
        <v>No Disp</v>
      </c>
      <c r="AN51" s="100" t="s">
        <v>43</v>
      </c>
      <c r="AO51" s="100" t="s">
        <v>43</v>
      </c>
      <c r="AP51" s="100" t="str">
        <f>IF(AO51&lt;&gt;"No Disp",AN51+12*AO51,"No Disp")</f>
        <v>No Disp</v>
      </c>
      <c r="AQ51" s="100" t="s">
        <v>43</v>
      </c>
      <c r="AR51" s="100" t="s">
        <v>43</v>
      </c>
      <c r="AS51" s="100" t="str">
        <f>IF(AR51&lt;&gt;"No Disp",AQ51+12*AR51,"No Disp")</f>
        <v>No Disp</v>
      </c>
    </row>
    <row r="52" spans="1:45" s="101" customFormat="1" x14ac:dyDescent="0.25">
      <c r="A52" s="90" t="s">
        <v>102</v>
      </c>
      <c r="B52" s="90" t="s">
        <v>39</v>
      </c>
      <c r="C52" s="90" t="s">
        <v>40</v>
      </c>
      <c r="D52" s="90" t="s">
        <v>4539</v>
      </c>
      <c r="E52" s="90" t="s">
        <v>4538</v>
      </c>
      <c r="F52" s="91">
        <v>778</v>
      </c>
      <c r="G52" s="205">
        <v>70015913</v>
      </c>
      <c r="H52" s="213" t="s">
        <v>3896</v>
      </c>
      <c r="I52" s="214" t="s">
        <v>112</v>
      </c>
      <c r="J52" s="173" t="s">
        <v>4478</v>
      </c>
      <c r="K52" s="173" t="s">
        <v>4499</v>
      </c>
      <c r="L52" s="173" t="s">
        <v>4485</v>
      </c>
      <c r="M52" s="175">
        <v>189360</v>
      </c>
      <c r="N52" s="95">
        <v>4000</v>
      </c>
      <c r="O52" s="95">
        <v>6000</v>
      </c>
      <c r="P52" s="96">
        <v>336990</v>
      </c>
      <c r="Q52" s="152"/>
      <c r="R52" s="175">
        <v>209990</v>
      </c>
      <c r="S52" s="95">
        <f>R52/24</f>
        <v>8749.5833333333339</v>
      </c>
      <c r="T52" s="175">
        <v>189360</v>
      </c>
      <c r="U52" s="95">
        <f>T52/24</f>
        <v>7890</v>
      </c>
      <c r="V52" s="175">
        <v>189360</v>
      </c>
      <c r="W52" s="95">
        <f>V52/24</f>
        <v>7890</v>
      </c>
      <c r="X52" s="128"/>
      <c r="Y52" s="95">
        <v>0</v>
      </c>
      <c r="Z52" s="175">
        <v>22000</v>
      </c>
      <c r="AA52" s="95">
        <f>IFERROR(IF(D52="Premium",0.4*Y52,0),"No Disp")</f>
        <v>0</v>
      </c>
      <c r="AB52" s="95">
        <f>IFERROR(IF(4*Y52&gt;AC52,1.5*Y52,4*Y52),"No Disp")</f>
        <v>0</v>
      </c>
      <c r="AC52" s="95">
        <f>IF(Z52="No Disp","No Disp",(Z52*18)+Y52)</f>
        <v>396000</v>
      </c>
      <c r="AD52" s="95">
        <f>18*Z52-100+Y52</f>
        <v>395900</v>
      </c>
      <c r="AE52" s="95">
        <v>0</v>
      </c>
      <c r="AF52" s="95">
        <v>19000</v>
      </c>
      <c r="AG52" s="95">
        <f>IF(AF52="No Disp","No Disp",(AF52*18)+AE52)</f>
        <v>342000</v>
      </c>
      <c r="AH52" s="95">
        <f>18*AF52-100+AE52</f>
        <v>341900</v>
      </c>
      <c r="AI52" s="95" t="s">
        <v>4613</v>
      </c>
      <c r="AJ52" s="99"/>
      <c r="AK52" s="100" t="s">
        <v>43</v>
      </c>
      <c r="AL52" s="100" t="s">
        <v>43</v>
      </c>
      <c r="AM52" s="100" t="str">
        <f>IF(AL52&lt;&gt;"No Disp",AK52+12*AL52,"No Disp")</f>
        <v>No Disp</v>
      </c>
      <c r="AN52" s="100" t="s">
        <v>43</v>
      </c>
      <c r="AO52" s="100" t="s">
        <v>43</v>
      </c>
      <c r="AP52" s="100" t="str">
        <f>IF(AO52&lt;&gt;"No Disp",AN52+12*AO52,"No Disp")</f>
        <v>No Disp</v>
      </c>
      <c r="AQ52" s="100" t="s">
        <v>43</v>
      </c>
      <c r="AR52" s="100" t="s">
        <v>43</v>
      </c>
      <c r="AS52" s="100" t="str">
        <f>IF(AR52&lt;&gt;"No Disp",AQ52+12*AR52,"No Disp")</f>
        <v>No Disp</v>
      </c>
    </row>
    <row r="53" spans="1:45" s="101" customFormat="1" x14ac:dyDescent="0.25">
      <c r="A53" s="90" t="s">
        <v>38</v>
      </c>
      <c r="B53" s="90" t="s">
        <v>40</v>
      </c>
      <c r="C53" s="90" t="s">
        <v>39</v>
      </c>
      <c r="D53" s="90" t="s">
        <v>4539</v>
      </c>
      <c r="E53" s="90" t="s">
        <v>4538</v>
      </c>
      <c r="F53" s="91">
        <v>740</v>
      </c>
      <c r="G53" s="205">
        <v>70015362</v>
      </c>
      <c r="H53" s="213" t="s">
        <v>3896</v>
      </c>
      <c r="I53" s="214" t="s">
        <v>112</v>
      </c>
      <c r="J53" s="173" t="s">
        <v>4320</v>
      </c>
      <c r="K53" s="173" t="s">
        <v>4513</v>
      </c>
      <c r="L53" s="173" t="s">
        <v>4336</v>
      </c>
      <c r="M53" s="204">
        <v>189360</v>
      </c>
      <c r="N53" s="95">
        <v>4000</v>
      </c>
      <c r="O53" s="95">
        <v>6000</v>
      </c>
      <c r="P53" s="96">
        <v>299990</v>
      </c>
      <c r="Q53" s="152"/>
      <c r="R53" s="175">
        <v>209990</v>
      </c>
      <c r="S53" s="95">
        <f>R53/24</f>
        <v>8749.5833333333339</v>
      </c>
      <c r="T53" s="97">
        <v>189360</v>
      </c>
      <c r="U53" s="95">
        <f>T53/24</f>
        <v>7890</v>
      </c>
      <c r="V53" s="97">
        <v>189360</v>
      </c>
      <c r="W53" s="95">
        <f>V53/24</f>
        <v>7890</v>
      </c>
      <c r="X53" s="128"/>
      <c r="Y53" s="95">
        <v>0</v>
      </c>
      <c r="Z53" s="175">
        <v>22000</v>
      </c>
      <c r="AA53" s="95">
        <f>IFERROR(IF(D53="Premium",0.4*Y53,0),"No Disp")</f>
        <v>0</v>
      </c>
      <c r="AB53" s="95">
        <f>IFERROR(IF(4*Y53&gt;AC53,1.5*Y53,4*Y53),"No Disp")</f>
        <v>0</v>
      </c>
      <c r="AC53" s="95">
        <f>IF(Z53="No Disp","No Disp",(Z53*18)+Y53)</f>
        <v>396000</v>
      </c>
      <c r="AD53" s="95">
        <f>18*Z53-100+Y53</f>
        <v>395900</v>
      </c>
      <c r="AE53" s="95">
        <v>0</v>
      </c>
      <c r="AF53" s="95">
        <v>19000</v>
      </c>
      <c r="AG53" s="95">
        <f>IF(AF53="No Disp","No Disp",(AF53*18)+AE53)</f>
        <v>342000</v>
      </c>
      <c r="AH53" s="95">
        <f>18*AF53-100+AE53</f>
        <v>341900</v>
      </c>
      <c r="AI53" s="95" t="s">
        <v>4613</v>
      </c>
      <c r="AJ53" s="99"/>
      <c r="AK53" s="100" t="s">
        <v>43</v>
      </c>
      <c r="AL53" s="100" t="s">
        <v>43</v>
      </c>
      <c r="AM53" s="100" t="str">
        <f>IF(AL53&lt;&gt;"No Disp",AK53+12*AL53,"No Disp")</f>
        <v>No Disp</v>
      </c>
      <c r="AN53" s="100" t="s">
        <v>43</v>
      </c>
      <c r="AO53" s="100" t="s">
        <v>43</v>
      </c>
      <c r="AP53" s="100" t="str">
        <f>IF(AO53&lt;&gt;"No Disp",AN53+12*AO53,"No Disp")</f>
        <v>No Disp</v>
      </c>
      <c r="AQ53" s="100" t="s">
        <v>43</v>
      </c>
      <c r="AR53" s="100" t="s">
        <v>43</v>
      </c>
      <c r="AS53" s="100" t="str">
        <f>IF(AR53&lt;&gt;"No Disp",AQ53+12*AR53,"No Disp")</f>
        <v>No Disp</v>
      </c>
    </row>
    <row r="54" spans="1:45" s="101" customFormat="1" x14ac:dyDescent="0.25">
      <c r="A54" s="90" t="s">
        <v>38</v>
      </c>
      <c r="B54" s="90" t="s">
        <v>40</v>
      </c>
      <c r="C54" s="90" t="s">
        <v>39</v>
      </c>
      <c r="D54" s="90" t="s">
        <v>4539</v>
      </c>
      <c r="E54" s="90" t="s">
        <v>4538</v>
      </c>
      <c r="F54" s="91">
        <v>739</v>
      </c>
      <c r="G54" s="205">
        <v>70015366</v>
      </c>
      <c r="H54" s="213" t="s">
        <v>3896</v>
      </c>
      <c r="I54" s="214" t="s">
        <v>112</v>
      </c>
      <c r="J54" s="173" t="s">
        <v>4320</v>
      </c>
      <c r="K54" s="173" t="s">
        <v>4514</v>
      </c>
      <c r="L54" s="173" t="s">
        <v>4338</v>
      </c>
      <c r="M54" s="204">
        <v>189360</v>
      </c>
      <c r="N54" s="95">
        <v>4000</v>
      </c>
      <c r="O54" s="95">
        <v>6000</v>
      </c>
      <c r="P54" s="96">
        <v>299990</v>
      </c>
      <c r="Q54" s="152"/>
      <c r="R54" s="175">
        <v>209990</v>
      </c>
      <c r="S54" s="95">
        <f>R54/24</f>
        <v>8749.5833333333339</v>
      </c>
      <c r="T54" s="97">
        <v>189360</v>
      </c>
      <c r="U54" s="95">
        <f>T54/24</f>
        <v>7890</v>
      </c>
      <c r="V54" s="97">
        <v>189360</v>
      </c>
      <c r="W54" s="95">
        <f>V54/24</f>
        <v>7890</v>
      </c>
      <c r="X54" s="128"/>
      <c r="Y54" s="95">
        <v>0</v>
      </c>
      <c r="Z54" s="175">
        <v>22000</v>
      </c>
      <c r="AA54" s="95">
        <f>IFERROR(IF(D54="Premium",0.4*Y54,0),"No Disp")</f>
        <v>0</v>
      </c>
      <c r="AB54" s="95">
        <f>IFERROR(IF(4*Y54&gt;AC54,1.5*Y54,4*Y54),"No Disp")</f>
        <v>0</v>
      </c>
      <c r="AC54" s="95">
        <f>IF(Z54="No Disp","No Disp",(Z54*18)+Y54)</f>
        <v>396000</v>
      </c>
      <c r="AD54" s="95">
        <f>18*Z54-100+Y54</f>
        <v>395900</v>
      </c>
      <c r="AE54" s="95">
        <v>0</v>
      </c>
      <c r="AF54" s="95">
        <v>19000</v>
      </c>
      <c r="AG54" s="95">
        <f>IF(AF54="No Disp","No Disp",(AF54*18)+AE54)</f>
        <v>342000</v>
      </c>
      <c r="AH54" s="95">
        <f>18*AF54-100+AE54</f>
        <v>341900</v>
      </c>
      <c r="AI54" s="95" t="s">
        <v>4613</v>
      </c>
      <c r="AJ54" s="99"/>
      <c r="AK54" s="100" t="s">
        <v>43</v>
      </c>
      <c r="AL54" s="100" t="s">
        <v>43</v>
      </c>
      <c r="AM54" s="100" t="str">
        <f>IF(AL54&lt;&gt;"No Disp",AK54+12*AL54,"No Disp")</f>
        <v>No Disp</v>
      </c>
      <c r="AN54" s="100" t="s">
        <v>43</v>
      </c>
      <c r="AO54" s="100" t="s">
        <v>43</v>
      </c>
      <c r="AP54" s="100" t="str">
        <f>IF(AO54&lt;&gt;"No Disp",AN54+12*AO54,"No Disp")</f>
        <v>No Disp</v>
      </c>
      <c r="AQ54" s="100" t="s">
        <v>43</v>
      </c>
      <c r="AR54" s="100" t="s">
        <v>43</v>
      </c>
      <c r="AS54" s="100" t="str">
        <f>IF(AR54&lt;&gt;"No Disp",AQ54+12*AR54,"No Disp")</f>
        <v>No Disp</v>
      </c>
    </row>
    <row r="55" spans="1:45" s="101" customFormat="1" x14ac:dyDescent="0.25">
      <c r="A55" s="90" t="s">
        <v>38</v>
      </c>
      <c r="B55" s="90" t="s">
        <v>39</v>
      </c>
      <c r="C55" s="90" t="s">
        <v>40</v>
      </c>
      <c r="D55" s="90" t="s">
        <v>4541</v>
      </c>
      <c r="E55" s="90" t="s">
        <v>4538</v>
      </c>
      <c r="F55" s="91">
        <v>485</v>
      </c>
      <c r="G55" s="205">
        <v>70012755</v>
      </c>
      <c r="H55" s="213">
        <v>70012756</v>
      </c>
      <c r="I55" s="214" t="s">
        <v>87</v>
      </c>
      <c r="J55" s="173" t="s">
        <v>88</v>
      </c>
      <c r="K55" s="173" t="s">
        <v>89</v>
      </c>
      <c r="L55" s="173" t="s">
        <v>90</v>
      </c>
      <c r="M55" s="175">
        <v>90960</v>
      </c>
      <c r="N55" s="95">
        <v>2500</v>
      </c>
      <c r="O55" s="95">
        <v>4000</v>
      </c>
      <c r="P55" s="96">
        <v>229990</v>
      </c>
      <c r="Q55" s="152"/>
      <c r="R55" s="175">
        <v>100990</v>
      </c>
      <c r="S55" s="95">
        <f>R55/24</f>
        <v>4207.916666666667</v>
      </c>
      <c r="T55" s="175">
        <v>90960</v>
      </c>
      <c r="U55" s="95">
        <f>T55/24</f>
        <v>3790</v>
      </c>
      <c r="V55" s="175">
        <v>90960</v>
      </c>
      <c r="W55" s="95">
        <f>V55/24</f>
        <v>3790</v>
      </c>
      <c r="X55" s="128"/>
      <c r="Y55" s="95">
        <v>0</v>
      </c>
      <c r="Z55" s="95">
        <v>10500</v>
      </c>
      <c r="AA55" s="95">
        <f>IFERROR(IF(D55="Premium",0.4*Y55,0),"No Disp")</f>
        <v>0</v>
      </c>
      <c r="AB55" s="95">
        <f>IFERROR(IF(4*Y55&gt;AC55,1.5*Y55,4*Y55),"No Disp")</f>
        <v>0</v>
      </c>
      <c r="AC55" s="95">
        <f>IF(Z55="No Disp","No Disp",(Z55*18)+Y55)</f>
        <v>189000</v>
      </c>
      <c r="AD55" s="95">
        <f>18*Z55-100+Y55</f>
        <v>188900</v>
      </c>
      <c r="AE55" s="95">
        <v>0</v>
      </c>
      <c r="AF55" s="95">
        <v>9500</v>
      </c>
      <c r="AG55" s="95">
        <f>IF(AF55="No Disp","No Disp",(AF55*18)+AE55)</f>
        <v>171000</v>
      </c>
      <c r="AH55" s="95">
        <f>18*AF55-100+AE55</f>
        <v>170900</v>
      </c>
      <c r="AI55" s="95" t="s">
        <v>4613</v>
      </c>
      <c r="AJ55" s="99"/>
      <c r="AK55" s="100" t="s">
        <v>43</v>
      </c>
      <c r="AL55" s="100" t="s">
        <v>43</v>
      </c>
      <c r="AM55" s="100" t="str">
        <f>IF(AL55&lt;&gt;"No Disp",AK55+12*AL55,"No Disp")</f>
        <v>No Disp</v>
      </c>
      <c r="AN55" s="100" t="s">
        <v>43</v>
      </c>
      <c r="AO55" s="100" t="s">
        <v>43</v>
      </c>
      <c r="AP55" s="100" t="str">
        <f>IF(AO55&lt;&gt;"No Disp",AN55+12*AO55,"No Disp")</f>
        <v>No Disp</v>
      </c>
      <c r="AQ55" s="100" t="s">
        <v>43</v>
      </c>
      <c r="AR55" s="100" t="s">
        <v>43</v>
      </c>
      <c r="AS55" s="100" t="str">
        <f>IF(AR55&lt;&gt;"No Disp",AQ55+12*AR55,"No Disp")</f>
        <v>No Disp</v>
      </c>
    </row>
    <row r="56" spans="1:45" s="101" customFormat="1" x14ac:dyDescent="0.25">
      <c r="A56" s="90" t="s">
        <v>38</v>
      </c>
      <c r="B56" s="90" t="s">
        <v>39</v>
      </c>
      <c r="C56" s="90" t="s">
        <v>39</v>
      </c>
      <c r="D56" s="90" t="s">
        <v>4540</v>
      </c>
      <c r="E56" s="90" t="s">
        <v>4538</v>
      </c>
      <c r="F56" s="91">
        <v>518</v>
      </c>
      <c r="G56" s="205">
        <v>70012935</v>
      </c>
      <c r="H56" s="213">
        <v>70012936</v>
      </c>
      <c r="I56" s="214" t="s">
        <v>63</v>
      </c>
      <c r="J56" s="173" t="s">
        <v>139</v>
      </c>
      <c r="K56" s="173" t="s">
        <v>195</v>
      </c>
      <c r="L56" s="173" t="s">
        <v>196</v>
      </c>
      <c r="M56" s="175">
        <v>791760</v>
      </c>
      <c r="N56" s="95">
        <v>7000</v>
      </c>
      <c r="O56" s="95">
        <v>10000</v>
      </c>
      <c r="P56" s="96">
        <v>1069990</v>
      </c>
      <c r="Q56" s="152"/>
      <c r="R56" s="175">
        <v>891990</v>
      </c>
      <c r="S56" s="95">
        <f>R56/24</f>
        <v>37166.25</v>
      </c>
      <c r="T56" s="175">
        <v>791760</v>
      </c>
      <c r="U56" s="95">
        <f>T56/24</f>
        <v>32990</v>
      </c>
      <c r="V56" s="175">
        <v>791760</v>
      </c>
      <c r="W56" s="95">
        <f>V56/24</f>
        <v>32990</v>
      </c>
      <c r="X56" s="128"/>
      <c r="Y56" s="95">
        <v>269900</v>
      </c>
      <c r="Z56" s="95">
        <v>62000</v>
      </c>
      <c r="AA56" s="95">
        <f>IFERROR(IF(D56="Premium",0.4*Y56,0),"No Disp")</f>
        <v>107960</v>
      </c>
      <c r="AB56" s="95">
        <f>IFERROR(IF(4*Y56&gt;AC56,1.5*Y56,4*Y56),"No Disp")</f>
        <v>1079600</v>
      </c>
      <c r="AC56" s="95">
        <f>IF(Z56="No Disp","No Disp",(Z56*18)+Y56)</f>
        <v>1385900</v>
      </c>
      <c r="AD56" s="95">
        <f>18*Z56-100+Y56</f>
        <v>1385800</v>
      </c>
      <c r="AE56" s="95">
        <v>199900</v>
      </c>
      <c r="AF56" s="95">
        <v>60000</v>
      </c>
      <c r="AG56" s="95">
        <f>IF(AF56="No Disp","No Disp",(AF56*18)+AE56)</f>
        <v>1279900</v>
      </c>
      <c r="AH56" s="95">
        <f>18*AF56-100+AE56</f>
        <v>1279800</v>
      </c>
      <c r="AI56" s="95" t="s">
        <v>4613</v>
      </c>
      <c r="AJ56" s="99"/>
      <c r="AK56" s="100">
        <v>0</v>
      </c>
      <c r="AL56" s="100">
        <v>42000</v>
      </c>
      <c r="AM56" s="100">
        <f>IF(AL56&lt;&gt;"No Disp",AK56+12*AL56,"No Disp")</f>
        <v>504000</v>
      </c>
      <c r="AN56" s="100">
        <v>0</v>
      </c>
      <c r="AO56" s="100">
        <v>42000</v>
      </c>
      <c r="AP56" s="100">
        <f>IF(AO56&lt;&gt;"No Disp",AN56+12*AO56,"No Disp")</f>
        <v>504000</v>
      </c>
      <c r="AQ56" s="100">
        <v>0</v>
      </c>
      <c r="AR56" s="100">
        <v>42000</v>
      </c>
      <c r="AS56" s="100">
        <f>IF(AR56&lt;&gt;"No Disp",AQ56+12*AR56,"No Disp")</f>
        <v>504000</v>
      </c>
    </row>
    <row r="57" spans="1:45" s="101" customFormat="1" x14ac:dyDescent="0.25">
      <c r="A57" s="90" t="s">
        <v>38</v>
      </c>
      <c r="B57" s="90" t="s">
        <v>39</v>
      </c>
      <c r="C57" s="90" t="s">
        <v>40</v>
      </c>
      <c r="D57" s="90" t="s">
        <v>4540</v>
      </c>
      <c r="E57" s="90" t="s">
        <v>4538</v>
      </c>
      <c r="F57" s="91">
        <v>562</v>
      </c>
      <c r="G57" s="205">
        <v>70012943</v>
      </c>
      <c r="H57" s="213">
        <v>70012944</v>
      </c>
      <c r="I57" s="214" t="s">
        <v>63</v>
      </c>
      <c r="J57" s="173" t="s">
        <v>139</v>
      </c>
      <c r="K57" s="173" t="s">
        <v>140</v>
      </c>
      <c r="L57" s="173" t="s">
        <v>141</v>
      </c>
      <c r="M57" s="175">
        <v>791760</v>
      </c>
      <c r="N57" s="95">
        <v>7000</v>
      </c>
      <c r="O57" s="95">
        <v>10000</v>
      </c>
      <c r="P57" s="96">
        <v>1069990</v>
      </c>
      <c r="Q57" s="152"/>
      <c r="R57" s="175">
        <v>891990</v>
      </c>
      <c r="S57" s="95">
        <f>R57/24</f>
        <v>37166.25</v>
      </c>
      <c r="T57" s="175">
        <v>791760</v>
      </c>
      <c r="U57" s="95">
        <f>T57/24</f>
        <v>32990</v>
      </c>
      <c r="V57" s="175">
        <v>791760</v>
      </c>
      <c r="W57" s="95">
        <f>V57/24</f>
        <v>32990</v>
      </c>
      <c r="X57" s="128"/>
      <c r="Y57" s="95">
        <v>269900</v>
      </c>
      <c r="Z57" s="95">
        <v>62000</v>
      </c>
      <c r="AA57" s="95">
        <f>IFERROR(IF(D57="Premium",0.4*Y57,0),"No Disp")</f>
        <v>107960</v>
      </c>
      <c r="AB57" s="95">
        <f>IFERROR(IF(4*Y57&gt;AC57,1.5*Y57,4*Y57),"No Disp")</f>
        <v>1079600</v>
      </c>
      <c r="AC57" s="95">
        <f>IF(Z57="No Disp","No Disp",(Z57*18)+Y57)</f>
        <v>1385900</v>
      </c>
      <c r="AD57" s="95">
        <f>18*Z57-100+Y57</f>
        <v>1385800</v>
      </c>
      <c r="AE57" s="95">
        <v>199900</v>
      </c>
      <c r="AF57" s="95">
        <v>60000</v>
      </c>
      <c r="AG57" s="95">
        <f>IF(AF57="No Disp","No Disp",(AF57*18)+AE57)</f>
        <v>1279900</v>
      </c>
      <c r="AH57" s="95">
        <f>18*AF57-100+AE57</f>
        <v>1279800</v>
      </c>
      <c r="AI57" s="95" t="s">
        <v>4613</v>
      </c>
      <c r="AJ57" s="99"/>
      <c r="AK57" s="100">
        <v>0</v>
      </c>
      <c r="AL57" s="100">
        <v>42000</v>
      </c>
      <c r="AM57" s="100">
        <f>IF(AL57&lt;&gt;"No Disp",AK57+12*AL57,"No Disp")</f>
        <v>504000</v>
      </c>
      <c r="AN57" s="100">
        <v>0</v>
      </c>
      <c r="AO57" s="100">
        <v>42000</v>
      </c>
      <c r="AP57" s="100">
        <f>IF(AO57&lt;&gt;"No Disp",AN57+12*AO57,"No Disp")</f>
        <v>504000</v>
      </c>
      <c r="AQ57" s="100">
        <v>0</v>
      </c>
      <c r="AR57" s="100">
        <v>42000</v>
      </c>
      <c r="AS57" s="100">
        <f>IF(AR57&lt;&gt;"No Disp",AQ57+12*AR57,"No Disp")</f>
        <v>504000</v>
      </c>
    </row>
    <row r="58" spans="1:45" s="101" customFormat="1" x14ac:dyDescent="0.25">
      <c r="A58" s="90" t="s">
        <v>38</v>
      </c>
      <c r="B58" s="90" t="s">
        <v>39</v>
      </c>
      <c r="C58" s="90" t="s">
        <v>39</v>
      </c>
      <c r="D58" s="90" t="s">
        <v>4540</v>
      </c>
      <c r="E58" s="90" t="s">
        <v>4538</v>
      </c>
      <c r="F58" s="91">
        <v>519</v>
      </c>
      <c r="G58" s="205">
        <v>70012969</v>
      </c>
      <c r="H58" s="213">
        <v>70012970</v>
      </c>
      <c r="I58" s="214" t="s">
        <v>63</v>
      </c>
      <c r="J58" s="173" t="s">
        <v>139</v>
      </c>
      <c r="K58" s="173" t="s">
        <v>194</v>
      </c>
      <c r="L58" s="173" t="s">
        <v>3885</v>
      </c>
      <c r="M58" s="175">
        <v>791760</v>
      </c>
      <c r="N58" s="95">
        <v>7000</v>
      </c>
      <c r="O58" s="95">
        <v>10000</v>
      </c>
      <c r="P58" s="96">
        <v>1069990</v>
      </c>
      <c r="Q58" s="152"/>
      <c r="R58" s="175">
        <v>891990</v>
      </c>
      <c r="S58" s="95">
        <f>R58/24</f>
        <v>37166.25</v>
      </c>
      <c r="T58" s="175">
        <v>791760</v>
      </c>
      <c r="U58" s="95">
        <f>T58/24</f>
        <v>32990</v>
      </c>
      <c r="V58" s="175">
        <v>791760</v>
      </c>
      <c r="W58" s="95">
        <f>V58/24</f>
        <v>32990</v>
      </c>
      <c r="X58" s="128"/>
      <c r="Y58" s="95">
        <v>269900</v>
      </c>
      <c r="Z58" s="95">
        <v>62000</v>
      </c>
      <c r="AA58" s="95">
        <f>IFERROR(IF(D58="Premium",0.4*Y58,0),"No Disp")</f>
        <v>107960</v>
      </c>
      <c r="AB58" s="95">
        <f>IFERROR(IF(4*Y58&gt;AC58,1.5*Y58,4*Y58),"No Disp")</f>
        <v>1079600</v>
      </c>
      <c r="AC58" s="95">
        <f>IF(Z58="No Disp","No Disp",(Z58*18)+Y58)</f>
        <v>1385900</v>
      </c>
      <c r="AD58" s="95">
        <f>18*Z58-100+Y58</f>
        <v>1385800</v>
      </c>
      <c r="AE58" s="95">
        <v>199900</v>
      </c>
      <c r="AF58" s="95">
        <v>60000</v>
      </c>
      <c r="AG58" s="95">
        <f>IF(AF58="No Disp","No Disp",(AF58*18)+AE58)</f>
        <v>1279900</v>
      </c>
      <c r="AH58" s="95">
        <f>18*AF58-100+AE58</f>
        <v>1279800</v>
      </c>
      <c r="AI58" s="95" t="s">
        <v>4613</v>
      </c>
      <c r="AJ58" s="99"/>
      <c r="AK58" s="100">
        <v>0</v>
      </c>
      <c r="AL58" s="100">
        <v>42000</v>
      </c>
      <c r="AM58" s="100">
        <f>IF(AL58&lt;&gt;"No Disp",AK58+12*AL58,"No Disp")</f>
        <v>504000</v>
      </c>
      <c r="AN58" s="100">
        <v>0</v>
      </c>
      <c r="AO58" s="100">
        <v>42000</v>
      </c>
      <c r="AP58" s="100">
        <f>IF(AO58&lt;&gt;"No Disp",AN58+12*AO58,"No Disp")</f>
        <v>504000</v>
      </c>
      <c r="AQ58" s="100">
        <v>0</v>
      </c>
      <c r="AR58" s="100">
        <v>42000</v>
      </c>
      <c r="AS58" s="100">
        <f>IF(AR58&lt;&gt;"No Disp",AQ58+12*AR58,"No Disp")</f>
        <v>504000</v>
      </c>
    </row>
    <row r="59" spans="1:45" s="101" customFormat="1" x14ac:dyDescent="0.25">
      <c r="A59" s="90" t="s">
        <v>38</v>
      </c>
      <c r="B59" s="90" t="s">
        <v>39</v>
      </c>
      <c r="C59" s="90" t="s">
        <v>40</v>
      </c>
      <c r="D59" s="90" t="s">
        <v>4541</v>
      </c>
      <c r="E59" s="90" t="s">
        <v>4538</v>
      </c>
      <c r="F59" s="91" t="s">
        <v>3896</v>
      </c>
      <c r="G59" s="205">
        <v>70015104</v>
      </c>
      <c r="H59" s="213" t="s">
        <v>3896</v>
      </c>
      <c r="I59" s="214" t="s">
        <v>87</v>
      </c>
      <c r="J59" s="173" t="s">
        <v>88</v>
      </c>
      <c r="K59" s="173" t="s">
        <v>3979</v>
      </c>
      <c r="L59" s="173" t="s">
        <v>3974</v>
      </c>
      <c r="M59" s="175">
        <v>90960</v>
      </c>
      <c r="N59" s="95">
        <v>2500</v>
      </c>
      <c r="O59" s="95">
        <v>4000</v>
      </c>
      <c r="P59" s="96">
        <v>229990</v>
      </c>
      <c r="Q59" s="152"/>
      <c r="R59" s="175">
        <v>100990</v>
      </c>
      <c r="S59" s="95">
        <f>R59/24</f>
        <v>4207.916666666667</v>
      </c>
      <c r="T59" s="175">
        <v>90960</v>
      </c>
      <c r="U59" s="95">
        <f>T59/24</f>
        <v>3790</v>
      </c>
      <c r="V59" s="175">
        <v>90960</v>
      </c>
      <c r="W59" s="95">
        <f>V59/24</f>
        <v>3790</v>
      </c>
      <c r="X59" s="128"/>
      <c r="Y59" s="95">
        <v>0</v>
      </c>
      <c r="Z59" s="95">
        <v>10500</v>
      </c>
      <c r="AA59" s="95">
        <f>IFERROR(IF(D59="Premium",0.4*Y59,0),"No Disp")</f>
        <v>0</v>
      </c>
      <c r="AB59" s="95">
        <f>IFERROR(IF(4*Y59&gt;AC59,1.5*Y59,4*Y59),"No Disp")</f>
        <v>0</v>
      </c>
      <c r="AC59" s="95">
        <f>IF(Z59="No Disp","No Disp",(Z59*18)+Y59)</f>
        <v>189000</v>
      </c>
      <c r="AD59" s="95">
        <f>18*Z59-100+Y59</f>
        <v>188900</v>
      </c>
      <c r="AE59" s="95">
        <v>0</v>
      </c>
      <c r="AF59" s="95">
        <v>9500</v>
      </c>
      <c r="AG59" s="95">
        <f>IF(AF59="No Disp","No Disp",(AF59*18)+AE59)</f>
        <v>171000</v>
      </c>
      <c r="AH59" s="95">
        <f>18*AF59-100+AE59</f>
        <v>170900</v>
      </c>
      <c r="AI59" s="95" t="s">
        <v>4613</v>
      </c>
      <c r="AJ59" s="99"/>
      <c r="AK59" s="100" t="s">
        <v>43</v>
      </c>
      <c r="AL59" s="100" t="s">
        <v>43</v>
      </c>
      <c r="AM59" s="100" t="str">
        <f>IF(AL59&lt;&gt;"No Disp",AK59+12*AL59,"No Disp")</f>
        <v>No Disp</v>
      </c>
      <c r="AN59" s="100" t="s">
        <v>43</v>
      </c>
      <c r="AO59" s="100" t="s">
        <v>43</v>
      </c>
      <c r="AP59" s="100" t="str">
        <f>IF(AO59&lt;&gt;"No Disp",AN59+12*AO59,"No Disp")</f>
        <v>No Disp</v>
      </c>
      <c r="AQ59" s="100" t="s">
        <v>43</v>
      </c>
      <c r="AR59" s="100" t="s">
        <v>43</v>
      </c>
      <c r="AS59" s="100" t="str">
        <f>IF(AR59&lt;&gt;"No Disp",AQ59+12*AR59,"No Disp")</f>
        <v>No Disp</v>
      </c>
    </row>
    <row r="60" spans="1:45" s="101" customFormat="1" x14ac:dyDescent="0.25">
      <c r="A60" s="90" t="s">
        <v>38</v>
      </c>
      <c r="B60" s="90" t="s">
        <v>39</v>
      </c>
      <c r="C60" s="90" t="s">
        <v>40</v>
      </c>
      <c r="D60" s="90" t="s">
        <v>4541</v>
      </c>
      <c r="E60" s="90" t="s">
        <v>4538</v>
      </c>
      <c r="F60" s="91">
        <v>524</v>
      </c>
      <c r="G60" s="92">
        <v>70013178</v>
      </c>
      <c r="H60" s="91">
        <v>70013179</v>
      </c>
      <c r="I60" s="93" t="s">
        <v>41</v>
      </c>
      <c r="J60" s="94" t="s">
        <v>96</v>
      </c>
      <c r="K60" s="94" t="s">
        <v>97</v>
      </c>
      <c r="L60" s="94" t="s">
        <v>98</v>
      </c>
      <c r="M60" s="95">
        <v>129900</v>
      </c>
      <c r="N60" s="95">
        <v>2500</v>
      </c>
      <c r="O60" s="95">
        <v>4000</v>
      </c>
      <c r="P60" s="96">
        <v>179990</v>
      </c>
      <c r="Q60" s="152"/>
      <c r="R60" s="95">
        <v>139990</v>
      </c>
      <c r="S60" s="95">
        <f>R60/24</f>
        <v>5832.916666666667</v>
      </c>
      <c r="T60" s="95">
        <v>129900</v>
      </c>
      <c r="U60" s="95">
        <f>T60/24</f>
        <v>5412.5</v>
      </c>
      <c r="V60" s="95">
        <v>129900</v>
      </c>
      <c r="W60" s="95">
        <f>V60/24</f>
        <v>5412.5</v>
      </c>
      <c r="X60" s="128"/>
      <c r="Y60" s="95">
        <v>0</v>
      </c>
      <c r="Z60" s="95">
        <v>16500</v>
      </c>
      <c r="AA60" s="95">
        <f>IFERROR(IF(D60="Premium",0.4*Y60,0),"No Disp")</f>
        <v>0</v>
      </c>
      <c r="AB60" s="95">
        <f>IFERROR(IF(4*Y60&gt;AC60,1.5*Y60,4*Y60),"No Disp")</f>
        <v>0</v>
      </c>
      <c r="AC60" s="95">
        <f>IF(Z60="No Disp","No Disp",(Z60*18)+Y60)</f>
        <v>297000</v>
      </c>
      <c r="AD60" s="95">
        <f>18*Z60-100+Y60</f>
        <v>296900</v>
      </c>
      <c r="AE60" s="95">
        <v>0</v>
      </c>
      <c r="AF60" s="95">
        <v>15000</v>
      </c>
      <c r="AG60" s="95">
        <f>IF(AF60="No Disp","No Disp",(AF60*18)+AE60)</f>
        <v>270000</v>
      </c>
      <c r="AH60" s="95">
        <f>18*AF60-100+AE60</f>
        <v>269900</v>
      </c>
      <c r="AI60" s="95" t="s">
        <v>4613</v>
      </c>
      <c r="AJ60" s="99"/>
      <c r="AK60" s="100" t="s">
        <v>43</v>
      </c>
      <c r="AL60" s="100" t="s">
        <v>43</v>
      </c>
      <c r="AM60" s="100" t="str">
        <f>IF(AL60&lt;&gt;"No Disp",AK60+12*AL60,"No Disp")</f>
        <v>No Disp</v>
      </c>
      <c r="AN60" s="100" t="s">
        <v>43</v>
      </c>
      <c r="AO60" s="100" t="s">
        <v>43</v>
      </c>
      <c r="AP60" s="100" t="str">
        <f>IF(AO60&lt;&gt;"No Disp",AN60+12*AO60,"No Disp")</f>
        <v>No Disp</v>
      </c>
      <c r="AQ60" s="100" t="s">
        <v>43</v>
      </c>
      <c r="AR60" s="100" t="s">
        <v>43</v>
      </c>
      <c r="AS60" s="100" t="str">
        <f>IF(AR60&lt;&gt;"No Disp",AQ60+12*AR60,"No Disp")</f>
        <v>No Disp</v>
      </c>
    </row>
    <row r="61" spans="1:45" s="101" customFormat="1" x14ac:dyDescent="0.25">
      <c r="A61" s="90" t="s">
        <v>38</v>
      </c>
      <c r="B61" s="90" t="s">
        <v>40</v>
      </c>
      <c r="C61" s="90" t="s">
        <v>39</v>
      </c>
      <c r="D61" s="90" t="s">
        <v>4539</v>
      </c>
      <c r="E61" s="90" t="s">
        <v>4538</v>
      </c>
      <c r="F61" s="91">
        <v>638</v>
      </c>
      <c r="G61" s="92">
        <v>70013774</v>
      </c>
      <c r="H61" s="91">
        <v>70013775</v>
      </c>
      <c r="I61" s="93" t="s">
        <v>112</v>
      </c>
      <c r="J61" s="94" t="s">
        <v>3292</v>
      </c>
      <c r="K61" s="94" t="s">
        <v>3290</v>
      </c>
      <c r="L61" s="94" t="s">
        <v>3297</v>
      </c>
      <c r="M61" s="95">
        <v>167760</v>
      </c>
      <c r="N61" s="95">
        <v>4000</v>
      </c>
      <c r="O61" s="95">
        <v>6000</v>
      </c>
      <c r="P61" s="96">
        <v>449990</v>
      </c>
      <c r="Q61" s="152"/>
      <c r="R61" s="95">
        <v>187990</v>
      </c>
      <c r="S61" s="95">
        <f>R61/24</f>
        <v>7832.916666666667</v>
      </c>
      <c r="T61" s="95">
        <v>167760</v>
      </c>
      <c r="U61" s="95">
        <f>T61/24</f>
        <v>6990</v>
      </c>
      <c r="V61" s="95">
        <v>167760</v>
      </c>
      <c r="W61" s="95">
        <f>V61/24</f>
        <v>6990</v>
      </c>
      <c r="X61" s="128"/>
      <c r="Y61" s="95">
        <v>0</v>
      </c>
      <c r="Z61" s="95">
        <v>23000</v>
      </c>
      <c r="AA61" s="95">
        <f>IFERROR(IF(D61="Premium",0.4*Y61,0),"No Disp")</f>
        <v>0</v>
      </c>
      <c r="AB61" s="95">
        <f>IFERROR(IF(4*Y61&gt;AC61,1.5*Y61,4*Y61),"No Disp")</f>
        <v>0</v>
      </c>
      <c r="AC61" s="95">
        <f>IF(Z61="No Disp","No Disp",(Z61*18)+Y61)</f>
        <v>414000</v>
      </c>
      <c r="AD61" s="95">
        <f>18*Z61-100+Y61</f>
        <v>413900</v>
      </c>
      <c r="AE61" s="95">
        <v>0</v>
      </c>
      <c r="AF61" s="95">
        <v>20500</v>
      </c>
      <c r="AG61" s="95">
        <f>IF(AF61="No Disp","No Disp",(AF61*18)+AE61)</f>
        <v>369000</v>
      </c>
      <c r="AH61" s="95">
        <f>18*AF61-100+AE61</f>
        <v>368900</v>
      </c>
      <c r="AI61" s="95" t="s">
        <v>4613</v>
      </c>
      <c r="AJ61" s="99"/>
      <c r="AK61" s="100" t="s">
        <v>43</v>
      </c>
      <c r="AL61" s="100" t="s">
        <v>43</v>
      </c>
      <c r="AM61" s="100" t="str">
        <f>IF(AL61&lt;&gt;"No Disp",AK61+12*AL61,"No Disp")</f>
        <v>No Disp</v>
      </c>
      <c r="AN61" s="100" t="s">
        <v>43</v>
      </c>
      <c r="AO61" s="100" t="s">
        <v>43</v>
      </c>
      <c r="AP61" s="100" t="str">
        <f>IF(AO61&lt;&gt;"No Disp",AN61+12*AO61,"No Disp")</f>
        <v>No Disp</v>
      </c>
      <c r="AQ61" s="100" t="s">
        <v>43</v>
      </c>
      <c r="AR61" s="100" t="s">
        <v>43</v>
      </c>
      <c r="AS61" s="100" t="str">
        <f>IF(AR61&lt;&gt;"No Disp",AQ61+12*AR61,"No Disp")</f>
        <v>No Disp</v>
      </c>
    </row>
    <row r="62" spans="1:45" s="101" customFormat="1" x14ac:dyDescent="0.25">
      <c r="A62" s="90" t="s">
        <v>38</v>
      </c>
      <c r="B62" s="90" t="s">
        <v>40</v>
      </c>
      <c r="C62" s="90" t="s">
        <v>39</v>
      </c>
      <c r="D62" s="90" t="s">
        <v>4539</v>
      </c>
      <c r="E62" s="90" t="s">
        <v>4538</v>
      </c>
      <c r="F62" s="91">
        <v>639</v>
      </c>
      <c r="G62" s="92">
        <v>70013778</v>
      </c>
      <c r="H62" s="91">
        <v>70013779</v>
      </c>
      <c r="I62" s="93" t="s">
        <v>112</v>
      </c>
      <c r="J62" s="94" t="s">
        <v>3292</v>
      </c>
      <c r="K62" s="94" t="s">
        <v>3289</v>
      </c>
      <c r="L62" s="94" t="s">
        <v>3296</v>
      </c>
      <c r="M62" s="95">
        <v>167760</v>
      </c>
      <c r="N62" s="95">
        <v>4000</v>
      </c>
      <c r="O62" s="95">
        <v>6000</v>
      </c>
      <c r="P62" s="96">
        <v>449990</v>
      </c>
      <c r="Q62" s="152"/>
      <c r="R62" s="95">
        <v>187990</v>
      </c>
      <c r="S62" s="95">
        <f>R62/24</f>
        <v>7832.916666666667</v>
      </c>
      <c r="T62" s="95">
        <v>167760</v>
      </c>
      <c r="U62" s="95">
        <f>T62/24</f>
        <v>6990</v>
      </c>
      <c r="V62" s="95">
        <v>167760</v>
      </c>
      <c r="W62" s="95">
        <f>V62/24</f>
        <v>6990</v>
      </c>
      <c r="X62" s="128"/>
      <c r="Y62" s="95">
        <v>0</v>
      </c>
      <c r="Z62" s="95">
        <v>23000</v>
      </c>
      <c r="AA62" s="95">
        <f>IFERROR(IF(D62="Premium",0.4*Y62,0),"No Disp")</f>
        <v>0</v>
      </c>
      <c r="AB62" s="95">
        <f>IFERROR(IF(4*Y62&gt;AC62,1.5*Y62,4*Y62),"No Disp")</f>
        <v>0</v>
      </c>
      <c r="AC62" s="95">
        <f>IF(Z62="No Disp","No Disp",(Z62*18)+Y62)</f>
        <v>414000</v>
      </c>
      <c r="AD62" s="95">
        <f>18*Z62-100+Y62</f>
        <v>413900</v>
      </c>
      <c r="AE62" s="95">
        <v>0</v>
      </c>
      <c r="AF62" s="95">
        <v>20500</v>
      </c>
      <c r="AG62" s="95">
        <f>IF(AF62="No Disp","No Disp",(AF62*18)+AE62)</f>
        <v>369000</v>
      </c>
      <c r="AH62" s="95">
        <f>18*AF62-100+AE62</f>
        <v>368900</v>
      </c>
      <c r="AI62" s="95" t="s">
        <v>4613</v>
      </c>
      <c r="AJ62" s="99"/>
      <c r="AK62" s="100" t="s">
        <v>43</v>
      </c>
      <c r="AL62" s="100" t="s">
        <v>43</v>
      </c>
      <c r="AM62" s="100" t="str">
        <f>IF(AL62&lt;&gt;"No Disp",AK62+12*AL62,"No Disp")</f>
        <v>No Disp</v>
      </c>
      <c r="AN62" s="100" t="s">
        <v>43</v>
      </c>
      <c r="AO62" s="100" t="s">
        <v>43</v>
      </c>
      <c r="AP62" s="100" t="str">
        <f>IF(AO62&lt;&gt;"No Disp",AN62+12*AO62,"No Disp")</f>
        <v>No Disp</v>
      </c>
      <c r="AQ62" s="100" t="s">
        <v>43</v>
      </c>
      <c r="AR62" s="100" t="s">
        <v>43</v>
      </c>
      <c r="AS62" s="100" t="str">
        <f>IF(AR62&lt;&gt;"No Disp",AQ62+12*AR62,"No Disp")</f>
        <v>No Disp</v>
      </c>
    </row>
    <row r="63" spans="1:45" s="101" customFormat="1" x14ac:dyDescent="0.25">
      <c r="A63" s="90" t="s">
        <v>38</v>
      </c>
      <c r="B63" s="90" t="s">
        <v>39</v>
      </c>
      <c r="C63" s="90" t="s">
        <v>40</v>
      </c>
      <c r="D63" s="90" t="s">
        <v>4539</v>
      </c>
      <c r="E63" s="90" t="s">
        <v>4538</v>
      </c>
      <c r="F63" s="91">
        <v>589</v>
      </c>
      <c r="G63" s="92">
        <v>70013805</v>
      </c>
      <c r="H63" s="91">
        <v>70013806</v>
      </c>
      <c r="I63" s="93" t="s">
        <v>46</v>
      </c>
      <c r="J63" s="94" t="s">
        <v>2812</v>
      </c>
      <c r="K63" s="94" t="s">
        <v>2813</v>
      </c>
      <c r="L63" s="94" t="s">
        <v>2814</v>
      </c>
      <c r="M63" s="95">
        <v>199900</v>
      </c>
      <c r="N63" s="95">
        <v>4000</v>
      </c>
      <c r="O63" s="95">
        <v>6000</v>
      </c>
      <c r="P63" s="96">
        <v>299990</v>
      </c>
      <c r="Q63" s="152"/>
      <c r="R63" s="95">
        <v>219990</v>
      </c>
      <c r="S63" s="95">
        <f>R63/24</f>
        <v>9166.25</v>
      </c>
      <c r="T63" s="95">
        <v>199900</v>
      </c>
      <c r="U63" s="95">
        <f>T63/24</f>
        <v>8329.1666666666661</v>
      </c>
      <c r="V63" s="95">
        <v>199900</v>
      </c>
      <c r="W63" s="95">
        <f>V63/24</f>
        <v>8329.1666666666661</v>
      </c>
      <c r="X63" s="128"/>
      <c r="Y63" s="95">
        <v>0</v>
      </c>
      <c r="Z63" s="95">
        <v>19000</v>
      </c>
      <c r="AA63" s="95">
        <f>IFERROR(IF(D63="Premium",0.4*Y63,0),"No Disp")</f>
        <v>0</v>
      </c>
      <c r="AB63" s="95">
        <f>IFERROR(IF(4*Y63&gt;AC63,1.5*Y63,4*Y63),"No Disp")</f>
        <v>0</v>
      </c>
      <c r="AC63" s="95">
        <f>IF(Z63="No Disp","No Disp",(Z63*18)+Y63)</f>
        <v>342000</v>
      </c>
      <c r="AD63" s="95">
        <f>18*Z63-100+Y63</f>
        <v>341900</v>
      </c>
      <c r="AE63" s="95">
        <v>0</v>
      </c>
      <c r="AF63" s="95">
        <v>16500</v>
      </c>
      <c r="AG63" s="95">
        <f>IF(AF63="No Disp","No Disp",(AF63*18)+AE63)</f>
        <v>297000</v>
      </c>
      <c r="AH63" s="95">
        <f>18*AF63-100+AE63</f>
        <v>296900</v>
      </c>
      <c r="AI63" s="95" t="s">
        <v>4613</v>
      </c>
      <c r="AJ63" s="99"/>
      <c r="AK63" s="100" t="s">
        <v>43</v>
      </c>
      <c r="AL63" s="100" t="s">
        <v>43</v>
      </c>
      <c r="AM63" s="100" t="str">
        <f>IF(AL63&lt;&gt;"No Disp",AK63+12*AL63,"No Disp")</f>
        <v>No Disp</v>
      </c>
      <c r="AN63" s="100" t="s">
        <v>43</v>
      </c>
      <c r="AO63" s="100" t="s">
        <v>43</v>
      </c>
      <c r="AP63" s="100" t="str">
        <f>IF(AO63&lt;&gt;"No Disp",AN63+12*AO63,"No Disp")</f>
        <v>No Disp</v>
      </c>
      <c r="AQ63" s="100" t="s">
        <v>43</v>
      </c>
      <c r="AR63" s="100" t="s">
        <v>43</v>
      </c>
      <c r="AS63" s="100" t="str">
        <f>IF(AR63&lt;&gt;"No Disp",AQ63+12*AR63,"No Disp")</f>
        <v>No Disp</v>
      </c>
    </row>
    <row r="64" spans="1:45" s="101" customFormat="1" x14ac:dyDescent="0.25">
      <c r="A64" s="90" t="s">
        <v>38</v>
      </c>
      <c r="B64" s="90" t="s">
        <v>39</v>
      </c>
      <c r="C64" s="90" t="s">
        <v>40</v>
      </c>
      <c r="D64" s="90" t="s">
        <v>4539</v>
      </c>
      <c r="E64" s="90" t="s">
        <v>4538</v>
      </c>
      <c r="F64" s="91">
        <v>588</v>
      </c>
      <c r="G64" s="92">
        <v>70013820</v>
      </c>
      <c r="H64" s="91">
        <v>70013821</v>
      </c>
      <c r="I64" s="93" t="s">
        <v>46</v>
      </c>
      <c r="J64" s="94" t="s">
        <v>2812</v>
      </c>
      <c r="K64" s="94" t="s">
        <v>2815</v>
      </c>
      <c r="L64" s="94" t="s">
        <v>2816</v>
      </c>
      <c r="M64" s="95">
        <v>199900</v>
      </c>
      <c r="N64" s="95">
        <v>4000</v>
      </c>
      <c r="O64" s="95">
        <v>6000</v>
      </c>
      <c r="P64" s="96">
        <v>299990</v>
      </c>
      <c r="Q64" s="152"/>
      <c r="R64" s="95">
        <v>219990</v>
      </c>
      <c r="S64" s="95">
        <f>R64/24</f>
        <v>9166.25</v>
      </c>
      <c r="T64" s="95">
        <v>199900</v>
      </c>
      <c r="U64" s="95">
        <f>T64/24</f>
        <v>8329.1666666666661</v>
      </c>
      <c r="V64" s="95">
        <v>199900</v>
      </c>
      <c r="W64" s="95">
        <f>V64/24</f>
        <v>8329.1666666666661</v>
      </c>
      <c r="X64" s="128"/>
      <c r="Y64" s="95">
        <v>0</v>
      </c>
      <c r="Z64" s="95">
        <v>19000</v>
      </c>
      <c r="AA64" s="95">
        <f>IFERROR(IF(D64="Premium",0.4*Y64,0),"No Disp")</f>
        <v>0</v>
      </c>
      <c r="AB64" s="95">
        <f>IFERROR(IF(4*Y64&gt;AC64,1.5*Y64,4*Y64),"No Disp")</f>
        <v>0</v>
      </c>
      <c r="AC64" s="95">
        <f>IF(Z64="No Disp","No Disp",(Z64*18)+Y64)</f>
        <v>342000</v>
      </c>
      <c r="AD64" s="95">
        <f>18*Z64-100+Y64</f>
        <v>341900</v>
      </c>
      <c r="AE64" s="95">
        <v>0</v>
      </c>
      <c r="AF64" s="95">
        <v>16500</v>
      </c>
      <c r="AG64" s="95">
        <f>IF(AF64="No Disp","No Disp",(AF64*18)+AE64)</f>
        <v>297000</v>
      </c>
      <c r="AH64" s="95">
        <f>18*AF64-100+AE64</f>
        <v>296900</v>
      </c>
      <c r="AI64" s="95" t="s">
        <v>4613</v>
      </c>
      <c r="AJ64" s="99"/>
      <c r="AK64" s="100" t="s">
        <v>43</v>
      </c>
      <c r="AL64" s="100" t="s">
        <v>43</v>
      </c>
      <c r="AM64" s="100" t="str">
        <f>IF(AL64&lt;&gt;"No Disp",AK64+12*AL64,"No Disp")</f>
        <v>No Disp</v>
      </c>
      <c r="AN64" s="100" t="s">
        <v>43</v>
      </c>
      <c r="AO64" s="100" t="s">
        <v>43</v>
      </c>
      <c r="AP64" s="100" t="str">
        <f>IF(AO64&lt;&gt;"No Disp",AN64+12*AO64,"No Disp")</f>
        <v>No Disp</v>
      </c>
      <c r="AQ64" s="100" t="s">
        <v>43</v>
      </c>
      <c r="AR64" s="100" t="s">
        <v>43</v>
      </c>
      <c r="AS64" s="100" t="str">
        <f>IF(AR64&lt;&gt;"No Disp",AQ64+12*AR64,"No Disp")</f>
        <v>No Disp</v>
      </c>
    </row>
    <row r="65" spans="1:45" s="101" customFormat="1" x14ac:dyDescent="0.25">
      <c r="A65" s="90" t="s">
        <v>38</v>
      </c>
      <c r="B65" s="90" t="s">
        <v>39</v>
      </c>
      <c r="C65" s="90" t="s">
        <v>40</v>
      </c>
      <c r="D65" s="90" t="s">
        <v>4539</v>
      </c>
      <c r="E65" s="90" t="s">
        <v>4538</v>
      </c>
      <c r="F65" s="91">
        <v>587</v>
      </c>
      <c r="G65" s="92">
        <v>70013824</v>
      </c>
      <c r="H65" s="91">
        <v>70013825</v>
      </c>
      <c r="I65" s="93" t="s">
        <v>46</v>
      </c>
      <c r="J65" s="94" t="s">
        <v>2812</v>
      </c>
      <c r="K65" s="94" t="s">
        <v>2817</v>
      </c>
      <c r="L65" s="94" t="s">
        <v>2818</v>
      </c>
      <c r="M65" s="95">
        <v>199900</v>
      </c>
      <c r="N65" s="95">
        <v>4000</v>
      </c>
      <c r="O65" s="95">
        <v>6000</v>
      </c>
      <c r="P65" s="96">
        <v>299990</v>
      </c>
      <c r="Q65" s="152"/>
      <c r="R65" s="95">
        <v>219990</v>
      </c>
      <c r="S65" s="95">
        <f>R65/24</f>
        <v>9166.25</v>
      </c>
      <c r="T65" s="95">
        <v>199900</v>
      </c>
      <c r="U65" s="95">
        <f>T65/24</f>
        <v>8329.1666666666661</v>
      </c>
      <c r="V65" s="95">
        <v>199900</v>
      </c>
      <c r="W65" s="95">
        <f>V65/24</f>
        <v>8329.1666666666661</v>
      </c>
      <c r="X65" s="128"/>
      <c r="Y65" s="95">
        <v>0</v>
      </c>
      <c r="Z65" s="95">
        <v>19000</v>
      </c>
      <c r="AA65" s="95">
        <f>IFERROR(IF(D65="Premium",0.4*Y65,0),"No Disp")</f>
        <v>0</v>
      </c>
      <c r="AB65" s="95">
        <f>IFERROR(IF(4*Y65&gt;AC65,1.5*Y65,4*Y65),"No Disp")</f>
        <v>0</v>
      </c>
      <c r="AC65" s="95">
        <f>IF(Z65="No Disp","No Disp",(Z65*18)+Y65)</f>
        <v>342000</v>
      </c>
      <c r="AD65" s="95">
        <f>18*Z65-100+Y65</f>
        <v>341900</v>
      </c>
      <c r="AE65" s="95">
        <v>0</v>
      </c>
      <c r="AF65" s="95">
        <v>16500</v>
      </c>
      <c r="AG65" s="95">
        <f>IF(AF65="No Disp","No Disp",(AF65*18)+AE65)</f>
        <v>297000</v>
      </c>
      <c r="AH65" s="95">
        <f>18*AF65-100+AE65</f>
        <v>296900</v>
      </c>
      <c r="AI65" s="95" t="s">
        <v>4613</v>
      </c>
      <c r="AJ65" s="99"/>
      <c r="AK65" s="100" t="s">
        <v>43</v>
      </c>
      <c r="AL65" s="100" t="s">
        <v>43</v>
      </c>
      <c r="AM65" s="100" t="str">
        <f>IF(AL65&lt;&gt;"No Disp",AK65+12*AL65,"No Disp")</f>
        <v>No Disp</v>
      </c>
      <c r="AN65" s="100" t="s">
        <v>43</v>
      </c>
      <c r="AO65" s="100" t="s">
        <v>43</v>
      </c>
      <c r="AP65" s="100" t="str">
        <f>IF(AO65&lt;&gt;"No Disp",AN65+12*AO65,"No Disp")</f>
        <v>No Disp</v>
      </c>
      <c r="AQ65" s="100" t="s">
        <v>43</v>
      </c>
      <c r="AR65" s="100" t="s">
        <v>43</v>
      </c>
      <c r="AS65" s="100" t="str">
        <f>IF(AR65&lt;&gt;"No Disp",AQ65+12*AR65,"No Disp")</f>
        <v>No Disp</v>
      </c>
    </row>
    <row r="66" spans="1:45" s="101" customFormat="1" x14ac:dyDescent="0.25">
      <c r="A66" s="90" t="s">
        <v>38</v>
      </c>
      <c r="B66" s="90" t="s">
        <v>40</v>
      </c>
      <c r="C66" s="90" t="s">
        <v>39</v>
      </c>
      <c r="D66" s="90" t="s">
        <v>4539</v>
      </c>
      <c r="E66" s="90" t="s">
        <v>4538</v>
      </c>
      <c r="F66" s="91">
        <v>640</v>
      </c>
      <c r="G66" s="92">
        <v>70013866</v>
      </c>
      <c r="H66" s="91">
        <v>70013867</v>
      </c>
      <c r="I66" s="93" t="s">
        <v>112</v>
      </c>
      <c r="J66" s="94" t="s">
        <v>3291</v>
      </c>
      <c r="K66" s="94" t="s">
        <v>3287</v>
      </c>
      <c r="L66" s="94" t="s">
        <v>3294</v>
      </c>
      <c r="M66" s="95">
        <v>154900</v>
      </c>
      <c r="N66" s="95">
        <v>4000</v>
      </c>
      <c r="O66" s="95">
        <v>6000</v>
      </c>
      <c r="P66" s="96">
        <v>349990</v>
      </c>
      <c r="Q66" s="152"/>
      <c r="R66" s="95">
        <v>174990</v>
      </c>
      <c r="S66" s="95">
        <f>R66/24</f>
        <v>7291.25</v>
      </c>
      <c r="T66" s="95">
        <v>154900</v>
      </c>
      <c r="U66" s="95">
        <f>T66/24</f>
        <v>6454.166666666667</v>
      </c>
      <c r="V66" s="95">
        <v>154900</v>
      </c>
      <c r="W66" s="95">
        <f>V66/24</f>
        <v>6454.166666666667</v>
      </c>
      <c r="X66" s="128"/>
      <c r="Y66" s="95">
        <v>0</v>
      </c>
      <c r="Z66" s="95">
        <v>15000</v>
      </c>
      <c r="AA66" s="95">
        <f>IFERROR(IF(D66="Premium",0.4*Y66,0),"No Disp")</f>
        <v>0</v>
      </c>
      <c r="AB66" s="95">
        <f>IFERROR(IF(4*Y66&gt;AC66,1.5*Y66,4*Y66),"No Disp")</f>
        <v>0</v>
      </c>
      <c r="AC66" s="95">
        <f>IF(Z66="No Disp","No Disp",(Z66*18)+Y66)</f>
        <v>270000</v>
      </c>
      <c r="AD66" s="95">
        <f>18*Z66-100+Y66</f>
        <v>269900</v>
      </c>
      <c r="AE66" s="95">
        <v>0</v>
      </c>
      <c r="AF66" s="95">
        <v>13500</v>
      </c>
      <c r="AG66" s="95">
        <f>IF(AF66="No Disp","No Disp",(AF66*18)+AE66)</f>
        <v>243000</v>
      </c>
      <c r="AH66" s="95">
        <f>18*AF66-100+AE66</f>
        <v>242900</v>
      </c>
      <c r="AI66" s="95" t="s">
        <v>4613</v>
      </c>
      <c r="AJ66" s="99"/>
      <c r="AK66" s="100" t="s">
        <v>43</v>
      </c>
      <c r="AL66" s="100" t="s">
        <v>43</v>
      </c>
      <c r="AM66" s="100" t="str">
        <f>IF(AL66&lt;&gt;"No Disp",AK66+12*AL66,"No Disp")</f>
        <v>No Disp</v>
      </c>
      <c r="AN66" s="100" t="s">
        <v>43</v>
      </c>
      <c r="AO66" s="100" t="s">
        <v>43</v>
      </c>
      <c r="AP66" s="100" t="str">
        <f>IF(AO66&lt;&gt;"No Disp",AN66+12*AO66,"No Disp")</f>
        <v>No Disp</v>
      </c>
      <c r="AQ66" s="100" t="s">
        <v>43</v>
      </c>
      <c r="AR66" s="100" t="s">
        <v>43</v>
      </c>
      <c r="AS66" s="100" t="str">
        <f>IF(AR66&lt;&gt;"No Disp",AQ66+12*AR66,"No Disp")</f>
        <v>No Disp</v>
      </c>
    </row>
    <row r="67" spans="1:45" s="101" customFormat="1" x14ac:dyDescent="0.25">
      <c r="A67" s="90" t="s">
        <v>38</v>
      </c>
      <c r="B67" s="90" t="s">
        <v>40</v>
      </c>
      <c r="C67" s="90" t="s">
        <v>39</v>
      </c>
      <c r="D67" s="90" t="s">
        <v>4539</v>
      </c>
      <c r="E67" s="90" t="s">
        <v>4538</v>
      </c>
      <c r="F67" s="91">
        <v>641</v>
      </c>
      <c r="G67" s="92">
        <v>70013870</v>
      </c>
      <c r="H67" s="91">
        <v>70013871</v>
      </c>
      <c r="I67" s="93" t="s">
        <v>112</v>
      </c>
      <c r="J67" s="94" t="s">
        <v>3291</v>
      </c>
      <c r="K67" s="94" t="s">
        <v>3286</v>
      </c>
      <c r="L67" s="94" t="s">
        <v>3293</v>
      </c>
      <c r="M67" s="95">
        <v>154900</v>
      </c>
      <c r="N67" s="95">
        <v>4000</v>
      </c>
      <c r="O67" s="95">
        <v>6000</v>
      </c>
      <c r="P67" s="96">
        <v>349990</v>
      </c>
      <c r="Q67" s="152"/>
      <c r="R67" s="95">
        <v>174990</v>
      </c>
      <c r="S67" s="95">
        <f>R67/24</f>
        <v>7291.25</v>
      </c>
      <c r="T67" s="95">
        <v>154900</v>
      </c>
      <c r="U67" s="95">
        <f>T67/24</f>
        <v>6454.166666666667</v>
      </c>
      <c r="V67" s="95">
        <v>154900</v>
      </c>
      <c r="W67" s="95">
        <f>V67/24</f>
        <v>6454.166666666667</v>
      </c>
      <c r="X67" s="128"/>
      <c r="Y67" s="95">
        <v>0</v>
      </c>
      <c r="Z67" s="95">
        <v>15000</v>
      </c>
      <c r="AA67" s="95">
        <f>IFERROR(IF(D67="Premium",0.4*Y67,0),"No Disp")</f>
        <v>0</v>
      </c>
      <c r="AB67" s="95">
        <f>IFERROR(IF(4*Y67&gt;AC67,1.5*Y67,4*Y67),"No Disp")</f>
        <v>0</v>
      </c>
      <c r="AC67" s="95">
        <f>IF(Z67="No Disp","No Disp",(Z67*18)+Y67)</f>
        <v>270000</v>
      </c>
      <c r="AD67" s="95">
        <f>18*Z67-100+Y67</f>
        <v>269900</v>
      </c>
      <c r="AE67" s="95">
        <v>0</v>
      </c>
      <c r="AF67" s="95">
        <v>13500</v>
      </c>
      <c r="AG67" s="95">
        <f>IF(AF67="No Disp","No Disp",(AF67*18)+AE67)</f>
        <v>243000</v>
      </c>
      <c r="AH67" s="95">
        <f>18*AF67-100+AE67</f>
        <v>242900</v>
      </c>
      <c r="AI67" s="95" t="s">
        <v>4613</v>
      </c>
      <c r="AJ67" s="99"/>
      <c r="AK67" s="100" t="s">
        <v>43</v>
      </c>
      <c r="AL67" s="100" t="s">
        <v>43</v>
      </c>
      <c r="AM67" s="100" t="str">
        <f>IF(AL67&lt;&gt;"No Disp",AK67+12*AL67,"No Disp")</f>
        <v>No Disp</v>
      </c>
      <c r="AN67" s="100" t="s">
        <v>43</v>
      </c>
      <c r="AO67" s="100" t="s">
        <v>43</v>
      </c>
      <c r="AP67" s="100" t="str">
        <f>IF(AO67&lt;&gt;"No Disp",AN67+12*AO67,"No Disp")</f>
        <v>No Disp</v>
      </c>
      <c r="AQ67" s="100" t="s">
        <v>43</v>
      </c>
      <c r="AR67" s="100" t="s">
        <v>43</v>
      </c>
      <c r="AS67" s="100" t="str">
        <f>IF(AR67&lt;&gt;"No Disp",AQ67+12*AR67,"No Disp")</f>
        <v>No Disp</v>
      </c>
    </row>
    <row r="68" spans="1:45" s="101" customFormat="1" x14ac:dyDescent="0.25">
      <c r="A68" s="90" t="s">
        <v>38</v>
      </c>
      <c r="B68" s="90" t="s">
        <v>40</v>
      </c>
      <c r="C68" s="90" t="s">
        <v>39</v>
      </c>
      <c r="D68" s="90" t="s">
        <v>4539</v>
      </c>
      <c r="E68" s="90" t="s">
        <v>4538</v>
      </c>
      <c r="F68" s="91">
        <v>642</v>
      </c>
      <c r="G68" s="92">
        <v>70013874</v>
      </c>
      <c r="H68" s="91">
        <v>70013875</v>
      </c>
      <c r="I68" s="93" t="s">
        <v>112</v>
      </c>
      <c r="J68" s="94" t="s">
        <v>3291</v>
      </c>
      <c r="K68" s="94" t="s">
        <v>3288</v>
      </c>
      <c r="L68" s="94" t="s">
        <v>3295</v>
      </c>
      <c r="M68" s="95">
        <v>154900</v>
      </c>
      <c r="N68" s="95">
        <v>4000</v>
      </c>
      <c r="O68" s="95">
        <v>6000</v>
      </c>
      <c r="P68" s="96">
        <v>349990</v>
      </c>
      <c r="Q68" s="152"/>
      <c r="R68" s="95">
        <v>174990</v>
      </c>
      <c r="S68" s="95">
        <f>R68/24</f>
        <v>7291.25</v>
      </c>
      <c r="T68" s="95">
        <v>154900</v>
      </c>
      <c r="U68" s="95">
        <f>T68/24</f>
        <v>6454.166666666667</v>
      </c>
      <c r="V68" s="95">
        <v>154900</v>
      </c>
      <c r="W68" s="95">
        <f>V68/24</f>
        <v>6454.166666666667</v>
      </c>
      <c r="X68" s="128"/>
      <c r="Y68" s="95">
        <v>0</v>
      </c>
      <c r="Z68" s="95">
        <v>15000</v>
      </c>
      <c r="AA68" s="95">
        <f>IFERROR(IF(D68="Premium",0.4*Y68,0),"No Disp")</f>
        <v>0</v>
      </c>
      <c r="AB68" s="95">
        <f>IFERROR(IF(4*Y68&gt;AC68,1.5*Y68,4*Y68),"No Disp")</f>
        <v>0</v>
      </c>
      <c r="AC68" s="95">
        <f>IF(Z68="No Disp","No Disp",(Z68*18)+Y68)</f>
        <v>270000</v>
      </c>
      <c r="AD68" s="95">
        <f>18*Z68-100+Y68</f>
        <v>269900</v>
      </c>
      <c r="AE68" s="95">
        <v>0</v>
      </c>
      <c r="AF68" s="95">
        <v>13500</v>
      </c>
      <c r="AG68" s="95">
        <f>IF(AF68="No Disp","No Disp",(AF68*18)+AE68)</f>
        <v>243000</v>
      </c>
      <c r="AH68" s="95">
        <f>18*AF68-100+AE68</f>
        <v>242900</v>
      </c>
      <c r="AI68" s="95" t="s">
        <v>4613</v>
      </c>
      <c r="AJ68" s="99"/>
      <c r="AK68" s="100" t="s">
        <v>43</v>
      </c>
      <c r="AL68" s="100" t="s">
        <v>43</v>
      </c>
      <c r="AM68" s="100" t="str">
        <f>IF(AL68&lt;&gt;"No Disp",AK68+12*AL68,"No Disp")</f>
        <v>No Disp</v>
      </c>
      <c r="AN68" s="100" t="s">
        <v>43</v>
      </c>
      <c r="AO68" s="100" t="s">
        <v>43</v>
      </c>
      <c r="AP68" s="100" t="str">
        <f>IF(AO68&lt;&gt;"No Disp",AN68+12*AO68,"No Disp")</f>
        <v>No Disp</v>
      </c>
      <c r="AQ68" s="100" t="s">
        <v>43</v>
      </c>
      <c r="AR68" s="100" t="s">
        <v>43</v>
      </c>
      <c r="AS68" s="100" t="str">
        <f>IF(AR68&lt;&gt;"No Disp",AQ68+12*AR68,"No Disp")</f>
        <v>No Disp</v>
      </c>
    </row>
    <row r="69" spans="1:45" s="101" customFormat="1" x14ac:dyDescent="0.25">
      <c r="A69" s="90" t="s">
        <v>38</v>
      </c>
      <c r="B69" s="90" t="s">
        <v>40</v>
      </c>
      <c r="C69" s="90" t="s">
        <v>39</v>
      </c>
      <c r="D69" s="90" t="s">
        <v>4539</v>
      </c>
      <c r="E69" s="90" t="s">
        <v>4538</v>
      </c>
      <c r="F69" s="91">
        <v>644</v>
      </c>
      <c r="G69" s="92">
        <v>70014342</v>
      </c>
      <c r="H69" s="91">
        <v>70014343</v>
      </c>
      <c r="I69" s="93" t="s">
        <v>112</v>
      </c>
      <c r="J69" s="94" t="s">
        <v>3291</v>
      </c>
      <c r="K69" s="94" t="s">
        <v>3329</v>
      </c>
      <c r="L69" s="94" t="s">
        <v>3351</v>
      </c>
      <c r="M69" s="95">
        <v>154900</v>
      </c>
      <c r="N69" s="95">
        <v>4000</v>
      </c>
      <c r="O69" s="95">
        <v>6000</v>
      </c>
      <c r="P69" s="96">
        <v>349990</v>
      </c>
      <c r="Q69" s="152"/>
      <c r="R69" s="95">
        <v>174990</v>
      </c>
      <c r="S69" s="95">
        <f>R69/24</f>
        <v>7291.25</v>
      </c>
      <c r="T69" s="95">
        <v>154900</v>
      </c>
      <c r="U69" s="95">
        <f>T69/24</f>
        <v>6454.166666666667</v>
      </c>
      <c r="V69" s="95">
        <v>154900</v>
      </c>
      <c r="W69" s="95">
        <f>V69/24</f>
        <v>6454.166666666667</v>
      </c>
      <c r="X69" s="128"/>
      <c r="Y69" s="95">
        <v>0</v>
      </c>
      <c r="Z69" s="95">
        <v>15000</v>
      </c>
      <c r="AA69" s="95">
        <f>IFERROR(IF(D69="Premium",0.4*Y69,0),"No Disp")</f>
        <v>0</v>
      </c>
      <c r="AB69" s="95">
        <f>IFERROR(IF(4*Y69&gt;AC69,1.5*Y69,4*Y69),"No Disp")</f>
        <v>0</v>
      </c>
      <c r="AC69" s="95">
        <f>IF(Z69="No Disp","No Disp",(Z69*18)+Y69)</f>
        <v>270000</v>
      </c>
      <c r="AD69" s="95">
        <f>18*Z69-100+Y69</f>
        <v>269900</v>
      </c>
      <c r="AE69" s="95">
        <v>0</v>
      </c>
      <c r="AF69" s="95">
        <v>13500</v>
      </c>
      <c r="AG69" s="95">
        <f>IF(AF69="No Disp","No Disp",(AF69*18)+AE69)</f>
        <v>243000</v>
      </c>
      <c r="AH69" s="95">
        <f>18*AF69-100+AE69</f>
        <v>242900</v>
      </c>
      <c r="AI69" s="95" t="s">
        <v>4613</v>
      </c>
      <c r="AJ69" s="99"/>
      <c r="AK69" s="100" t="s">
        <v>43</v>
      </c>
      <c r="AL69" s="100" t="s">
        <v>43</v>
      </c>
      <c r="AM69" s="100" t="str">
        <f>IF(AL69&lt;&gt;"No Disp",AK69+12*AL69,"No Disp")</f>
        <v>No Disp</v>
      </c>
      <c r="AN69" s="100" t="s">
        <v>43</v>
      </c>
      <c r="AO69" s="100" t="s">
        <v>43</v>
      </c>
      <c r="AP69" s="100" t="str">
        <f>IF(AO69&lt;&gt;"No Disp",AN69+12*AO69,"No Disp")</f>
        <v>No Disp</v>
      </c>
      <c r="AQ69" s="100" t="s">
        <v>43</v>
      </c>
      <c r="AR69" s="100" t="s">
        <v>43</v>
      </c>
      <c r="AS69" s="100" t="str">
        <f>IF(AR69&lt;&gt;"No Disp",AQ69+12*AR69,"No Disp")</f>
        <v>No Disp</v>
      </c>
    </row>
    <row r="70" spans="1:45" s="101" customFormat="1" x14ac:dyDescent="0.25">
      <c r="A70" s="90" t="s">
        <v>38</v>
      </c>
      <c r="B70" s="90" t="s">
        <v>40</v>
      </c>
      <c r="C70" s="90" t="s">
        <v>39</v>
      </c>
      <c r="D70" s="90" t="s">
        <v>4539</v>
      </c>
      <c r="E70" s="90" t="s">
        <v>4538</v>
      </c>
      <c r="F70" s="91">
        <v>645</v>
      </c>
      <c r="G70" s="92">
        <v>70014347</v>
      </c>
      <c r="H70" s="91">
        <v>70014398</v>
      </c>
      <c r="I70" s="93" t="s">
        <v>112</v>
      </c>
      <c r="J70" s="94" t="s">
        <v>3291</v>
      </c>
      <c r="K70" s="94" t="s">
        <v>3330</v>
      </c>
      <c r="L70" s="94" t="s">
        <v>3352</v>
      </c>
      <c r="M70" s="95">
        <v>154900</v>
      </c>
      <c r="N70" s="95">
        <v>4000</v>
      </c>
      <c r="O70" s="95">
        <v>6000</v>
      </c>
      <c r="P70" s="96">
        <v>349990</v>
      </c>
      <c r="Q70" s="152"/>
      <c r="R70" s="95">
        <v>174990</v>
      </c>
      <c r="S70" s="95">
        <f>R70/24</f>
        <v>7291.25</v>
      </c>
      <c r="T70" s="95">
        <v>154900</v>
      </c>
      <c r="U70" s="95">
        <f>T70/24</f>
        <v>6454.166666666667</v>
      </c>
      <c r="V70" s="95">
        <v>154900</v>
      </c>
      <c r="W70" s="95">
        <f>V70/24</f>
        <v>6454.166666666667</v>
      </c>
      <c r="X70" s="128"/>
      <c r="Y70" s="95">
        <v>0</v>
      </c>
      <c r="Z70" s="95">
        <v>15000</v>
      </c>
      <c r="AA70" s="95">
        <f>IFERROR(IF(D70="Premium",0.4*Y70,0),"No Disp")</f>
        <v>0</v>
      </c>
      <c r="AB70" s="95">
        <f>IFERROR(IF(4*Y70&gt;AC70,1.5*Y70,4*Y70),"No Disp")</f>
        <v>0</v>
      </c>
      <c r="AC70" s="95">
        <f>IF(Z70="No Disp","No Disp",(Z70*18)+Y70)</f>
        <v>270000</v>
      </c>
      <c r="AD70" s="95">
        <f>18*Z70-100+Y70</f>
        <v>269900</v>
      </c>
      <c r="AE70" s="95">
        <v>0</v>
      </c>
      <c r="AF70" s="95">
        <v>13500</v>
      </c>
      <c r="AG70" s="95">
        <f>IF(AF70="No Disp","No Disp",(AF70*18)+AE70)</f>
        <v>243000</v>
      </c>
      <c r="AH70" s="95">
        <f>18*AF70-100+AE70</f>
        <v>242900</v>
      </c>
      <c r="AI70" s="95" t="s">
        <v>4613</v>
      </c>
      <c r="AJ70" s="99"/>
      <c r="AK70" s="100" t="s">
        <v>43</v>
      </c>
      <c r="AL70" s="100" t="s">
        <v>43</v>
      </c>
      <c r="AM70" s="100" t="str">
        <f>IF(AL70&lt;&gt;"No Disp",AK70+12*AL70,"No Disp")</f>
        <v>No Disp</v>
      </c>
      <c r="AN70" s="100" t="s">
        <v>43</v>
      </c>
      <c r="AO70" s="100" t="s">
        <v>43</v>
      </c>
      <c r="AP70" s="100" t="str">
        <f>IF(AO70&lt;&gt;"No Disp",AN70+12*AO70,"No Disp")</f>
        <v>No Disp</v>
      </c>
      <c r="AQ70" s="100" t="s">
        <v>43</v>
      </c>
      <c r="AR70" s="100" t="s">
        <v>43</v>
      </c>
      <c r="AS70" s="100" t="str">
        <f>IF(AR70&lt;&gt;"No Disp",AQ70+12*AR70,"No Disp")</f>
        <v>No Disp</v>
      </c>
    </row>
    <row r="71" spans="1:45" s="101" customFormat="1" x14ac:dyDescent="0.25">
      <c r="A71" s="90" t="s">
        <v>38</v>
      </c>
      <c r="B71" s="90" t="s">
        <v>40</v>
      </c>
      <c r="C71" s="90" t="s">
        <v>39</v>
      </c>
      <c r="D71" s="90" t="s">
        <v>4539</v>
      </c>
      <c r="E71" s="90" t="s">
        <v>4538</v>
      </c>
      <c r="F71" s="91">
        <v>648</v>
      </c>
      <c r="G71" s="92">
        <v>70014402</v>
      </c>
      <c r="H71" s="91">
        <v>70014403</v>
      </c>
      <c r="I71" s="93" t="s">
        <v>112</v>
      </c>
      <c r="J71" s="94" t="s">
        <v>3291</v>
      </c>
      <c r="K71" s="94" t="s">
        <v>3331</v>
      </c>
      <c r="L71" s="94" t="s">
        <v>3353</v>
      </c>
      <c r="M71" s="95">
        <v>154900</v>
      </c>
      <c r="N71" s="95">
        <v>4000</v>
      </c>
      <c r="O71" s="95">
        <v>6000</v>
      </c>
      <c r="P71" s="96">
        <v>349990</v>
      </c>
      <c r="Q71" s="152"/>
      <c r="R71" s="95">
        <v>174990</v>
      </c>
      <c r="S71" s="95">
        <f>R71/24</f>
        <v>7291.25</v>
      </c>
      <c r="T71" s="95">
        <v>154900</v>
      </c>
      <c r="U71" s="95">
        <f>T71/24</f>
        <v>6454.166666666667</v>
      </c>
      <c r="V71" s="95">
        <v>154900</v>
      </c>
      <c r="W71" s="95">
        <f>V71/24</f>
        <v>6454.166666666667</v>
      </c>
      <c r="X71" s="128"/>
      <c r="Y71" s="95">
        <v>0</v>
      </c>
      <c r="Z71" s="95">
        <v>15000</v>
      </c>
      <c r="AA71" s="95">
        <f>IFERROR(IF(D71="Premium",0.4*Y71,0),"No Disp")</f>
        <v>0</v>
      </c>
      <c r="AB71" s="95">
        <f>IFERROR(IF(4*Y71&gt;AC71,1.5*Y71,4*Y71),"No Disp")</f>
        <v>0</v>
      </c>
      <c r="AC71" s="95">
        <f>IF(Z71="No Disp","No Disp",(Z71*18)+Y71)</f>
        <v>270000</v>
      </c>
      <c r="AD71" s="95">
        <f>18*Z71-100+Y71</f>
        <v>269900</v>
      </c>
      <c r="AE71" s="95">
        <v>0</v>
      </c>
      <c r="AF71" s="95">
        <v>13500</v>
      </c>
      <c r="AG71" s="95">
        <f>IF(AF71="No Disp","No Disp",(AF71*18)+AE71)</f>
        <v>243000</v>
      </c>
      <c r="AH71" s="95">
        <f>18*AF71-100+AE71</f>
        <v>242900</v>
      </c>
      <c r="AI71" s="95" t="s">
        <v>4613</v>
      </c>
      <c r="AJ71" s="99"/>
      <c r="AK71" s="100" t="s">
        <v>43</v>
      </c>
      <c r="AL71" s="100" t="s">
        <v>43</v>
      </c>
      <c r="AM71" s="100" t="str">
        <f>IF(AL71&lt;&gt;"No Disp",AK71+12*AL71,"No Disp")</f>
        <v>No Disp</v>
      </c>
      <c r="AN71" s="100" t="s">
        <v>43</v>
      </c>
      <c r="AO71" s="100" t="s">
        <v>43</v>
      </c>
      <c r="AP71" s="100" t="str">
        <f>IF(AO71&lt;&gt;"No Disp",AN71+12*AO71,"No Disp")</f>
        <v>No Disp</v>
      </c>
      <c r="AQ71" s="100" t="s">
        <v>43</v>
      </c>
      <c r="AR71" s="100" t="s">
        <v>43</v>
      </c>
      <c r="AS71" s="100" t="str">
        <f>IF(AR71&lt;&gt;"No Disp",AQ71+12*AR71,"No Disp")</f>
        <v>No Disp</v>
      </c>
    </row>
    <row r="72" spans="1:45" s="101" customFormat="1" x14ac:dyDescent="0.25">
      <c r="A72" s="90" t="s">
        <v>38</v>
      </c>
      <c r="B72" s="90" t="s">
        <v>40</v>
      </c>
      <c r="C72" s="90" t="s">
        <v>39</v>
      </c>
      <c r="D72" s="90" t="s">
        <v>4539</v>
      </c>
      <c r="E72" s="90" t="s">
        <v>4538</v>
      </c>
      <c r="F72" s="91">
        <v>649</v>
      </c>
      <c r="G72" s="92">
        <v>70014407</v>
      </c>
      <c r="H72" s="91">
        <v>70014408</v>
      </c>
      <c r="I72" s="93" t="s">
        <v>112</v>
      </c>
      <c r="J72" s="94" t="s">
        <v>3292</v>
      </c>
      <c r="K72" s="94" t="s">
        <v>3332</v>
      </c>
      <c r="L72" s="94" t="s">
        <v>3354</v>
      </c>
      <c r="M72" s="95">
        <v>167760</v>
      </c>
      <c r="N72" s="95">
        <v>4000</v>
      </c>
      <c r="O72" s="95">
        <v>6000</v>
      </c>
      <c r="P72" s="96">
        <v>449990</v>
      </c>
      <c r="Q72" s="152"/>
      <c r="R72" s="95">
        <v>187990</v>
      </c>
      <c r="S72" s="95">
        <f>R72/24</f>
        <v>7832.916666666667</v>
      </c>
      <c r="T72" s="95">
        <v>167760</v>
      </c>
      <c r="U72" s="95">
        <f>T72/24</f>
        <v>6990</v>
      </c>
      <c r="V72" s="95">
        <v>167760</v>
      </c>
      <c r="W72" s="95">
        <f>V72/24</f>
        <v>6990</v>
      </c>
      <c r="X72" s="128"/>
      <c r="Y72" s="95">
        <v>0</v>
      </c>
      <c r="Z72" s="95">
        <v>23000</v>
      </c>
      <c r="AA72" s="95">
        <f>IFERROR(IF(D72="Premium",0.4*Y72,0),"No Disp")</f>
        <v>0</v>
      </c>
      <c r="AB72" s="95">
        <f>IFERROR(IF(4*Y72&gt;AC72,1.5*Y72,4*Y72),"No Disp")</f>
        <v>0</v>
      </c>
      <c r="AC72" s="95">
        <f>IF(Z72="No Disp","No Disp",(Z72*18)+Y72)</f>
        <v>414000</v>
      </c>
      <c r="AD72" s="95">
        <f>18*Z72-100+Y72</f>
        <v>413900</v>
      </c>
      <c r="AE72" s="95">
        <v>0</v>
      </c>
      <c r="AF72" s="95">
        <v>20500</v>
      </c>
      <c r="AG72" s="95">
        <f>IF(AF72="No Disp","No Disp",(AF72*18)+AE72)</f>
        <v>369000</v>
      </c>
      <c r="AH72" s="95">
        <f>18*AF72-100+AE72</f>
        <v>368900</v>
      </c>
      <c r="AI72" s="95" t="s">
        <v>4613</v>
      </c>
      <c r="AJ72" s="99"/>
      <c r="AK72" s="100" t="s">
        <v>43</v>
      </c>
      <c r="AL72" s="100" t="s">
        <v>43</v>
      </c>
      <c r="AM72" s="100" t="str">
        <f>IF(AL72&lt;&gt;"No Disp",AK72+12*AL72,"No Disp")</f>
        <v>No Disp</v>
      </c>
      <c r="AN72" s="100" t="s">
        <v>43</v>
      </c>
      <c r="AO72" s="100" t="s">
        <v>43</v>
      </c>
      <c r="AP72" s="100" t="str">
        <f>IF(AO72&lt;&gt;"No Disp",AN72+12*AO72,"No Disp")</f>
        <v>No Disp</v>
      </c>
      <c r="AQ72" s="100" t="s">
        <v>43</v>
      </c>
      <c r="AR72" s="100" t="s">
        <v>43</v>
      </c>
      <c r="AS72" s="100" t="str">
        <f>IF(AR72&lt;&gt;"No Disp",AQ72+12*AR72,"No Disp")</f>
        <v>No Disp</v>
      </c>
    </row>
    <row r="73" spans="1:45" s="101" customFormat="1" x14ac:dyDescent="0.25">
      <c r="A73" s="90" t="s">
        <v>38</v>
      </c>
      <c r="B73" s="90" t="s">
        <v>40</v>
      </c>
      <c r="C73" s="90" t="s">
        <v>39</v>
      </c>
      <c r="D73" s="90" t="s">
        <v>4539</v>
      </c>
      <c r="E73" s="90" t="s">
        <v>4538</v>
      </c>
      <c r="F73" s="91">
        <v>650</v>
      </c>
      <c r="G73" s="92">
        <v>70014412</v>
      </c>
      <c r="H73" s="91">
        <v>70014413</v>
      </c>
      <c r="I73" s="93" t="s">
        <v>112</v>
      </c>
      <c r="J73" s="94" t="s">
        <v>3292</v>
      </c>
      <c r="K73" s="94" t="s">
        <v>3333</v>
      </c>
      <c r="L73" s="94" t="s">
        <v>3355</v>
      </c>
      <c r="M73" s="95">
        <v>167760</v>
      </c>
      <c r="N73" s="95">
        <v>4000</v>
      </c>
      <c r="O73" s="95">
        <v>6000</v>
      </c>
      <c r="P73" s="96">
        <v>449990</v>
      </c>
      <c r="Q73" s="152"/>
      <c r="R73" s="95">
        <v>187990</v>
      </c>
      <c r="S73" s="95">
        <f>R73/24</f>
        <v>7832.916666666667</v>
      </c>
      <c r="T73" s="95">
        <v>167760</v>
      </c>
      <c r="U73" s="95">
        <f>T73/24</f>
        <v>6990</v>
      </c>
      <c r="V73" s="95">
        <v>167760</v>
      </c>
      <c r="W73" s="95">
        <f>V73/24</f>
        <v>6990</v>
      </c>
      <c r="X73" s="128"/>
      <c r="Y73" s="95">
        <v>0</v>
      </c>
      <c r="Z73" s="95">
        <v>23000</v>
      </c>
      <c r="AA73" s="95">
        <f>IFERROR(IF(D73="Premium",0.4*Y73,0),"No Disp")</f>
        <v>0</v>
      </c>
      <c r="AB73" s="95">
        <f>IFERROR(IF(4*Y73&gt;AC73,1.5*Y73,4*Y73),"No Disp")</f>
        <v>0</v>
      </c>
      <c r="AC73" s="95">
        <f>IF(Z73="No Disp","No Disp",(Z73*18)+Y73)</f>
        <v>414000</v>
      </c>
      <c r="AD73" s="95">
        <f>18*Z73-100+Y73</f>
        <v>413900</v>
      </c>
      <c r="AE73" s="95">
        <v>0</v>
      </c>
      <c r="AF73" s="95">
        <v>20500</v>
      </c>
      <c r="AG73" s="95">
        <f>IF(AF73="No Disp","No Disp",(AF73*18)+AE73)</f>
        <v>369000</v>
      </c>
      <c r="AH73" s="95">
        <f>18*AF73-100+AE73</f>
        <v>368900</v>
      </c>
      <c r="AI73" s="95" t="s">
        <v>4613</v>
      </c>
      <c r="AJ73" s="99"/>
      <c r="AK73" s="100" t="s">
        <v>43</v>
      </c>
      <c r="AL73" s="100" t="s">
        <v>43</v>
      </c>
      <c r="AM73" s="100" t="str">
        <f>IF(AL73&lt;&gt;"No Disp",AK73+12*AL73,"No Disp")</f>
        <v>No Disp</v>
      </c>
      <c r="AN73" s="100" t="s">
        <v>43</v>
      </c>
      <c r="AO73" s="100" t="s">
        <v>43</v>
      </c>
      <c r="AP73" s="100" t="str">
        <f>IF(AO73&lt;&gt;"No Disp",AN73+12*AO73,"No Disp")</f>
        <v>No Disp</v>
      </c>
      <c r="AQ73" s="100" t="s">
        <v>43</v>
      </c>
      <c r="AR73" s="100" t="s">
        <v>43</v>
      </c>
      <c r="AS73" s="100" t="str">
        <f>IF(AR73&lt;&gt;"No Disp",AQ73+12*AR73,"No Disp")</f>
        <v>No Disp</v>
      </c>
    </row>
    <row r="74" spans="1:45" s="101" customFormat="1" x14ac:dyDescent="0.25">
      <c r="A74" s="90" t="s">
        <v>38</v>
      </c>
      <c r="B74" s="90" t="s">
        <v>40</v>
      </c>
      <c r="C74" s="90" t="s">
        <v>39</v>
      </c>
      <c r="D74" s="90" t="s">
        <v>4539</v>
      </c>
      <c r="E74" s="90" t="s">
        <v>4538</v>
      </c>
      <c r="F74" s="91"/>
      <c r="G74" s="170">
        <v>70016182</v>
      </c>
      <c r="H74" s="91" t="s">
        <v>3896</v>
      </c>
      <c r="I74" s="93" t="s">
        <v>87</v>
      </c>
      <c r="J74" s="94" t="s">
        <v>4663</v>
      </c>
      <c r="K74" s="94" t="s">
        <v>4674</v>
      </c>
      <c r="L74" s="94" t="s">
        <v>4657</v>
      </c>
      <c r="M74" s="95">
        <v>339990</v>
      </c>
      <c r="N74" s="95">
        <v>6000</v>
      </c>
      <c r="O74" s="95">
        <v>8500</v>
      </c>
      <c r="P74" s="96">
        <v>399990</v>
      </c>
      <c r="Q74" s="152"/>
      <c r="R74" s="95">
        <v>379990</v>
      </c>
      <c r="S74" s="95">
        <v>13620.833333333334</v>
      </c>
      <c r="T74" s="95">
        <v>339990</v>
      </c>
      <c r="U74" s="95">
        <v>13620.833333333334</v>
      </c>
      <c r="V74" s="95">
        <v>339990</v>
      </c>
      <c r="W74" s="95">
        <v>13620.833333333334</v>
      </c>
      <c r="X74" s="128"/>
      <c r="Y74" s="95">
        <v>29900</v>
      </c>
      <c r="Z74" s="95">
        <v>32000</v>
      </c>
      <c r="AA74" s="95">
        <f>IFERROR(IF(D74="Premium",0.4*Y74,0),"No Disp")</f>
        <v>0</v>
      </c>
      <c r="AB74" s="95">
        <f>IFERROR(IF(4*Y74&gt;AC74,1.5*Y74,4*Y74),"No Disp")</f>
        <v>119600</v>
      </c>
      <c r="AC74" s="95">
        <f>IF(Z74="No Disp","No Disp",(Z74*18)+Y74)</f>
        <v>605900</v>
      </c>
      <c r="AD74" s="95">
        <f>IF($H74="EMP",18*Z74-100,18*Z74-100+Y74)</f>
        <v>605800</v>
      </c>
      <c r="AE74" s="95">
        <v>29900</v>
      </c>
      <c r="AF74" s="95">
        <v>27500</v>
      </c>
      <c r="AG74" s="95">
        <f>IF(AF74="No Disp","No Disp",(AF74*18)+AE74)</f>
        <v>524900</v>
      </c>
      <c r="AH74" s="95">
        <f>IF($H74="EMP",18*AF74-100,18*AF74-100+AE74)</f>
        <v>524800</v>
      </c>
      <c r="AI74" s="95">
        <v>22000</v>
      </c>
      <c r="AJ74" s="99"/>
      <c r="AK74" s="100" t="s">
        <v>43</v>
      </c>
      <c r="AL74" s="100" t="s">
        <v>43</v>
      </c>
      <c r="AM74" s="100" t="s">
        <v>43</v>
      </c>
      <c r="AN74" s="100" t="s">
        <v>43</v>
      </c>
      <c r="AO74" s="100" t="s">
        <v>43</v>
      </c>
      <c r="AP74" s="100" t="s">
        <v>43</v>
      </c>
      <c r="AQ74" s="100" t="s">
        <v>43</v>
      </c>
      <c r="AR74" s="100" t="s">
        <v>43</v>
      </c>
      <c r="AS74" s="100" t="s">
        <v>43</v>
      </c>
    </row>
    <row r="75" spans="1:45" s="101" customFormat="1" x14ac:dyDescent="0.25">
      <c r="A75" s="90" t="s">
        <v>38</v>
      </c>
      <c r="B75" s="90" t="s">
        <v>40</v>
      </c>
      <c r="C75" s="90" t="s">
        <v>39</v>
      </c>
      <c r="D75" s="90" t="s">
        <v>4539</v>
      </c>
      <c r="E75" s="90" t="s">
        <v>4538</v>
      </c>
      <c r="F75" s="91"/>
      <c r="G75" s="170">
        <v>70016178</v>
      </c>
      <c r="H75" s="91" t="s">
        <v>3896</v>
      </c>
      <c r="I75" s="93" t="s">
        <v>87</v>
      </c>
      <c r="J75" s="94" t="s">
        <v>4663</v>
      </c>
      <c r="K75" s="94" t="s">
        <v>4672</v>
      </c>
      <c r="L75" s="94" t="s">
        <v>4655</v>
      </c>
      <c r="M75" s="95">
        <v>339990</v>
      </c>
      <c r="N75" s="95">
        <v>6000</v>
      </c>
      <c r="O75" s="95">
        <v>8500</v>
      </c>
      <c r="P75" s="96">
        <v>399990</v>
      </c>
      <c r="Q75" s="152"/>
      <c r="R75" s="95">
        <v>379990</v>
      </c>
      <c r="S75" s="95">
        <v>13620.833333333334</v>
      </c>
      <c r="T75" s="95">
        <v>339990</v>
      </c>
      <c r="U75" s="95">
        <v>13620.833333333334</v>
      </c>
      <c r="V75" s="95">
        <v>339990</v>
      </c>
      <c r="W75" s="95">
        <v>13620.833333333334</v>
      </c>
      <c r="X75" s="128"/>
      <c r="Y75" s="95">
        <v>29900</v>
      </c>
      <c r="Z75" s="95">
        <v>32000</v>
      </c>
      <c r="AA75" s="95">
        <f>IFERROR(IF(D75="Premium",0.4*Y75,0),"No Disp")</f>
        <v>0</v>
      </c>
      <c r="AB75" s="95">
        <f>IFERROR(IF(4*Y75&gt;AC75,1.5*Y75,4*Y75),"No Disp")</f>
        <v>119600</v>
      </c>
      <c r="AC75" s="95">
        <f>IF(Z75="No Disp","No Disp",(Z75*18)+Y75)</f>
        <v>605900</v>
      </c>
      <c r="AD75" s="95">
        <f>IF($H75="EMP",18*Z75-100,18*Z75-100+Y75)</f>
        <v>605800</v>
      </c>
      <c r="AE75" s="95">
        <v>29900</v>
      </c>
      <c r="AF75" s="95">
        <v>27500</v>
      </c>
      <c r="AG75" s="95">
        <f>IF(AF75="No Disp","No Disp",(AF75*18)+AE75)</f>
        <v>524900</v>
      </c>
      <c r="AH75" s="95">
        <f>IF($H75="EMP",18*AF75-100,18*AF75-100+AE75)</f>
        <v>524800</v>
      </c>
      <c r="AI75" s="95">
        <v>22000</v>
      </c>
      <c r="AJ75" s="99"/>
      <c r="AK75" s="100" t="s">
        <v>43</v>
      </c>
      <c r="AL75" s="100" t="s">
        <v>43</v>
      </c>
      <c r="AM75" s="100" t="s">
        <v>43</v>
      </c>
      <c r="AN75" s="100" t="s">
        <v>43</v>
      </c>
      <c r="AO75" s="100" t="s">
        <v>43</v>
      </c>
      <c r="AP75" s="100" t="s">
        <v>43</v>
      </c>
      <c r="AQ75" s="100" t="s">
        <v>43</v>
      </c>
      <c r="AR75" s="100" t="s">
        <v>43</v>
      </c>
      <c r="AS75" s="100" t="s">
        <v>43</v>
      </c>
    </row>
    <row r="76" spans="1:45" s="101" customFormat="1" x14ac:dyDescent="0.25">
      <c r="A76" s="90" t="s">
        <v>38</v>
      </c>
      <c r="B76" s="90" t="s">
        <v>40</v>
      </c>
      <c r="C76" s="90" t="s">
        <v>39</v>
      </c>
      <c r="D76" s="90" t="s">
        <v>4539</v>
      </c>
      <c r="E76" s="90" t="s">
        <v>4538</v>
      </c>
      <c r="F76" s="91"/>
      <c r="G76" s="170">
        <v>70016186</v>
      </c>
      <c r="H76" s="91" t="s">
        <v>3896</v>
      </c>
      <c r="I76" s="93" t="s">
        <v>87</v>
      </c>
      <c r="J76" s="94" t="s">
        <v>4664</v>
      </c>
      <c r="K76" s="94" t="s">
        <v>4676</v>
      </c>
      <c r="L76" s="94" t="s">
        <v>4659</v>
      </c>
      <c r="M76" s="95">
        <v>419990</v>
      </c>
      <c r="N76" s="95">
        <v>6000</v>
      </c>
      <c r="O76" s="95">
        <v>8500</v>
      </c>
      <c r="P76" s="96">
        <v>399990</v>
      </c>
      <c r="Q76" s="152"/>
      <c r="R76" s="95">
        <v>469990</v>
      </c>
      <c r="S76" s="95">
        <v>13620.833333333334</v>
      </c>
      <c r="T76" s="95">
        <v>419990</v>
      </c>
      <c r="U76" s="95">
        <v>13620.833333333334</v>
      </c>
      <c r="V76" s="95">
        <v>419990</v>
      </c>
      <c r="W76" s="95">
        <v>13620.833333333334</v>
      </c>
      <c r="X76" s="128"/>
      <c r="Y76" s="95">
        <v>49900</v>
      </c>
      <c r="Z76" s="95">
        <v>38000</v>
      </c>
      <c r="AA76" s="95">
        <f>IFERROR(IF(D76="Premium",0.4*Y76,0),"No Disp")</f>
        <v>0</v>
      </c>
      <c r="AB76" s="95">
        <f>IFERROR(IF(4*Y76&gt;AC76,1.5*Y76,4*Y76),"No Disp")</f>
        <v>199600</v>
      </c>
      <c r="AC76" s="95">
        <f>IF(Z76="No Disp","No Disp",(Z76*18)+Y76)</f>
        <v>733900</v>
      </c>
      <c r="AD76" s="95">
        <f>IF($H76="EMP",18*Z76-100,18*Z76-100+Y76)</f>
        <v>733800</v>
      </c>
      <c r="AE76" s="95">
        <v>49900</v>
      </c>
      <c r="AF76" s="95">
        <v>33000</v>
      </c>
      <c r="AG76" s="95">
        <f>IF(AF76="No Disp","No Disp",(AF76*18)+AE76)</f>
        <v>643900</v>
      </c>
      <c r="AH76" s="95">
        <f>IF($H76="EMP",18*AF76-100,18*AF76-100+AE76)</f>
        <v>643800</v>
      </c>
      <c r="AI76" s="95">
        <v>22000</v>
      </c>
      <c r="AJ76" s="99"/>
      <c r="AK76" s="100" t="s">
        <v>43</v>
      </c>
      <c r="AL76" s="100" t="s">
        <v>43</v>
      </c>
      <c r="AM76" s="100" t="s">
        <v>43</v>
      </c>
      <c r="AN76" s="100" t="s">
        <v>43</v>
      </c>
      <c r="AO76" s="100" t="s">
        <v>43</v>
      </c>
      <c r="AP76" s="100" t="s">
        <v>43</v>
      </c>
      <c r="AQ76" s="100" t="s">
        <v>43</v>
      </c>
      <c r="AR76" s="100" t="s">
        <v>43</v>
      </c>
      <c r="AS76" s="100" t="s">
        <v>43</v>
      </c>
    </row>
    <row r="77" spans="1:45" s="101" customFormat="1" x14ac:dyDescent="0.25">
      <c r="A77" s="90" t="s">
        <v>38</v>
      </c>
      <c r="B77" s="90" t="s">
        <v>40</v>
      </c>
      <c r="C77" s="90" t="s">
        <v>39</v>
      </c>
      <c r="D77" s="90" t="s">
        <v>4539</v>
      </c>
      <c r="E77" s="90" t="s">
        <v>4538</v>
      </c>
      <c r="F77" s="91"/>
      <c r="G77" s="170">
        <v>70016190</v>
      </c>
      <c r="H77" s="91" t="s">
        <v>3896</v>
      </c>
      <c r="I77" s="93" t="s">
        <v>87</v>
      </c>
      <c r="J77" s="94" t="s">
        <v>4664</v>
      </c>
      <c r="K77" s="94" t="s">
        <v>4678</v>
      </c>
      <c r="L77" s="94" t="s">
        <v>4661</v>
      </c>
      <c r="M77" s="95">
        <v>419990</v>
      </c>
      <c r="N77" s="95">
        <v>6000</v>
      </c>
      <c r="O77" s="95">
        <v>8500</v>
      </c>
      <c r="P77" s="96">
        <v>399990</v>
      </c>
      <c r="Q77" s="152"/>
      <c r="R77" s="95">
        <v>469990</v>
      </c>
      <c r="S77" s="95">
        <v>13620.833333333334</v>
      </c>
      <c r="T77" s="95">
        <v>419990</v>
      </c>
      <c r="U77" s="95">
        <v>13620.833333333334</v>
      </c>
      <c r="V77" s="95">
        <v>419990</v>
      </c>
      <c r="W77" s="95">
        <v>13620.833333333334</v>
      </c>
      <c r="X77" s="128"/>
      <c r="Y77" s="95">
        <v>49900</v>
      </c>
      <c r="Z77" s="95">
        <v>38000</v>
      </c>
      <c r="AA77" s="95">
        <f>IFERROR(IF(D77="Premium",0.4*Y77,0),"No Disp")</f>
        <v>0</v>
      </c>
      <c r="AB77" s="95">
        <f>IFERROR(IF(4*Y77&gt;AC77,1.5*Y77,4*Y77),"No Disp")</f>
        <v>199600</v>
      </c>
      <c r="AC77" s="95">
        <f>IF(Z77="No Disp","No Disp",(Z77*18)+Y77)</f>
        <v>733900</v>
      </c>
      <c r="AD77" s="95">
        <f>IF($H77="EMP",18*Z77-100,18*Z77-100+Y77)</f>
        <v>733800</v>
      </c>
      <c r="AE77" s="95">
        <v>49900</v>
      </c>
      <c r="AF77" s="95">
        <v>33000</v>
      </c>
      <c r="AG77" s="95">
        <f>IF(AF77="No Disp","No Disp",(AF77*18)+AE77)</f>
        <v>643900</v>
      </c>
      <c r="AH77" s="95">
        <f>IF($H77="EMP",18*AF77-100,18*AF77-100+AE77)</f>
        <v>643800</v>
      </c>
      <c r="AI77" s="95">
        <v>22000</v>
      </c>
      <c r="AJ77" s="99"/>
      <c r="AK77" s="100" t="s">
        <v>43</v>
      </c>
      <c r="AL77" s="100" t="s">
        <v>43</v>
      </c>
      <c r="AM77" s="100" t="s">
        <v>43</v>
      </c>
      <c r="AN77" s="100" t="s">
        <v>43</v>
      </c>
      <c r="AO77" s="100" t="s">
        <v>43</v>
      </c>
      <c r="AP77" s="100" t="s">
        <v>43</v>
      </c>
      <c r="AQ77" s="100" t="s">
        <v>43</v>
      </c>
      <c r="AR77" s="100" t="s">
        <v>43</v>
      </c>
      <c r="AS77" s="100" t="s">
        <v>43</v>
      </c>
    </row>
    <row r="78" spans="1:45" s="101" customFormat="1" x14ac:dyDescent="0.25">
      <c r="A78" s="90" t="s">
        <v>102</v>
      </c>
      <c r="B78" s="90" t="s">
        <v>39</v>
      </c>
      <c r="C78" s="90" t="s">
        <v>40</v>
      </c>
      <c r="D78" s="90" t="s">
        <v>4539</v>
      </c>
      <c r="E78" s="90" t="s">
        <v>4538</v>
      </c>
      <c r="F78" s="91">
        <v>776</v>
      </c>
      <c r="G78" s="92">
        <v>70015250</v>
      </c>
      <c r="H78" s="91" t="s">
        <v>3896</v>
      </c>
      <c r="I78" s="93" t="s">
        <v>131</v>
      </c>
      <c r="J78" s="94" t="s">
        <v>4465</v>
      </c>
      <c r="K78" s="94" t="s">
        <v>4501</v>
      </c>
      <c r="L78" s="94" t="s">
        <v>4487</v>
      </c>
      <c r="M78" s="95">
        <v>167760</v>
      </c>
      <c r="N78" s="95">
        <v>4000</v>
      </c>
      <c r="O78" s="95">
        <v>6000</v>
      </c>
      <c r="P78" s="96">
        <v>259990</v>
      </c>
      <c r="Q78" s="152"/>
      <c r="R78" s="95">
        <v>187990</v>
      </c>
      <c r="S78" s="95">
        <f>R78/24</f>
        <v>7832.916666666667</v>
      </c>
      <c r="T78" s="95">
        <v>167760</v>
      </c>
      <c r="U78" s="95">
        <f>T78/24</f>
        <v>6990</v>
      </c>
      <c r="V78" s="95">
        <v>167760</v>
      </c>
      <c r="W78" s="95">
        <f>V78/24</f>
        <v>6990</v>
      </c>
      <c r="X78" s="128"/>
      <c r="Y78" s="95">
        <v>0</v>
      </c>
      <c r="Z78" s="95">
        <v>18000</v>
      </c>
      <c r="AA78" s="95">
        <f>IFERROR(IF(D78="Premium",0.4*Y78,0),"No Disp")</f>
        <v>0</v>
      </c>
      <c r="AB78" s="95">
        <f>IFERROR(IF(4*Y78&gt;AC78,1.5*Y78,4*Y78),"No Disp")</f>
        <v>0</v>
      </c>
      <c r="AC78" s="95">
        <f>IF(Z78="No Disp","No Disp",(Z78*18)+Y78)</f>
        <v>324000</v>
      </c>
      <c r="AD78" s="95">
        <f>18*Z78-100+Y78</f>
        <v>323900</v>
      </c>
      <c r="AE78" s="95">
        <v>0</v>
      </c>
      <c r="AF78" s="95">
        <v>16000</v>
      </c>
      <c r="AG78" s="95">
        <f>IF(AF78="No Disp","No Disp",(AF78*18)+AE78)</f>
        <v>288000</v>
      </c>
      <c r="AH78" s="95">
        <f>18*AF78-100+AE78</f>
        <v>287900</v>
      </c>
      <c r="AI78" s="95" t="s">
        <v>4613</v>
      </c>
      <c r="AJ78" s="99"/>
      <c r="AK78" s="100" t="s">
        <v>43</v>
      </c>
      <c r="AL78" s="100" t="s">
        <v>43</v>
      </c>
      <c r="AM78" s="100" t="str">
        <f>IF(AL78&lt;&gt;"No Disp",AK78+12*AL78,"No Disp")</f>
        <v>No Disp</v>
      </c>
      <c r="AN78" s="100" t="s">
        <v>43</v>
      </c>
      <c r="AO78" s="100" t="s">
        <v>43</v>
      </c>
      <c r="AP78" s="100" t="str">
        <f>IF(AO78&lt;&gt;"No Disp",AN78+12*AO78,"No Disp")</f>
        <v>No Disp</v>
      </c>
      <c r="AQ78" s="100" t="s">
        <v>43</v>
      </c>
      <c r="AR78" s="100" t="s">
        <v>43</v>
      </c>
      <c r="AS78" s="100" t="str">
        <f>IF(AR78&lt;&gt;"No Disp",AQ78+12*AR78,"No Disp")</f>
        <v>No Disp</v>
      </c>
    </row>
    <row r="79" spans="1:45" s="101" customFormat="1" x14ac:dyDescent="0.25">
      <c r="A79" s="90" t="s">
        <v>102</v>
      </c>
      <c r="B79" s="90" t="s">
        <v>39</v>
      </c>
      <c r="C79" s="90" t="s">
        <v>40</v>
      </c>
      <c r="D79" s="90" t="s">
        <v>4539</v>
      </c>
      <c r="E79" s="90" t="s">
        <v>4538</v>
      </c>
      <c r="F79" s="91">
        <v>775</v>
      </c>
      <c r="G79" s="92">
        <v>70015254</v>
      </c>
      <c r="H79" s="91" t="s">
        <v>3896</v>
      </c>
      <c r="I79" s="93" t="s">
        <v>131</v>
      </c>
      <c r="J79" s="94" t="s">
        <v>4465</v>
      </c>
      <c r="K79" s="94" t="s">
        <v>4502</v>
      </c>
      <c r="L79" s="94" t="s">
        <v>4488</v>
      </c>
      <c r="M79" s="95">
        <v>167760</v>
      </c>
      <c r="N79" s="95">
        <v>4000</v>
      </c>
      <c r="O79" s="95">
        <v>6000</v>
      </c>
      <c r="P79" s="96">
        <v>259990</v>
      </c>
      <c r="Q79" s="152"/>
      <c r="R79" s="95">
        <v>187990</v>
      </c>
      <c r="S79" s="95">
        <f>R79/24</f>
        <v>7832.916666666667</v>
      </c>
      <c r="T79" s="95">
        <v>167760</v>
      </c>
      <c r="U79" s="95">
        <f>T79/24</f>
        <v>6990</v>
      </c>
      <c r="V79" s="95">
        <v>167760</v>
      </c>
      <c r="W79" s="95">
        <f>V79/24</f>
        <v>6990</v>
      </c>
      <c r="X79" s="128"/>
      <c r="Y79" s="95">
        <v>0</v>
      </c>
      <c r="Z79" s="95">
        <v>18000</v>
      </c>
      <c r="AA79" s="95">
        <f>IFERROR(IF(D79="Premium",0.4*Y79,0),"No Disp")</f>
        <v>0</v>
      </c>
      <c r="AB79" s="95">
        <f>IFERROR(IF(4*Y79&gt;AC79,1.5*Y79,4*Y79),"No Disp")</f>
        <v>0</v>
      </c>
      <c r="AC79" s="95">
        <f>IF(Z79="No Disp","No Disp",(Z79*18)+Y79)</f>
        <v>324000</v>
      </c>
      <c r="AD79" s="95">
        <f>18*Z79-100+Y79</f>
        <v>323900</v>
      </c>
      <c r="AE79" s="95">
        <v>0</v>
      </c>
      <c r="AF79" s="95">
        <v>16000</v>
      </c>
      <c r="AG79" s="95">
        <f>IF(AF79="No Disp","No Disp",(AF79*18)+AE79)</f>
        <v>288000</v>
      </c>
      <c r="AH79" s="95">
        <f>18*AF79-100+AE79</f>
        <v>287900</v>
      </c>
      <c r="AI79" s="95" t="s">
        <v>4613</v>
      </c>
      <c r="AJ79" s="99"/>
      <c r="AK79" s="100" t="s">
        <v>43</v>
      </c>
      <c r="AL79" s="100" t="s">
        <v>43</v>
      </c>
      <c r="AM79" s="100" t="str">
        <f>IF(AL79&lt;&gt;"No Disp",AK79+12*AL79,"No Disp")</f>
        <v>No Disp</v>
      </c>
      <c r="AN79" s="100" t="s">
        <v>43</v>
      </c>
      <c r="AO79" s="100" t="s">
        <v>43</v>
      </c>
      <c r="AP79" s="100" t="str">
        <f>IF(AO79&lt;&gt;"No Disp",AN79+12*AO79,"No Disp")</f>
        <v>No Disp</v>
      </c>
      <c r="AQ79" s="100" t="s">
        <v>43</v>
      </c>
      <c r="AR79" s="100" t="s">
        <v>43</v>
      </c>
      <c r="AS79" s="100" t="str">
        <f>IF(AR79&lt;&gt;"No Disp",AQ79+12*AR79,"No Disp")</f>
        <v>No Disp</v>
      </c>
    </row>
    <row r="80" spans="1:45" s="101" customFormat="1" x14ac:dyDescent="0.25">
      <c r="A80" s="90" t="s">
        <v>102</v>
      </c>
      <c r="B80" s="90" t="s">
        <v>39</v>
      </c>
      <c r="C80" s="90" t="s">
        <v>40</v>
      </c>
      <c r="D80" s="90" t="s">
        <v>4541</v>
      </c>
      <c r="E80" s="90" t="s">
        <v>4542</v>
      </c>
      <c r="F80" s="91">
        <v>1</v>
      </c>
      <c r="G80" s="92">
        <v>70007713</v>
      </c>
      <c r="H80" s="91">
        <v>70007712</v>
      </c>
      <c r="I80" s="93" t="s">
        <v>46</v>
      </c>
      <c r="J80" s="94" t="s">
        <v>3459</v>
      </c>
      <c r="K80" s="94" t="s">
        <v>995</v>
      </c>
      <c r="L80" s="94" t="s">
        <v>3460</v>
      </c>
      <c r="M80" s="95">
        <v>94900</v>
      </c>
      <c r="N80" s="95">
        <v>2500</v>
      </c>
      <c r="O80" s="95">
        <v>4000</v>
      </c>
      <c r="P80" s="96">
        <v>0</v>
      </c>
      <c r="Q80" s="152"/>
      <c r="R80" s="95">
        <v>94900</v>
      </c>
      <c r="S80" s="95">
        <f>R80/24</f>
        <v>3954.1666666666665</v>
      </c>
      <c r="T80" s="95">
        <v>94900</v>
      </c>
      <c r="U80" s="95">
        <f>T80/24</f>
        <v>3954.1666666666665</v>
      </c>
      <c r="V80" s="95">
        <v>94900</v>
      </c>
      <c r="W80" s="95">
        <f>V80/24</f>
        <v>3954.1666666666665</v>
      </c>
      <c r="X80" s="128"/>
      <c r="Y80" s="95">
        <v>349900</v>
      </c>
      <c r="Z80" s="95">
        <v>18500</v>
      </c>
      <c r="AA80" s="95">
        <f>IFERROR(IF(D80="Premium",0.4*Y80,0),"No Disp")</f>
        <v>0</v>
      </c>
      <c r="AB80" s="95">
        <f>IFERROR(IF(4*Y80&gt;AC80,1.5*Y80,4*Y80),"No Disp")</f>
        <v>524850</v>
      </c>
      <c r="AC80" s="95">
        <f>IF(Z80="No Disp","No Disp",(Z80*18)+Y80)</f>
        <v>682900</v>
      </c>
      <c r="AD80" s="95">
        <f>18*Z80-100+Y80</f>
        <v>682800</v>
      </c>
      <c r="AE80" s="95">
        <v>349900</v>
      </c>
      <c r="AF80" s="95">
        <v>18500</v>
      </c>
      <c r="AG80" s="95">
        <f>IF(AF80="No Disp","No Disp",(AF80*18)+AE80)</f>
        <v>682900</v>
      </c>
      <c r="AH80" s="95">
        <f>18*AF80-100+AE80</f>
        <v>682800</v>
      </c>
      <c r="AI80" s="95" t="s">
        <v>4613</v>
      </c>
      <c r="AJ80" s="99"/>
      <c r="AK80" s="100" t="s">
        <v>43</v>
      </c>
      <c r="AL80" s="100" t="s">
        <v>43</v>
      </c>
      <c r="AM80" s="100" t="str">
        <f>IF(AL80&lt;&gt;"No Disp",AK80+12*AL80,"No Disp")</f>
        <v>No Disp</v>
      </c>
      <c r="AN80" s="100" t="s">
        <v>43</v>
      </c>
      <c r="AO80" s="100" t="s">
        <v>43</v>
      </c>
      <c r="AP80" s="100" t="str">
        <f>IF(AO80&lt;&gt;"No Disp",AN80+12*AO80,"No Disp")</f>
        <v>No Disp</v>
      </c>
      <c r="AQ80" s="100" t="s">
        <v>43</v>
      </c>
      <c r="AR80" s="100" t="s">
        <v>43</v>
      </c>
      <c r="AS80" s="100" t="str">
        <f>IF(AR80&lt;&gt;"No Disp",AQ80+12*AR80,"No Disp")</f>
        <v>No Disp</v>
      </c>
    </row>
    <row r="81" spans="1:45" s="101" customFormat="1" x14ac:dyDescent="0.25">
      <c r="A81" s="90" t="s">
        <v>102</v>
      </c>
      <c r="B81" s="90" t="s">
        <v>39</v>
      </c>
      <c r="C81" s="90" t="s">
        <v>40</v>
      </c>
      <c r="D81" s="90" t="s">
        <v>4539</v>
      </c>
      <c r="E81" s="90" t="s">
        <v>4542</v>
      </c>
      <c r="F81" s="91">
        <v>2</v>
      </c>
      <c r="G81" s="92">
        <v>70007716</v>
      </c>
      <c r="H81" s="91">
        <v>70007715</v>
      </c>
      <c r="I81" s="93" t="s">
        <v>46</v>
      </c>
      <c r="J81" s="94" t="s">
        <v>3461</v>
      </c>
      <c r="K81" s="94" t="s">
        <v>994</v>
      </c>
      <c r="L81" s="94" t="s">
        <v>3462</v>
      </c>
      <c r="M81" s="95">
        <v>199900</v>
      </c>
      <c r="N81" s="95">
        <v>2500</v>
      </c>
      <c r="O81" s="95">
        <v>4000</v>
      </c>
      <c r="P81" s="96">
        <v>0</v>
      </c>
      <c r="Q81" s="152"/>
      <c r="R81" s="95">
        <v>199900</v>
      </c>
      <c r="S81" s="95">
        <f>R81/24</f>
        <v>8329.1666666666661</v>
      </c>
      <c r="T81" s="95">
        <v>199900</v>
      </c>
      <c r="U81" s="95">
        <f>T81/24</f>
        <v>8329.1666666666661</v>
      </c>
      <c r="V81" s="95">
        <v>199900</v>
      </c>
      <c r="W81" s="95">
        <f>V81/24</f>
        <v>8329.1666666666661</v>
      </c>
      <c r="X81" s="128"/>
      <c r="Y81" s="95">
        <v>9900</v>
      </c>
      <c r="Z81" s="95">
        <v>12000</v>
      </c>
      <c r="AA81" s="95">
        <f>IFERROR(IF(D81="Premium",0.4*Y81,0),"No Disp")</f>
        <v>0</v>
      </c>
      <c r="AB81" s="95">
        <f>IFERROR(IF(4*Y81&gt;AC81,1.5*Y81,4*Y81),"No Disp")</f>
        <v>39600</v>
      </c>
      <c r="AC81" s="95">
        <f>IF(Z81="No Disp","No Disp",(Z81*18)+Y81)</f>
        <v>225900</v>
      </c>
      <c r="AD81" s="95">
        <f>18*Z81-100+Y81</f>
        <v>225800</v>
      </c>
      <c r="AE81" s="95">
        <v>9900</v>
      </c>
      <c r="AF81" s="95">
        <v>12000</v>
      </c>
      <c r="AG81" s="95">
        <f>IF(AF81="No Disp","No Disp",(AF81*18)+AE81)</f>
        <v>225900</v>
      </c>
      <c r="AH81" s="95">
        <f>18*AF81-100+AE81</f>
        <v>225800</v>
      </c>
      <c r="AI81" s="95" t="s">
        <v>4613</v>
      </c>
      <c r="AJ81" s="99"/>
      <c r="AK81" s="100" t="s">
        <v>43</v>
      </c>
      <c r="AL81" s="100" t="s">
        <v>43</v>
      </c>
      <c r="AM81" s="100" t="str">
        <f>IF(AL81&lt;&gt;"No Disp",AK81+12*AL81,"No Disp")</f>
        <v>No Disp</v>
      </c>
      <c r="AN81" s="100" t="s">
        <v>43</v>
      </c>
      <c r="AO81" s="100" t="s">
        <v>43</v>
      </c>
      <c r="AP81" s="100" t="str">
        <f>IF(AO81&lt;&gt;"No Disp",AN81+12*AO81,"No Disp")</f>
        <v>No Disp</v>
      </c>
      <c r="AQ81" s="100" t="s">
        <v>43</v>
      </c>
      <c r="AR81" s="100" t="s">
        <v>43</v>
      </c>
      <c r="AS81" s="100" t="str">
        <f>IF(AR81&lt;&gt;"No Disp",AQ81+12*AR81,"No Disp")</f>
        <v>No Disp</v>
      </c>
    </row>
    <row r="82" spans="1:45" s="101" customFormat="1" x14ac:dyDescent="0.25">
      <c r="A82" s="90" t="s">
        <v>102</v>
      </c>
      <c r="B82" s="90" t="s">
        <v>40</v>
      </c>
      <c r="C82" s="90" t="s">
        <v>39</v>
      </c>
      <c r="D82" s="90" t="s">
        <v>4540</v>
      </c>
      <c r="E82" s="90" t="s">
        <v>4542</v>
      </c>
      <c r="F82" s="91">
        <v>3</v>
      </c>
      <c r="G82" s="92">
        <v>70007791</v>
      </c>
      <c r="H82" s="91">
        <v>70007790</v>
      </c>
      <c r="I82" s="93" t="s">
        <v>63</v>
      </c>
      <c r="J82" s="94" t="s">
        <v>932</v>
      </c>
      <c r="K82" s="94" t="s">
        <v>993</v>
      </c>
      <c r="L82" s="94" t="s">
        <v>3463</v>
      </c>
      <c r="M82" s="95">
        <v>399900</v>
      </c>
      <c r="N82" s="95">
        <v>6000</v>
      </c>
      <c r="O82" s="95">
        <v>8500</v>
      </c>
      <c r="P82" s="96">
        <v>0</v>
      </c>
      <c r="Q82" s="152"/>
      <c r="R82" s="95">
        <v>399900</v>
      </c>
      <c r="S82" s="95">
        <f>R82/24</f>
        <v>16662.5</v>
      </c>
      <c r="T82" s="95">
        <v>399900</v>
      </c>
      <c r="U82" s="95">
        <f>T82/24</f>
        <v>16662.5</v>
      </c>
      <c r="V82" s="95">
        <v>399900</v>
      </c>
      <c r="W82" s="95">
        <f>V82/24</f>
        <v>16662.5</v>
      </c>
      <c r="X82" s="128"/>
      <c r="Y82" s="95">
        <v>349900</v>
      </c>
      <c r="Z82" s="95">
        <v>18500</v>
      </c>
      <c r="AA82" s="95">
        <f>IFERROR(IF(D82="Premium",0.4*Y82,0),"No Disp")</f>
        <v>139960</v>
      </c>
      <c r="AB82" s="95">
        <f>IFERROR(IF(4*Y82&gt;AC82,1.5*Y82,4*Y82),"No Disp")</f>
        <v>524850</v>
      </c>
      <c r="AC82" s="95">
        <f>IF(Z82="No Disp","No Disp",(Z82*18)+Y82)</f>
        <v>682900</v>
      </c>
      <c r="AD82" s="95">
        <f>18*Z82-100+Y82</f>
        <v>682800</v>
      </c>
      <c r="AE82" s="95">
        <v>69900</v>
      </c>
      <c r="AF82" s="95">
        <v>29000</v>
      </c>
      <c r="AG82" s="95">
        <f>IF(AF82="No Disp","No Disp",(AF82*18)+AE82)</f>
        <v>591900</v>
      </c>
      <c r="AH82" s="95">
        <f>18*AF82-100+AE82</f>
        <v>591800</v>
      </c>
      <c r="AI82" s="95" t="s">
        <v>4613</v>
      </c>
      <c r="AJ82" s="99"/>
      <c r="AK82" s="100" t="s">
        <v>43</v>
      </c>
      <c r="AL82" s="100" t="s">
        <v>43</v>
      </c>
      <c r="AM82" s="100" t="str">
        <f>IF(AL82&lt;&gt;"No Disp",AK82+12*AL82,"No Disp")</f>
        <v>No Disp</v>
      </c>
      <c r="AN82" s="100" t="s">
        <v>43</v>
      </c>
      <c r="AO82" s="100" t="s">
        <v>43</v>
      </c>
      <c r="AP82" s="100" t="str">
        <f>IF(AO82&lt;&gt;"No Disp",AN82+12*AO82,"No Disp")</f>
        <v>No Disp</v>
      </c>
      <c r="AQ82" s="100" t="s">
        <v>43</v>
      </c>
      <c r="AR82" s="100" t="s">
        <v>43</v>
      </c>
      <c r="AS82" s="100" t="str">
        <f>IF(AR82&lt;&gt;"No Disp",AQ82+12*AR82,"No Disp")</f>
        <v>No Disp</v>
      </c>
    </row>
    <row r="83" spans="1:45" s="101" customFormat="1" x14ac:dyDescent="0.25">
      <c r="A83" s="90" t="s">
        <v>102</v>
      </c>
      <c r="B83" s="90" t="s">
        <v>40</v>
      </c>
      <c r="C83" s="90" t="s">
        <v>39</v>
      </c>
      <c r="D83" s="90" t="s">
        <v>4540</v>
      </c>
      <c r="E83" s="90" t="s">
        <v>4542</v>
      </c>
      <c r="F83" s="91">
        <v>4</v>
      </c>
      <c r="G83" s="92">
        <v>70007794</v>
      </c>
      <c r="H83" s="91">
        <v>70007793</v>
      </c>
      <c r="I83" s="93" t="s">
        <v>63</v>
      </c>
      <c r="J83" s="94" t="s">
        <v>932</v>
      </c>
      <c r="K83" s="94" t="s">
        <v>992</v>
      </c>
      <c r="L83" s="94" t="s">
        <v>3464</v>
      </c>
      <c r="M83" s="95">
        <v>399900</v>
      </c>
      <c r="N83" s="95">
        <v>6000</v>
      </c>
      <c r="O83" s="95">
        <v>8500</v>
      </c>
      <c r="P83" s="96">
        <v>0</v>
      </c>
      <c r="Q83" s="152"/>
      <c r="R83" s="95">
        <v>399900</v>
      </c>
      <c r="S83" s="95">
        <f>R83/24</f>
        <v>16662.5</v>
      </c>
      <c r="T83" s="95">
        <v>399900</v>
      </c>
      <c r="U83" s="95">
        <f>T83/24</f>
        <v>16662.5</v>
      </c>
      <c r="V83" s="95">
        <v>399900</v>
      </c>
      <c r="W83" s="95">
        <f>V83/24</f>
        <v>16662.5</v>
      </c>
      <c r="X83" s="128"/>
      <c r="Y83" s="95">
        <v>349900</v>
      </c>
      <c r="Z83" s="95">
        <v>18500</v>
      </c>
      <c r="AA83" s="95">
        <f>IFERROR(IF(D83="Premium",0.4*Y83,0),"No Disp")</f>
        <v>139960</v>
      </c>
      <c r="AB83" s="95">
        <f>IFERROR(IF(4*Y83&gt;AC83,1.5*Y83,4*Y83),"No Disp")</f>
        <v>524850</v>
      </c>
      <c r="AC83" s="95">
        <f>IF(Z83="No Disp","No Disp",(Z83*18)+Y83)</f>
        <v>682900</v>
      </c>
      <c r="AD83" s="95">
        <f>18*Z83-100+Y83</f>
        <v>682800</v>
      </c>
      <c r="AE83" s="95">
        <v>69900</v>
      </c>
      <c r="AF83" s="95">
        <v>29000</v>
      </c>
      <c r="AG83" s="95">
        <f>IF(AF83="No Disp","No Disp",(AF83*18)+AE83)</f>
        <v>591900</v>
      </c>
      <c r="AH83" s="95">
        <f>18*AF83-100+AE83</f>
        <v>591800</v>
      </c>
      <c r="AI83" s="95" t="s">
        <v>4613</v>
      </c>
      <c r="AJ83" s="99"/>
      <c r="AK83" s="100" t="s">
        <v>43</v>
      </c>
      <c r="AL83" s="100" t="s">
        <v>43</v>
      </c>
      <c r="AM83" s="100" t="str">
        <f>IF(AL83&lt;&gt;"No Disp",AK83+12*AL83,"No Disp")</f>
        <v>No Disp</v>
      </c>
      <c r="AN83" s="100" t="s">
        <v>43</v>
      </c>
      <c r="AO83" s="100" t="s">
        <v>43</v>
      </c>
      <c r="AP83" s="100" t="str">
        <f>IF(AO83&lt;&gt;"No Disp",AN83+12*AO83,"No Disp")</f>
        <v>No Disp</v>
      </c>
      <c r="AQ83" s="100" t="s">
        <v>43</v>
      </c>
      <c r="AR83" s="100" t="s">
        <v>43</v>
      </c>
      <c r="AS83" s="100" t="str">
        <f>IF(AR83&lt;&gt;"No Disp",AQ83+12*AR83,"No Disp")</f>
        <v>No Disp</v>
      </c>
    </row>
    <row r="84" spans="1:45" s="101" customFormat="1" x14ac:dyDescent="0.25">
      <c r="A84" s="90" t="s">
        <v>102</v>
      </c>
      <c r="B84" s="90" t="s">
        <v>39</v>
      </c>
      <c r="C84" s="90" t="s">
        <v>40</v>
      </c>
      <c r="D84" s="90" t="s">
        <v>4541</v>
      </c>
      <c r="E84" s="90" t="s">
        <v>4542</v>
      </c>
      <c r="F84" s="91">
        <v>5</v>
      </c>
      <c r="G84" s="92">
        <v>70008006</v>
      </c>
      <c r="H84" s="91">
        <v>70008007</v>
      </c>
      <c r="I84" s="93" t="s">
        <v>904</v>
      </c>
      <c r="J84" s="94" t="s">
        <v>3465</v>
      </c>
      <c r="K84" s="94" t="s">
        <v>991</v>
      </c>
      <c r="L84" s="94" t="s">
        <v>3466</v>
      </c>
      <c r="M84" s="95">
        <v>269900</v>
      </c>
      <c r="N84" s="95">
        <v>4000</v>
      </c>
      <c r="O84" s="95">
        <v>6000</v>
      </c>
      <c r="P84" s="96">
        <v>0</v>
      </c>
      <c r="Q84" s="152"/>
      <c r="R84" s="95">
        <v>269900</v>
      </c>
      <c r="S84" s="95">
        <f>R84/24</f>
        <v>11245.833333333334</v>
      </c>
      <c r="T84" s="95">
        <v>269900</v>
      </c>
      <c r="U84" s="95">
        <f>T84/24</f>
        <v>11245.833333333334</v>
      </c>
      <c r="V84" s="95">
        <v>269900</v>
      </c>
      <c r="W84" s="95">
        <f>V84/24</f>
        <v>11245.833333333334</v>
      </c>
      <c r="X84" s="128"/>
      <c r="Y84" s="95" t="s">
        <v>43</v>
      </c>
      <c r="Z84" s="95" t="s">
        <v>43</v>
      </c>
      <c r="AA84" s="95">
        <f>IFERROR(IF(D84="Premium",0.4*Y84,0),"No Disp")</f>
        <v>0</v>
      </c>
      <c r="AB84" s="95" t="str">
        <f>IFERROR(IF(4*Y84&gt;AC84,1.5*Y84,4*Y84),"No Disp")</f>
        <v>No Disp</v>
      </c>
      <c r="AC84" s="95" t="str">
        <f>IF(Z84="No Disp","No Disp",(Z84*18)+Y84)</f>
        <v>No Disp</v>
      </c>
      <c r="AD84" s="95" t="e">
        <f>18*Z84-100+Y84</f>
        <v>#VALUE!</v>
      </c>
      <c r="AE84" s="95" t="s">
        <v>43</v>
      </c>
      <c r="AF84" s="95" t="s">
        <v>43</v>
      </c>
      <c r="AG84" s="95" t="str">
        <f>IF(AF84="No Disp","No Disp",(AF84*18)+AE84)</f>
        <v>No Disp</v>
      </c>
      <c r="AH84" s="95" t="e">
        <f>18*AF84-100+AE84</f>
        <v>#VALUE!</v>
      </c>
      <c r="AI84" s="95" t="s">
        <v>4613</v>
      </c>
      <c r="AJ84" s="99"/>
      <c r="AK84" s="100" t="s">
        <v>43</v>
      </c>
      <c r="AL84" s="100" t="s">
        <v>43</v>
      </c>
      <c r="AM84" s="100" t="str">
        <f>IF(AL84&lt;&gt;"No Disp",AK84+12*AL84,"No Disp")</f>
        <v>No Disp</v>
      </c>
      <c r="AN84" s="100" t="s">
        <v>43</v>
      </c>
      <c r="AO84" s="100" t="s">
        <v>43</v>
      </c>
      <c r="AP84" s="100" t="str">
        <f>IF(AO84&lt;&gt;"No Disp",AN84+12*AO84,"No Disp")</f>
        <v>No Disp</v>
      </c>
      <c r="AQ84" s="100" t="s">
        <v>43</v>
      </c>
      <c r="AR84" s="100" t="s">
        <v>43</v>
      </c>
      <c r="AS84" s="100" t="str">
        <f>IF(AR84&lt;&gt;"No Disp",AQ84+12*AR84,"No Disp")</f>
        <v>No Disp</v>
      </c>
    </row>
    <row r="85" spans="1:45" s="101" customFormat="1" x14ac:dyDescent="0.25">
      <c r="A85" s="90" t="s">
        <v>102</v>
      </c>
      <c r="B85" s="90" t="s">
        <v>39</v>
      </c>
      <c r="C85" s="90" t="s">
        <v>40</v>
      </c>
      <c r="D85" s="90" t="s">
        <v>4541</v>
      </c>
      <c r="E85" s="90" t="s">
        <v>4542</v>
      </c>
      <c r="F85" s="91">
        <v>6</v>
      </c>
      <c r="G85" s="92">
        <v>70008113</v>
      </c>
      <c r="H85" s="91">
        <v>70008114</v>
      </c>
      <c r="I85" s="93" t="s">
        <v>46</v>
      </c>
      <c r="J85" s="94" t="s">
        <v>3467</v>
      </c>
      <c r="K85" s="94" t="s">
        <v>990</v>
      </c>
      <c r="L85" s="94" t="s">
        <v>3468</v>
      </c>
      <c r="M85" s="95">
        <v>119900</v>
      </c>
      <c r="N85" s="95">
        <v>2500</v>
      </c>
      <c r="O85" s="95">
        <v>4000</v>
      </c>
      <c r="P85" s="96">
        <v>0</v>
      </c>
      <c r="Q85" s="152"/>
      <c r="R85" s="95">
        <v>119900</v>
      </c>
      <c r="S85" s="95">
        <f>R85/24</f>
        <v>4995.833333333333</v>
      </c>
      <c r="T85" s="95">
        <v>119900</v>
      </c>
      <c r="U85" s="95">
        <f>T85/24</f>
        <v>4995.833333333333</v>
      </c>
      <c r="V85" s="95">
        <v>119900</v>
      </c>
      <c r="W85" s="95">
        <f>V85/24</f>
        <v>4995.833333333333</v>
      </c>
      <c r="X85" s="128"/>
      <c r="Y85" s="95" t="s">
        <v>43</v>
      </c>
      <c r="Z85" s="95" t="s">
        <v>43</v>
      </c>
      <c r="AA85" s="95">
        <f>IFERROR(IF(D85="Premium",0.4*Y85,0),"No Disp")</f>
        <v>0</v>
      </c>
      <c r="AB85" s="95" t="str">
        <f>IFERROR(IF(4*Y85&gt;AC85,1.5*Y85,4*Y85),"No Disp")</f>
        <v>No Disp</v>
      </c>
      <c r="AC85" s="95" t="str">
        <f>IF(Z85="No Disp","No Disp",(Z85*18)+Y85)</f>
        <v>No Disp</v>
      </c>
      <c r="AD85" s="95" t="e">
        <f>18*Z85-100+Y85</f>
        <v>#VALUE!</v>
      </c>
      <c r="AE85" s="95">
        <v>0</v>
      </c>
      <c r="AF85" s="95">
        <v>9000.0000000000018</v>
      </c>
      <c r="AG85" s="95">
        <f>IF(AF85="No Disp","No Disp",(AF85*18)+AE85)</f>
        <v>162000.00000000003</v>
      </c>
      <c r="AH85" s="95">
        <f>18*AF85-100+AE85</f>
        <v>161900.00000000003</v>
      </c>
      <c r="AI85" s="95" t="s">
        <v>4613</v>
      </c>
      <c r="AJ85" s="99"/>
      <c r="AK85" s="100" t="s">
        <v>43</v>
      </c>
      <c r="AL85" s="100" t="s">
        <v>43</v>
      </c>
      <c r="AM85" s="100" t="str">
        <f>IF(AL85&lt;&gt;"No Disp",AK85+12*AL85,"No Disp")</f>
        <v>No Disp</v>
      </c>
      <c r="AN85" s="100" t="s">
        <v>43</v>
      </c>
      <c r="AO85" s="100" t="s">
        <v>43</v>
      </c>
      <c r="AP85" s="100" t="str">
        <f>IF(AO85&lt;&gt;"No Disp",AN85+12*AO85,"No Disp")</f>
        <v>No Disp</v>
      </c>
      <c r="AQ85" s="100" t="s">
        <v>43</v>
      </c>
      <c r="AR85" s="100" t="s">
        <v>43</v>
      </c>
      <c r="AS85" s="100" t="str">
        <f>IF(AR85&lt;&gt;"No Disp",AQ85+12*AR85,"No Disp")</f>
        <v>No Disp</v>
      </c>
    </row>
    <row r="86" spans="1:45" s="101" customFormat="1" x14ac:dyDescent="0.25">
      <c r="A86" s="90" t="s">
        <v>102</v>
      </c>
      <c r="B86" s="90" t="s">
        <v>39</v>
      </c>
      <c r="C86" s="90" t="s">
        <v>40</v>
      </c>
      <c r="D86" s="90" t="s">
        <v>4539</v>
      </c>
      <c r="E86" s="90" t="s">
        <v>4542</v>
      </c>
      <c r="F86" s="91">
        <v>7</v>
      </c>
      <c r="G86" s="92">
        <v>70008116</v>
      </c>
      <c r="H86" s="91">
        <v>70008117</v>
      </c>
      <c r="I86" s="93" t="s">
        <v>46</v>
      </c>
      <c r="J86" s="94" t="s">
        <v>3469</v>
      </c>
      <c r="K86" s="94" t="s">
        <v>989</v>
      </c>
      <c r="L86" s="94" t="s">
        <v>3470</v>
      </c>
      <c r="M86" s="95">
        <v>154900</v>
      </c>
      <c r="N86" s="95">
        <v>2500</v>
      </c>
      <c r="O86" s="95">
        <v>4000</v>
      </c>
      <c r="P86" s="96">
        <v>0</v>
      </c>
      <c r="Q86" s="152"/>
      <c r="R86" s="95">
        <v>154900</v>
      </c>
      <c r="S86" s="95">
        <f>R86/24</f>
        <v>6454.166666666667</v>
      </c>
      <c r="T86" s="95">
        <v>154900</v>
      </c>
      <c r="U86" s="95">
        <f>T86/24</f>
        <v>6454.166666666667</v>
      </c>
      <c r="V86" s="95">
        <v>154900</v>
      </c>
      <c r="W86" s="95">
        <f>V86/24</f>
        <v>6454.166666666667</v>
      </c>
      <c r="X86" s="128"/>
      <c r="Y86" s="95" t="s">
        <v>43</v>
      </c>
      <c r="Z86" s="95" t="s">
        <v>43</v>
      </c>
      <c r="AA86" s="95">
        <f>IFERROR(IF(D86="Premium",0.4*Y86,0),"No Disp")</f>
        <v>0</v>
      </c>
      <c r="AB86" s="95" t="str">
        <f>IFERROR(IF(4*Y86&gt;AC86,1.5*Y86,4*Y86),"No Disp")</f>
        <v>No Disp</v>
      </c>
      <c r="AC86" s="95" t="str">
        <f>IF(Z86="No Disp","No Disp",(Z86*18)+Y86)</f>
        <v>No Disp</v>
      </c>
      <c r="AD86" s="95" t="e">
        <f>18*Z86-100+Y86</f>
        <v>#VALUE!</v>
      </c>
      <c r="AE86" s="95">
        <v>0</v>
      </c>
      <c r="AF86" s="95">
        <v>9000</v>
      </c>
      <c r="AG86" s="95">
        <f>IF(AF86="No Disp","No Disp",(AF86*18)+AE86)</f>
        <v>162000</v>
      </c>
      <c r="AH86" s="95">
        <f>18*AF86-100+AE86</f>
        <v>161900</v>
      </c>
      <c r="AI86" s="95" t="s">
        <v>4613</v>
      </c>
      <c r="AJ86" s="99"/>
      <c r="AK86" s="100" t="s">
        <v>43</v>
      </c>
      <c r="AL86" s="100" t="s">
        <v>43</v>
      </c>
      <c r="AM86" s="100" t="str">
        <f>IF(AL86&lt;&gt;"No Disp",AK86+12*AL86,"No Disp")</f>
        <v>No Disp</v>
      </c>
      <c r="AN86" s="100" t="s">
        <v>43</v>
      </c>
      <c r="AO86" s="100" t="s">
        <v>43</v>
      </c>
      <c r="AP86" s="100" t="str">
        <f>IF(AO86&lt;&gt;"No Disp",AN86+12*AO86,"No Disp")</f>
        <v>No Disp</v>
      </c>
      <c r="AQ86" s="100" t="s">
        <v>43</v>
      </c>
      <c r="AR86" s="100" t="s">
        <v>43</v>
      </c>
      <c r="AS86" s="100" t="str">
        <f>IF(AR86&lt;&gt;"No Disp",AQ86+12*AR86,"No Disp")</f>
        <v>No Disp</v>
      </c>
    </row>
    <row r="87" spans="1:45" s="101" customFormat="1" x14ac:dyDescent="0.25">
      <c r="A87" s="90" t="s">
        <v>102</v>
      </c>
      <c r="B87" s="90" t="s">
        <v>39</v>
      </c>
      <c r="C87" s="90" t="s">
        <v>40</v>
      </c>
      <c r="D87" s="90" t="s">
        <v>4539</v>
      </c>
      <c r="E87" s="90" t="s">
        <v>4542</v>
      </c>
      <c r="F87" s="91">
        <v>8</v>
      </c>
      <c r="G87" s="92">
        <v>70008199</v>
      </c>
      <c r="H87" s="91">
        <v>70008200</v>
      </c>
      <c r="I87" s="93" t="s">
        <v>46</v>
      </c>
      <c r="J87" s="94" t="s">
        <v>987</v>
      </c>
      <c r="K87" s="94" t="s">
        <v>988</v>
      </c>
      <c r="L87" s="94" t="s">
        <v>3471</v>
      </c>
      <c r="M87" s="95">
        <v>199900</v>
      </c>
      <c r="N87" s="95">
        <v>2500</v>
      </c>
      <c r="O87" s="95">
        <v>4000</v>
      </c>
      <c r="P87" s="96">
        <v>0</v>
      </c>
      <c r="Q87" s="152"/>
      <c r="R87" s="95">
        <v>199900</v>
      </c>
      <c r="S87" s="95">
        <f>R87/24</f>
        <v>8329.1666666666661</v>
      </c>
      <c r="T87" s="95">
        <v>199900</v>
      </c>
      <c r="U87" s="95">
        <f>T87/24</f>
        <v>8329.1666666666661</v>
      </c>
      <c r="V87" s="95">
        <v>199900</v>
      </c>
      <c r="W87" s="95">
        <f>V87/24</f>
        <v>8329.1666666666661</v>
      </c>
      <c r="X87" s="128"/>
      <c r="Y87" s="95" t="s">
        <v>43</v>
      </c>
      <c r="Z87" s="95" t="s">
        <v>43</v>
      </c>
      <c r="AA87" s="95">
        <f>IFERROR(IF(D87="Premium",0.4*Y87,0),"No Disp")</f>
        <v>0</v>
      </c>
      <c r="AB87" s="95" t="str">
        <f>IFERROR(IF(4*Y87&gt;AC87,1.5*Y87,4*Y87),"No Disp")</f>
        <v>No Disp</v>
      </c>
      <c r="AC87" s="95" t="str">
        <f>IF(Z87="No Disp","No Disp",(Z87*18)+Y87)</f>
        <v>No Disp</v>
      </c>
      <c r="AD87" s="95" t="e">
        <f>18*Z87-100+Y87</f>
        <v>#VALUE!</v>
      </c>
      <c r="AE87" s="95">
        <v>0</v>
      </c>
      <c r="AF87" s="95">
        <v>9000</v>
      </c>
      <c r="AG87" s="95">
        <f>IF(AF87="No Disp","No Disp",(AF87*18)+AE87)</f>
        <v>162000</v>
      </c>
      <c r="AH87" s="95">
        <f>18*AF87-100+AE87</f>
        <v>161900</v>
      </c>
      <c r="AI87" s="95" t="s">
        <v>4613</v>
      </c>
      <c r="AJ87" s="99"/>
      <c r="AK87" s="100" t="s">
        <v>43</v>
      </c>
      <c r="AL87" s="100" t="s">
        <v>43</v>
      </c>
      <c r="AM87" s="100" t="str">
        <f>IF(AL87&lt;&gt;"No Disp",AK87+12*AL87,"No Disp")</f>
        <v>No Disp</v>
      </c>
      <c r="AN87" s="100" t="s">
        <v>43</v>
      </c>
      <c r="AO87" s="100" t="s">
        <v>43</v>
      </c>
      <c r="AP87" s="100" t="str">
        <f>IF(AO87&lt;&gt;"No Disp",AN87+12*AO87,"No Disp")</f>
        <v>No Disp</v>
      </c>
      <c r="AQ87" s="100" t="s">
        <v>43</v>
      </c>
      <c r="AR87" s="100" t="s">
        <v>43</v>
      </c>
      <c r="AS87" s="100" t="str">
        <f>IF(AR87&lt;&gt;"No Disp",AQ87+12*AR87,"No Disp")</f>
        <v>No Disp</v>
      </c>
    </row>
    <row r="88" spans="1:45" s="101" customFormat="1" x14ac:dyDescent="0.25">
      <c r="A88" s="90" t="s">
        <v>102</v>
      </c>
      <c r="B88" s="90" t="s">
        <v>39</v>
      </c>
      <c r="C88" s="90" t="s">
        <v>40</v>
      </c>
      <c r="D88" s="90" t="s">
        <v>4541</v>
      </c>
      <c r="E88" s="90" t="s">
        <v>4542</v>
      </c>
      <c r="F88" s="91">
        <v>9</v>
      </c>
      <c r="G88" s="92">
        <v>70008236</v>
      </c>
      <c r="H88" s="91">
        <v>70008237</v>
      </c>
      <c r="I88" s="93" t="s">
        <v>131</v>
      </c>
      <c r="J88" s="94" t="s">
        <v>3472</v>
      </c>
      <c r="K88" s="94" t="s">
        <v>986</v>
      </c>
      <c r="L88" s="94" t="s">
        <v>3473</v>
      </c>
      <c r="M88" s="95">
        <v>169900</v>
      </c>
      <c r="N88" s="95">
        <v>2500</v>
      </c>
      <c r="O88" s="95">
        <v>4000</v>
      </c>
      <c r="P88" s="96">
        <v>0</v>
      </c>
      <c r="Q88" s="152"/>
      <c r="R88" s="95">
        <v>169900</v>
      </c>
      <c r="S88" s="95">
        <f>R88/24</f>
        <v>7079.166666666667</v>
      </c>
      <c r="T88" s="95">
        <v>169900</v>
      </c>
      <c r="U88" s="95">
        <f>T88/24</f>
        <v>7079.166666666667</v>
      </c>
      <c r="V88" s="95">
        <v>169900</v>
      </c>
      <c r="W88" s="95">
        <f>V88/24</f>
        <v>7079.166666666667</v>
      </c>
      <c r="X88" s="128"/>
      <c r="Y88" s="95">
        <v>74900</v>
      </c>
      <c r="Z88" s="95">
        <v>6500</v>
      </c>
      <c r="AA88" s="95">
        <f>IFERROR(IF(D88="Premium",0.4*Y88,0),"No Disp")</f>
        <v>0</v>
      </c>
      <c r="AB88" s="95">
        <f>IFERROR(IF(4*Y88&gt;AC88,1.5*Y88,4*Y88),"No Disp")</f>
        <v>112350</v>
      </c>
      <c r="AC88" s="95">
        <f>IF(Z88="No Disp","No Disp",(Z88*18)+Y88)</f>
        <v>191900</v>
      </c>
      <c r="AD88" s="95">
        <f>18*Z88-100+Y88</f>
        <v>191800</v>
      </c>
      <c r="AE88" s="95">
        <v>0</v>
      </c>
      <c r="AF88" s="95">
        <v>9500</v>
      </c>
      <c r="AG88" s="95">
        <f>IF(AF88="No Disp","No Disp",(AF88*18)+AE88)</f>
        <v>171000</v>
      </c>
      <c r="AH88" s="95">
        <f>18*AF88-100+AE88</f>
        <v>170900</v>
      </c>
      <c r="AI88" s="95" t="s">
        <v>4613</v>
      </c>
      <c r="AJ88" s="99"/>
      <c r="AK88" s="100" t="s">
        <v>43</v>
      </c>
      <c r="AL88" s="100" t="s">
        <v>43</v>
      </c>
      <c r="AM88" s="100" t="str">
        <f>IF(AL88&lt;&gt;"No Disp",AK88+12*AL88,"No Disp")</f>
        <v>No Disp</v>
      </c>
      <c r="AN88" s="100" t="s">
        <v>43</v>
      </c>
      <c r="AO88" s="100" t="s">
        <v>43</v>
      </c>
      <c r="AP88" s="100" t="str">
        <f>IF(AO88&lt;&gt;"No Disp",AN88+12*AO88,"No Disp")</f>
        <v>No Disp</v>
      </c>
      <c r="AQ88" s="100" t="s">
        <v>43</v>
      </c>
      <c r="AR88" s="100" t="s">
        <v>43</v>
      </c>
      <c r="AS88" s="100" t="str">
        <f>IF(AR88&lt;&gt;"No Disp",AQ88+12*AR88,"No Disp")</f>
        <v>No Disp</v>
      </c>
    </row>
    <row r="89" spans="1:45" s="101" customFormat="1" x14ac:dyDescent="0.25">
      <c r="A89" s="90" t="s">
        <v>38</v>
      </c>
      <c r="B89" s="90" t="s">
        <v>40</v>
      </c>
      <c r="C89" s="90" t="s">
        <v>40</v>
      </c>
      <c r="D89" s="90" t="s">
        <v>4540</v>
      </c>
      <c r="E89" s="90" t="s">
        <v>4542</v>
      </c>
      <c r="F89" s="91">
        <v>10</v>
      </c>
      <c r="G89" s="92">
        <v>70008261</v>
      </c>
      <c r="H89" s="91">
        <v>70008262</v>
      </c>
      <c r="I89" s="93" t="s">
        <v>904</v>
      </c>
      <c r="J89" s="94" t="s">
        <v>3474</v>
      </c>
      <c r="K89" s="94" t="s">
        <v>985</v>
      </c>
      <c r="L89" s="94" t="s">
        <v>3475</v>
      </c>
      <c r="M89" s="95">
        <v>829900</v>
      </c>
      <c r="N89" s="95">
        <v>6000</v>
      </c>
      <c r="O89" s="95">
        <v>8500</v>
      </c>
      <c r="P89" s="96">
        <v>0</v>
      </c>
      <c r="Q89" s="152"/>
      <c r="R89" s="95">
        <v>829900</v>
      </c>
      <c r="S89" s="95">
        <f>R89/24</f>
        <v>34579.166666666664</v>
      </c>
      <c r="T89" s="95">
        <v>829900</v>
      </c>
      <c r="U89" s="95">
        <f>T89/24</f>
        <v>34579.166666666664</v>
      </c>
      <c r="V89" s="95">
        <v>829900</v>
      </c>
      <c r="W89" s="95">
        <f>V89/24</f>
        <v>34579.166666666664</v>
      </c>
      <c r="X89" s="128"/>
      <c r="Y89" s="95" t="s">
        <v>43</v>
      </c>
      <c r="Z89" s="95" t="s">
        <v>43</v>
      </c>
      <c r="AA89" s="95" t="str">
        <f>IFERROR(IF(D89="Premium",0.4*Y89,0),"No Disp")</f>
        <v>No Disp</v>
      </c>
      <c r="AB89" s="95" t="str">
        <f>IFERROR(IF(4*Y89&gt;AC89,1.5*Y89,4*Y89),"No Disp")</f>
        <v>No Disp</v>
      </c>
      <c r="AC89" s="95" t="str">
        <f>IF(Z89="No Disp","No Disp",(Z89*18)+Y89)</f>
        <v>No Disp</v>
      </c>
      <c r="AD89" s="95" t="e">
        <f>18*Z89-100+Y89</f>
        <v>#VALUE!</v>
      </c>
      <c r="AE89" s="95" t="s">
        <v>43</v>
      </c>
      <c r="AF89" s="95" t="s">
        <v>43</v>
      </c>
      <c r="AG89" s="95" t="str">
        <f>IF(AF89="No Disp","No Disp",(AF89*18)+AE89)</f>
        <v>No Disp</v>
      </c>
      <c r="AH89" s="95" t="e">
        <f>18*AF89-100+AE89</f>
        <v>#VALUE!</v>
      </c>
      <c r="AI89" s="95" t="s">
        <v>4613</v>
      </c>
      <c r="AJ89" s="99"/>
      <c r="AK89" s="100" t="s">
        <v>43</v>
      </c>
      <c r="AL89" s="100" t="s">
        <v>43</v>
      </c>
      <c r="AM89" s="100" t="str">
        <f>IF(AL89&lt;&gt;"No Disp",AK89+12*AL89,"No Disp")</f>
        <v>No Disp</v>
      </c>
      <c r="AN89" s="100" t="s">
        <v>43</v>
      </c>
      <c r="AO89" s="100" t="s">
        <v>43</v>
      </c>
      <c r="AP89" s="100" t="str">
        <f>IF(AO89&lt;&gt;"No Disp",AN89+12*AO89,"No Disp")</f>
        <v>No Disp</v>
      </c>
      <c r="AQ89" s="100" t="s">
        <v>43</v>
      </c>
      <c r="AR89" s="100" t="s">
        <v>43</v>
      </c>
      <c r="AS89" s="100" t="str">
        <f>IF(AR89&lt;&gt;"No Disp",AQ89+12*AR89,"No Disp")</f>
        <v>No Disp</v>
      </c>
    </row>
    <row r="90" spans="1:45" s="101" customFormat="1" x14ac:dyDescent="0.25">
      <c r="A90" s="90" t="s">
        <v>102</v>
      </c>
      <c r="B90" s="90" t="s">
        <v>39</v>
      </c>
      <c r="C90" s="90" t="s">
        <v>40</v>
      </c>
      <c r="D90" s="90" t="s">
        <v>4541</v>
      </c>
      <c r="E90" s="90" t="s">
        <v>4542</v>
      </c>
      <c r="F90" s="91">
        <v>11</v>
      </c>
      <c r="G90" s="92">
        <v>70008397</v>
      </c>
      <c r="H90" s="91">
        <v>70008398</v>
      </c>
      <c r="I90" s="93" t="s">
        <v>904</v>
      </c>
      <c r="J90" s="94" t="s">
        <v>3476</v>
      </c>
      <c r="K90" s="94" t="s">
        <v>3477</v>
      </c>
      <c r="L90" s="94" t="s">
        <v>3478</v>
      </c>
      <c r="M90" s="95">
        <v>109900</v>
      </c>
      <c r="N90" s="95">
        <v>2500</v>
      </c>
      <c r="O90" s="95">
        <v>4000</v>
      </c>
      <c r="P90" s="96">
        <v>0</v>
      </c>
      <c r="Q90" s="152"/>
      <c r="R90" s="95">
        <v>109900</v>
      </c>
      <c r="S90" s="95">
        <f>R90/24</f>
        <v>4579.166666666667</v>
      </c>
      <c r="T90" s="95">
        <v>109900</v>
      </c>
      <c r="U90" s="95">
        <f>T90/24</f>
        <v>4579.166666666667</v>
      </c>
      <c r="V90" s="95">
        <v>109900</v>
      </c>
      <c r="W90" s="95">
        <f>V90/24</f>
        <v>4579.166666666667</v>
      </c>
      <c r="X90" s="128"/>
      <c r="Y90" s="95">
        <v>49900</v>
      </c>
      <c r="Z90" s="95">
        <v>4500</v>
      </c>
      <c r="AA90" s="95">
        <f>IFERROR(IF(D90="Premium",0.4*Y90,0),"No Disp")</f>
        <v>0</v>
      </c>
      <c r="AB90" s="95">
        <f>IFERROR(IF(4*Y90&gt;AC90,1.5*Y90,4*Y90),"No Disp")</f>
        <v>74850</v>
      </c>
      <c r="AC90" s="95">
        <f>IF(Z90="No Disp","No Disp",(Z90*18)+Y90)</f>
        <v>130900</v>
      </c>
      <c r="AD90" s="95">
        <f>18*Z90-100+Y90</f>
        <v>130800</v>
      </c>
      <c r="AE90" s="95">
        <v>0</v>
      </c>
      <c r="AF90" s="95">
        <v>6500</v>
      </c>
      <c r="AG90" s="95">
        <f>IF(AF90="No Disp","No Disp",(AF90*18)+AE90)</f>
        <v>117000</v>
      </c>
      <c r="AH90" s="95">
        <f>18*AF90-100+AE90</f>
        <v>116900</v>
      </c>
      <c r="AI90" s="95" t="s">
        <v>4613</v>
      </c>
      <c r="AJ90" s="99"/>
      <c r="AK90" s="100" t="s">
        <v>43</v>
      </c>
      <c r="AL90" s="100" t="s">
        <v>43</v>
      </c>
      <c r="AM90" s="100" t="str">
        <f>IF(AL90&lt;&gt;"No Disp",AK90+12*AL90,"No Disp")</f>
        <v>No Disp</v>
      </c>
      <c r="AN90" s="100" t="s">
        <v>43</v>
      </c>
      <c r="AO90" s="100" t="s">
        <v>43</v>
      </c>
      <c r="AP90" s="100" t="str">
        <f>IF(AO90&lt;&gt;"No Disp",AN90+12*AO90,"No Disp")</f>
        <v>No Disp</v>
      </c>
      <c r="AQ90" s="100" t="s">
        <v>43</v>
      </c>
      <c r="AR90" s="100" t="s">
        <v>43</v>
      </c>
      <c r="AS90" s="100" t="str">
        <f>IF(AR90&lt;&gt;"No Disp",AQ90+12*AR90,"No Disp")</f>
        <v>No Disp</v>
      </c>
    </row>
    <row r="91" spans="1:45" s="101" customFormat="1" x14ac:dyDescent="0.25">
      <c r="A91" s="90" t="s">
        <v>102</v>
      </c>
      <c r="B91" s="90" t="s">
        <v>39</v>
      </c>
      <c r="C91" s="90" t="s">
        <v>40</v>
      </c>
      <c r="D91" s="90" t="s">
        <v>4541</v>
      </c>
      <c r="E91" s="90" t="s">
        <v>4542</v>
      </c>
      <c r="F91" s="91">
        <v>12</v>
      </c>
      <c r="G91" s="92">
        <v>70008403</v>
      </c>
      <c r="H91" s="91">
        <v>70008404</v>
      </c>
      <c r="I91" s="93" t="s">
        <v>904</v>
      </c>
      <c r="J91" s="94" t="s">
        <v>3479</v>
      </c>
      <c r="K91" s="94" t="s">
        <v>3480</v>
      </c>
      <c r="L91" s="94" t="s">
        <v>3481</v>
      </c>
      <c r="M91" s="95">
        <v>129900</v>
      </c>
      <c r="N91" s="95">
        <v>2500</v>
      </c>
      <c r="O91" s="95">
        <v>4000</v>
      </c>
      <c r="P91" s="96">
        <v>0</v>
      </c>
      <c r="Q91" s="152"/>
      <c r="R91" s="95">
        <v>129900</v>
      </c>
      <c r="S91" s="95">
        <f>R91/24</f>
        <v>5412.5</v>
      </c>
      <c r="T91" s="95">
        <v>129900</v>
      </c>
      <c r="U91" s="95">
        <f>T91/24</f>
        <v>5412.5</v>
      </c>
      <c r="V91" s="95">
        <v>129900</v>
      </c>
      <c r="W91" s="95">
        <f>V91/24</f>
        <v>5412.5</v>
      </c>
      <c r="X91" s="128"/>
      <c r="Y91" s="95">
        <v>69900</v>
      </c>
      <c r="Z91" s="95">
        <v>5500</v>
      </c>
      <c r="AA91" s="95">
        <f>IFERROR(IF(D91="Premium",0.4*Y91,0),"No Disp")</f>
        <v>0</v>
      </c>
      <c r="AB91" s="95">
        <f>IFERROR(IF(4*Y91&gt;AC91,1.5*Y91,4*Y91),"No Disp")</f>
        <v>104850</v>
      </c>
      <c r="AC91" s="95">
        <f>IF(Z91="No Disp","No Disp",(Z91*18)+Y91)</f>
        <v>168900</v>
      </c>
      <c r="AD91" s="95">
        <f>18*Z91-100+Y91</f>
        <v>168800</v>
      </c>
      <c r="AE91" s="95">
        <v>0</v>
      </c>
      <c r="AF91" s="95">
        <v>8000</v>
      </c>
      <c r="AG91" s="95">
        <f>IF(AF91="No Disp","No Disp",(AF91*18)+AE91)</f>
        <v>144000</v>
      </c>
      <c r="AH91" s="95">
        <f>18*AF91-100+AE91</f>
        <v>143900</v>
      </c>
      <c r="AI91" s="95" t="s">
        <v>4613</v>
      </c>
      <c r="AJ91" s="99"/>
      <c r="AK91" s="100" t="s">
        <v>43</v>
      </c>
      <c r="AL91" s="100" t="s">
        <v>43</v>
      </c>
      <c r="AM91" s="100" t="str">
        <f>IF(AL91&lt;&gt;"No Disp",AK91+12*AL91,"No Disp")</f>
        <v>No Disp</v>
      </c>
      <c r="AN91" s="100" t="s">
        <v>43</v>
      </c>
      <c r="AO91" s="100" t="s">
        <v>43</v>
      </c>
      <c r="AP91" s="100" t="str">
        <f>IF(AO91&lt;&gt;"No Disp",AN91+12*AO91,"No Disp")</f>
        <v>No Disp</v>
      </c>
      <c r="AQ91" s="100" t="s">
        <v>43</v>
      </c>
      <c r="AR91" s="100" t="s">
        <v>43</v>
      </c>
      <c r="AS91" s="100" t="str">
        <f>IF(AR91&lt;&gt;"No Disp",AQ91+12*AR91,"No Disp")</f>
        <v>No Disp</v>
      </c>
    </row>
    <row r="92" spans="1:45" s="101" customFormat="1" x14ac:dyDescent="0.25">
      <c r="A92" s="90" t="s">
        <v>102</v>
      </c>
      <c r="B92" s="90" t="s">
        <v>39</v>
      </c>
      <c r="C92" s="90" t="s">
        <v>40</v>
      </c>
      <c r="D92" s="90" t="s">
        <v>4541</v>
      </c>
      <c r="E92" s="90" t="s">
        <v>4542</v>
      </c>
      <c r="F92" s="91">
        <v>13</v>
      </c>
      <c r="G92" s="92">
        <v>70008406</v>
      </c>
      <c r="H92" s="91">
        <v>70008407</v>
      </c>
      <c r="I92" s="93" t="s">
        <v>904</v>
      </c>
      <c r="J92" s="94" t="s">
        <v>3479</v>
      </c>
      <c r="K92" s="94" t="s">
        <v>3482</v>
      </c>
      <c r="L92" s="94" t="s">
        <v>3483</v>
      </c>
      <c r="M92" s="95">
        <v>129900</v>
      </c>
      <c r="N92" s="95">
        <v>2500</v>
      </c>
      <c r="O92" s="95">
        <v>4000</v>
      </c>
      <c r="P92" s="96">
        <v>0</v>
      </c>
      <c r="Q92" s="152"/>
      <c r="R92" s="95">
        <v>129900</v>
      </c>
      <c r="S92" s="95">
        <f>R92/24</f>
        <v>5412.5</v>
      </c>
      <c r="T92" s="95">
        <v>129900</v>
      </c>
      <c r="U92" s="95">
        <f>T92/24</f>
        <v>5412.5</v>
      </c>
      <c r="V92" s="95">
        <v>129900</v>
      </c>
      <c r="W92" s="95">
        <f>V92/24</f>
        <v>5412.5</v>
      </c>
      <c r="X92" s="128"/>
      <c r="Y92" s="95">
        <v>69900</v>
      </c>
      <c r="Z92" s="95">
        <v>5500</v>
      </c>
      <c r="AA92" s="95">
        <f>IFERROR(IF(D92="Premium",0.4*Y92,0),"No Disp")</f>
        <v>0</v>
      </c>
      <c r="AB92" s="95">
        <f>IFERROR(IF(4*Y92&gt;AC92,1.5*Y92,4*Y92),"No Disp")</f>
        <v>104850</v>
      </c>
      <c r="AC92" s="95">
        <f>IF(Z92="No Disp","No Disp",(Z92*18)+Y92)</f>
        <v>168900</v>
      </c>
      <c r="AD92" s="95">
        <f>18*Z92-100+Y92</f>
        <v>168800</v>
      </c>
      <c r="AE92" s="95">
        <v>0</v>
      </c>
      <c r="AF92" s="95">
        <v>8000</v>
      </c>
      <c r="AG92" s="95">
        <f>IF(AF92="No Disp","No Disp",(AF92*18)+AE92)</f>
        <v>144000</v>
      </c>
      <c r="AH92" s="95">
        <f>18*AF92-100+AE92</f>
        <v>143900</v>
      </c>
      <c r="AI92" s="95" t="s">
        <v>4613</v>
      </c>
      <c r="AJ92" s="99"/>
      <c r="AK92" s="100" t="s">
        <v>43</v>
      </c>
      <c r="AL92" s="100" t="s">
        <v>43</v>
      </c>
      <c r="AM92" s="100" t="str">
        <f>IF(AL92&lt;&gt;"No Disp",AK92+12*AL92,"No Disp")</f>
        <v>No Disp</v>
      </c>
      <c r="AN92" s="100" t="s">
        <v>43</v>
      </c>
      <c r="AO92" s="100" t="s">
        <v>43</v>
      </c>
      <c r="AP92" s="100" t="str">
        <f>IF(AO92&lt;&gt;"No Disp",AN92+12*AO92,"No Disp")</f>
        <v>No Disp</v>
      </c>
      <c r="AQ92" s="100" t="s">
        <v>43</v>
      </c>
      <c r="AR92" s="100" t="s">
        <v>43</v>
      </c>
      <c r="AS92" s="100" t="str">
        <f>IF(AR92&lt;&gt;"No Disp",AQ92+12*AR92,"No Disp")</f>
        <v>No Disp</v>
      </c>
    </row>
    <row r="93" spans="1:45" s="101" customFormat="1" x14ac:dyDescent="0.25">
      <c r="A93" s="90" t="s">
        <v>102</v>
      </c>
      <c r="B93" s="90" t="s">
        <v>39</v>
      </c>
      <c r="C93" s="90" t="s">
        <v>40</v>
      </c>
      <c r="D93" s="90" t="s">
        <v>4541</v>
      </c>
      <c r="E93" s="90" t="s">
        <v>4542</v>
      </c>
      <c r="F93" s="91">
        <v>17</v>
      </c>
      <c r="G93" s="92">
        <v>70008432</v>
      </c>
      <c r="H93" s="91">
        <v>70008409</v>
      </c>
      <c r="I93" s="93" t="s">
        <v>87</v>
      </c>
      <c r="J93" s="94" t="s">
        <v>844</v>
      </c>
      <c r="K93" s="94" t="s">
        <v>982</v>
      </c>
      <c r="L93" s="94" t="s">
        <v>3484</v>
      </c>
      <c r="M93" s="95">
        <v>59900</v>
      </c>
      <c r="N93" s="95">
        <v>2500</v>
      </c>
      <c r="O93" s="95">
        <v>4000</v>
      </c>
      <c r="P93" s="96">
        <v>0</v>
      </c>
      <c r="Q93" s="152"/>
      <c r="R93" s="95">
        <v>59900</v>
      </c>
      <c r="S93" s="95">
        <f>R93/24</f>
        <v>2495.8333333333335</v>
      </c>
      <c r="T93" s="95">
        <v>59900</v>
      </c>
      <c r="U93" s="95">
        <f>T93/24</f>
        <v>2495.8333333333335</v>
      </c>
      <c r="V93" s="95">
        <v>59900</v>
      </c>
      <c r="W93" s="95">
        <f>V93/24</f>
        <v>2495.8333333333335</v>
      </c>
      <c r="X93" s="128"/>
      <c r="Y93" s="95">
        <v>29900</v>
      </c>
      <c r="Z93" s="95">
        <v>3000</v>
      </c>
      <c r="AA93" s="95">
        <f>IFERROR(IF(D93="Premium",0.4*Y93,0),"No Disp")</f>
        <v>0</v>
      </c>
      <c r="AB93" s="95">
        <f>IFERROR(IF(4*Y93&gt;AC93,1.5*Y93,4*Y93),"No Disp")</f>
        <v>44850</v>
      </c>
      <c r="AC93" s="95">
        <f>IF(Z93="No Disp","No Disp",(Z93*18)+Y93)</f>
        <v>83900</v>
      </c>
      <c r="AD93" s="95">
        <f>18*Z93-100+Y93</f>
        <v>83800</v>
      </c>
      <c r="AE93" s="95">
        <v>19900</v>
      </c>
      <c r="AF93" s="95">
        <v>3500</v>
      </c>
      <c r="AG93" s="95">
        <f>IF(AF93="No Disp","No Disp",(AF93*18)+AE93)</f>
        <v>82900</v>
      </c>
      <c r="AH93" s="95">
        <f>18*AF93-100+AE93</f>
        <v>82800</v>
      </c>
      <c r="AI93" s="95" t="s">
        <v>4613</v>
      </c>
      <c r="AJ93" s="99"/>
      <c r="AK93" s="100" t="s">
        <v>43</v>
      </c>
      <c r="AL93" s="100" t="s">
        <v>43</v>
      </c>
      <c r="AM93" s="100" t="str">
        <f>IF(AL93&lt;&gt;"No Disp",AK93+12*AL93,"No Disp")</f>
        <v>No Disp</v>
      </c>
      <c r="AN93" s="100" t="s">
        <v>43</v>
      </c>
      <c r="AO93" s="100" t="s">
        <v>43</v>
      </c>
      <c r="AP93" s="100" t="str">
        <f>IF(AO93&lt;&gt;"No Disp",AN93+12*AO93,"No Disp")</f>
        <v>No Disp</v>
      </c>
      <c r="AQ93" s="100" t="s">
        <v>43</v>
      </c>
      <c r="AR93" s="100" t="s">
        <v>43</v>
      </c>
      <c r="AS93" s="100" t="str">
        <f>IF(AR93&lt;&gt;"No Disp",AQ93+12*AR93,"No Disp")</f>
        <v>No Disp</v>
      </c>
    </row>
    <row r="94" spans="1:45" s="101" customFormat="1" x14ac:dyDescent="0.25">
      <c r="A94" s="90" t="s">
        <v>102</v>
      </c>
      <c r="B94" s="90" t="s">
        <v>39</v>
      </c>
      <c r="C94" s="90" t="s">
        <v>40</v>
      </c>
      <c r="D94" s="90" t="s">
        <v>4539</v>
      </c>
      <c r="E94" s="90" t="s">
        <v>4542</v>
      </c>
      <c r="F94" s="91">
        <v>14</v>
      </c>
      <c r="G94" s="92">
        <v>70008419</v>
      </c>
      <c r="H94" s="91">
        <v>70008420</v>
      </c>
      <c r="I94" s="93" t="s">
        <v>87</v>
      </c>
      <c r="J94" s="94" t="s">
        <v>3485</v>
      </c>
      <c r="K94" s="94" t="s">
        <v>984</v>
      </c>
      <c r="L94" s="94" t="s">
        <v>3486</v>
      </c>
      <c r="M94" s="95">
        <v>174900</v>
      </c>
      <c r="N94" s="95">
        <v>2500</v>
      </c>
      <c r="O94" s="95">
        <v>4000</v>
      </c>
      <c r="P94" s="96">
        <v>0</v>
      </c>
      <c r="Q94" s="152"/>
      <c r="R94" s="95">
        <v>174900</v>
      </c>
      <c r="S94" s="95">
        <f>R94/24</f>
        <v>7287.5</v>
      </c>
      <c r="T94" s="95">
        <v>174900</v>
      </c>
      <c r="U94" s="95">
        <f>T94/24</f>
        <v>7287.5</v>
      </c>
      <c r="V94" s="95">
        <v>174900</v>
      </c>
      <c r="W94" s="95">
        <f>V94/24</f>
        <v>7287.5</v>
      </c>
      <c r="X94" s="128"/>
      <c r="Y94" s="95">
        <v>74900</v>
      </c>
      <c r="Z94" s="95">
        <v>9000</v>
      </c>
      <c r="AA94" s="95">
        <f>IFERROR(IF(D94="Premium",0.4*Y94,0),"No Disp")</f>
        <v>0</v>
      </c>
      <c r="AB94" s="95">
        <f>IFERROR(IF(4*Y94&gt;AC94,1.5*Y94,4*Y94),"No Disp")</f>
        <v>112350</v>
      </c>
      <c r="AC94" s="95">
        <f>IF(Z94="No Disp","No Disp",(Z94*18)+Y94)</f>
        <v>236900</v>
      </c>
      <c r="AD94" s="95">
        <f>18*Z94-100+Y94</f>
        <v>236800</v>
      </c>
      <c r="AE94" s="95">
        <v>19900</v>
      </c>
      <c r="AF94" s="95">
        <v>12000</v>
      </c>
      <c r="AG94" s="95">
        <f>IF(AF94="No Disp","No Disp",(AF94*18)+AE94)</f>
        <v>235900</v>
      </c>
      <c r="AH94" s="95">
        <f>18*AF94-100+AE94</f>
        <v>235800</v>
      </c>
      <c r="AI94" s="95" t="s">
        <v>4613</v>
      </c>
      <c r="AJ94" s="99"/>
      <c r="AK94" s="100" t="s">
        <v>43</v>
      </c>
      <c r="AL94" s="100" t="s">
        <v>43</v>
      </c>
      <c r="AM94" s="100" t="str">
        <f>IF(AL94&lt;&gt;"No Disp",AK94+12*AL94,"No Disp")</f>
        <v>No Disp</v>
      </c>
      <c r="AN94" s="100" t="s">
        <v>43</v>
      </c>
      <c r="AO94" s="100" t="s">
        <v>43</v>
      </c>
      <c r="AP94" s="100" t="str">
        <f>IF(AO94&lt;&gt;"No Disp",AN94+12*AO94,"No Disp")</f>
        <v>No Disp</v>
      </c>
      <c r="AQ94" s="100" t="s">
        <v>43</v>
      </c>
      <c r="AR94" s="100" t="s">
        <v>43</v>
      </c>
      <c r="AS94" s="100" t="str">
        <f>IF(AR94&lt;&gt;"No Disp",AQ94+12*AR94,"No Disp")</f>
        <v>No Disp</v>
      </c>
    </row>
    <row r="95" spans="1:45" s="101" customFormat="1" x14ac:dyDescent="0.25">
      <c r="A95" s="90" t="s">
        <v>102</v>
      </c>
      <c r="B95" s="90" t="s">
        <v>39</v>
      </c>
      <c r="C95" s="90" t="s">
        <v>40</v>
      </c>
      <c r="D95" s="90" t="s">
        <v>4541</v>
      </c>
      <c r="E95" s="90" t="s">
        <v>4542</v>
      </c>
      <c r="F95" s="91">
        <v>15</v>
      </c>
      <c r="G95" s="92">
        <v>70008422</v>
      </c>
      <c r="H95" s="91">
        <v>70008423</v>
      </c>
      <c r="I95" s="93" t="s">
        <v>87</v>
      </c>
      <c r="J95" s="94" t="s">
        <v>978</v>
      </c>
      <c r="K95" s="94" t="s">
        <v>3487</v>
      </c>
      <c r="L95" s="94" t="s">
        <v>3488</v>
      </c>
      <c r="M95" s="95">
        <v>119900</v>
      </c>
      <c r="N95" s="95">
        <v>2500</v>
      </c>
      <c r="O95" s="95">
        <v>4000</v>
      </c>
      <c r="P95" s="96">
        <v>0</v>
      </c>
      <c r="Q95" s="152"/>
      <c r="R95" s="95">
        <v>119900</v>
      </c>
      <c r="S95" s="95">
        <f>R95/24</f>
        <v>4995.833333333333</v>
      </c>
      <c r="T95" s="95">
        <v>119900</v>
      </c>
      <c r="U95" s="95">
        <f>T95/24</f>
        <v>4995.833333333333</v>
      </c>
      <c r="V95" s="95">
        <v>119900</v>
      </c>
      <c r="W95" s="95">
        <f>V95/24</f>
        <v>4995.833333333333</v>
      </c>
      <c r="X95" s="128"/>
      <c r="Y95" s="95">
        <v>54900</v>
      </c>
      <c r="Z95" s="95">
        <v>6500</v>
      </c>
      <c r="AA95" s="95">
        <f>IFERROR(IF(D95="Premium",0.4*Y95,0),"No Disp")</f>
        <v>0</v>
      </c>
      <c r="AB95" s="95">
        <f>IFERROR(IF(4*Y95&gt;AC95,1.5*Y95,4*Y95),"No Disp")</f>
        <v>82350</v>
      </c>
      <c r="AC95" s="95">
        <f>IF(Z95="No Disp","No Disp",(Z95*18)+Y95)</f>
        <v>171900</v>
      </c>
      <c r="AD95" s="95">
        <f>18*Z95-100+Y95</f>
        <v>171800</v>
      </c>
      <c r="AE95" s="95">
        <v>19900</v>
      </c>
      <c r="AF95" s="95">
        <v>8000</v>
      </c>
      <c r="AG95" s="95">
        <f>IF(AF95="No Disp","No Disp",(AF95*18)+AE95)</f>
        <v>163900</v>
      </c>
      <c r="AH95" s="95">
        <f>18*AF95-100+AE95</f>
        <v>163800</v>
      </c>
      <c r="AI95" s="95" t="s">
        <v>4613</v>
      </c>
      <c r="AJ95" s="99"/>
      <c r="AK95" s="100" t="s">
        <v>43</v>
      </c>
      <c r="AL95" s="100" t="s">
        <v>43</v>
      </c>
      <c r="AM95" s="100" t="str">
        <f>IF(AL95&lt;&gt;"No Disp",AK95+12*AL95,"No Disp")</f>
        <v>No Disp</v>
      </c>
      <c r="AN95" s="100" t="s">
        <v>43</v>
      </c>
      <c r="AO95" s="100" t="s">
        <v>43</v>
      </c>
      <c r="AP95" s="100" t="str">
        <f>IF(AO95&lt;&gt;"No Disp",AN95+12*AO95,"No Disp")</f>
        <v>No Disp</v>
      </c>
      <c r="AQ95" s="100" t="s">
        <v>43</v>
      </c>
      <c r="AR95" s="100" t="s">
        <v>43</v>
      </c>
      <c r="AS95" s="100" t="str">
        <f>IF(AR95&lt;&gt;"No Disp",AQ95+12*AR95,"No Disp")</f>
        <v>No Disp</v>
      </c>
    </row>
    <row r="96" spans="1:45" s="101" customFormat="1" x14ac:dyDescent="0.25">
      <c r="A96" s="90" t="s">
        <v>102</v>
      </c>
      <c r="B96" s="90" t="s">
        <v>39</v>
      </c>
      <c r="C96" s="90" t="s">
        <v>40</v>
      </c>
      <c r="D96" s="90" t="s">
        <v>4541</v>
      </c>
      <c r="E96" s="90" t="s">
        <v>4542</v>
      </c>
      <c r="F96" s="91">
        <v>16</v>
      </c>
      <c r="G96" s="92">
        <v>70008429</v>
      </c>
      <c r="H96" s="91">
        <v>70008430</v>
      </c>
      <c r="I96" s="93" t="s">
        <v>87</v>
      </c>
      <c r="J96" s="94" t="s">
        <v>844</v>
      </c>
      <c r="K96" s="94" t="s">
        <v>983</v>
      </c>
      <c r="L96" s="94" t="s">
        <v>3489</v>
      </c>
      <c r="M96" s="95">
        <v>59900</v>
      </c>
      <c r="N96" s="95">
        <v>2500</v>
      </c>
      <c r="O96" s="95">
        <v>4000</v>
      </c>
      <c r="P96" s="96">
        <v>0</v>
      </c>
      <c r="Q96" s="152"/>
      <c r="R96" s="95">
        <v>59900</v>
      </c>
      <c r="S96" s="95">
        <f>R96/24</f>
        <v>2495.8333333333335</v>
      </c>
      <c r="T96" s="95">
        <v>59900</v>
      </c>
      <c r="U96" s="95">
        <f>T96/24</f>
        <v>2495.8333333333335</v>
      </c>
      <c r="V96" s="95">
        <v>59900</v>
      </c>
      <c r="W96" s="95">
        <f>V96/24</f>
        <v>2495.8333333333335</v>
      </c>
      <c r="X96" s="128"/>
      <c r="Y96" s="95">
        <v>29900</v>
      </c>
      <c r="Z96" s="95">
        <v>3000</v>
      </c>
      <c r="AA96" s="95">
        <f>IFERROR(IF(D96="Premium",0.4*Y96,0),"No Disp")</f>
        <v>0</v>
      </c>
      <c r="AB96" s="95">
        <f>IFERROR(IF(4*Y96&gt;AC96,1.5*Y96,4*Y96),"No Disp")</f>
        <v>44850</v>
      </c>
      <c r="AC96" s="95">
        <f>IF(Z96="No Disp","No Disp",(Z96*18)+Y96)</f>
        <v>83900</v>
      </c>
      <c r="AD96" s="95">
        <f>18*Z96-100+Y96</f>
        <v>83800</v>
      </c>
      <c r="AE96" s="95">
        <v>19900</v>
      </c>
      <c r="AF96" s="95">
        <v>3500</v>
      </c>
      <c r="AG96" s="95">
        <f>IF(AF96="No Disp","No Disp",(AF96*18)+AE96)</f>
        <v>82900</v>
      </c>
      <c r="AH96" s="95">
        <f>18*AF96-100+AE96</f>
        <v>82800</v>
      </c>
      <c r="AI96" s="95" t="s">
        <v>4613</v>
      </c>
      <c r="AJ96" s="99"/>
      <c r="AK96" s="100" t="s">
        <v>43</v>
      </c>
      <c r="AL96" s="100" t="s">
        <v>43</v>
      </c>
      <c r="AM96" s="100" t="str">
        <f>IF(AL96&lt;&gt;"No Disp",AK96+12*AL96,"No Disp")</f>
        <v>No Disp</v>
      </c>
      <c r="AN96" s="100" t="s">
        <v>43</v>
      </c>
      <c r="AO96" s="100" t="s">
        <v>43</v>
      </c>
      <c r="AP96" s="100" t="str">
        <f>IF(AO96&lt;&gt;"No Disp",AN96+12*AO96,"No Disp")</f>
        <v>No Disp</v>
      </c>
      <c r="AQ96" s="100" t="s">
        <v>43</v>
      </c>
      <c r="AR96" s="100" t="s">
        <v>43</v>
      </c>
      <c r="AS96" s="100" t="str">
        <f>IF(AR96&lt;&gt;"No Disp",AQ96+12*AR96,"No Disp")</f>
        <v>No Disp</v>
      </c>
    </row>
    <row r="97" spans="1:45" s="101" customFormat="1" x14ac:dyDescent="0.25">
      <c r="A97" s="90" t="s">
        <v>102</v>
      </c>
      <c r="B97" s="90" t="s">
        <v>39</v>
      </c>
      <c r="C97" s="90" t="s">
        <v>40</v>
      </c>
      <c r="D97" s="90" t="s">
        <v>4541</v>
      </c>
      <c r="E97" s="90" t="s">
        <v>4542</v>
      </c>
      <c r="F97" s="91">
        <v>18</v>
      </c>
      <c r="G97" s="92">
        <v>70008438</v>
      </c>
      <c r="H97" s="91">
        <v>70008439</v>
      </c>
      <c r="I97" s="93" t="s">
        <v>980</v>
      </c>
      <c r="J97" s="94" t="s">
        <v>3490</v>
      </c>
      <c r="K97" s="94" t="s">
        <v>981</v>
      </c>
      <c r="L97" s="94" t="s">
        <v>3491</v>
      </c>
      <c r="M97" s="95">
        <v>49900</v>
      </c>
      <c r="N97" s="95">
        <v>2500</v>
      </c>
      <c r="O97" s="95">
        <v>4000</v>
      </c>
      <c r="P97" s="96">
        <v>0</v>
      </c>
      <c r="Q97" s="152"/>
      <c r="R97" s="95">
        <v>49900</v>
      </c>
      <c r="S97" s="95">
        <f>R97/24</f>
        <v>2079.1666666666665</v>
      </c>
      <c r="T97" s="95">
        <v>49900</v>
      </c>
      <c r="U97" s="95">
        <f>T97/24</f>
        <v>2079.1666666666665</v>
      </c>
      <c r="V97" s="95">
        <v>49900</v>
      </c>
      <c r="W97" s="95">
        <f>V97/24</f>
        <v>2079.1666666666665</v>
      </c>
      <c r="X97" s="128"/>
      <c r="Y97" s="95" t="s">
        <v>43</v>
      </c>
      <c r="Z97" s="95" t="s">
        <v>43</v>
      </c>
      <c r="AA97" s="95">
        <f>IFERROR(IF(D97="Premium",0.4*Y97,0),"No Disp")</f>
        <v>0</v>
      </c>
      <c r="AB97" s="95" t="str">
        <f>IFERROR(IF(4*Y97&gt;AC97,1.5*Y97,4*Y97),"No Disp")</f>
        <v>No Disp</v>
      </c>
      <c r="AC97" s="95" t="str">
        <f>IF(Z97="No Disp","No Disp",(Z97*18)+Y97)</f>
        <v>No Disp</v>
      </c>
      <c r="AD97" s="95" t="e">
        <f>18*Z97-100+Y97</f>
        <v>#VALUE!</v>
      </c>
      <c r="AE97" s="95">
        <v>0</v>
      </c>
      <c r="AF97" s="95">
        <v>3000</v>
      </c>
      <c r="AG97" s="95">
        <f>IF(AF97="No Disp","No Disp",(AF97*18)+AE97)</f>
        <v>54000</v>
      </c>
      <c r="AH97" s="95">
        <f>18*AF97-100+AE97</f>
        <v>53900</v>
      </c>
      <c r="AI97" s="95" t="s">
        <v>4613</v>
      </c>
      <c r="AJ97" s="99"/>
      <c r="AK97" s="100" t="s">
        <v>43</v>
      </c>
      <c r="AL97" s="100" t="s">
        <v>43</v>
      </c>
      <c r="AM97" s="100" t="str">
        <f>IF(AL97&lt;&gt;"No Disp",AK97+12*AL97,"No Disp")</f>
        <v>No Disp</v>
      </c>
      <c r="AN97" s="100" t="s">
        <v>43</v>
      </c>
      <c r="AO97" s="100" t="s">
        <v>43</v>
      </c>
      <c r="AP97" s="100" t="str">
        <f>IF(AO97&lt;&gt;"No Disp",AN97+12*AO97,"No Disp")</f>
        <v>No Disp</v>
      </c>
      <c r="AQ97" s="100" t="s">
        <v>43</v>
      </c>
      <c r="AR97" s="100" t="s">
        <v>43</v>
      </c>
      <c r="AS97" s="100" t="str">
        <f>IF(AR97&lt;&gt;"No Disp",AQ97+12*AR97,"No Disp")</f>
        <v>No Disp</v>
      </c>
    </row>
    <row r="98" spans="1:45" s="101" customFormat="1" x14ac:dyDescent="0.25">
      <c r="A98" s="90" t="s">
        <v>102</v>
      </c>
      <c r="B98" s="90" t="s">
        <v>39</v>
      </c>
      <c r="C98" s="90" t="s">
        <v>40</v>
      </c>
      <c r="D98" s="90" t="s">
        <v>4539</v>
      </c>
      <c r="E98" s="90" t="s">
        <v>4542</v>
      </c>
      <c r="F98" s="91">
        <v>19</v>
      </c>
      <c r="G98" s="92">
        <v>70008441</v>
      </c>
      <c r="H98" s="91">
        <v>70008442</v>
      </c>
      <c r="I98" s="93" t="s">
        <v>131</v>
      </c>
      <c r="J98" s="94" t="s">
        <v>3492</v>
      </c>
      <c r="K98" s="94" t="s">
        <v>979</v>
      </c>
      <c r="L98" s="94" t="s">
        <v>3493</v>
      </c>
      <c r="M98" s="95">
        <v>129900</v>
      </c>
      <c r="N98" s="95">
        <v>2500</v>
      </c>
      <c r="O98" s="95">
        <v>4000</v>
      </c>
      <c r="P98" s="96">
        <v>0</v>
      </c>
      <c r="Q98" s="152"/>
      <c r="R98" s="95">
        <v>129900</v>
      </c>
      <c r="S98" s="95">
        <f>R98/24</f>
        <v>5412.5</v>
      </c>
      <c r="T98" s="95">
        <v>129900</v>
      </c>
      <c r="U98" s="95">
        <f>T98/24</f>
        <v>5412.5</v>
      </c>
      <c r="V98" s="95">
        <v>129900</v>
      </c>
      <c r="W98" s="95">
        <f>V98/24</f>
        <v>5412.5</v>
      </c>
      <c r="X98" s="128"/>
      <c r="Y98" s="95">
        <v>64900</v>
      </c>
      <c r="Z98" s="95">
        <v>4500</v>
      </c>
      <c r="AA98" s="95">
        <f>IFERROR(IF(D98="Premium",0.4*Y98,0),"No Disp")</f>
        <v>0</v>
      </c>
      <c r="AB98" s="95">
        <f>IFERROR(IF(4*Y98&gt;AC98,1.5*Y98,4*Y98),"No Disp")</f>
        <v>97350</v>
      </c>
      <c r="AC98" s="95">
        <f>IF(Z98="No Disp","No Disp",(Z98*18)+Y98)</f>
        <v>145900</v>
      </c>
      <c r="AD98" s="95">
        <f>18*Z98-100+Y98</f>
        <v>145800</v>
      </c>
      <c r="AE98" s="95">
        <v>0</v>
      </c>
      <c r="AF98" s="95">
        <v>7000</v>
      </c>
      <c r="AG98" s="95">
        <f>IF(AF98="No Disp","No Disp",(AF98*18)+AE98)</f>
        <v>126000</v>
      </c>
      <c r="AH98" s="95">
        <f>18*AF98-100+AE98</f>
        <v>125900</v>
      </c>
      <c r="AI98" s="95" t="s">
        <v>4613</v>
      </c>
      <c r="AJ98" s="99"/>
      <c r="AK98" s="100" t="s">
        <v>43</v>
      </c>
      <c r="AL98" s="100" t="s">
        <v>43</v>
      </c>
      <c r="AM98" s="100" t="str">
        <f>IF(AL98&lt;&gt;"No Disp",AK98+12*AL98,"No Disp")</f>
        <v>No Disp</v>
      </c>
      <c r="AN98" s="100" t="s">
        <v>43</v>
      </c>
      <c r="AO98" s="100" t="s">
        <v>43</v>
      </c>
      <c r="AP98" s="100" t="str">
        <f>IF(AO98&lt;&gt;"No Disp",AN98+12*AO98,"No Disp")</f>
        <v>No Disp</v>
      </c>
      <c r="AQ98" s="100" t="s">
        <v>43</v>
      </c>
      <c r="AR98" s="100" t="s">
        <v>43</v>
      </c>
      <c r="AS98" s="100" t="str">
        <f>IF(AR98&lt;&gt;"No Disp",AQ98+12*AR98,"No Disp")</f>
        <v>No Disp</v>
      </c>
    </row>
    <row r="99" spans="1:45" s="101" customFormat="1" x14ac:dyDescent="0.25">
      <c r="A99" s="90" t="s">
        <v>102</v>
      </c>
      <c r="B99" s="90" t="s">
        <v>39</v>
      </c>
      <c r="C99" s="90" t="s">
        <v>40</v>
      </c>
      <c r="D99" s="90" t="s">
        <v>4541</v>
      </c>
      <c r="E99" s="90" t="s">
        <v>4542</v>
      </c>
      <c r="F99" s="91">
        <v>20</v>
      </c>
      <c r="G99" s="92">
        <v>70008504</v>
      </c>
      <c r="H99" s="91">
        <v>70008505</v>
      </c>
      <c r="I99" s="93" t="s">
        <v>87</v>
      </c>
      <c r="J99" s="94" t="s">
        <v>978</v>
      </c>
      <c r="K99" s="94" t="s">
        <v>3494</v>
      </c>
      <c r="L99" s="94" t="s">
        <v>3495</v>
      </c>
      <c r="M99" s="95">
        <v>119900</v>
      </c>
      <c r="N99" s="95">
        <v>2500</v>
      </c>
      <c r="O99" s="95">
        <v>4000</v>
      </c>
      <c r="P99" s="96">
        <v>0</v>
      </c>
      <c r="Q99" s="152"/>
      <c r="R99" s="95">
        <v>119900</v>
      </c>
      <c r="S99" s="95">
        <f>R99/24</f>
        <v>4995.833333333333</v>
      </c>
      <c r="T99" s="95">
        <v>119900</v>
      </c>
      <c r="U99" s="95">
        <f>T99/24</f>
        <v>4995.833333333333</v>
      </c>
      <c r="V99" s="95">
        <v>119900</v>
      </c>
      <c r="W99" s="95">
        <f>V99/24</f>
        <v>4995.833333333333</v>
      </c>
      <c r="X99" s="128"/>
      <c r="Y99" s="95">
        <v>54900</v>
      </c>
      <c r="Z99" s="95">
        <v>6500</v>
      </c>
      <c r="AA99" s="95">
        <f>IFERROR(IF(D99="Premium",0.4*Y99,0),"No Disp")</f>
        <v>0</v>
      </c>
      <c r="AB99" s="95">
        <f>IFERROR(IF(4*Y99&gt;AC99,1.5*Y99,4*Y99),"No Disp")</f>
        <v>82350</v>
      </c>
      <c r="AC99" s="95">
        <f>IF(Z99="No Disp","No Disp",(Z99*18)+Y99)</f>
        <v>171900</v>
      </c>
      <c r="AD99" s="95">
        <f>18*Z99-100+Y99</f>
        <v>171800</v>
      </c>
      <c r="AE99" s="95">
        <v>19900</v>
      </c>
      <c r="AF99" s="95">
        <v>8000</v>
      </c>
      <c r="AG99" s="95">
        <f>IF(AF99="No Disp","No Disp",(AF99*18)+AE99)</f>
        <v>163900</v>
      </c>
      <c r="AH99" s="95">
        <f>18*AF99-100+AE99</f>
        <v>163800</v>
      </c>
      <c r="AI99" s="95" t="s">
        <v>4613</v>
      </c>
      <c r="AJ99" s="99"/>
      <c r="AK99" s="100" t="s">
        <v>43</v>
      </c>
      <c r="AL99" s="100" t="s">
        <v>43</v>
      </c>
      <c r="AM99" s="100" t="str">
        <f>IF(AL99&lt;&gt;"No Disp",AK99+12*AL99,"No Disp")</f>
        <v>No Disp</v>
      </c>
      <c r="AN99" s="100" t="s">
        <v>43</v>
      </c>
      <c r="AO99" s="100" t="s">
        <v>43</v>
      </c>
      <c r="AP99" s="100" t="str">
        <f>IF(AO99&lt;&gt;"No Disp",AN99+12*AO99,"No Disp")</f>
        <v>No Disp</v>
      </c>
      <c r="AQ99" s="100" t="s">
        <v>43</v>
      </c>
      <c r="AR99" s="100" t="s">
        <v>43</v>
      </c>
      <c r="AS99" s="100" t="str">
        <f>IF(AR99&lt;&gt;"No Disp",AQ99+12*AR99,"No Disp")</f>
        <v>No Disp</v>
      </c>
    </row>
    <row r="100" spans="1:45" s="101" customFormat="1" x14ac:dyDescent="0.25">
      <c r="A100" s="90" t="s">
        <v>102</v>
      </c>
      <c r="B100" s="90" t="s">
        <v>39</v>
      </c>
      <c r="C100" s="90" t="s">
        <v>40</v>
      </c>
      <c r="D100" s="90" t="s">
        <v>4541</v>
      </c>
      <c r="E100" s="90" t="s">
        <v>4542</v>
      </c>
      <c r="F100" s="91">
        <v>21</v>
      </c>
      <c r="G100" s="92">
        <v>70008506</v>
      </c>
      <c r="H100" s="91">
        <v>70008507</v>
      </c>
      <c r="I100" s="93" t="s">
        <v>87</v>
      </c>
      <c r="J100" s="94" t="s">
        <v>978</v>
      </c>
      <c r="K100" s="94" t="s">
        <v>3496</v>
      </c>
      <c r="L100" s="94" t="s">
        <v>3497</v>
      </c>
      <c r="M100" s="95">
        <v>119900</v>
      </c>
      <c r="N100" s="95">
        <v>2500</v>
      </c>
      <c r="O100" s="95">
        <v>4000</v>
      </c>
      <c r="P100" s="96">
        <v>0</v>
      </c>
      <c r="Q100" s="152"/>
      <c r="R100" s="95">
        <v>119900</v>
      </c>
      <c r="S100" s="95">
        <f>R100/24</f>
        <v>4995.833333333333</v>
      </c>
      <c r="T100" s="95">
        <v>119900</v>
      </c>
      <c r="U100" s="95">
        <f>T100/24</f>
        <v>4995.833333333333</v>
      </c>
      <c r="V100" s="95">
        <v>119900</v>
      </c>
      <c r="W100" s="95">
        <f>V100/24</f>
        <v>4995.833333333333</v>
      </c>
      <c r="X100" s="128"/>
      <c r="Y100" s="95">
        <v>54900</v>
      </c>
      <c r="Z100" s="95">
        <v>6500</v>
      </c>
      <c r="AA100" s="95">
        <f>IFERROR(IF(D100="Premium",0.4*Y100,0),"No Disp")</f>
        <v>0</v>
      </c>
      <c r="AB100" s="95">
        <f>IFERROR(IF(4*Y100&gt;AC100,1.5*Y100,4*Y100),"No Disp")</f>
        <v>82350</v>
      </c>
      <c r="AC100" s="95">
        <f>IF(Z100="No Disp","No Disp",(Z100*18)+Y100)</f>
        <v>171900</v>
      </c>
      <c r="AD100" s="95">
        <f>18*Z100-100+Y100</f>
        <v>171800</v>
      </c>
      <c r="AE100" s="95">
        <v>19900</v>
      </c>
      <c r="AF100" s="95">
        <v>8000</v>
      </c>
      <c r="AG100" s="95">
        <f>IF(AF100="No Disp","No Disp",(AF100*18)+AE100)</f>
        <v>163900</v>
      </c>
      <c r="AH100" s="95">
        <f>18*AF100-100+AE100</f>
        <v>163800</v>
      </c>
      <c r="AI100" s="95" t="s">
        <v>4613</v>
      </c>
      <c r="AJ100" s="99"/>
      <c r="AK100" s="100" t="s">
        <v>43</v>
      </c>
      <c r="AL100" s="100" t="s">
        <v>43</v>
      </c>
      <c r="AM100" s="100" t="str">
        <f>IF(AL100&lt;&gt;"No Disp",AK100+12*AL100,"No Disp")</f>
        <v>No Disp</v>
      </c>
      <c r="AN100" s="100" t="s">
        <v>43</v>
      </c>
      <c r="AO100" s="100" t="s">
        <v>43</v>
      </c>
      <c r="AP100" s="100" t="str">
        <f>IF(AO100&lt;&gt;"No Disp",AN100+12*AO100,"No Disp")</f>
        <v>No Disp</v>
      </c>
      <c r="AQ100" s="100" t="s">
        <v>43</v>
      </c>
      <c r="AR100" s="100" t="s">
        <v>43</v>
      </c>
      <c r="AS100" s="100" t="str">
        <f>IF(AR100&lt;&gt;"No Disp",AQ100+12*AR100,"No Disp")</f>
        <v>No Disp</v>
      </c>
    </row>
    <row r="101" spans="1:45" s="101" customFormat="1" x14ac:dyDescent="0.25">
      <c r="A101" s="90" t="s">
        <v>102</v>
      </c>
      <c r="B101" s="90" t="s">
        <v>39</v>
      </c>
      <c r="C101" s="90" t="s">
        <v>40</v>
      </c>
      <c r="D101" s="90" t="s">
        <v>4541</v>
      </c>
      <c r="E101" s="90" t="s">
        <v>4542</v>
      </c>
      <c r="F101" s="91">
        <v>22</v>
      </c>
      <c r="G101" s="92">
        <v>70008514</v>
      </c>
      <c r="H101" s="91">
        <v>70008515</v>
      </c>
      <c r="I101" s="93" t="s">
        <v>87</v>
      </c>
      <c r="J101" s="94" t="s">
        <v>3498</v>
      </c>
      <c r="K101" s="94" t="s">
        <v>977</v>
      </c>
      <c r="L101" s="94" t="s">
        <v>3499</v>
      </c>
      <c r="M101" s="95">
        <v>34900</v>
      </c>
      <c r="N101" s="95">
        <v>2500</v>
      </c>
      <c r="O101" s="95">
        <v>4000</v>
      </c>
      <c r="P101" s="96">
        <v>0</v>
      </c>
      <c r="Q101" s="152"/>
      <c r="R101" s="95">
        <v>34900</v>
      </c>
      <c r="S101" s="95">
        <f>R101/24</f>
        <v>1454.1666666666667</v>
      </c>
      <c r="T101" s="95">
        <v>34900</v>
      </c>
      <c r="U101" s="95">
        <f>T101/24</f>
        <v>1454.1666666666667</v>
      </c>
      <c r="V101" s="95">
        <v>34900</v>
      </c>
      <c r="W101" s="95">
        <f>V101/24</f>
        <v>1454.1666666666667</v>
      </c>
      <c r="X101" s="128"/>
      <c r="Y101" s="95">
        <v>89900</v>
      </c>
      <c r="Z101" s="95">
        <v>6000</v>
      </c>
      <c r="AA101" s="95">
        <f>IFERROR(IF(D101="Premium",0.4*Y101,0),"No Disp")</f>
        <v>0</v>
      </c>
      <c r="AB101" s="95">
        <f>IFERROR(IF(4*Y101&gt;AC101,1.5*Y101,4*Y101),"No Disp")</f>
        <v>134850</v>
      </c>
      <c r="AC101" s="95">
        <f>IF(Z101="No Disp","No Disp",(Z101*18)+Y101)</f>
        <v>197900</v>
      </c>
      <c r="AD101" s="95">
        <f>18*Z101-100+Y101</f>
        <v>197800</v>
      </c>
      <c r="AE101" s="95">
        <v>19900</v>
      </c>
      <c r="AF101" s="95">
        <v>2000</v>
      </c>
      <c r="AG101" s="95">
        <f>IF(AF101="No Disp","No Disp",(AF101*18)+AE101)</f>
        <v>55900</v>
      </c>
      <c r="AH101" s="95">
        <f>18*AF101-100+AE101</f>
        <v>55800</v>
      </c>
      <c r="AI101" s="95" t="s">
        <v>4613</v>
      </c>
      <c r="AJ101" s="99"/>
      <c r="AK101" s="100" t="s">
        <v>43</v>
      </c>
      <c r="AL101" s="100" t="s">
        <v>43</v>
      </c>
      <c r="AM101" s="100" t="str">
        <f>IF(AL101&lt;&gt;"No Disp",AK101+12*AL101,"No Disp")</f>
        <v>No Disp</v>
      </c>
      <c r="AN101" s="100" t="s">
        <v>43</v>
      </c>
      <c r="AO101" s="100" t="s">
        <v>43</v>
      </c>
      <c r="AP101" s="100" t="str">
        <f>IF(AO101&lt;&gt;"No Disp",AN101+12*AO101,"No Disp")</f>
        <v>No Disp</v>
      </c>
      <c r="AQ101" s="100" t="s">
        <v>43</v>
      </c>
      <c r="AR101" s="100" t="s">
        <v>43</v>
      </c>
      <c r="AS101" s="100" t="str">
        <f>IF(AR101&lt;&gt;"No Disp",AQ101+12*AR101,"No Disp")</f>
        <v>No Disp</v>
      </c>
    </row>
    <row r="102" spans="1:45" s="101" customFormat="1" x14ac:dyDescent="0.25">
      <c r="A102" s="90" t="s">
        <v>102</v>
      </c>
      <c r="B102" s="90" t="s">
        <v>39</v>
      </c>
      <c r="C102" s="90" t="s">
        <v>40</v>
      </c>
      <c r="D102" s="90" t="s">
        <v>4539</v>
      </c>
      <c r="E102" s="90" t="s">
        <v>4542</v>
      </c>
      <c r="F102" s="91">
        <v>23</v>
      </c>
      <c r="G102" s="92">
        <v>70008565</v>
      </c>
      <c r="H102" s="91">
        <v>70008566</v>
      </c>
      <c r="I102" s="93" t="s">
        <v>87</v>
      </c>
      <c r="J102" s="94" t="s">
        <v>3485</v>
      </c>
      <c r="K102" s="94" t="s">
        <v>976</v>
      </c>
      <c r="L102" s="94" t="s">
        <v>3500</v>
      </c>
      <c r="M102" s="95">
        <v>174900</v>
      </c>
      <c r="N102" s="95">
        <v>2500</v>
      </c>
      <c r="O102" s="95">
        <v>4000</v>
      </c>
      <c r="P102" s="96">
        <v>0</v>
      </c>
      <c r="Q102" s="152"/>
      <c r="R102" s="95">
        <v>174900</v>
      </c>
      <c r="S102" s="95">
        <f>R102/24</f>
        <v>7287.5</v>
      </c>
      <c r="T102" s="95">
        <v>174900</v>
      </c>
      <c r="U102" s="95">
        <f>T102/24</f>
        <v>7287.5</v>
      </c>
      <c r="V102" s="95">
        <v>174900</v>
      </c>
      <c r="W102" s="95">
        <f>V102/24</f>
        <v>7287.5</v>
      </c>
      <c r="X102" s="128"/>
      <c r="Y102" s="95">
        <v>74900</v>
      </c>
      <c r="Z102" s="95">
        <v>9000</v>
      </c>
      <c r="AA102" s="95">
        <f>IFERROR(IF(D102="Premium",0.4*Y102,0),"No Disp")</f>
        <v>0</v>
      </c>
      <c r="AB102" s="95">
        <f>IFERROR(IF(4*Y102&gt;AC102,1.5*Y102,4*Y102),"No Disp")</f>
        <v>112350</v>
      </c>
      <c r="AC102" s="95">
        <f>IF(Z102="No Disp","No Disp",(Z102*18)+Y102)</f>
        <v>236900</v>
      </c>
      <c r="AD102" s="95">
        <f>18*Z102-100+Y102</f>
        <v>236800</v>
      </c>
      <c r="AE102" s="95">
        <v>19900</v>
      </c>
      <c r="AF102" s="95">
        <v>12000</v>
      </c>
      <c r="AG102" s="95">
        <f>IF(AF102="No Disp","No Disp",(AF102*18)+AE102)</f>
        <v>235900</v>
      </c>
      <c r="AH102" s="95">
        <f>18*AF102-100+AE102</f>
        <v>235800</v>
      </c>
      <c r="AI102" s="95" t="s">
        <v>4613</v>
      </c>
      <c r="AJ102" s="99"/>
      <c r="AK102" s="100" t="s">
        <v>43</v>
      </c>
      <c r="AL102" s="100" t="s">
        <v>43</v>
      </c>
      <c r="AM102" s="100" t="str">
        <f>IF(AL102&lt;&gt;"No Disp",AK102+12*AL102,"No Disp")</f>
        <v>No Disp</v>
      </c>
      <c r="AN102" s="100" t="s">
        <v>43</v>
      </c>
      <c r="AO102" s="100" t="s">
        <v>43</v>
      </c>
      <c r="AP102" s="100" t="str">
        <f>IF(AO102&lt;&gt;"No Disp",AN102+12*AO102,"No Disp")</f>
        <v>No Disp</v>
      </c>
      <c r="AQ102" s="100" t="s">
        <v>43</v>
      </c>
      <c r="AR102" s="100" t="s">
        <v>43</v>
      </c>
      <c r="AS102" s="100" t="str">
        <f>IF(AR102&lt;&gt;"No Disp",AQ102+12*AR102,"No Disp")</f>
        <v>No Disp</v>
      </c>
    </row>
    <row r="103" spans="1:45" s="101" customFormat="1" x14ac:dyDescent="0.25">
      <c r="A103" s="90" t="s">
        <v>102</v>
      </c>
      <c r="B103" s="90" t="s">
        <v>39</v>
      </c>
      <c r="C103" s="90" t="s">
        <v>40</v>
      </c>
      <c r="D103" s="90" t="s">
        <v>4541</v>
      </c>
      <c r="E103" s="90" t="s">
        <v>4542</v>
      </c>
      <c r="F103" s="91">
        <v>24</v>
      </c>
      <c r="G103" s="92">
        <v>70008587</v>
      </c>
      <c r="H103" s="91">
        <v>70008588</v>
      </c>
      <c r="I103" s="93" t="s">
        <v>904</v>
      </c>
      <c r="J103" s="94" t="s">
        <v>3501</v>
      </c>
      <c r="K103" s="94" t="s">
        <v>3502</v>
      </c>
      <c r="L103" s="94" t="s">
        <v>3503</v>
      </c>
      <c r="M103" s="95">
        <v>174900</v>
      </c>
      <c r="N103" s="95">
        <v>2500</v>
      </c>
      <c r="O103" s="95">
        <v>4000</v>
      </c>
      <c r="P103" s="96">
        <v>0</v>
      </c>
      <c r="Q103" s="152"/>
      <c r="R103" s="95">
        <v>174900</v>
      </c>
      <c r="S103" s="95">
        <f>R103/24</f>
        <v>7287.5</v>
      </c>
      <c r="T103" s="95">
        <v>174900</v>
      </c>
      <c r="U103" s="95">
        <f>T103/24</f>
        <v>7287.5</v>
      </c>
      <c r="V103" s="95">
        <v>174900</v>
      </c>
      <c r="W103" s="95">
        <f>V103/24</f>
        <v>7287.5</v>
      </c>
      <c r="X103" s="128"/>
      <c r="Y103" s="95">
        <v>89900</v>
      </c>
      <c r="Z103" s="95">
        <v>7000</v>
      </c>
      <c r="AA103" s="95">
        <f>IFERROR(IF(D103="Premium",0.4*Y103,0),"No Disp")</f>
        <v>0</v>
      </c>
      <c r="AB103" s="95">
        <f>IFERROR(IF(4*Y103&gt;AC103,1.5*Y103,4*Y103),"No Disp")</f>
        <v>134850</v>
      </c>
      <c r="AC103" s="95">
        <f>IF(Z103="No Disp","No Disp",(Z103*18)+Y103)</f>
        <v>215900</v>
      </c>
      <c r="AD103" s="95">
        <f>18*Z103-100+Y103</f>
        <v>215800</v>
      </c>
      <c r="AE103" s="95">
        <v>0</v>
      </c>
      <c r="AF103" s="95">
        <v>10500</v>
      </c>
      <c r="AG103" s="95">
        <f>IF(AF103="No Disp","No Disp",(AF103*18)+AE103)</f>
        <v>189000</v>
      </c>
      <c r="AH103" s="95">
        <f>18*AF103-100+AE103</f>
        <v>188900</v>
      </c>
      <c r="AI103" s="95" t="s">
        <v>4613</v>
      </c>
      <c r="AJ103" s="99"/>
      <c r="AK103" s="100" t="s">
        <v>43</v>
      </c>
      <c r="AL103" s="100" t="s">
        <v>43</v>
      </c>
      <c r="AM103" s="100" t="str">
        <f>IF(AL103&lt;&gt;"No Disp",AK103+12*AL103,"No Disp")</f>
        <v>No Disp</v>
      </c>
      <c r="AN103" s="100" t="s">
        <v>43</v>
      </c>
      <c r="AO103" s="100" t="s">
        <v>43</v>
      </c>
      <c r="AP103" s="100" t="str">
        <f>IF(AO103&lt;&gt;"No Disp",AN103+12*AO103,"No Disp")</f>
        <v>No Disp</v>
      </c>
      <c r="AQ103" s="100" t="s">
        <v>43</v>
      </c>
      <c r="AR103" s="100" t="s">
        <v>43</v>
      </c>
      <c r="AS103" s="100" t="str">
        <f>IF(AR103&lt;&gt;"No Disp",AQ103+12*AR103,"No Disp")</f>
        <v>No Disp</v>
      </c>
    </row>
    <row r="104" spans="1:45" s="101" customFormat="1" x14ac:dyDescent="0.25">
      <c r="A104" s="90" t="s">
        <v>102</v>
      </c>
      <c r="B104" s="90" t="s">
        <v>39</v>
      </c>
      <c r="C104" s="90" t="s">
        <v>40</v>
      </c>
      <c r="D104" s="90" t="s">
        <v>4539</v>
      </c>
      <c r="E104" s="90" t="s">
        <v>4542</v>
      </c>
      <c r="F104" s="91">
        <v>25</v>
      </c>
      <c r="G104" s="92">
        <v>70008595</v>
      </c>
      <c r="H104" s="91">
        <v>70008596</v>
      </c>
      <c r="I104" s="93" t="s">
        <v>131</v>
      </c>
      <c r="J104" s="94" t="s">
        <v>3504</v>
      </c>
      <c r="K104" s="94" t="s">
        <v>975</v>
      </c>
      <c r="L104" s="94" t="s">
        <v>3505</v>
      </c>
      <c r="M104" s="95">
        <v>169900</v>
      </c>
      <c r="N104" s="95">
        <v>2500</v>
      </c>
      <c r="O104" s="95">
        <v>4000</v>
      </c>
      <c r="P104" s="96">
        <v>0</v>
      </c>
      <c r="Q104" s="152"/>
      <c r="R104" s="95">
        <v>169900</v>
      </c>
      <c r="S104" s="95">
        <f>R104/24</f>
        <v>7079.166666666667</v>
      </c>
      <c r="T104" s="95">
        <v>169900</v>
      </c>
      <c r="U104" s="95">
        <f>T104/24</f>
        <v>7079.166666666667</v>
      </c>
      <c r="V104" s="95">
        <v>169900</v>
      </c>
      <c r="W104" s="95">
        <f>V104/24</f>
        <v>7079.166666666667</v>
      </c>
      <c r="X104" s="128"/>
      <c r="Y104" s="95">
        <v>74900</v>
      </c>
      <c r="Z104" s="95">
        <v>7000</v>
      </c>
      <c r="AA104" s="95">
        <f>IFERROR(IF(D104="Premium",0.4*Y104,0),"No Disp")</f>
        <v>0</v>
      </c>
      <c r="AB104" s="95">
        <f>IFERROR(IF(4*Y104&gt;AC104,1.5*Y104,4*Y104),"No Disp")</f>
        <v>112350</v>
      </c>
      <c r="AC104" s="95">
        <f>IF(Z104="No Disp","No Disp",(Z104*18)+Y104)</f>
        <v>200900</v>
      </c>
      <c r="AD104" s="95">
        <f>18*Z104-100+Y104</f>
        <v>200800</v>
      </c>
      <c r="AE104" s="95">
        <v>0</v>
      </c>
      <c r="AF104" s="95">
        <v>10000</v>
      </c>
      <c r="AG104" s="95">
        <f>IF(AF104="No Disp","No Disp",(AF104*18)+AE104)</f>
        <v>180000</v>
      </c>
      <c r="AH104" s="95">
        <f>18*AF104-100+AE104</f>
        <v>179900</v>
      </c>
      <c r="AI104" s="95" t="s">
        <v>4613</v>
      </c>
      <c r="AJ104" s="99"/>
      <c r="AK104" s="100" t="s">
        <v>43</v>
      </c>
      <c r="AL104" s="100" t="s">
        <v>43</v>
      </c>
      <c r="AM104" s="100" t="str">
        <f>IF(AL104&lt;&gt;"No Disp",AK104+12*AL104,"No Disp")</f>
        <v>No Disp</v>
      </c>
      <c r="AN104" s="100" t="s">
        <v>43</v>
      </c>
      <c r="AO104" s="100" t="s">
        <v>43</v>
      </c>
      <c r="AP104" s="100" t="str">
        <f>IF(AO104&lt;&gt;"No Disp",AN104+12*AO104,"No Disp")</f>
        <v>No Disp</v>
      </c>
      <c r="AQ104" s="100" t="s">
        <v>43</v>
      </c>
      <c r="AR104" s="100" t="s">
        <v>43</v>
      </c>
      <c r="AS104" s="100" t="str">
        <f>IF(AR104&lt;&gt;"No Disp",AQ104+12*AR104,"No Disp")</f>
        <v>No Disp</v>
      </c>
    </row>
    <row r="105" spans="1:45" s="101" customFormat="1" x14ac:dyDescent="0.25">
      <c r="A105" s="90" t="s">
        <v>102</v>
      </c>
      <c r="B105" s="90" t="s">
        <v>39</v>
      </c>
      <c r="C105" s="90" t="s">
        <v>40</v>
      </c>
      <c r="D105" s="90" t="s">
        <v>4541</v>
      </c>
      <c r="E105" s="90" t="s">
        <v>4542</v>
      </c>
      <c r="F105" s="91">
        <v>26</v>
      </c>
      <c r="G105" s="92">
        <v>70008603</v>
      </c>
      <c r="H105" s="91">
        <v>70008604</v>
      </c>
      <c r="I105" s="93" t="s">
        <v>904</v>
      </c>
      <c r="J105" s="94" t="s">
        <v>3501</v>
      </c>
      <c r="K105" s="94" t="s">
        <v>3506</v>
      </c>
      <c r="L105" s="94" t="s">
        <v>3507</v>
      </c>
      <c r="M105" s="95">
        <v>174900</v>
      </c>
      <c r="N105" s="95">
        <v>2500</v>
      </c>
      <c r="O105" s="95">
        <v>4000</v>
      </c>
      <c r="P105" s="96">
        <v>0</v>
      </c>
      <c r="Q105" s="152"/>
      <c r="R105" s="95">
        <v>174900</v>
      </c>
      <c r="S105" s="95">
        <f>R105/24</f>
        <v>7287.5</v>
      </c>
      <c r="T105" s="95">
        <v>174900</v>
      </c>
      <c r="U105" s="95">
        <f>T105/24</f>
        <v>7287.5</v>
      </c>
      <c r="V105" s="95">
        <v>174900</v>
      </c>
      <c r="W105" s="95">
        <f>V105/24</f>
        <v>7287.5</v>
      </c>
      <c r="X105" s="128"/>
      <c r="Y105" s="95">
        <v>89900</v>
      </c>
      <c r="Z105" s="95">
        <v>7000</v>
      </c>
      <c r="AA105" s="95">
        <f>IFERROR(IF(D105="Premium",0.4*Y105,0),"No Disp")</f>
        <v>0</v>
      </c>
      <c r="AB105" s="95">
        <f>IFERROR(IF(4*Y105&gt;AC105,1.5*Y105,4*Y105),"No Disp")</f>
        <v>134850</v>
      </c>
      <c r="AC105" s="95">
        <f>IF(Z105="No Disp","No Disp",(Z105*18)+Y105)</f>
        <v>215900</v>
      </c>
      <c r="AD105" s="95">
        <f>18*Z105-100+Y105</f>
        <v>215800</v>
      </c>
      <c r="AE105" s="95">
        <v>0</v>
      </c>
      <c r="AF105" s="95">
        <v>10500</v>
      </c>
      <c r="AG105" s="95">
        <f>IF(AF105="No Disp","No Disp",(AF105*18)+AE105)</f>
        <v>189000</v>
      </c>
      <c r="AH105" s="95">
        <f>18*AF105-100+AE105</f>
        <v>188900</v>
      </c>
      <c r="AI105" s="95" t="s">
        <v>4613</v>
      </c>
      <c r="AJ105" s="99"/>
      <c r="AK105" s="100" t="s">
        <v>43</v>
      </c>
      <c r="AL105" s="100" t="s">
        <v>43</v>
      </c>
      <c r="AM105" s="100" t="str">
        <f>IF(AL105&lt;&gt;"No Disp",AK105+12*AL105,"No Disp")</f>
        <v>No Disp</v>
      </c>
      <c r="AN105" s="100" t="s">
        <v>43</v>
      </c>
      <c r="AO105" s="100" t="s">
        <v>43</v>
      </c>
      <c r="AP105" s="100" t="str">
        <f>IF(AO105&lt;&gt;"No Disp",AN105+12*AO105,"No Disp")</f>
        <v>No Disp</v>
      </c>
      <c r="AQ105" s="100" t="s">
        <v>43</v>
      </c>
      <c r="AR105" s="100" t="s">
        <v>43</v>
      </c>
      <c r="AS105" s="100" t="str">
        <f>IF(AR105&lt;&gt;"No Disp",AQ105+12*AR105,"No Disp")</f>
        <v>No Disp</v>
      </c>
    </row>
    <row r="106" spans="1:45" s="101" customFormat="1" x14ac:dyDescent="0.25">
      <c r="A106" s="90" t="s">
        <v>102</v>
      </c>
      <c r="B106" s="90" t="s">
        <v>39</v>
      </c>
      <c r="C106" s="90" t="s">
        <v>40</v>
      </c>
      <c r="D106" s="90" t="s">
        <v>4541</v>
      </c>
      <c r="E106" s="90" t="s">
        <v>4542</v>
      </c>
      <c r="F106" s="91">
        <v>27</v>
      </c>
      <c r="G106" s="92">
        <v>70008612</v>
      </c>
      <c r="H106" s="91">
        <v>70008613</v>
      </c>
      <c r="I106" s="93" t="s">
        <v>904</v>
      </c>
      <c r="J106" s="94" t="s">
        <v>3508</v>
      </c>
      <c r="K106" s="94" t="s">
        <v>3509</v>
      </c>
      <c r="L106" s="94" t="s">
        <v>3510</v>
      </c>
      <c r="M106" s="95">
        <v>154900</v>
      </c>
      <c r="N106" s="95">
        <v>2500</v>
      </c>
      <c r="O106" s="95">
        <v>4000</v>
      </c>
      <c r="P106" s="96">
        <v>0</v>
      </c>
      <c r="Q106" s="152"/>
      <c r="R106" s="95">
        <v>154900</v>
      </c>
      <c r="S106" s="95">
        <f>R106/24</f>
        <v>6454.166666666667</v>
      </c>
      <c r="T106" s="95">
        <v>154900</v>
      </c>
      <c r="U106" s="95">
        <f>T106/24</f>
        <v>6454.166666666667</v>
      </c>
      <c r="V106" s="95">
        <v>154900</v>
      </c>
      <c r="W106" s="95">
        <f>V106/24</f>
        <v>6454.166666666667</v>
      </c>
      <c r="X106" s="128"/>
      <c r="Y106" s="95">
        <v>74900</v>
      </c>
      <c r="Z106" s="95">
        <v>6000</v>
      </c>
      <c r="AA106" s="95">
        <f>IFERROR(IF(D106="Premium",0.4*Y106,0),"No Disp")</f>
        <v>0</v>
      </c>
      <c r="AB106" s="95">
        <f>IFERROR(IF(4*Y106&gt;AC106,1.5*Y106,4*Y106),"No Disp")</f>
        <v>112350</v>
      </c>
      <c r="AC106" s="95">
        <f>IF(Z106="No Disp","No Disp",(Z106*18)+Y106)</f>
        <v>182900</v>
      </c>
      <c r="AD106" s="95">
        <f>18*Z106-100+Y106</f>
        <v>182800</v>
      </c>
      <c r="AE106" s="95">
        <v>0</v>
      </c>
      <c r="AF106" s="95">
        <v>9000</v>
      </c>
      <c r="AG106" s="95">
        <f>IF(AF106="No Disp","No Disp",(AF106*18)+AE106)</f>
        <v>162000</v>
      </c>
      <c r="AH106" s="95">
        <f>18*AF106-100+AE106</f>
        <v>161900</v>
      </c>
      <c r="AI106" s="95" t="s">
        <v>4613</v>
      </c>
      <c r="AJ106" s="99"/>
      <c r="AK106" s="100" t="s">
        <v>43</v>
      </c>
      <c r="AL106" s="100" t="s">
        <v>43</v>
      </c>
      <c r="AM106" s="100" t="str">
        <f>IF(AL106&lt;&gt;"No Disp",AK106+12*AL106,"No Disp")</f>
        <v>No Disp</v>
      </c>
      <c r="AN106" s="100" t="s">
        <v>43</v>
      </c>
      <c r="AO106" s="100" t="s">
        <v>43</v>
      </c>
      <c r="AP106" s="100" t="str">
        <f>IF(AO106&lt;&gt;"No Disp",AN106+12*AO106,"No Disp")</f>
        <v>No Disp</v>
      </c>
      <c r="AQ106" s="100" t="s">
        <v>43</v>
      </c>
      <c r="AR106" s="100" t="s">
        <v>43</v>
      </c>
      <c r="AS106" s="100" t="str">
        <f>IF(AR106&lt;&gt;"No Disp",AQ106+12*AR106,"No Disp")</f>
        <v>No Disp</v>
      </c>
    </row>
    <row r="107" spans="1:45" s="101" customFormat="1" x14ac:dyDescent="0.25">
      <c r="A107" s="90" t="s">
        <v>102</v>
      </c>
      <c r="B107" s="90" t="s">
        <v>39</v>
      </c>
      <c r="C107" s="90" t="s">
        <v>40</v>
      </c>
      <c r="D107" s="90" t="s">
        <v>4541</v>
      </c>
      <c r="E107" s="90" t="s">
        <v>4542</v>
      </c>
      <c r="F107" s="91">
        <v>28</v>
      </c>
      <c r="G107" s="92">
        <v>70008615</v>
      </c>
      <c r="H107" s="91">
        <v>70008616</v>
      </c>
      <c r="I107" s="93" t="s">
        <v>904</v>
      </c>
      <c r="J107" s="94" t="s">
        <v>3508</v>
      </c>
      <c r="K107" s="94" t="s">
        <v>974</v>
      </c>
      <c r="L107" s="94" t="s">
        <v>3511</v>
      </c>
      <c r="M107" s="95">
        <v>154900</v>
      </c>
      <c r="N107" s="95">
        <v>2500</v>
      </c>
      <c r="O107" s="95">
        <v>4000</v>
      </c>
      <c r="P107" s="96">
        <v>0</v>
      </c>
      <c r="Q107" s="152"/>
      <c r="R107" s="95">
        <v>154900</v>
      </c>
      <c r="S107" s="95">
        <f>R107/24</f>
        <v>6454.166666666667</v>
      </c>
      <c r="T107" s="95">
        <v>154900</v>
      </c>
      <c r="U107" s="95">
        <f>T107/24</f>
        <v>6454.166666666667</v>
      </c>
      <c r="V107" s="95">
        <v>154900</v>
      </c>
      <c r="W107" s="95">
        <f>V107/24</f>
        <v>6454.166666666667</v>
      </c>
      <c r="X107" s="128"/>
      <c r="Y107" s="95">
        <v>74900</v>
      </c>
      <c r="Z107" s="95">
        <v>6000</v>
      </c>
      <c r="AA107" s="95">
        <f>IFERROR(IF(D107="Premium",0.4*Y107,0),"No Disp")</f>
        <v>0</v>
      </c>
      <c r="AB107" s="95">
        <f>IFERROR(IF(4*Y107&gt;AC107,1.5*Y107,4*Y107),"No Disp")</f>
        <v>112350</v>
      </c>
      <c r="AC107" s="95">
        <f>IF(Z107="No Disp","No Disp",(Z107*18)+Y107)</f>
        <v>182900</v>
      </c>
      <c r="AD107" s="95">
        <f>18*Z107-100+Y107</f>
        <v>182800</v>
      </c>
      <c r="AE107" s="95">
        <v>0</v>
      </c>
      <c r="AF107" s="95">
        <v>9000</v>
      </c>
      <c r="AG107" s="95">
        <f>IF(AF107="No Disp","No Disp",(AF107*18)+AE107)</f>
        <v>162000</v>
      </c>
      <c r="AH107" s="95">
        <f>18*AF107-100+AE107</f>
        <v>161900</v>
      </c>
      <c r="AI107" s="95" t="s">
        <v>4613</v>
      </c>
      <c r="AJ107" s="99"/>
      <c r="AK107" s="100" t="s">
        <v>43</v>
      </c>
      <c r="AL107" s="100" t="s">
        <v>43</v>
      </c>
      <c r="AM107" s="100" t="str">
        <f>IF(AL107&lt;&gt;"No Disp",AK107+12*AL107,"No Disp")</f>
        <v>No Disp</v>
      </c>
      <c r="AN107" s="100" t="s">
        <v>43</v>
      </c>
      <c r="AO107" s="100" t="s">
        <v>43</v>
      </c>
      <c r="AP107" s="100" t="str">
        <f>IF(AO107&lt;&gt;"No Disp",AN107+12*AO107,"No Disp")</f>
        <v>No Disp</v>
      </c>
      <c r="AQ107" s="100" t="s">
        <v>43</v>
      </c>
      <c r="AR107" s="100" t="s">
        <v>43</v>
      </c>
      <c r="AS107" s="100" t="str">
        <f>IF(AR107&lt;&gt;"No Disp",AQ107+12*AR107,"No Disp")</f>
        <v>No Disp</v>
      </c>
    </row>
    <row r="108" spans="1:45" s="101" customFormat="1" x14ac:dyDescent="0.25">
      <c r="A108" s="90" t="s">
        <v>102</v>
      </c>
      <c r="B108" s="90" t="s">
        <v>39</v>
      </c>
      <c r="C108" s="90" t="s">
        <v>40</v>
      </c>
      <c r="D108" s="90" t="s">
        <v>4541</v>
      </c>
      <c r="E108" s="90" t="s">
        <v>4542</v>
      </c>
      <c r="F108" s="91">
        <v>29</v>
      </c>
      <c r="G108" s="92">
        <v>70008628</v>
      </c>
      <c r="H108" s="91">
        <v>70008629</v>
      </c>
      <c r="I108" s="93" t="s">
        <v>87</v>
      </c>
      <c r="J108" s="94" t="s">
        <v>3498</v>
      </c>
      <c r="K108" s="94" t="s">
        <v>3512</v>
      </c>
      <c r="L108" s="94" t="s">
        <v>3513</v>
      </c>
      <c r="M108" s="95">
        <v>34900</v>
      </c>
      <c r="N108" s="95">
        <v>2500</v>
      </c>
      <c r="O108" s="95">
        <v>4000</v>
      </c>
      <c r="P108" s="96">
        <v>0</v>
      </c>
      <c r="Q108" s="152"/>
      <c r="R108" s="95">
        <v>34900</v>
      </c>
      <c r="S108" s="95">
        <f>R108/24</f>
        <v>1454.1666666666667</v>
      </c>
      <c r="T108" s="95">
        <v>34900</v>
      </c>
      <c r="U108" s="95">
        <f>T108/24</f>
        <v>1454.1666666666667</v>
      </c>
      <c r="V108" s="95">
        <v>34900</v>
      </c>
      <c r="W108" s="95">
        <f>V108/24</f>
        <v>1454.1666666666667</v>
      </c>
      <c r="X108" s="128"/>
      <c r="Y108" s="95">
        <v>89900</v>
      </c>
      <c r="Z108" s="95">
        <v>6000</v>
      </c>
      <c r="AA108" s="95">
        <f>IFERROR(IF(D108="Premium",0.4*Y108,0),"No Disp")</f>
        <v>0</v>
      </c>
      <c r="AB108" s="95">
        <f>IFERROR(IF(4*Y108&gt;AC108,1.5*Y108,4*Y108),"No Disp")</f>
        <v>134850</v>
      </c>
      <c r="AC108" s="95">
        <f>IF(Z108="No Disp","No Disp",(Z108*18)+Y108)</f>
        <v>197900</v>
      </c>
      <c r="AD108" s="95">
        <f>18*Z108-100+Y108</f>
        <v>197800</v>
      </c>
      <c r="AE108" s="95">
        <v>19900</v>
      </c>
      <c r="AF108" s="95">
        <v>2000</v>
      </c>
      <c r="AG108" s="95">
        <f>IF(AF108="No Disp","No Disp",(AF108*18)+AE108)</f>
        <v>55900</v>
      </c>
      <c r="AH108" s="95">
        <f>18*AF108-100+AE108</f>
        <v>55800</v>
      </c>
      <c r="AI108" s="95" t="s">
        <v>4613</v>
      </c>
      <c r="AJ108" s="99"/>
      <c r="AK108" s="100" t="s">
        <v>43</v>
      </c>
      <c r="AL108" s="100" t="s">
        <v>43</v>
      </c>
      <c r="AM108" s="100" t="str">
        <f>IF(AL108&lt;&gt;"No Disp",AK108+12*AL108,"No Disp")</f>
        <v>No Disp</v>
      </c>
      <c r="AN108" s="100" t="s">
        <v>43</v>
      </c>
      <c r="AO108" s="100" t="s">
        <v>43</v>
      </c>
      <c r="AP108" s="100" t="str">
        <f>IF(AO108&lt;&gt;"No Disp",AN108+12*AO108,"No Disp")</f>
        <v>No Disp</v>
      </c>
      <c r="AQ108" s="100" t="s">
        <v>43</v>
      </c>
      <c r="AR108" s="100" t="s">
        <v>43</v>
      </c>
      <c r="AS108" s="100" t="str">
        <f>IF(AR108&lt;&gt;"No Disp",AQ108+12*AR108,"No Disp")</f>
        <v>No Disp</v>
      </c>
    </row>
    <row r="109" spans="1:45" s="101" customFormat="1" x14ac:dyDescent="0.25">
      <c r="A109" s="90" t="s">
        <v>38</v>
      </c>
      <c r="B109" s="90" t="s">
        <v>40</v>
      </c>
      <c r="C109" s="90" t="s">
        <v>39</v>
      </c>
      <c r="D109" s="90" t="s">
        <v>4540</v>
      </c>
      <c r="E109" s="90" t="s">
        <v>4542</v>
      </c>
      <c r="F109" s="91">
        <v>31</v>
      </c>
      <c r="G109" s="92">
        <v>70008668</v>
      </c>
      <c r="H109" s="91">
        <v>70008669</v>
      </c>
      <c r="I109" s="93" t="s">
        <v>63</v>
      </c>
      <c r="J109" s="94" t="s">
        <v>3514</v>
      </c>
      <c r="K109" s="94" t="s">
        <v>3515</v>
      </c>
      <c r="L109" s="94" t="s">
        <v>3516</v>
      </c>
      <c r="M109" s="95">
        <v>126900</v>
      </c>
      <c r="N109" s="95">
        <v>2500</v>
      </c>
      <c r="O109" s="95">
        <v>4000</v>
      </c>
      <c r="P109" s="96">
        <v>0</v>
      </c>
      <c r="Q109" s="152"/>
      <c r="R109" s="95">
        <v>126900</v>
      </c>
      <c r="S109" s="95">
        <f>R109/24</f>
        <v>5287.5</v>
      </c>
      <c r="T109" s="95">
        <v>126900</v>
      </c>
      <c r="U109" s="95">
        <f>T109/24</f>
        <v>5287.5</v>
      </c>
      <c r="V109" s="95">
        <v>126900</v>
      </c>
      <c r="W109" s="95">
        <f>V109/24</f>
        <v>5287.5</v>
      </c>
      <c r="X109" s="128"/>
      <c r="Y109" s="95">
        <v>59900</v>
      </c>
      <c r="Z109" s="95">
        <v>8000</v>
      </c>
      <c r="AA109" s="95">
        <f>IFERROR(IF(D109="Premium",0.4*Y109,0),"No Disp")</f>
        <v>23960</v>
      </c>
      <c r="AB109" s="95">
        <f>IFERROR(IF(4*Y109&gt;AC109,1.5*Y109,4*Y109),"No Disp")</f>
        <v>89850</v>
      </c>
      <c r="AC109" s="95">
        <f>IF(Z109="No Disp","No Disp",(Z109*18)+Y109)</f>
        <v>203900</v>
      </c>
      <c r="AD109" s="95">
        <f>18*Z109-100+Y109</f>
        <v>203800</v>
      </c>
      <c r="AE109" s="95">
        <v>19900</v>
      </c>
      <c r="AF109" s="95">
        <v>9500</v>
      </c>
      <c r="AG109" s="95">
        <f>IF(AF109="No Disp","No Disp",(AF109*18)+AE109)</f>
        <v>190900</v>
      </c>
      <c r="AH109" s="95">
        <f>18*AF109-100+AE109</f>
        <v>190800</v>
      </c>
      <c r="AI109" s="95" t="s">
        <v>4613</v>
      </c>
      <c r="AJ109" s="99"/>
      <c r="AK109" s="100" t="s">
        <v>43</v>
      </c>
      <c r="AL109" s="100" t="s">
        <v>43</v>
      </c>
      <c r="AM109" s="100" t="str">
        <f>IF(AL109&lt;&gt;"No Disp",AK109+12*AL109,"No Disp")</f>
        <v>No Disp</v>
      </c>
      <c r="AN109" s="100" t="s">
        <v>43</v>
      </c>
      <c r="AO109" s="100" t="s">
        <v>43</v>
      </c>
      <c r="AP109" s="100" t="str">
        <f>IF(AO109&lt;&gt;"No Disp",AN109+12*AO109,"No Disp")</f>
        <v>No Disp</v>
      </c>
      <c r="AQ109" s="100" t="s">
        <v>43</v>
      </c>
      <c r="AR109" s="100" t="s">
        <v>43</v>
      </c>
      <c r="AS109" s="100" t="str">
        <f>IF(AR109&lt;&gt;"No Disp",AQ109+12*AR109,"No Disp")</f>
        <v>No Disp</v>
      </c>
    </row>
    <row r="110" spans="1:45" s="101" customFormat="1" x14ac:dyDescent="0.25">
      <c r="A110" s="90" t="s">
        <v>38</v>
      </c>
      <c r="B110" s="90" t="s">
        <v>40</v>
      </c>
      <c r="C110" s="90" t="s">
        <v>39</v>
      </c>
      <c r="D110" s="90" t="s">
        <v>4540</v>
      </c>
      <c r="E110" s="90" t="s">
        <v>4542</v>
      </c>
      <c r="F110" s="91">
        <v>32</v>
      </c>
      <c r="G110" s="92">
        <v>70008672</v>
      </c>
      <c r="H110" s="91">
        <v>70008673</v>
      </c>
      <c r="I110" s="93" t="s">
        <v>63</v>
      </c>
      <c r="J110" s="94" t="s">
        <v>971</v>
      </c>
      <c r="K110" s="94" t="s">
        <v>972</v>
      </c>
      <c r="L110" s="94" t="s">
        <v>3517</v>
      </c>
      <c r="M110" s="95">
        <v>299900</v>
      </c>
      <c r="N110" s="95">
        <v>6000</v>
      </c>
      <c r="O110" s="95">
        <v>8500</v>
      </c>
      <c r="P110" s="96">
        <v>0</v>
      </c>
      <c r="Q110" s="152"/>
      <c r="R110" s="95">
        <v>299900</v>
      </c>
      <c r="S110" s="95">
        <f>R110/24</f>
        <v>12495.833333333334</v>
      </c>
      <c r="T110" s="95">
        <v>299900</v>
      </c>
      <c r="U110" s="95">
        <f>T110/24</f>
        <v>12495.833333333334</v>
      </c>
      <c r="V110" s="95">
        <v>299900</v>
      </c>
      <c r="W110" s="95">
        <f>V110/24</f>
        <v>12495.833333333334</v>
      </c>
      <c r="X110" s="128"/>
      <c r="Y110" s="95">
        <v>499900</v>
      </c>
      <c r="Z110" s="95">
        <v>26000</v>
      </c>
      <c r="AA110" s="95">
        <f>IFERROR(IF(D110="Premium",0.4*Y110,0),"No Disp")</f>
        <v>199960</v>
      </c>
      <c r="AB110" s="95">
        <f>IFERROR(IF(4*Y110&gt;AC110,1.5*Y110,4*Y110),"No Disp")</f>
        <v>749850</v>
      </c>
      <c r="AC110" s="95">
        <f>IF(Z110="No Disp","No Disp",(Z110*18)+Y110)</f>
        <v>967900</v>
      </c>
      <c r="AD110" s="95">
        <f>18*Z110-100+Y110</f>
        <v>967800</v>
      </c>
      <c r="AE110" s="95">
        <v>249900</v>
      </c>
      <c r="AF110" s="95">
        <v>39500</v>
      </c>
      <c r="AG110" s="95">
        <f>IF(AF110="No Disp","No Disp",(AF110*18)+AE110)</f>
        <v>960900</v>
      </c>
      <c r="AH110" s="95">
        <f>18*AF110-100+AE110</f>
        <v>960800</v>
      </c>
      <c r="AI110" s="95" t="s">
        <v>4613</v>
      </c>
      <c r="AJ110" s="99"/>
      <c r="AK110" s="100" t="s">
        <v>43</v>
      </c>
      <c r="AL110" s="100" t="s">
        <v>43</v>
      </c>
      <c r="AM110" s="100" t="str">
        <f>IF(AL110&lt;&gt;"No Disp",AK110+12*AL110,"No Disp")</f>
        <v>No Disp</v>
      </c>
      <c r="AN110" s="100" t="s">
        <v>43</v>
      </c>
      <c r="AO110" s="100" t="s">
        <v>43</v>
      </c>
      <c r="AP110" s="100" t="str">
        <f>IF(AO110&lt;&gt;"No Disp",AN110+12*AO110,"No Disp")</f>
        <v>No Disp</v>
      </c>
      <c r="AQ110" s="100" t="s">
        <v>43</v>
      </c>
      <c r="AR110" s="100" t="s">
        <v>43</v>
      </c>
      <c r="AS110" s="100" t="str">
        <f>IF(AR110&lt;&gt;"No Disp",AQ110+12*AR110,"No Disp")</f>
        <v>No Disp</v>
      </c>
    </row>
    <row r="111" spans="1:45" s="101" customFormat="1" x14ac:dyDescent="0.25">
      <c r="A111" s="90" t="s">
        <v>38</v>
      </c>
      <c r="B111" s="90" t="s">
        <v>40</v>
      </c>
      <c r="C111" s="90" t="s">
        <v>39</v>
      </c>
      <c r="D111" s="90" t="s">
        <v>4540</v>
      </c>
      <c r="E111" s="90" t="s">
        <v>4542</v>
      </c>
      <c r="F111" s="91">
        <v>30</v>
      </c>
      <c r="G111" s="92">
        <v>70008637</v>
      </c>
      <c r="H111" s="91">
        <v>70008678</v>
      </c>
      <c r="I111" s="93" t="s">
        <v>63</v>
      </c>
      <c r="J111" s="94" t="s">
        <v>3514</v>
      </c>
      <c r="K111" s="94" t="s">
        <v>973</v>
      </c>
      <c r="L111" s="94" t="s">
        <v>3518</v>
      </c>
      <c r="M111" s="95">
        <v>126900</v>
      </c>
      <c r="N111" s="95">
        <v>2500</v>
      </c>
      <c r="O111" s="95">
        <v>4000</v>
      </c>
      <c r="P111" s="96">
        <v>0</v>
      </c>
      <c r="Q111" s="152"/>
      <c r="R111" s="95">
        <v>126900</v>
      </c>
      <c r="S111" s="95">
        <f>R111/24</f>
        <v>5287.5</v>
      </c>
      <c r="T111" s="95">
        <v>126900</v>
      </c>
      <c r="U111" s="95">
        <f>T111/24</f>
        <v>5287.5</v>
      </c>
      <c r="V111" s="95">
        <v>126900</v>
      </c>
      <c r="W111" s="95">
        <f>V111/24</f>
        <v>5287.5</v>
      </c>
      <c r="X111" s="128"/>
      <c r="Y111" s="95">
        <v>59900</v>
      </c>
      <c r="Z111" s="95">
        <v>8000</v>
      </c>
      <c r="AA111" s="95">
        <f>IFERROR(IF(D111="Premium",0.4*Y111,0),"No Disp")</f>
        <v>23960</v>
      </c>
      <c r="AB111" s="95">
        <f>IFERROR(IF(4*Y111&gt;AC111,1.5*Y111,4*Y111),"No Disp")</f>
        <v>89850</v>
      </c>
      <c r="AC111" s="95">
        <f>IF(Z111="No Disp","No Disp",(Z111*18)+Y111)</f>
        <v>203900</v>
      </c>
      <c r="AD111" s="95">
        <f>18*Z111-100+Y111</f>
        <v>203800</v>
      </c>
      <c r="AE111" s="95">
        <v>19900</v>
      </c>
      <c r="AF111" s="95">
        <v>9500</v>
      </c>
      <c r="AG111" s="95">
        <f>IF(AF111="No Disp","No Disp",(AF111*18)+AE111)</f>
        <v>190900</v>
      </c>
      <c r="AH111" s="95">
        <f>18*AF111-100+AE111</f>
        <v>190800</v>
      </c>
      <c r="AI111" s="95" t="s">
        <v>4613</v>
      </c>
      <c r="AJ111" s="99"/>
      <c r="AK111" s="100" t="s">
        <v>43</v>
      </c>
      <c r="AL111" s="100" t="s">
        <v>43</v>
      </c>
      <c r="AM111" s="100" t="str">
        <f>IF(AL111&lt;&gt;"No Disp",AK111+12*AL111,"No Disp")</f>
        <v>No Disp</v>
      </c>
      <c r="AN111" s="100" t="s">
        <v>43</v>
      </c>
      <c r="AO111" s="100" t="s">
        <v>43</v>
      </c>
      <c r="AP111" s="100" t="str">
        <f>IF(AO111&lt;&gt;"No Disp",AN111+12*AO111,"No Disp")</f>
        <v>No Disp</v>
      </c>
      <c r="AQ111" s="100" t="s">
        <v>43</v>
      </c>
      <c r="AR111" s="100" t="s">
        <v>43</v>
      </c>
      <c r="AS111" s="100" t="str">
        <f>IF(AR111&lt;&gt;"No Disp",AQ111+12*AR111,"No Disp")</f>
        <v>No Disp</v>
      </c>
    </row>
    <row r="112" spans="1:45" s="101" customFormat="1" x14ac:dyDescent="0.25">
      <c r="A112" s="90" t="s">
        <v>38</v>
      </c>
      <c r="B112" s="90" t="s">
        <v>40</v>
      </c>
      <c r="C112" s="90" t="s">
        <v>39</v>
      </c>
      <c r="D112" s="90" t="s">
        <v>4537</v>
      </c>
      <c r="E112" s="90" t="s">
        <v>4542</v>
      </c>
      <c r="F112" s="91">
        <v>34</v>
      </c>
      <c r="G112" s="92">
        <v>70008683</v>
      </c>
      <c r="H112" s="91">
        <v>70008684</v>
      </c>
      <c r="I112" s="93" t="s">
        <v>63</v>
      </c>
      <c r="J112" s="94" t="s">
        <v>966</v>
      </c>
      <c r="K112" s="94" t="s">
        <v>968</v>
      </c>
      <c r="L112" s="94" t="s">
        <v>3519</v>
      </c>
      <c r="M112" s="95">
        <v>449900</v>
      </c>
      <c r="N112" s="95">
        <v>7000</v>
      </c>
      <c r="O112" s="95">
        <v>10000</v>
      </c>
      <c r="P112" s="96">
        <v>889990</v>
      </c>
      <c r="Q112" s="152"/>
      <c r="R112" s="95">
        <v>499990</v>
      </c>
      <c r="S112" s="95">
        <f>R112/24</f>
        <v>20832.916666666668</v>
      </c>
      <c r="T112" s="95">
        <v>449900</v>
      </c>
      <c r="U112" s="95">
        <f>T112/24</f>
        <v>18745.833333333332</v>
      </c>
      <c r="V112" s="95">
        <v>449900</v>
      </c>
      <c r="W112" s="95">
        <f>V112/24</f>
        <v>18745.833333333332</v>
      </c>
      <c r="X112" s="128"/>
      <c r="Y112" s="95">
        <v>99900</v>
      </c>
      <c r="Z112" s="95">
        <v>36000</v>
      </c>
      <c r="AA112" s="95">
        <f>IFERROR(IF(D112="Premium",0.4*Y112,0),"No Disp")</f>
        <v>0</v>
      </c>
      <c r="AB112" s="95">
        <f>IFERROR(IF(4*Y112&gt;AC112,1.5*Y112,4*Y112),"No Disp")</f>
        <v>399600</v>
      </c>
      <c r="AC112" s="95">
        <f>IF(Z112="No Disp","No Disp",(Z112*18)+Y112)</f>
        <v>747900</v>
      </c>
      <c r="AD112" s="95">
        <f>18*Z112-100+Y112</f>
        <v>747800</v>
      </c>
      <c r="AE112" s="95">
        <v>39900</v>
      </c>
      <c r="AF112" s="95">
        <v>40000</v>
      </c>
      <c r="AG112" s="95">
        <f>IF(AF112="No Disp","No Disp",(AF112*18)+AE112)</f>
        <v>759900</v>
      </c>
      <c r="AH112" s="95">
        <f>18*AF112-100+AE112</f>
        <v>759800</v>
      </c>
      <c r="AI112" s="95" t="s">
        <v>4613</v>
      </c>
      <c r="AJ112" s="99"/>
      <c r="AK112" s="100">
        <v>0</v>
      </c>
      <c r="AL112" s="100">
        <v>20000</v>
      </c>
      <c r="AM112" s="100">
        <f>IF(AL112&lt;&gt;"No Disp",AK112+12*AL112,"No Disp")</f>
        <v>240000</v>
      </c>
      <c r="AN112" s="100">
        <v>0</v>
      </c>
      <c r="AO112" s="100">
        <v>20000</v>
      </c>
      <c r="AP112" s="100">
        <f>IF(AO112&lt;&gt;"No Disp",AN112+12*AO112,"No Disp")</f>
        <v>240000</v>
      </c>
      <c r="AQ112" s="100">
        <v>0</v>
      </c>
      <c r="AR112" s="100">
        <v>20000</v>
      </c>
      <c r="AS112" s="100">
        <f>IF(AR112&lt;&gt;"No Disp",AQ112+12*AR112,"No Disp")</f>
        <v>240000</v>
      </c>
    </row>
    <row r="113" spans="1:45" s="101" customFormat="1" x14ac:dyDescent="0.25">
      <c r="A113" s="90" t="s">
        <v>38</v>
      </c>
      <c r="B113" s="90" t="s">
        <v>40</v>
      </c>
      <c r="C113" s="90" t="s">
        <v>39</v>
      </c>
      <c r="D113" s="90" t="s">
        <v>4537</v>
      </c>
      <c r="E113" s="90" t="s">
        <v>4542</v>
      </c>
      <c r="F113" s="91">
        <v>35</v>
      </c>
      <c r="G113" s="92">
        <v>70008686</v>
      </c>
      <c r="H113" s="91">
        <v>70008687</v>
      </c>
      <c r="I113" s="93" t="s">
        <v>63</v>
      </c>
      <c r="J113" s="94" t="s">
        <v>966</v>
      </c>
      <c r="K113" s="94" t="s">
        <v>967</v>
      </c>
      <c r="L113" s="94" t="s">
        <v>3520</v>
      </c>
      <c r="M113" s="95">
        <v>449900</v>
      </c>
      <c r="N113" s="95">
        <v>7000</v>
      </c>
      <c r="O113" s="95">
        <v>10000</v>
      </c>
      <c r="P113" s="96">
        <v>889990</v>
      </c>
      <c r="Q113" s="152"/>
      <c r="R113" s="95">
        <v>499990</v>
      </c>
      <c r="S113" s="95">
        <f>R113/24</f>
        <v>20832.916666666668</v>
      </c>
      <c r="T113" s="95">
        <v>449900</v>
      </c>
      <c r="U113" s="95">
        <f>T113/24</f>
        <v>18745.833333333332</v>
      </c>
      <c r="V113" s="95">
        <v>449900</v>
      </c>
      <c r="W113" s="95">
        <f>V113/24</f>
        <v>18745.833333333332</v>
      </c>
      <c r="X113" s="128"/>
      <c r="Y113" s="95">
        <v>99900</v>
      </c>
      <c r="Z113" s="95">
        <v>36000</v>
      </c>
      <c r="AA113" s="95">
        <f>IFERROR(IF(D113="Premium",0.4*Y113,0),"No Disp")</f>
        <v>0</v>
      </c>
      <c r="AB113" s="95">
        <f>IFERROR(IF(4*Y113&gt;AC113,1.5*Y113,4*Y113),"No Disp")</f>
        <v>399600</v>
      </c>
      <c r="AC113" s="95">
        <f>IF(Z113="No Disp","No Disp",(Z113*18)+Y113)</f>
        <v>747900</v>
      </c>
      <c r="AD113" s="95">
        <f>18*Z113-100+Y113</f>
        <v>747800</v>
      </c>
      <c r="AE113" s="95">
        <v>39900</v>
      </c>
      <c r="AF113" s="95">
        <v>40000</v>
      </c>
      <c r="AG113" s="95">
        <f>IF(AF113="No Disp","No Disp",(AF113*18)+AE113)</f>
        <v>759900</v>
      </c>
      <c r="AH113" s="95">
        <f>18*AF113-100+AE113</f>
        <v>759800</v>
      </c>
      <c r="AI113" s="95" t="s">
        <v>4613</v>
      </c>
      <c r="AJ113" s="99"/>
      <c r="AK113" s="100" t="s">
        <v>43</v>
      </c>
      <c r="AL113" s="100" t="s">
        <v>43</v>
      </c>
      <c r="AM113" s="100" t="str">
        <f>IF(AL113&lt;&gt;"No Disp",AK113+12*AL113,"No Disp")</f>
        <v>No Disp</v>
      </c>
      <c r="AN113" s="100" t="s">
        <v>43</v>
      </c>
      <c r="AO113" s="100" t="s">
        <v>43</v>
      </c>
      <c r="AP113" s="100" t="str">
        <f>IF(AO113&lt;&gt;"No Disp",AN113+12*AO113,"No Disp")</f>
        <v>No Disp</v>
      </c>
      <c r="AQ113" s="100" t="s">
        <v>43</v>
      </c>
      <c r="AR113" s="100" t="s">
        <v>43</v>
      </c>
      <c r="AS113" s="100" t="str">
        <f>IF(AR113&lt;&gt;"No Disp",AQ113+12*AR113,"No Disp")</f>
        <v>No Disp</v>
      </c>
    </row>
    <row r="114" spans="1:45" s="101" customFormat="1" x14ac:dyDescent="0.25">
      <c r="A114" s="90" t="s">
        <v>38</v>
      </c>
      <c r="B114" s="90" t="s">
        <v>40</v>
      </c>
      <c r="C114" s="90" t="s">
        <v>39</v>
      </c>
      <c r="D114" s="90" t="s">
        <v>4540</v>
      </c>
      <c r="E114" s="90" t="s">
        <v>4542</v>
      </c>
      <c r="F114" s="91">
        <v>36</v>
      </c>
      <c r="G114" s="92">
        <v>70008692</v>
      </c>
      <c r="H114" s="91">
        <v>70008693</v>
      </c>
      <c r="I114" s="93" t="s">
        <v>63</v>
      </c>
      <c r="J114" s="94" t="s">
        <v>3521</v>
      </c>
      <c r="K114" s="94" t="s">
        <v>965</v>
      </c>
      <c r="L114" s="94" t="s">
        <v>3522</v>
      </c>
      <c r="M114" s="95">
        <v>1099900</v>
      </c>
      <c r="N114" s="95">
        <v>7000</v>
      </c>
      <c r="O114" s="95">
        <v>10000</v>
      </c>
      <c r="P114" s="96">
        <v>0</v>
      </c>
      <c r="Q114" s="152"/>
      <c r="R114" s="95">
        <v>1099900</v>
      </c>
      <c r="S114" s="95">
        <f>R114/24</f>
        <v>45829.166666666664</v>
      </c>
      <c r="T114" s="95">
        <v>1099900</v>
      </c>
      <c r="U114" s="95">
        <f>T114/24</f>
        <v>45829.166666666664</v>
      </c>
      <c r="V114" s="95">
        <v>1099900</v>
      </c>
      <c r="W114" s="95">
        <f>V114/24</f>
        <v>45829.166666666664</v>
      </c>
      <c r="X114" s="128"/>
      <c r="Y114" s="95" t="s">
        <v>43</v>
      </c>
      <c r="Z114" s="95" t="s">
        <v>43</v>
      </c>
      <c r="AA114" s="95" t="str">
        <f>IFERROR(IF(D114="Premium",0.4*Y114,0),"No Disp")</f>
        <v>No Disp</v>
      </c>
      <c r="AB114" s="95" t="str">
        <f>IFERROR(IF(4*Y114&gt;AC114,1.5*Y114,4*Y114),"No Disp")</f>
        <v>No Disp</v>
      </c>
      <c r="AC114" s="95" t="str">
        <f>IF(Z114="No Disp","No Disp",(Z114*18)+Y114)</f>
        <v>No Disp</v>
      </c>
      <c r="AD114" s="95" t="e">
        <f>18*Z114-100+Y114</f>
        <v>#VALUE!</v>
      </c>
      <c r="AE114" s="95" t="s">
        <v>43</v>
      </c>
      <c r="AF114" s="95" t="s">
        <v>43</v>
      </c>
      <c r="AG114" s="95" t="str">
        <f>IF(AF114="No Disp","No Disp",(AF114*18)+AE114)</f>
        <v>No Disp</v>
      </c>
      <c r="AH114" s="95" t="e">
        <f>18*AF114-100+AE114</f>
        <v>#VALUE!</v>
      </c>
      <c r="AI114" s="95" t="s">
        <v>4613</v>
      </c>
      <c r="AJ114" s="99"/>
      <c r="AK114" s="100" t="s">
        <v>43</v>
      </c>
      <c r="AL114" s="100" t="s">
        <v>43</v>
      </c>
      <c r="AM114" s="100" t="str">
        <f>IF(AL114&lt;&gt;"No Disp",AK114+12*AL114,"No Disp")</f>
        <v>No Disp</v>
      </c>
      <c r="AN114" s="100" t="s">
        <v>43</v>
      </c>
      <c r="AO114" s="100" t="s">
        <v>43</v>
      </c>
      <c r="AP114" s="100" t="str">
        <f>IF(AO114&lt;&gt;"No Disp",AN114+12*AO114,"No Disp")</f>
        <v>No Disp</v>
      </c>
      <c r="AQ114" s="100" t="s">
        <v>43</v>
      </c>
      <c r="AR114" s="100" t="s">
        <v>43</v>
      </c>
      <c r="AS114" s="100" t="str">
        <f>IF(AR114&lt;&gt;"No Disp",AQ114+12*AR114,"No Disp")</f>
        <v>No Disp</v>
      </c>
    </row>
    <row r="115" spans="1:45" s="101" customFormat="1" x14ac:dyDescent="0.25">
      <c r="A115" s="90" t="s">
        <v>38</v>
      </c>
      <c r="B115" s="90" t="s">
        <v>40</v>
      </c>
      <c r="C115" s="90" t="s">
        <v>39</v>
      </c>
      <c r="D115" s="90" t="s">
        <v>4540</v>
      </c>
      <c r="E115" s="90" t="s">
        <v>4542</v>
      </c>
      <c r="F115" s="91">
        <v>37</v>
      </c>
      <c r="G115" s="92">
        <v>70008695</v>
      </c>
      <c r="H115" s="91">
        <v>70008696</v>
      </c>
      <c r="I115" s="93" t="s">
        <v>63</v>
      </c>
      <c r="J115" s="94" t="s">
        <v>3523</v>
      </c>
      <c r="K115" s="94" t="s">
        <v>964</v>
      </c>
      <c r="L115" s="94" t="s">
        <v>3524</v>
      </c>
      <c r="M115" s="95">
        <v>1049900</v>
      </c>
      <c r="N115" s="95">
        <v>7000</v>
      </c>
      <c r="O115" s="95">
        <v>10000</v>
      </c>
      <c r="P115" s="96">
        <v>0</v>
      </c>
      <c r="Q115" s="152"/>
      <c r="R115" s="95">
        <v>1049900</v>
      </c>
      <c r="S115" s="95">
        <f>R115/24</f>
        <v>43745.833333333336</v>
      </c>
      <c r="T115" s="95">
        <v>1049900</v>
      </c>
      <c r="U115" s="95">
        <f>T115/24</f>
        <v>43745.833333333336</v>
      </c>
      <c r="V115" s="95">
        <v>1049900</v>
      </c>
      <c r="W115" s="95">
        <f>V115/24</f>
        <v>43745.833333333336</v>
      </c>
      <c r="X115" s="128"/>
      <c r="Y115" s="95">
        <v>929900</v>
      </c>
      <c r="Z115" s="95">
        <v>17000</v>
      </c>
      <c r="AA115" s="95">
        <f>IFERROR(IF(D115="Premium",0.4*Y115,0),"No Disp")</f>
        <v>371960</v>
      </c>
      <c r="AB115" s="95">
        <f>IFERROR(IF(4*Y115&gt;AC115,1.5*Y115,4*Y115),"No Disp")</f>
        <v>1394850</v>
      </c>
      <c r="AC115" s="95">
        <f>IF(Z115="No Disp","No Disp",(Z115*18)+Y115)</f>
        <v>1235900</v>
      </c>
      <c r="AD115" s="95">
        <f>18*Z115-100+Y115</f>
        <v>1235800</v>
      </c>
      <c r="AE115" s="95">
        <v>599900</v>
      </c>
      <c r="AF115" s="95">
        <v>30000</v>
      </c>
      <c r="AG115" s="95">
        <f>IF(AF115="No Disp","No Disp",(AF115*18)+AE115)</f>
        <v>1139900</v>
      </c>
      <c r="AH115" s="95">
        <f>18*AF115-100+AE115</f>
        <v>1139800</v>
      </c>
      <c r="AI115" s="95" t="s">
        <v>4613</v>
      </c>
      <c r="AJ115" s="99"/>
      <c r="AK115" s="100" t="s">
        <v>43</v>
      </c>
      <c r="AL115" s="100" t="s">
        <v>43</v>
      </c>
      <c r="AM115" s="100" t="str">
        <f>IF(AL115&lt;&gt;"No Disp",AK115+12*AL115,"No Disp")</f>
        <v>No Disp</v>
      </c>
      <c r="AN115" s="100" t="s">
        <v>43</v>
      </c>
      <c r="AO115" s="100" t="s">
        <v>43</v>
      </c>
      <c r="AP115" s="100" t="str">
        <f>IF(AO115&lt;&gt;"No Disp",AN115+12*AO115,"No Disp")</f>
        <v>No Disp</v>
      </c>
      <c r="AQ115" s="100" t="s">
        <v>43</v>
      </c>
      <c r="AR115" s="100" t="s">
        <v>43</v>
      </c>
      <c r="AS115" s="100" t="str">
        <f>IF(AR115&lt;&gt;"No Disp",AQ115+12*AR115,"No Disp")</f>
        <v>No Disp</v>
      </c>
    </row>
    <row r="116" spans="1:45" s="101" customFormat="1" x14ac:dyDescent="0.25">
      <c r="A116" s="90" t="s">
        <v>38</v>
      </c>
      <c r="B116" s="90" t="s">
        <v>40</v>
      </c>
      <c r="C116" s="90" t="s">
        <v>39</v>
      </c>
      <c r="D116" s="90" t="s">
        <v>4540</v>
      </c>
      <c r="E116" s="90" t="s">
        <v>4542</v>
      </c>
      <c r="F116" s="91">
        <v>38</v>
      </c>
      <c r="G116" s="92">
        <v>70008698</v>
      </c>
      <c r="H116" s="91">
        <v>70008699</v>
      </c>
      <c r="I116" s="93" t="s">
        <v>63</v>
      </c>
      <c r="J116" s="94" t="s">
        <v>3525</v>
      </c>
      <c r="K116" s="94" t="s">
        <v>963</v>
      </c>
      <c r="L116" s="94" t="s">
        <v>3526</v>
      </c>
      <c r="M116" s="95">
        <v>1039900</v>
      </c>
      <c r="N116" s="95">
        <v>7000</v>
      </c>
      <c r="O116" s="95">
        <v>10000</v>
      </c>
      <c r="P116" s="96">
        <v>0</v>
      </c>
      <c r="Q116" s="152"/>
      <c r="R116" s="95">
        <v>1039900</v>
      </c>
      <c r="S116" s="95">
        <f>R116/24</f>
        <v>43329.166666666664</v>
      </c>
      <c r="T116" s="95">
        <v>1039900</v>
      </c>
      <c r="U116" s="95">
        <f>T116/24</f>
        <v>43329.166666666664</v>
      </c>
      <c r="V116" s="95">
        <v>1039900</v>
      </c>
      <c r="W116" s="95">
        <f>V116/24</f>
        <v>43329.166666666664</v>
      </c>
      <c r="X116" s="128"/>
      <c r="Y116" s="95">
        <v>949900</v>
      </c>
      <c r="Z116" s="95">
        <v>22500</v>
      </c>
      <c r="AA116" s="95">
        <f>IFERROR(IF(D116="Premium",0.4*Y116,0),"No Disp")</f>
        <v>379960</v>
      </c>
      <c r="AB116" s="95">
        <f>IFERROR(IF(4*Y116&gt;AC116,1.5*Y116,4*Y116),"No Disp")</f>
        <v>1424850</v>
      </c>
      <c r="AC116" s="95">
        <f>IF(Z116="No Disp","No Disp",(Z116*18)+Y116)</f>
        <v>1354900</v>
      </c>
      <c r="AD116" s="95">
        <f>18*Z116-100+Y116</f>
        <v>1354800</v>
      </c>
      <c r="AE116" s="95">
        <v>149900</v>
      </c>
      <c r="AF116" s="95">
        <v>67000</v>
      </c>
      <c r="AG116" s="95">
        <f>IF(AF116="No Disp","No Disp",(AF116*18)+AE116)</f>
        <v>1355900</v>
      </c>
      <c r="AH116" s="95">
        <f>18*AF116-100+AE116</f>
        <v>1355800</v>
      </c>
      <c r="AI116" s="95" t="s">
        <v>4613</v>
      </c>
      <c r="AJ116" s="99"/>
      <c r="AK116" s="100" t="s">
        <v>43</v>
      </c>
      <c r="AL116" s="100" t="s">
        <v>43</v>
      </c>
      <c r="AM116" s="100" t="str">
        <f>IF(AL116&lt;&gt;"No Disp",AK116+12*AL116,"No Disp")</f>
        <v>No Disp</v>
      </c>
      <c r="AN116" s="100" t="s">
        <v>43</v>
      </c>
      <c r="AO116" s="100" t="s">
        <v>43</v>
      </c>
      <c r="AP116" s="100" t="str">
        <f>IF(AO116&lt;&gt;"No Disp",AN116+12*AO116,"No Disp")</f>
        <v>No Disp</v>
      </c>
      <c r="AQ116" s="100" t="s">
        <v>43</v>
      </c>
      <c r="AR116" s="100" t="s">
        <v>43</v>
      </c>
      <c r="AS116" s="100" t="str">
        <f>IF(AR116&lt;&gt;"No Disp",AQ116+12*AR116,"No Disp")</f>
        <v>No Disp</v>
      </c>
    </row>
    <row r="117" spans="1:45" s="101" customFormat="1" x14ac:dyDescent="0.25">
      <c r="A117" s="90" t="s">
        <v>102</v>
      </c>
      <c r="B117" s="90" t="s">
        <v>40</v>
      </c>
      <c r="C117" s="90" t="s">
        <v>39</v>
      </c>
      <c r="D117" s="90" t="s">
        <v>4540</v>
      </c>
      <c r="E117" s="90" t="s">
        <v>4542</v>
      </c>
      <c r="F117" s="91">
        <v>39</v>
      </c>
      <c r="G117" s="92">
        <v>70008727</v>
      </c>
      <c r="H117" s="91">
        <v>70008738</v>
      </c>
      <c r="I117" s="93" t="s">
        <v>63</v>
      </c>
      <c r="J117" s="94" t="s">
        <v>932</v>
      </c>
      <c r="K117" s="94" t="s">
        <v>962</v>
      </c>
      <c r="L117" s="94" t="s">
        <v>3527</v>
      </c>
      <c r="M117" s="95">
        <v>399900</v>
      </c>
      <c r="N117" s="95">
        <v>6000</v>
      </c>
      <c r="O117" s="95">
        <v>8500</v>
      </c>
      <c r="P117" s="96">
        <v>0</v>
      </c>
      <c r="Q117" s="152"/>
      <c r="R117" s="95">
        <v>399900</v>
      </c>
      <c r="S117" s="95">
        <f>R117/24</f>
        <v>16662.5</v>
      </c>
      <c r="T117" s="95">
        <v>399900</v>
      </c>
      <c r="U117" s="95">
        <f>T117/24</f>
        <v>16662.5</v>
      </c>
      <c r="V117" s="95">
        <v>399900</v>
      </c>
      <c r="W117" s="95">
        <f>V117/24</f>
        <v>16662.5</v>
      </c>
      <c r="X117" s="128"/>
      <c r="Y117" s="95">
        <v>349900</v>
      </c>
      <c r="Z117" s="95">
        <v>18500</v>
      </c>
      <c r="AA117" s="95">
        <f>IFERROR(IF(D117="Premium",0.4*Y117,0),"No Disp")</f>
        <v>139960</v>
      </c>
      <c r="AB117" s="95">
        <f>IFERROR(IF(4*Y117&gt;AC117,1.5*Y117,4*Y117),"No Disp")</f>
        <v>524850</v>
      </c>
      <c r="AC117" s="95">
        <f>IF(Z117="No Disp","No Disp",(Z117*18)+Y117)</f>
        <v>682900</v>
      </c>
      <c r="AD117" s="95">
        <f>18*Z117-100+Y117</f>
        <v>682800</v>
      </c>
      <c r="AE117" s="95">
        <v>69900</v>
      </c>
      <c r="AF117" s="95">
        <v>29000</v>
      </c>
      <c r="AG117" s="95">
        <f>IF(AF117="No Disp","No Disp",(AF117*18)+AE117)</f>
        <v>591900</v>
      </c>
      <c r="AH117" s="95">
        <f>18*AF117-100+AE117</f>
        <v>591800</v>
      </c>
      <c r="AI117" s="95" t="s">
        <v>4613</v>
      </c>
      <c r="AJ117" s="99"/>
      <c r="AK117" s="100" t="s">
        <v>43</v>
      </c>
      <c r="AL117" s="100" t="s">
        <v>43</v>
      </c>
      <c r="AM117" s="100" t="str">
        <f>IF(AL117&lt;&gt;"No Disp",AK117+12*AL117,"No Disp")</f>
        <v>No Disp</v>
      </c>
      <c r="AN117" s="100" t="s">
        <v>43</v>
      </c>
      <c r="AO117" s="100" t="s">
        <v>43</v>
      </c>
      <c r="AP117" s="100" t="str">
        <f>IF(AO117&lt;&gt;"No Disp",AN117+12*AO117,"No Disp")</f>
        <v>No Disp</v>
      </c>
      <c r="AQ117" s="100" t="s">
        <v>43</v>
      </c>
      <c r="AR117" s="100" t="s">
        <v>43</v>
      </c>
      <c r="AS117" s="100" t="str">
        <f>IF(AR117&lt;&gt;"No Disp",AQ117+12*AR117,"No Disp")</f>
        <v>No Disp</v>
      </c>
    </row>
    <row r="118" spans="1:45" s="101" customFormat="1" x14ac:dyDescent="0.25">
      <c r="A118" s="90" t="s">
        <v>102</v>
      </c>
      <c r="B118" s="90" t="s">
        <v>40</v>
      </c>
      <c r="C118" s="90" t="s">
        <v>39</v>
      </c>
      <c r="D118" s="90" t="s">
        <v>4540</v>
      </c>
      <c r="E118" s="90" t="s">
        <v>4542</v>
      </c>
      <c r="F118" s="91">
        <v>40</v>
      </c>
      <c r="G118" s="92">
        <v>70008740</v>
      </c>
      <c r="H118" s="91">
        <v>70008741</v>
      </c>
      <c r="I118" s="93" t="s">
        <v>63</v>
      </c>
      <c r="J118" s="94" t="s">
        <v>3528</v>
      </c>
      <c r="K118" s="94" t="s">
        <v>961</v>
      </c>
      <c r="L118" s="94" t="s">
        <v>3529</v>
      </c>
      <c r="M118" s="95">
        <v>249900</v>
      </c>
      <c r="N118" s="95">
        <v>4000</v>
      </c>
      <c r="O118" s="95">
        <v>6000</v>
      </c>
      <c r="P118" s="96">
        <v>0</v>
      </c>
      <c r="Q118" s="152"/>
      <c r="R118" s="95">
        <v>249900</v>
      </c>
      <c r="S118" s="95">
        <f>R118/24</f>
        <v>10412.5</v>
      </c>
      <c r="T118" s="95">
        <v>249900</v>
      </c>
      <c r="U118" s="95">
        <f>T118/24</f>
        <v>10412.5</v>
      </c>
      <c r="V118" s="95">
        <v>249900</v>
      </c>
      <c r="W118" s="95">
        <f>V118/24</f>
        <v>10412.5</v>
      </c>
      <c r="X118" s="128"/>
      <c r="Y118" s="95">
        <v>479900</v>
      </c>
      <c r="Z118" s="95">
        <v>10000</v>
      </c>
      <c r="AA118" s="95">
        <f>IFERROR(IF(D118="Premium",0.4*Y118,0),"No Disp")</f>
        <v>191960</v>
      </c>
      <c r="AB118" s="95">
        <f>IFERROR(IF(4*Y118&gt;AC118,1.5*Y118,4*Y118),"No Disp")</f>
        <v>719850</v>
      </c>
      <c r="AC118" s="95">
        <f>IF(Z118="No Disp","No Disp",(Z118*18)+Y118)</f>
        <v>659900</v>
      </c>
      <c r="AD118" s="95">
        <f>18*Z118-100+Y118</f>
        <v>659800</v>
      </c>
      <c r="AE118" s="95">
        <v>49900</v>
      </c>
      <c r="AF118" s="95">
        <v>15000</v>
      </c>
      <c r="AG118" s="95">
        <f>IF(AF118="No Disp","No Disp",(AF118*18)+AE118)</f>
        <v>319900</v>
      </c>
      <c r="AH118" s="95">
        <f>18*AF118-100+AE118</f>
        <v>319800</v>
      </c>
      <c r="AI118" s="95" t="s">
        <v>4613</v>
      </c>
      <c r="AJ118" s="99"/>
      <c r="AK118" s="100" t="s">
        <v>43</v>
      </c>
      <c r="AL118" s="100" t="s">
        <v>43</v>
      </c>
      <c r="AM118" s="100" t="str">
        <f>IF(AL118&lt;&gt;"No Disp",AK118+12*AL118,"No Disp")</f>
        <v>No Disp</v>
      </c>
      <c r="AN118" s="100" t="s">
        <v>43</v>
      </c>
      <c r="AO118" s="100" t="s">
        <v>43</v>
      </c>
      <c r="AP118" s="100" t="str">
        <f>IF(AO118&lt;&gt;"No Disp",AN118+12*AO118,"No Disp")</f>
        <v>No Disp</v>
      </c>
      <c r="AQ118" s="100" t="s">
        <v>43</v>
      </c>
      <c r="AR118" s="100" t="s">
        <v>43</v>
      </c>
      <c r="AS118" s="100" t="str">
        <f>IF(AR118&lt;&gt;"No Disp",AQ118+12*AR118,"No Disp")</f>
        <v>No Disp</v>
      </c>
    </row>
    <row r="119" spans="1:45" s="101" customFormat="1" x14ac:dyDescent="0.25">
      <c r="A119" s="90" t="s">
        <v>102</v>
      </c>
      <c r="B119" s="90" t="s">
        <v>39</v>
      </c>
      <c r="C119" s="90" t="s">
        <v>39</v>
      </c>
      <c r="D119" s="90" t="s">
        <v>4540</v>
      </c>
      <c r="E119" s="90" t="s">
        <v>4542</v>
      </c>
      <c r="F119" s="91">
        <v>41</v>
      </c>
      <c r="G119" s="92">
        <v>70008746</v>
      </c>
      <c r="H119" s="91">
        <v>70008747</v>
      </c>
      <c r="I119" s="93" t="s">
        <v>63</v>
      </c>
      <c r="J119" s="94" t="s">
        <v>3530</v>
      </c>
      <c r="K119" s="94" t="s">
        <v>960</v>
      </c>
      <c r="L119" s="94" t="s">
        <v>3531</v>
      </c>
      <c r="M119" s="95">
        <v>99900</v>
      </c>
      <c r="N119" s="95">
        <v>2500</v>
      </c>
      <c r="O119" s="95">
        <v>4000</v>
      </c>
      <c r="P119" s="96">
        <v>0</v>
      </c>
      <c r="Q119" s="152"/>
      <c r="R119" s="95">
        <v>99900</v>
      </c>
      <c r="S119" s="95">
        <f>R119/24</f>
        <v>4162.5</v>
      </c>
      <c r="T119" s="95">
        <v>99900</v>
      </c>
      <c r="U119" s="95">
        <f>T119/24</f>
        <v>4162.5</v>
      </c>
      <c r="V119" s="95">
        <v>99900</v>
      </c>
      <c r="W119" s="95">
        <f>V119/24</f>
        <v>4162.5</v>
      </c>
      <c r="X119" s="128"/>
      <c r="Y119" s="95">
        <v>199900</v>
      </c>
      <c r="Z119" s="95">
        <v>24000</v>
      </c>
      <c r="AA119" s="95">
        <f>IFERROR(IF(D119="Premium",0.4*Y119,0),"No Disp")</f>
        <v>79960</v>
      </c>
      <c r="AB119" s="95">
        <f>IFERROR(IF(4*Y119&gt;AC119,1.5*Y119,4*Y119),"No Disp")</f>
        <v>299850</v>
      </c>
      <c r="AC119" s="95">
        <f>IF(Z119="No Disp","No Disp",(Z119*18)+Y119)</f>
        <v>631900</v>
      </c>
      <c r="AD119" s="95">
        <f>18*Z119-100+Y119</f>
        <v>631800</v>
      </c>
      <c r="AE119" s="95">
        <v>39900</v>
      </c>
      <c r="AF119" s="95">
        <v>6000</v>
      </c>
      <c r="AG119" s="95">
        <f>IF(AF119="No Disp","No Disp",(AF119*18)+AE119)</f>
        <v>147900</v>
      </c>
      <c r="AH119" s="95">
        <f>18*AF119-100+AE119</f>
        <v>147800</v>
      </c>
      <c r="AI119" s="95" t="s">
        <v>4613</v>
      </c>
      <c r="AJ119" s="99"/>
      <c r="AK119" s="100" t="s">
        <v>43</v>
      </c>
      <c r="AL119" s="100" t="s">
        <v>43</v>
      </c>
      <c r="AM119" s="100" t="str">
        <f>IF(AL119&lt;&gt;"No Disp",AK119+12*AL119,"No Disp")</f>
        <v>No Disp</v>
      </c>
      <c r="AN119" s="100" t="s">
        <v>43</v>
      </c>
      <c r="AO119" s="100" t="s">
        <v>43</v>
      </c>
      <c r="AP119" s="100" t="str">
        <f>IF(AO119&lt;&gt;"No Disp",AN119+12*AO119,"No Disp")</f>
        <v>No Disp</v>
      </c>
      <c r="AQ119" s="100" t="s">
        <v>43</v>
      </c>
      <c r="AR119" s="100" t="s">
        <v>43</v>
      </c>
      <c r="AS119" s="100" t="str">
        <f>IF(AR119&lt;&gt;"No Disp",AQ119+12*AR119,"No Disp")</f>
        <v>No Disp</v>
      </c>
    </row>
    <row r="120" spans="1:45" s="101" customFormat="1" x14ac:dyDescent="0.25">
      <c r="A120" s="90" t="s">
        <v>102</v>
      </c>
      <c r="B120" s="90" t="s">
        <v>39</v>
      </c>
      <c r="C120" s="90" t="s">
        <v>40</v>
      </c>
      <c r="D120" s="90" t="s">
        <v>4541</v>
      </c>
      <c r="E120" s="90" t="s">
        <v>4542</v>
      </c>
      <c r="F120" s="91">
        <v>42</v>
      </c>
      <c r="G120" s="92">
        <v>70008794</v>
      </c>
      <c r="H120" s="91">
        <v>70008795</v>
      </c>
      <c r="I120" s="93" t="s">
        <v>46</v>
      </c>
      <c r="J120" s="94" t="s">
        <v>959</v>
      </c>
      <c r="K120" s="94" t="s">
        <v>3532</v>
      </c>
      <c r="L120" s="94" t="s">
        <v>3533</v>
      </c>
      <c r="M120" s="95">
        <v>89900</v>
      </c>
      <c r="N120" s="95">
        <v>2500</v>
      </c>
      <c r="O120" s="95">
        <v>4000</v>
      </c>
      <c r="P120" s="96">
        <v>0</v>
      </c>
      <c r="Q120" s="152"/>
      <c r="R120" s="95">
        <v>89900</v>
      </c>
      <c r="S120" s="95">
        <f>R120/24</f>
        <v>3745.8333333333335</v>
      </c>
      <c r="T120" s="95">
        <v>89900</v>
      </c>
      <c r="U120" s="95">
        <f>T120/24</f>
        <v>3745.8333333333335</v>
      </c>
      <c r="V120" s="95">
        <v>89900</v>
      </c>
      <c r="W120" s="95">
        <f>V120/24</f>
        <v>3745.8333333333335</v>
      </c>
      <c r="X120" s="128"/>
      <c r="Y120" s="95">
        <v>44900</v>
      </c>
      <c r="Z120" s="95">
        <v>4000</v>
      </c>
      <c r="AA120" s="95">
        <f>IFERROR(IF(D120="Premium",0.4*Y120,0),"No Disp")</f>
        <v>0</v>
      </c>
      <c r="AB120" s="95">
        <f>IFERROR(IF(4*Y120&gt;AC120,1.5*Y120,4*Y120),"No Disp")</f>
        <v>67350</v>
      </c>
      <c r="AC120" s="95">
        <f>IF(Z120="No Disp","No Disp",(Z120*18)+Y120)</f>
        <v>116900</v>
      </c>
      <c r="AD120" s="95">
        <f>18*Z120-100+Y120</f>
        <v>116800</v>
      </c>
      <c r="AE120" s="95">
        <v>0</v>
      </c>
      <c r="AF120" s="95">
        <v>5500</v>
      </c>
      <c r="AG120" s="95">
        <f>IF(AF120="No Disp","No Disp",(AF120*18)+AE120)</f>
        <v>99000</v>
      </c>
      <c r="AH120" s="95">
        <f>18*AF120-100+AE120</f>
        <v>98900</v>
      </c>
      <c r="AI120" s="95" t="s">
        <v>4613</v>
      </c>
      <c r="AJ120" s="99"/>
      <c r="AK120" s="100" t="s">
        <v>43</v>
      </c>
      <c r="AL120" s="100" t="s">
        <v>43</v>
      </c>
      <c r="AM120" s="100" t="str">
        <f>IF(AL120&lt;&gt;"No Disp",AK120+12*AL120,"No Disp")</f>
        <v>No Disp</v>
      </c>
      <c r="AN120" s="100" t="s">
        <v>43</v>
      </c>
      <c r="AO120" s="100" t="s">
        <v>43</v>
      </c>
      <c r="AP120" s="100" t="str">
        <f>IF(AO120&lt;&gt;"No Disp",AN120+12*AO120,"No Disp")</f>
        <v>No Disp</v>
      </c>
      <c r="AQ120" s="100" t="s">
        <v>43</v>
      </c>
      <c r="AR120" s="100" t="s">
        <v>43</v>
      </c>
      <c r="AS120" s="100" t="str">
        <f>IF(AR120&lt;&gt;"No Disp",AQ120+12*AR120,"No Disp")</f>
        <v>No Disp</v>
      </c>
    </row>
    <row r="121" spans="1:45" s="101" customFormat="1" x14ac:dyDescent="0.25">
      <c r="A121" s="90" t="s">
        <v>102</v>
      </c>
      <c r="B121" s="90" t="s">
        <v>39</v>
      </c>
      <c r="C121" s="90" t="s">
        <v>40</v>
      </c>
      <c r="D121" s="90" t="s">
        <v>4541</v>
      </c>
      <c r="E121" s="90" t="s">
        <v>4542</v>
      </c>
      <c r="F121" s="91">
        <v>44</v>
      </c>
      <c r="G121" s="92">
        <v>70008839</v>
      </c>
      <c r="H121" s="91">
        <v>70008828</v>
      </c>
      <c r="I121" s="93" t="s">
        <v>131</v>
      </c>
      <c r="J121" s="94" t="s">
        <v>3534</v>
      </c>
      <c r="K121" s="94" t="s">
        <v>958</v>
      </c>
      <c r="L121" s="94" t="s">
        <v>3535</v>
      </c>
      <c r="M121" s="95">
        <v>99900</v>
      </c>
      <c r="N121" s="95">
        <v>2500</v>
      </c>
      <c r="O121" s="95">
        <v>4000</v>
      </c>
      <c r="P121" s="96">
        <v>0</v>
      </c>
      <c r="Q121" s="152"/>
      <c r="R121" s="95">
        <v>99900</v>
      </c>
      <c r="S121" s="95">
        <f>R121/24</f>
        <v>4162.5</v>
      </c>
      <c r="T121" s="95">
        <v>99900</v>
      </c>
      <c r="U121" s="95">
        <f>T121/24</f>
        <v>4162.5</v>
      </c>
      <c r="V121" s="95">
        <v>99900</v>
      </c>
      <c r="W121" s="95">
        <f>V121/24</f>
        <v>4162.5</v>
      </c>
      <c r="X121" s="128"/>
      <c r="Y121" s="95">
        <v>49900</v>
      </c>
      <c r="Z121" s="95">
        <v>4000</v>
      </c>
      <c r="AA121" s="95">
        <f>IFERROR(IF(D121="Premium",0.4*Y121,0),"No Disp")</f>
        <v>0</v>
      </c>
      <c r="AB121" s="95">
        <f>IFERROR(IF(4*Y121&gt;AC121,1.5*Y121,4*Y121),"No Disp")</f>
        <v>74850</v>
      </c>
      <c r="AC121" s="95">
        <f>IF(Z121="No Disp","No Disp",(Z121*18)+Y121)</f>
        <v>121900</v>
      </c>
      <c r="AD121" s="95">
        <f>18*Z121-100+Y121</f>
        <v>121800</v>
      </c>
      <c r="AE121" s="95">
        <v>0</v>
      </c>
      <c r="AF121" s="95">
        <v>6000</v>
      </c>
      <c r="AG121" s="95">
        <f>IF(AF121="No Disp","No Disp",(AF121*18)+AE121)</f>
        <v>108000</v>
      </c>
      <c r="AH121" s="95">
        <f>18*AF121-100+AE121</f>
        <v>107900</v>
      </c>
      <c r="AI121" s="95" t="s">
        <v>4613</v>
      </c>
      <c r="AJ121" s="99"/>
      <c r="AK121" s="100" t="s">
        <v>43</v>
      </c>
      <c r="AL121" s="100" t="s">
        <v>43</v>
      </c>
      <c r="AM121" s="100" t="str">
        <f>IF(AL121&lt;&gt;"No Disp",AK121+12*AL121,"No Disp")</f>
        <v>No Disp</v>
      </c>
      <c r="AN121" s="100" t="s">
        <v>43</v>
      </c>
      <c r="AO121" s="100" t="s">
        <v>43</v>
      </c>
      <c r="AP121" s="100" t="str">
        <f>IF(AO121&lt;&gt;"No Disp",AN121+12*AO121,"No Disp")</f>
        <v>No Disp</v>
      </c>
      <c r="AQ121" s="100" t="s">
        <v>43</v>
      </c>
      <c r="AR121" s="100" t="s">
        <v>43</v>
      </c>
      <c r="AS121" s="100" t="str">
        <f>IF(AR121&lt;&gt;"No Disp",AQ121+12*AR121,"No Disp")</f>
        <v>No Disp</v>
      </c>
    </row>
    <row r="122" spans="1:45" s="101" customFormat="1" x14ac:dyDescent="0.25">
      <c r="A122" s="90" t="s">
        <v>102</v>
      </c>
      <c r="B122" s="90" t="s">
        <v>39</v>
      </c>
      <c r="C122" s="90" t="s">
        <v>40</v>
      </c>
      <c r="D122" s="90" t="s">
        <v>4541</v>
      </c>
      <c r="E122" s="90" t="s">
        <v>4542</v>
      </c>
      <c r="F122" s="91">
        <v>43</v>
      </c>
      <c r="G122" s="92">
        <v>70008833</v>
      </c>
      <c r="H122" s="91">
        <v>70008834</v>
      </c>
      <c r="I122" s="93" t="s">
        <v>46</v>
      </c>
      <c r="J122" s="94" t="s">
        <v>3536</v>
      </c>
      <c r="K122" s="94" t="s">
        <v>3537</v>
      </c>
      <c r="L122" s="94" t="s">
        <v>3538</v>
      </c>
      <c r="M122" s="95">
        <v>104900</v>
      </c>
      <c r="N122" s="95">
        <v>2500</v>
      </c>
      <c r="O122" s="95">
        <v>4000</v>
      </c>
      <c r="P122" s="96">
        <v>0</v>
      </c>
      <c r="Q122" s="152"/>
      <c r="R122" s="95">
        <v>104900</v>
      </c>
      <c r="S122" s="95">
        <f>R122/24</f>
        <v>4370.833333333333</v>
      </c>
      <c r="T122" s="95">
        <v>104900</v>
      </c>
      <c r="U122" s="95">
        <f>T122/24</f>
        <v>4370.833333333333</v>
      </c>
      <c r="V122" s="95">
        <v>104900</v>
      </c>
      <c r="W122" s="95">
        <f>V122/24</f>
        <v>4370.833333333333</v>
      </c>
      <c r="X122" s="128"/>
      <c r="Y122" s="95">
        <v>49900</v>
      </c>
      <c r="Z122" s="95">
        <v>4000</v>
      </c>
      <c r="AA122" s="95">
        <f>IFERROR(IF(D122="Premium",0.4*Y122,0),"No Disp")</f>
        <v>0</v>
      </c>
      <c r="AB122" s="95">
        <f>IFERROR(IF(4*Y122&gt;AC122,1.5*Y122,4*Y122),"No Disp")</f>
        <v>74850</v>
      </c>
      <c r="AC122" s="95">
        <f>IF(Z122="No Disp","No Disp",(Z122*18)+Y122)</f>
        <v>121900</v>
      </c>
      <c r="AD122" s="95">
        <f>18*Z122-100+Y122</f>
        <v>121800</v>
      </c>
      <c r="AE122" s="95">
        <v>0</v>
      </c>
      <c r="AF122" s="95">
        <v>6000</v>
      </c>
      <c r="AG122" s="95">
        <f>IF(AF122="No Disp","No Disp",(AF122*18)+AE122)</f>
        <v>108000</v>
      </c>
      <c r="AH122" s="95">
        <f>18*AF122-100+AE122</f>
        <v>107900</v>
      </c>
      <c r="AI122" s="95" t="s">
        <v>4613</v>
      </c>
      <c r="AJ122" s="99"/>
      <c r="AK122" s="100" t="s">
        <v>43</v>
      </c>
      <c r="AL122" s="100" t="s">
        <v>43</v>
      </c>
      <c r="AM122" s="100" t="str">
        <f>IF(AL122&lt;&gt;"No Disp",AK122+12*AL122,"No Disp")</f>
        <v>No Disp</v>
      </c>
      <c r="AN122" s="100" t="s">
        <v>43</v>
      </c>
      <c r="AO122" s="100" t="s">
        <v>43</v>
      </c>
      <c r="AP122" s="100" t="str">
        <f>IF(AO122&lt;&gt;"No Disp",AN122+12*AO122,"No Disp")</f>
        <v>No Disp</v>
      </c>
      <c r="AQ122" s="100" t="s">
        <v>43</v>
      </c>
      <c r="AR122" s="100" t="s">
        <v>43</v>
      </c>
      <c r="AS122" s="100" t="str">
        <f>IF(AR122&lt;&gt;"No Disp",AQ122+12*AR122,"No Disp")</f>
        <v>No Disp</v>
      </c>
    </row>
    <row r="123" spans="1:45" s="101" customFormat="1" x14ac:dyDescent="0.25">
      <c r="A123" s="90" t="s">
        <v>38</v>
      </c>
      <c r="B123" s="90" t="s">
        <v>40</v>
      </c>
      <c r="C123" s="90" t="s">
        <v>40</v>
      </c>
      <c r="D123" s="90" t="s">
        <v>4540</v>
      </c>
      <c r="E123" s="90" t="s">
        <v>4542</v>
      </c>
      <c r="F123" s="91">
        <v>45</v>
      </c>
      <c r="G123" s="92">
        <v>70008847</v>
      </c>
      <c r="H123" s="91">
        <v>70008858</v>
      </c>
      <c r="I123" s="93" t="s">
        <v>46</v>
      </c>
      <c r="J123" s="94" t="s">
        <v>3539</v>
      </c>
      <c r="K123" s="94" t="s">
        <v>957</v>
      </c>
      <c r="L123" s="94" t="s">
        <v>3540</v>
      </c>
      <c r="M123" s="95">
        <v>1199900</v>
      </c>
      <c r="N123" s="95">
        <v>9500</v>
      </c>
      <c r="O123" s="95">
        <v>13500</v>
      </c>
      <c r="P123" s="96">
        <v>0</v>
      </c>
      <c r="Q123" s="152"/>
      <c r="R123" s="95">
        <v>1199900</v>
      </c>
      <c r="S123" s="95">
        <f>R123/24</f>
        <v>49995.833333333336</v>
      </c>
      <c r="T123" s="95">
        <v>1199900</v>
      </c>
      <c r="U123" s="95">
        <f>T123/24</f>
        <v>49995.833333333336</v>
      </c>
      <c r="V123" s="95">
        <v>1199900</v>
      </c>
      <c r="W123" s="95">
        <f>V123/24</f>
        <v>49995.833333333336</v>
      </c>
      <c r="X123" s="128"/>
      <c r="Y123" s="95">
        <v>879900</v>
      </c>
      <c r="Z123" s="95">
        <v>15500</v>
      </c>
      <c r="AA123" s="95">
        <f>IFERROR(IF(D123="Premium",0.4*Y123,0),"No Disp")</f>
        <v>351960</v>
      </c>
      <c r="AB123" s="95">
        <f>IFERROR(IF(4*Y123&gt;AC123,1.5*Y123,4*Y123),"No Disp")</f>
        <v>1319850</v>
      </c>
      <c r="AC123" s="95">
        <f>IF(Z123="No Disp","No Disp",(Z123*18)+Y123)</f>
        <v>1158900</v>
      </c>
      <c r="AD123" s="95">
        <f>18*Z123-100+Y123</f>
        <v>1158800</v>
      </c>
      <c r="AE123" s="95">
        <v>599900</v>
      </c>
      <c r="AF123" s="95">
        <v>27000</v>
      </c>
      <c r="AG123" s="95">
        <f>IF(AF123="No Disp","No Disp",(AF123*18)+AE123)</f>
        <v>1085900</v>
      </c>
      <c r="AH123" s="95">
        <f>18*AF123-100+AE123</f>
        <v>1085800</v>
      </c>
      <c r="AI123" s="95" t="s">
        <v>4613</v>
      </c>
      <c r="AJ123" s="99"/>
      <c r="AK123" s="100" t="s">
        <v>43</v>
      </c>
      <c r="AL123" s="100" t="s">
        <v>43</v>
      </c>
      <c r="AM123" s="100" t="str">
        <f>IF(AL123&lt;&gt;"No Disp",AK123+12*AL123,"No Disp")</f>
        <v>No Disp</v>
      </c>
      <c r="AN123" s="100" t="s">
        <v>43</v>
      </c>
      <c r="AO123" s="100" t="s">
        <v>43</v>
      </c>
      <c r="AP123" s="100" t="str">
        <f>IF(AO123&lt;&gt;"No Disp",AN123+12*AO123,"No Disp")</f>
        <v>No Disp</v>
      </c>
      <c r="AQ123" s="100" t="s">
        <v>43</v>
      </c>
      <c r="AR123" s="100" t="s">
        <v>43</v>
      </c>
      <c r="AS123" s="100" t="str">
        <f>IF(AR123&lt;&gt;"No Disp",AQ123+12*AR123,"No Disp")</f>
        <v>No Disp</v>
      </c>
    </row>
    <row r="124" spans="1:45" s="101" customFormat="1" x14ac:dyDescent="0.25">
      <c r="A124" s="90" t="s">
        <v>38</v>
      </c>
      <c r="B124" s="90" t="s">
        <v>40</v>
      </c>
      <c r="C124" s="90" t="s">
        <v>40</v>
      </c>
      <c r="D124" s="90" t="s">
        <v>4540</v>
      </c>
      <c r="E124" s="90" t="s">
        <v>4542</v>
      </c>
      <c r="F124" s="91">
        <v>46</v>
      </c>
      <c r="G124" s="92">
        <v>70008860</v>
      </c>
      <c r="H124" s="91">
        <v>70008861</v>
      </c>
      <c r="I124" s="93" t="s">
        <v>46</v>
      </c>
      <c r="J124" s="94" t="s">
        <v>3541</v>
      </c>
      <c r="K124" s="94" t="s">
        <v>956</v>
      </c>
      <c r="L124" s="94" t="s">
        <v>3542</v>
      </c>
      <c r="M124" s="95">
        <v>799900</v>
      </c>
      <c r="N124" s="95">
        <v>6000</v>
      </c>
      <c r="O124" s="95">
        <v>8500</v>
      </c>
      <c r="P124" s="96">
        <v>0</v>
      </c>
      <c r="Q124" s="152"/>
      <c r="R124" s="95">
        <v>799900</v>
      </c>
      <c r="S124" s="95">
        <f>R124/24</f>
        <v>33329.166666666664</v>
      </c>
      <c r="T124" s="95">
        <v>799900</v>
      </c>
      <c r="U124" s="95">
        <f>T124/24</f>
        <v>33329.166666666664</v>
      </c>
      <c r="V124" s="95">
        <v>799900</v>
      </c>
      <c r="W124" s="95">
        <f>V124/24</f>
        <v>33329.166666666664</v>
      </c>
      <c r="X124" s="128"/>
      <c r="Y124" s="95">
        <v>428900</v>
      </c>
      <c r="Z124" s="95">
        <v>18000</v>
      </c>
      <c r="AA124" s="95">
        <f>IFERROR(IF(D124="Premium",0.4*Y124,0),"No Disp")</f>
        <v>171560</v>
      </c>
      <c r="AB124" s="95">
        <f>IFERROR(IF(4*Y124&gt;AC124,1.5*Y124,4*Y124),"No Disp")</f>
        <v>643350</v>
      </c>
      <c r="AC124" s="95">
        <f>IF(Z124="No Disp","No Disp",(Z124*18)+Y124)</f>
        <v>752900</v>
      </c>
      <c r="AD124" s="95">
        <f>18*Z124-100+Y124</f>
        <v>752800</v>
      </c>
      <c r="AE124" s="95">
        <v>329900</v>
      </c>
      <c r="AF124" s="95">
        <v>22000</v>
      </c>
      <c r="AG124" s="95">
        <f>IF(AF124="No Disp","No Disp",(AF124*18)+AE124)</f>
        <v>725900</v>
      </c>
      <c r="AH124" s="95">
        <f>18*AF124-100+AE124</f>
        <v>725800</v>
      </c>
      <c r="AI124" s="95" t="s">
        <v>4613</v>
      </c>
      <c r="AJ124" s="99"/>
      <c r="AK124" s="100" t="s">
        <v>43</v>
      </c>
      <c r="AL124" s="100" t="s">
        <v>43</v>
      </c>
      <c r="AM124" s="100" t="str">
        <f>IF(AL124&lt;&gt;"No Disp",AK124+12*AL124,"No Disp")</f>
        <v>No Disp</v>
      </c>
      <c r="AN124" s="100" t="s">
        <v>43</v>
      </c>
      <c r="AO124" s="100" t="s">
        <v>43</v>
      </c>
      <c r="AP124" s="100" t="str">
        <f>IF(AO124&lt;&gt;"No Disp",AN124+12*AO124,"No Disp")</f>
        <v>No Disp</v>
      </c>
      <c r="AQ124" s="100" t="s">
        <v>43</v>
      </c>
      <c r="AR124" s="100" t="s">
        <v>43</v>
      </c>
      <c r="AS124" s="100" t="str">
        <f>IF(AR124&lt;&gt;"No Disp",AQ124+12*AR124,"No Disp")</f>
        <v>No Disp</v>
      </c>
    </row>
    <row r="125" spans="1:45" s="101" customFormat="1" x14ac:dyDescent="0.25">
      <c r="A125" s="90" t="s">
        <v>102</v>
      </c>
      <c r="B125" s="90" t="s">
        <v>39</v>
      </c>
      <c r="C125" s="90" t="s">
        <v>40</v>
      </c>
      <c r="D125" s="90" t="s">
        <v>4541</v>
      </c>
      <c r="E125" s="90" t="s">
        <v>4542</v>
      </c>
      <c r="F125" s="91">
        <v>47</v>
      </c>
      <c r="G125" s="92">
        <v>70008867</v>
      </c>
      <c r="H125" s="91">
        <v>70008868</v>
      </c>
      <c r="I125" s="93" t="s">
        <v>46</v>
      </c>
      <c r="J125" s="94" t="s">
        <v>901</v>
      </c>
      <c r="K125" s="94" t="s">
        <v>955</v>
      </c>
      <c r="L125" s="94" t="s">
        <v>3543</v>
      </c>
      <c r="M125" s="95">
        <v>139900</v>
      </c>
      <c r="N125" s="95">
        <v>2500</v>
      </c>
      <c r="O125" s="95">
        <v>4000</v>
      </c>
      <c r="P125" s="96">
        <v>0</v>
      </c>
      <c r="Q125" s="152"/>
      <c r="R125" s="95">
        <v>139900</v>
      </c>
      <c r="S125" s="95">
        <f>R125/24</f>
        <v>5829.166666666667</v>
      </c>
      <c r="T125" s="95">
        <v>139900</v>
      </c>
      <c r="U125" s="95">
        <f>T125/24</f>
        <v>5829.166666666667</v>
      </c>
      <c r="V125" s="95">
        <v>139900</v>
      </c>
      <c r="W125" s="95">
        <f>V125/24</f>
        <v>5829.166666666667</v>
      </c>
      <c r="X125" s="128"/>
      <c r="Y125" s="95">
        <v>59900</v>
      </c>
      <c r="Z125" s="95">
        <v>5500</v>
      </c>
      <c r="AA125" s="95">
        <f>IFERROR(IF(D125="Premium",0.4*Y125,0),"No Disp")</f>
        <v>0</v>
      </c>
      <c r="AB125" s="95">
        <f>IFERROR(IF(4*Y125&gt;AC125,1.5*Y125,4*Y125),"No Disp")</f>
        <v>89850</v>
      </c>
      <c r="AC125" s="95">
        <f>IF(Z125="No Disp","No Disp",(Z125*18)+Y125)</f>
        <v>158900</v>
      </c>
      <c r="AD125" s="95">
        <f>18*Z125-100+Y125</f>
        <v>158800</v>
      </c>
      <c r="AE125" s="95">
        <v>0</v>
      </c>
      <c r="AF125" s="95">
        <v>7500</v>
      </c>
      <c r="AG125" s="95">
        <f>IF(AF125="No Disp","No Disp",(AF125*18)+AE125)</f>
        <v>135000</v>
      </c>
      <c r="AH125" s="95">
        <f>18*AF125-100+AE125</f>
        <v>134900</v>
      </c>
      <c r="AI125" s="95" t="s">
        <v>4613</v>
      </c>
      <c r="AJ125" s="99"/>
      <c r="AK125" s="100" t="s">
        <v>43</v>
      </c>
      <c r="AL125" s="100" t="s">
        <v>43</v>
      </c>
      <c r="AM125" s="100" t="str">
        <f>IF(AL125&lt;&gt;"No Disp",AK125+12*AL125,"No Disp")</f>
        <v>No Disp</v>
      </c>
      <c r="AN125" s="100" t="s">
        <v>43</v>
      </c>
      <c r="AO125" s="100" t="s">
        <v>43</v>
      </c>
      <c r="AP125" s="100" t="str">
        <f>IF(AO125&lt;&gt;"No Disp",AN125+12*AO125,"No Disp")</f>
        <v>No Disp</v>
      </c>
      <c r="AQ125" s="100" t="s">
        <v>43</v>
      </c>
      <c r="AR125" s="100" t="s">
        <v>43</v>
      </c>
      <c r="AS125" s="100" t="str">
        <f>IF(AR125&lt;&gt;"No Disp",AQ125+12*AR125,"No Disp")</f>
        <v>No Disp</v>
      </c>
    </row>
    <row r="126" spans="1:45" s="101" customFormat="1" x14ac:dyDescent="0.25">
      <c r="A126" s="90" t="s">
        <v>102</v>
      </c>
      <c r="B126" s="90" t="s">
        <v>39</v>
      </c>
      <c r="C126" s="90" t="s">
        <v>40</v>
      </c>
      <c r="D126" s="90" t="s">
        <v>4537</v>
      </c>
      <c r="E126" s="90" t="s">
        <v>4542</v>
      </c>
      <c r="F126" s="91">
        <v>48</v>
      </c>
      <c r="G126" s="92">
        <v>70008903</v>
      </c>
      <c r="H126" s="91">
        <v>70008904</v>
      </c>
      <c r="I126" s="93" t="s">
        <v>46</v>
      </c>
      <c r="J126" s="94" t="s">
        <v>3544</v>
      </c>
      <c r="K126" s="94" t="s">
        <v>954</v>
      </c>
      <c r="L126" s="183" t="s">
        <v>3545</v>
      </c>
      <c r="M126" s="95">
        <v>199900</v>
      </c>
      <c r="N126" s="95">
        <v>2500</v>
      </c>
      <c r="O126" s="95">
        <v>4000</v>
      </c>
      <c r="P126" s="96">
        <v>0</v>
      </c>
      <c r="Q126" s="152"/>
      <c r="R126" s="95">
        <v>199900</v>
      </c>
      <c r="S126" s="95">
        <f>R126/24</f>
        <v>8329.1666666666661</v>
      </c>
      <c r="T126" s="95">
        <v>199900</v>
      </c>
      <c r="U126" s="95">
        <f>T126/24</f>
        <v>8329.1666666666661</v>
      </c>
      <c r="V126" s="95">
        <v>199900</v>
      </c>
      <c r="W126" s="95">
        <f>V126/24</f>
        <v>8329.1666666666661</v>
      </c>
      <c r="X126" s="128"/>
      <c r="Y126" s="95">
        <v>99900</v>
      </c>
      <c r="Z126" s="95">
        <v>9000</v>
      </c>
      <c r="AA126" s="95">
        <f>IFERROR(IF(D126="Premium",0.4*Y126,0),"No Disp")</f>
        <v>0</v>
      </c>
      <c r="AB126" s="95">
        <f>IFERROR(IF(4*Y126&gt;AC126,1.5*Y126,4*Y126),"No Disp")</f>
        <v>149850</v>
      </c>
      <c r="AC126" s="95">
        <f>IF(Z126="No Disp","No Disp",(Z126*18)+Y126)</f>
        <v>261900</v>
      </c>
      <c r="AD126" s="95">
        <f>18*Z126-100+Y126</f>
        <v>261800</v>
      </c>
      <c r="AE126" s="95">
        <v>0</v>
      </c>
      <c r="AF126" s="95">
        <v>13000</v>
      </c>
      <c r="AG126" s="95">
        <f>IF(AF126="No Disp","No Disp",(AF126*18)+AE126)</f>
        <v>234000</v>
      </c>
      <c r="AH126" s="95">
        <f>18*AF126-100+AE126</f>
        <v>233900</v>
      </c>
      <c r="AI126" s="95" t="s">
        <v>4613</v>
      </c>
      <c r="AJ126" s="99"/>
      <c r="AK126" s="100" t="s">
        <v>43</v>
      </c>
      <c r="AL126" s="100" t="s">
        <v>43</v>
      </c>
      <c r="AM126" s="100" t="str">
        <f>IF(AL126&lt;&gt;"No Disp",AK126+12*AL126,"No Disp")</f>
        <v>No Disp</v>
      </c>
      <c r="AN126" s="100" t="s">
        <v>43</v>
      </c>
      <c r="AO126" s="100" t="s">
        <v>43</v>
      </c>
      <c r="AP126" s="100" t="str">
        <f>IF(AO126&lt;&gt;"No Disp",AN126+12*AO126,"No Disp")</f>
        <v>No Disp</v>
      </c>
      <c r="AQ126" s="100" t="s">
        <v>43</v>
      </c>
      <c r="AR126" s="100" t="s">
        <v>43</v>
      </c>
      <c r="AS126" s="100" t="str">
        <f>IF(AR126&lt;&gt;"No Disp",AQ126+12*AR126,"No Disp")</f>
        <v>No Disp</v>
      </c>
    </row>
    <row r="127" spans="1:45" s="101" customFormat="1" x14ac:dyDescent="0.25">
      <c r="A127" s="90" t="s">
        <v>102</v>
      </c>
      <c r="B127" s="90" t="s">
        <v>39</v>
      </c>
      <c r="C127" s="90" t="s">
        <v>40</v>
      </c>
      <c r="D127" s="90" t="s">
        <v>4537</v>
      </c>
      <c r="E127" s="90" t="s">
        <v>4542</v>
      </c>
      <c r="F127" s="91">
        <v>51</v>
      </c>
      <c r="G127" s="92">
        <v>70008933</v>
      </c>
      <c r="H127" s="91">
        <v>70008906</v>
      </c>
      <c r="I127" s="93" t="s">
        <v>229</v>
      </c>
      <c r="J127" s="94" t="s">
        <v>891</v>
      </c>
      <c r="K127" s="94" t="s">
        <v>951</v>
      </c>
      <c r="L127" s="94" t="s">
        <v>3546</v>
      </c>
      <c r="M127" s="95">
        <v>39900</v>
      </c>
      <c r="N127" s="95">
        <v>2500</v>
      </c>
      <c r="O127" s="95">
        <v>4000</v>
      </c>
      <c r="P127" s="96">
        <v>0</v>
      </c>
      <c r="Q127" s="152"/>
      <c r="R127" s="95">
        <v>39900</v>
      </c>
      <c r="S127" s="95">
        <f>R127/24</f>
        <v>1662.5</v>
      </c>
      <c r="T127" s="95">
        <v>39900</v>
      </c>
      <c r="U127" s="95">
        <f>T127/24</f>
        <v>1662.5</v>
      </c>
      <c r="V127" s="95">
        <v>39900</v>
      </c>
      <c r="W127" s="95">
        <f>V127/24</f>
        <v>1662.5</v>
      </c>
      <c r="X127" s="128"/>
      <c r="Y127" s="95">
        <v>19900</v>
      </c>
      <c r="Z127" s="95">
        <v>2500</v>
      </c>
      <c r="AA127" s="95">
        <f>IFERROR(IF(D127="Premium",0.4*Y127,0),"No Disp")</f>
        <v>0</v>
      </c>
      <c r="AB127" s="95">
        <f>IFERROR(IF(4*Y127&gt;AC127,1.5*Y127,4*Y127),"No Disp")</f>
        <v>29850</v>
      </c>
      <c r="AC127" s="95">
        <f>IF(Z127="No Disp","No Disp",(Z127*18)+Y127)</f>
        <v>64900</v>
      </c>
      <c r="AD127" s="95">
        <f>18*Z127-100+Y127</f>
        <v>64800</v>
      </c>
      <c r="AE127" s="95">
        <v>19900</v>
      </c>
      <c r="AF127" s="95">
        <v>2000</v>
      </c>
      <c r="AG127" s="95">
        <f>IF(AF127="No Disp","No Disp",(AF127*18)+AE127)</f>
        <v>55900</v>
      </c>
      <c r="AH127" s="95">
        <f>18*AF127-100+AE127</f>
        <v>55800</v>
      </c>
      <c r="AI127" s="95" t="s">
        <v>4613</v>
      </c>
      <c r="AJ127" s="99"/>
      <c r="AK127" s="100" t="s">
        <v>43</v>
      </c>
      <c r="AL127" s="100" t="s">
        <v>43</v>
      </c>
      <c r="AM127" s="100" t="str">
        <f>IF(AL127&lt;&gt;"No Disp",AK127+12*AL127,"No Disp")</f>
        <v>No Disp</v>
      </c>
      <c r="AN127" s="100" t="s">
        <v>43</v>
      </c>
      <c r="AO127" s="100" t="s">
        <v>43</v>
      </c>
      <c r="AP127" s="100" t="str">
        <f>IF(AO127&lt;&gt;"No Disp",AN127+12*AO127,"No Disp")</f>
        <v>No Disp</v>
      </c>
      <c r="AQ127" s="100" t="s">
        <v>43</v>
      </c>
      <c r="AR127" s="100" t="s">
        <v>43</v>
      </c>
      <c r="AS127" s="100" t="str">
        <f>IF(AR127&lt;&gt;"No Disp",AQ127+12*AR127,"No Disp")</f>
        <v>No Disp</v>
      </c>
    </row>
    <row r="128" spans="1:45" s="101" customFormat="1" x14ac:dyDescent="0.25">
      <c r="A128" s="90" t="s">
        <v>102</v>
      </c>
      <c r="B128" s="90" t="s">
        <v>39</v>
      </c>
      <c r="C128" s="90" t="s">
        <v>40</v>
      </c>
      <c r="D128" s="90" t="s">
        <v>4541</v>
      </c>
      <c r="E128" s="90" t="s">
        <v>4542</v>
      </c>
      <c r="F128" s="91">
        <v>49</v>
      </c>
      <c r="G128" s="92">
        <v>70008928</v>
      </c>
      <c r="H128" s="91">
        <v>70008929</v>
      </c>
      <c r="I128" s="93" t="s">
        <v>229</v>
      </c>
      <c r="J128" s="94" t="s">
        <v>3547</v>
      </c>
      <c r="K128" s="94" t="s">
        <v>953</v>
      </c>
      <c r="L128" s="94" t="s">
        <v>3548</v>
      </c>
      <c r="M128" s="95">
        <v>59900</v>
      </c>
      <c r="N128" s="95">
        <v>2500</v>
      </c>
      <c r="O128" s="95">
        <v>4000</v>
      </c>
      <c r="P128" s="96">
        <v>0</v>
      </c>
      <c r="Q128" s="152"/>
      <c r="R128" s="95">
        <v>59900</v>
      </c>
      <c r="S128" s="95">
        <f>R128/24</f>
        <v>2495.8333333333335</v>
      </c>
      <c r="T128" s="95">
        <v>59900</v>
      </c>
      <c r="U128" s="95">
        <f>T128/24</f>
        <v>2495.8333333333335</v>
      </c>
      <c r="V128" s="95">
        <v>59900</v>
      </c>
      <c r="W128" s="95">
        <f>V128/24</f>
        <v>2495.8333333333335</v>
      </c>
      <c r="X128" s="128"/>
      <c r="Y128" s="95">
        <v>49900</v>
      </c>
      <c r="Z128" s="95">
        <v>6000</v>
      </c>
      <c r="AA128" s="95">
        <f>IFERROR(IF(D128="Premium",0.4*Y128,0),"No Disp")</f>
        <v>0</v>
      </c>
      <c r="AB128" s="95">
        <f>IFERROR(IF(4*Y128&gt;AC128,1.5*Y128,4*Y128),"No Disp")</f>
        <v>74850</v>
      </c>
      <c r="AC128" s="95">
        <f>IF(Z128="No Disp","No Disp",(Z128*18)+Y128)</f>
        <v>157900</v>
      </c>
      <c r="AD128" s="95">
        <f>18*Z128-100+Y128</f>
        <v>157800</v>
      </c>
      <c r="AE128" s="95">
        <v>19900</v>
      </c>
      <c r="AF128" s="95">
        <v>6000</v>
      </c>
      <c r="AG128" s="95">
        <f>IF(AF128="No Disp","No Disp",(AF128*18)+AE128)</f>
        <v>127900</v>
      </c>
      <c r="AH128" s="95">
        <f>18*AF128-100+AE128</f>
        <v>127800</v>
      </c>
      <c r="AI128" s="95" t="s">
        <v>4613</v>
      </c>
      <c r="AJ128" s="99"/>
      <c r="AK128" s="100" t="s">
        <v>43</v>
      </c>
      <c r="AL128" s="100" t="s">
        <v>43</v>
      </c>
      <c r="AM128" s="100" t="str">
        <f>IF(AL128&lt;&gt;"No Disp",AK128+12*AL128,"No Disp")</f>
        <v>No Disp</v>
      </c>
      <c r="AN128" s="100" t="s">
        <v>43</v>
      </c>
      <c r="AO128" s="100" t="s">
        <v>43</v>
      </c>
      <c r="AP128" s="100" t="str">
        <f>IF(AO128&lt;&gt;"No Disp",AN128+12*AO128,"No Disp")</f>
        <v>No Disp</v>
      </c>
      <c r="AQ128" s="100" t="s">
        <v>43</v>
      </c>
      <c r="AR128" s="100" t="s">
        <v>43</v>
      </c>
      <c r="AS128" s="100" t="str">
        <f>IF(AR128&lt;&gt;"No Disp",AQ128+12*AR128,"No Disp")</f>
        <v>No Disp</v>
      </c>
    </row>
    <row r="129" spans="1:45" s="101" customFormat="1" x14ac:dyDescent="0.25">
      <c r="A129" s="90" t="s">
        <v>38</v>
      </c>
      <c r="B129" s="90" t="s">
        <v>40</v>
      </c>
      <c r="C129" s="90" t="s">
        <v>40</v>
      </c>
      <c r="D129" s="90" t="s">
        <v>4539</v>
      </c>
      <c r="E129" s="90" t="s">
        <v>4542</v>
      </c>
      <c r="F129" s="91">
        <v>50</v>
      </c>
      <c r="G129" s="92">
        <v>70008931</v>
      </c>
      <c r="H129" s="91">
        <v>70008932</v>
      </c>
      <c r="I129" s="93" t="s">
        <v>131</v>
      </c>
      <c r="J129" s="94" t="s">
        <v>3549</v>
      </c>
      <c r="K129" s="94" t="s">
        <v>952</v>
      </c>
      <c r="L129" s="94" t="s">
        <v>3550</v>
      </c>
      <c r="M129" s="95">
        <v>549900</v>
      </c>
      <c r="N129" s="95">
        <v>6000</v>
      </c>
      <c r="O129" s="95">
        <v>8500</v>
      </c>
      <c r="P129" s="96">
        <v>0</v>
      </c>
      <c r="Q129" s="152"/>
      <c r="R129" s="95">
        <v>549900</v>
      </c>
      <c r="S129" s="95">
        <f>R129/24</f>
        <v>22912.5</v>
      </c>
      <c r="T129" s="95">
        <v>549900</v>
      </c>
      <c r="U129" s="95">
        <f>T129/24</f>
        <v>22912.5</v>
      </c>
      <c r="V129" s="95">
        <v>549900</v>
      </c>
      <c r="W129" s="95">
        <f>V129/24</f>
        <v>22912.5</v>
      </c>
      <c r="X129" s="128"/>
      <c r="Y129" s="95">
        <v>429900</v>
      </c>
      <c r="Z129" s="95">
        <v>17000</v>
      </c>
      <c r="AA129" s="95">
        <f>IFERROR(IF(D129="Premium",0.4*Y129,0),"No Disp")</f>
        <v>0</v>
      </c>
      <c r="AB129" s="95">
        <f>IFERROR(IF(4*Y129&gt;AC129,1.5*Y129,4*Y129),"No Disp")</f>
        <v>644850</v>
      </c>
      <c r="AC129" s="95">
        <f>IF(Z129="No Disp","No Disp",(Z129*18)+Y129)</f>
        <v>735900</v>
      </c>
      <c r="AD129" s="95">
        <f>18*Z129-100+Y129</f>
        <v>735800</v>
      </c>
      <c r="AE129" s="95">
        <v>49900</v>
      </c>
      <c r="AF129" s="95">
        <v>38000</v>
      </c>
      <c r="AG129" s="95">
        <f>IF(AF129="No Disp","No Disp",(AF129*18)+AE129)</f>
        <v>733900</v>
      </c>
      <c r="AH129" s="95">
        <f>18*AF129-100+AE129</f>
        <v>733800</v>
      </c>
      <c r="AI129" s="95" t="s">
        <v>4613</v>
      </c>
      <c r="AJ129" s="99"/>
      <c r="AK129" s="100" t="s">
        <v>43</v>
      </c>
      <c r="AL129" s="100" t="s">
        <v>43</v>
      </c>
      <c r="AM129" s="100" t="str">
        <f>IF(AL129&lt;&gt;"No Disp",AK129+12*AL129,"No Disp")</f>
        <v>No Disp</v>
      </c>
      <c r="AN129" s="100" t="s">
        <v>43</v>
      </c>
      <c r="AO129" s="100" t="s">
        <v>43</v>
      </c>
      <c r="AP129" s="100" t="str">
        <f>IF(AO129&lt;&gt;"No Disp",AN129+12*AO129,"No Disp")</f>
        <v>No Disp</v>
      </c>
      <c r="AQ129" s="100" t="s">
        <v>43</v>
      </c>
      <c r="AR129" s="100" t="s">
        <v>43</v>
      </c>
      <c r="AS129" s="100" t="str">
        <f>IF(AR129&lt;&gt;"No Disp",AQ129+12*AR129,"No Disp")</f>
        <v>No Disp</v>
      </c>
    </row>
    <row r="130" spans="1:45" s="101" customFormat="1" x14ac:dyDescent="0.25">
      <c r="A130" s="90" t="s">
        <v>102</v>
      </c>
      <c r="B130" s="90" t="s">
        <v>39</v>
      </c>
      <c r="C130" s="90" t="s">
        <v>40</v>
      </c>
      <c r="D130" s="90" t="s">
        <v>4541</v>
      </c>
      <c r="E130" s="90" t="s">
        <v>4542</v>
      </c>
      <c r="F130" s="91">
        <v>53</v>
      </c>
      <c r="G130" s="92">
        <v>70008950</v>
      </c>
      <c r="H130" s="91">
        <v>70008943</v>
      </c>
      <c r="I130" s="93" t="s">
        <v>46</v>
      </c>
      <c r="J130" s="94" t="s">
        <v>3551</v>
      </c>
      <c r="K130" s="94" t="s">
        <v>3552</v>
      </c>
      <c r="L130" s="94" t="s">
        <v>3553</v>
      </c>
      <c r="M130" s="95">
        <v>374900</v>
      </c>
      <c r="N130" s="95">
        <v>6000</v>
      </c>
      <c r="O130" s="95">
        <v>8500</v>
      </c>
      <c r="P130" s="96">
        <v>0</v>
      </c>
      <c r="Q130" s="152"/>
      <c r="R130" s="95">
        <v>374900</v>
      </c>
      <c r="S130" s="95">
        <f>R130/24</f>
        <v>15620.833333333334</v>
      </c>
      <c r="T130" s="95">
        <v>374900</v>
      </c>
      <c r="U130" s="95">
        <f>T130/24</f>
        <v>15620.833333333334</v>
      </c>
      <c r="V130" s="95">
        <v>374900</v>
      </c>
      <c r="W130" s="95">
        <f>V130/24</f>
        <v>15620.833333333334</v>
      </c>
      <c r="X130" s="128"/>
      <c r="Y130" s="95">
        <v>264900</v>
      </c>
      <c r="Z130" s="95">
        <v>10000</v>
      </c>
      <c r="AA130" s="95">
        <f>IFERROR(IF(D130="Premium",0.4*Y130,0),"No Disp")</f>
        <v>0</v>
      </c>
      <c r="AB130" s="95">
        <f>IFERROR(IF(4*Y130&gt;AC130,1.5*Y130,4*Y130),"No Disp")</f>
        <v>397350</v>
      </c>
      <c r="AC130" s="95">
        <f>IF(Z130="No Disp","No Disp",(Z130*18)+Y130)</f>
        <v>444900</v>
      </c>
      <c r="AD130" s="95">
        <f>18*Z130-100+Y130</f>
        <v>444800</v>
      </c>
      <c r="AE130" s="95">
        <v>0</v>
      </c>
      <c r="AF130" s="95">
        <v>21000</v>
      </c>
      <c r="AG130" s="95">
        <f>IF(AF130="No Disp","No Disp",(AF130*18)+AE130)</f>
        <v>378000</v>
      </c>
      <c r="AH130" s="95">
        <f>18*AF130-100+AE130</f>
        <v>377900</v>
      </c>
      <c r="AI130" s="95" t="s">
        <v>4613</v>
      </c>
      <c r="AJ130" s="99"/>
      <c r="AK130" s="100" t="s">
        <v>43</v>
      </c>
      <c r="AL130" s="100" t="s">
        <v>43</v>
      </c>
      <c r="AM130" s="100" t="str">
        <f>IF(AL130&lt;&gt;"No Disp",AK130+12*AL130,"No Disp")</f>
        <v>No Disp</v>
      </c>
      <c r="AN130" s="100" t="s">
        <v>43</v>
      </c>
      <c r="AO130" s="100" t="s">
        <v>43</v>
      </c>
      <c r="AP130" s="100" t="str">
        <f>IF(AO130&lt;&gt;"No Disp",AN130+12*AO130,"No Disp")</f>
        <v>No Disp</v>
      </c>
      <c r="AQ130" s="100" t="s">
        <v>43</v>
      </c>
      <c r="AR130" s="100" t="s">
        <v>43</v>
      </c>
      <c r="AS130" s="100" t="str">
        <f>IF(AR130&lt;&gt;"No Disp",AQ130+12*AR130,"No Disp")</f>
        <v>No Disp</v>
      </c>
    </row>
    <row r="131" spans="1:45" s="101" customFormat="1" x14ac:dyDescent="0.25">
      <c r="A131" s="90" t="s">
        <v>102</v>
      </c>
      <c r="B131" s="90" t="s">
        <v>39</v>
      </c>
      <c r="C131" s="90" t="s">
        <v>40</v>
      </c>
      <c r="D131" s="90" t="s">
        <v>4539</v>
      </c>
      <c r="E131" s="90" t="s">
        <v>4542</v>
      </c>
      <c r="F131" s="91">
        <v>54</v>
      </c>
      <c r="G131" s="92">
        <v>70008951</v>
      </c>
      <c r="H131" s="91">
        <v>70008945</v>
      </c>
      <c r="I131" s="93" t="s">
        <v>46</v>
      </c>
      <c r="J131" s="94" t="s">
        <v>898</v>
      </c>
      <c r="K131" s="94" t="s">
        <v>950</v>
      </c>
      <c r="L131" s="94" t="s">
        <v>3554</v>
      </c>
      <c r="M131" s="95">
        <v>189900</v>
      </c>
      <c r="N131" s="95">
        <v>2500</v>
      </c>
      <c r="O131" s="95">
        <v>4000</v>
      </c>
      <c r="P131" s="96">
        <v>0</v>
      </c>
      <c r="Q131" s="152"/>
      <c r="R131" s="95">
        <v>189900</v>
      </c>
      <c r="S131" s="95">
        <f>R131/24</f>
        <v>7912.5</v>
      </c>
      <c r="T131" s="95">
        <v>189900</v>
      </c>
      <c r="U131" s="95">
        <f>T131/24</f>
        <v>7912.5</v>
      </c>
      <c r="V131" s="95">
        <v>189900</v>
      </c>
      <c r="W131" s="95">
        <f>V131/24</f>
        <v>7912.5</v>
      </c>
      <c r="X131" s="128"/>
      <c r="Y131" s="95">
        <v>79900</v>
      </c>
      <c r="Z131" s="95">
        <v>7500</v>
      </c>
      <c r="AA131" s="95">
        <f>IFERROR(IF(D131="Premium",0.4*Y131,0),"No Disp")</f>
        <v>0</v>
      </c>
      <c r="AB131" s="95">
        <f>IFERROR(IF(4*Y131&gt;AC131,1.5*Y131,4*Y131),"No Disp")</f>
        <v>119850</v>
      </c>
      <c r="AC131" s="95">
        <f>IF(Z131="No Disp","No Disp",(Z131*18)+Y131)</f>
        <v>214900</v>
      </c>
      <c r="AD131" s="95">
        <f>18*Z131-100+Y131</f>
        <v>214800</v>
      </c>
      <c r="AE131" s="95">
        <v>0</v>
      </c>
      <c r="AF131" s="95">
        <v>10500</v>
      </c>
      <c r="AG131" s="95">
        <f>IF(AF131="No Disp","No Disp",(AF131*18)+AE131)</f>
        <v>189000</v>
      </c>
      <c r="AH131" s="95">
        <f>18*AF131-100+AE131</f>
        <v>188900</v>
      </c>
      <c r="AI131" s="95" t="s">
        <v>4613</v>
      </c>
      <c r="AJ131" s="99"/>
      <c r="AK131" s="100" t="s">
        <v>43</v>
      </c>
      <c r="AL131" s="100" t="s">
        <v>43</v>
      </c>
      <c r="AM131" s="100" t="str">
        <f>IF(AL131&lt;&gt;"No Disp",AK131+12*AL131,"No Disp")</f>
        <v>No Disp</v>
      </c>
      <c r="AN131" s="100" t="s">
        <v>43</v>
      </c>
      <c r="AO131" s="100" t="s">
        <v>43</v>
      </c>
      <c r="AP131" s="100" t="str">
        <f>IF(AO131&lt;&gt;"No Disp",AN131+12*AO131,"No Disp")</f>
        <v>No Disp</v>
      </c>
      <c r="AQ131" s="100" t="s">
        <v>43</v>
      </c>
      <c r="AR131" s="100" t="s">
        <v>43</v>
      </c>
      <c r="AS131" s="100" t="str">
        <f>IF(AR131&lt;&gt;"No Disp",AQ131+12*AR131,"No Disp")</f>
        <v>No Disp</v>
      </c>
    </row>
    <row r="132" spans="1:45" s="101" customFormat="1" x14ac:dyDescent="0.25">
      <c r="A132" s="90" t="s">
        <v>102</v>
      </c>
      <c r="B132" s="90" t="s">
        <v>39</v>
      </c>
      <c r="C132" s="90" t="s">
        <v>40</v>
      </c>
      <c r="D132" s="90" t="s">
        <v>4541</v>
      </c>
      <c r="E132" s="90" t="s">
        <v>4542</v>
      </c>
      <c r="F132" s="91">
        <v>52</v>
      </c>
      <c r="G132" s="92">
        <v>70008947</v>
      </c>
      <c r="H132" s="91">
        <v>70008948</v>
      </c>
      <c r="I132" s="93" t="s">
        <v>46</v>
      </c>
      <c r="J132" s="94" t="s">
        <v>3555</v>
      </c>
      <c r="K132" s="94" t="s">
        <v>3556</v>
      </c>
      <c r="L132" s="94" t="s">
        <v>3557</v>
      </c>
      <c r="M132" s="95">
        <v>79900</v>
      </c>
      <c r="N132" s="95">
        <v>2500</v>
      </c>
      <c r="O132" s="95">
        <v>4000</v>
      </c>
      <c r="P132" s="96">
        <v>0</v>
      </c>
      <c r="Q132" s="152"/>
      <c r="R132" s="95">
        <v>79900</v>
      </c>
      <c r="S132" s="95">
        <f>R132/24</f>
        <v>3329.1666666666665</v>
      </c>
      <c r="T132" s="95">
        <v>79900</v>
      </c>
      <c r="U132" s="95">
        <f>T132/24</f>
        <v>3329.1666666666665</v>
      </c>
      <c r="V132" s="95">
        <v>79900</v>
      </c>
      <c r="W132" s="95">
        <f>V132/24</f>
        <v>3329.1666666666665</v>
      </c>
      <c r="X132" s="128"/>
      <c r="Y132" s="95">
        <v>39900</v>
      </c>
      <c r="Z132" s="95">
        <v>3000</v>
      </c>
      <c r="AA132" s="95">
        <f>IFERROR(IF(D132="Premium",0.4*Y132,0),"No Disp")</f>
        <v>0</v>
      </c>
      <c r="AB132" s="95">
        <f>IFERROR(IF(4*Y132&gt;AC132,1.5*Y132,4*Y132),"No Disp")</f>
        <v>59850</v>
      </c>
      <c r="AC132" s="95">
        <f>IF(Z132="No Disp","No Disp",(Z132*18)+Y132)</f>
        <v>93900</v>
      </c>
      <c r="AD132" s="95">
        <f>18*Z132-100+Y132</f>
        <v>93800</v>
      </c>
      <c r="AE132" s="95">
        <v>0</v>
      </c>
      <c r="AF132" s="95">
        <v>4500</v>
      </c>
      <c r="AG132" s="95">
        <f>IF(AF132="No Disp","No Disp",(AF132*18)+AE132)</f>
        <v>81000</v>
      </c>
      <c r="AH132" s="95">
        <f>18*AF132-100+AE132</f>
        <v>80900</v>
      </c>
      <c r="AI132" s="95" t="s">
        <v>4613</v>
      </c>
      <c r="AJ132" s="99"/>
      <c r="AK132" s="100" t="s">
        <v>43</v>
      </c>
      <c r="AL132" s="100" t="s">
        <v>43</v>
      </c>
      <c r="AM132" s="100" t="str">
        <f>IF(AL132&lt;&gt;"No Disp",AK132+12*AL132,"No Disp")</f>
        <v>No Disp</v>
      </c>
      <c r="AN132" s="100" t="s">
        <v>43</v>
      </c>
      <c r="AO132" s="100" t="s">
        <v>43</v>
      </c>
      <c r="AP132" s="100" t="str">
        <f>IF(AO132&lt;&gt;"No Disp",AN132+12*AO132,"No Disp")</f>
        <v>No Disp</v>
      </c>
      <c r="AQ132" s="100" t="s">
        <v>43</v>
      </c>
      <c r="AR132" s="100" t="s">
        <v>43</v>
      </c>
      <c r="AS132" s="100" t="str">
        <f>IF(AR132&lt;&gt;"No Disp",AQ132+12*AR132,"No Disp")</f>
        <v>No Disp</v>
      </c>
    </row>
    <row r="133" spans="1:45" s="101" customFormat="1" x14ac:dyDescent="0.25">
      <c r="A133" s="90" t="s">
        <v>102</v>
      </c>
      <c r="B133" s="90" t="s">
        <v>39</v>
      </c>
      <c r="C133" s="90" t="s">
        <v>40</v>
      </c>
      <c r="D133" s="90" t="s">
        <v>4541</v>
      </c>
      <c r="E133" s="90" t="s">
        <v>4542</v>
      </c>
      <c r="F133" s="91">
        <v>55</v>
      </c>
      <c r="G133" s="92">
        <v>70008953</v>
      </c>
      <c r="H133" s="91">
        <v>70008954</v>
      </c>
      <c r="I133" s="93" t="s">
        <v>131</v>
      </c>
      <c r="J133" s="94" t="s">
        <v>3558</v>
      </c>
      <c r="K133" s="94" t="s">
        <v>949</v>
      </c>
      <c r="L133" s="94" t="s">
        <v>3559</v>
      </c>
      <c r="M133" s="95">
        <v>89900</v>
      </c>
      <c r="N133" s="95">
        <v>2500</v>
      </c>
      <c r="O133" s="95">
        <v>4000</v>
      </c>
      <c r="P133" s="96">
        <v>0</v>
      </c>
      <c r="Q133" s="152"/>
      <c r="R133" s="95">
        <v>89900</v>
      </c>
      <c r="S133" s="95">
        <f>R133/24</f>
        <v>3745.8333333333335</v>
      </c>
      <c r="T133" s="95">
        <v>89900</v>
      </c>
      <c r="U133" s="95">
        <f>T133/24</f>
        <v>3745.8333333333335</v>
      </c>
      <c r="V133" s="95">
        <v>89900</v>
      </c>
      <c r="W133" s="95">
        <f>V133/24</f>
        <v>3745.8333333333335</v>
      </c>
      <c r="X133" s="128"/>
      <c r="Y133" s="95">
        <v>44900</v>
      </c>
      <c r="Z133" s="95">
        <v>4000</v>
      </c>
      <c r="AA133" s="95">
        <f>IFERROR(IF(D133="Premium",0.4*Y133,0),"No Disp")</f>
        <v>0</v>
      </c>
      <c r="AB133" s="95">
        <f>IFERROR(IF(4*Y133&gt;AC133,1.5*Y133,4*Y133),"No Disp")</f>
        <v>67350</v>
      </c>
      <c r="AC133" s="95">
        <f>IF(Z133="No Disp","No Disp",(Z133*18)+Y133)</f>
        <v>116900</v>
      </c>
      <c r="AD133" s="95">
        <f>18*Z133-100+Y133</f>
        <v>116800</v>
      </c>
      <c r="AE133" s="95">
        <v>0</v>
      </c>
      <c r="AF133" s="95">
        <v>5500</v>
      </c>
      <c r="AG133" s="95">
        <f>IF(AF133="No Disp","No Disp",(AF133*18)+AE133)</f>
        <v>99000</v>
      </c>
      <c r="AH133" s="95">
        <f>18*AF133-100+AE133</f>
        <v>98900</v>
      </c>
      <c r="AI133" s="95" t="s">
        <v>4613</v>
      </c>
      <c r="AJ133" s="99"/>
      <c r="AK133" s="100" t="s">
        <v>43</v>
      </c>
      <c r="AL133" s="100" t="s">
        <v>43</v>
      </c>
      <c r="AM133" s="100" t="str">
        <f>IF(AL133&lt;&gt;"No Disp",AK133+12*AL133,"No Disp")</f>
        <v>No Disp</v>
      </c>
      <c r="AN133" s="100" t="s">
        <v>43</v>
      </c>
      <c r="AO133" s="100" t="s">
        <v>43</v>
      </c>
      <c r="AP133" s="100" t="str">
        <f>IF(AO133&lt;&gt;"No Disp",AN133+12*AO133,"No Disp")</f>
        <v>No Disp</v>
      </c>
      <c r="AQ133" s="100" t="s">
        <v>43</v>
      </c>
      <c r="AR133" s="100" t="s">
        <v>43</v>
      </c>
      <c r="AS133" s="100" t="str">
        <f>IF(AR133&lt;&gt;"No Disp",AQ133+12*AR133,"No Disp")</f>
        <v>No Disp</v>
      </c>
    </row>
    <row r="134" spans="1:45" s="101" customFormat="1" x14ac:dyDescent="0.25">
      <c r="A134" s="90" t="s">
        <v>102</v>
      </c>
      <c r="B134" s="90" t="s">
        <v>39</v>
      </c>
      <c r="C134" s="90" t="s">
        <v>40</v>
      </c>
      <c r="D134" s="90" t="s">
        <v>4541</v>
      </c>
      <c r="E134" s="90" t="s">
        <v>4542</v>
      </c>
      <c r="F134" s="91">
        <v>56</v>
      </c>
      <c r="G134" s="92">
        <v>70008962</v>
      </c>
      <c r="H134" s="91">
        <v>70008963</v>
      </c>
      <c r="I134" s="93" t="s">
        <v>904</v>
      </c>
      <c r="J134" s="94" t="s">
        <v>3560</v>
      </c>
      <c r="K134" s="94" t="s">
        <v>948</v>
      </c>
      <c r="L134" s="94" t="s">
        <v>3561</v>
      </c>
      <c r="M134" s="95">
        <v>29900</v>
      </c>
      <c r="N134" s="95">
        <v>2500</v>
      </c>
      <c r="O134" s="95">
        <v>4000</v>
      </c>
      <c r="P134" s="96">
        <v>0</v>
      </c>
      <c r="Q134" s="152"/>
      <c r="R134" s="95">
        <v>29900</v>
      </c>
      <c r="S134" s="95">
        <f>R134/24</f>
        <v>1245.8333333333333</v>
      </c>
      <c r="T134" s="95">
        <v>29900</v>
      </c>
      <c r="U134" s="95">
        <f>T134/24</f>
        <v>1245.8333333333333</v>
      </c>
      <c r="V134" s="95">
        <v>29900</v>
      </c>
      <c r="W134" s="95">
        <f>V134/24</f>
        <v>1245.8333333333333</v>
      </c>
      <c r="X134" s="128"/>
      <c r="Y134" s="95">
        <v>79900</v>
      </c>
      <c r="Z134" s="95">
        <v>10000</v>
      </c>
      <c r="AA134" s="95">
        <f>IFERROR(IF(D134="Premium",0.4*Y134,0),"No Disp")</f>
        <v>0</v>
      </c>
      <c r="AB134" s="95">
        <f>IFERROR(IF(4*Y134&gt;AC134,1.5*Y134,4*Y134),"No Disp")</f>
        <v>119850</v>
      </c>
      <c r="AC134" s="95">
        <f>IF(Z134="No Disp","No Disp",(Z134*18)+Y134)</f>
        <v>259900</v>
      </c>
      <c r="AD134" s="95">
        <f>18*Z134-100+Y134</f>
        <v>259800</v>
      </c>
      <c r="AE134" s="95">
        <v>19900</v>
      </c>
      <c r="AF134" s="95">
        <v>13000</v>
      </c>
      <c r="AG134" s="95">
        <f>IF(AF134="No Disp","No Disp",(AF134*18)+AE134)</f>
        <v>253900</v>
      </c>
      <c r="AH134" s="95">
        <f>18*AF134-100+AE134</f>
        <v>253800</v>
      </c>
      <c r="AI134" s="95" t="s">
        <v>4613</v>
      </c>
      <c r="AJ134" s="99"/>
      <c r="AK134" s="100" t="s">
        <v>43</v>
      </c>
      <c r="AL134" s="100" t="s">
        <v>43</v>
      </c>
      <c r="AM134" s="100" t="str">
        <f>IF(AL134&lt;&gt;"No Disp",AK134+12*AL134,"No Disp")</f>
        <v>No Disp</v>
      </c>
      <c r="AN134" s="100" t="s">
        <v>43</v>
      </c>
      <c r="AO134" s="100" t="s">
        <v>43</v>
      </c>
      <c r="AP134" s="100" t="str">
        <f>IF(AO134&lt;&gt;"No Disp",AN134+12*AO134,"No Disp")</f>
        <v>No Disp</v>
      </c>
      <c r="AQ134" s="100" t="s">
        <v>43</v>
      </c>
      <c r="AR134" s="100" t="s">
        <v>43</v>
      </c>
      <c r="AS134" s="100" t="str">
        <f>IF(AR134&lt;&gt;"No Disp",AQ134+12*AR134,"No Disp")</f>
        <v>No Disp</v>
      </c>
    </row>
    <row r="135" spans="1:45" s="101" customFormat="1" x14ac:dyDescent="0.25">
      <c r="A135" s="90" t="s">
        <v>102</v>
      </c>
      <c r="B135" s="90" t="s">
        <v>39</v>
      </c>
      <c r="C135" s="90" t="s">
        <v>40</v>
      </c>
      <c r="D135" s="90" t="s">
        <v>4537</v>
      </c>
      <c r="E135" s="90" t="s">
        <v>4542</v>
      </c>
      <c r="F135" s="91">
        <v>57</v>
      </c>
      <c r="G135" s="92">
        <v>70008966</v>
      </c>
      <c r="H135" s="91">
        <v>70008967</v>
      </c>
      <c r="I135" s="93" t="s">
        <v>87</v>
      </c>
      <c r="J135" s="94" t="s">
        <v>3562</v>
      </c>
      <c r="K135" s="94" t="s">
        <v>947</v>
      </c>
      <c r="L135" s="94" t="s">
        <v>3563</v>
      </c>
      <c r="M135" s="95">
        <v>304900</v>
      </c>
      <c r="N135" s="95">
        <v>4000</v>
      </c>
      <c r="O135" s="95">
        <v>6000</v>
      </c>
      <c r="P135" s="96">
        <v>0</v>
      </c>
      <c r="Q135" s="152"/>
      <c r="R135" s="95">
        <v>304900</v>
      </c>
      <c r="S135" s="95">
        <f>R135/24</f>
        <v>12704.166666666666</v>
      </c>
      <c r="T135" s="95">
        <v>304900</v>
      </c>
      <c r="U135" s="95">
        <f>T135/24</f>
        <v>12704.166666666666</v>
      </c>
      <c r="V135" s="95">
        <v>304900</v>
      </c>
      <c r="W135" s="95">
        <f>V135/24</f>
        <v>12704.166666666666</v>
      </c>
      <c r="X135" s="128"/>
      <c r="Y135" s="95">
        <v>149900</v>
      </c>
      <c r="Z135" s="95">
        <v>15000</v>
      </c>
      <c r="AA135" s="95">
        <f>IFERROR(IF(D135="Premium",0.4*Y135,0),"No Disp")</f>
        <v>0</v>
      </c>
      <c r="AB135" s="95">
        <f>IFERROR(IF(4*Y135&gt;AC135,1.5*Y135,4*Y135),"No Disp")</f>
        <v>224850</v>
      </c>
      <c r="AC135" s="95">
        <f>IF(Z135="No Disp","No Disp",(Z135*18)+Y135)</f>
        <v>419900</v>
      </c>
      <c r="AD135" s="95">
        <f>18*Z135-100+Y135</f>
        <v>419800</v>
      </c>
      <c r="AE135" s="95">
        <v>49900</v>
      </c>
      <c r="AF135" s="95">
        <v>19500</v>
      </c>
      <c r="AG135" s="95">
        <f>IF(AF135="No Disp","No Disp",(AF135*18)+AE135)</f>
        <v>400900</v>
      </c>
      <c r="AH135" s="95">
        <f>18*AF135-100+AE135</f>
        <v>400800</v>
      </c>
      <c r="AI135" s="95" t="s">
        <v>4613</v>
      </c>
      <c r="AJ135" s="99"/>
      <c r="AK135" s="100" t="s">
        <v>43</v>
      </c>
      <c r="AL135" s="100" t="s">
        <v>43</v>
      </c>
      <c r="AM135" s="100" t="str">
        <f>IF(AL135&lt;&gt;"No Disp",AK135+12*AL135,"No Disp")</f>
        <v>No Disp</v>
      </c>
      <c r="AN135" s="100" t="s">
        <v>43</v>
      </c>
      <c r="AO135" s="100" t="s">
        <v>43</v>
      </c>
      <c r="AP135" s="100" t="str">
        <f>IF(AO135&lt;&gt;"No Disp",AN135+12*AO135,"No Disp")</f>
        <v>No Disp</v>
      </c>
      <c r="AQ135" s="100" t="s">
        <v>43</v>
      </c>
      <c r="AR135" s="100" t="s">
        <v>43</v>
      </c>
      <c r="AS135" s="100" t="str">
        <f>IF(AR135&lt;&gt;"No Disp",AQ135+12*AR135,"No Disp")</f>
        <v>No Disp</v>
      </c>
    </row>
    <row r="136" spans="1:45" s="101" customFormat="1" x14ac:dyDescent="0.25">
      <c r="A136" s="90" t="s">
        <v>102</v>
      </c>
      <c r="B136" s="90" t="s">
        <v>39</v>
      </c>
      <c r="C136" s="90" t="s">
        <v>40</v>
      </c>
      <c r="D136" s="90" t="s">
        <v>4539</v>
      </c>
      <c r="E136" s="90" t="s">
        <v>4542</v>
      </c>
      <c r="F136" s="91">
        <v>58</v>
      </c>
      <c r="G136" s="92">
        <v>70008969</v>
      </c>
      <c r="H136" s="91">
        <v>70008970</v>
      </c>
      <c r="I136" s="93" t="s">
        <v>87</v>
      </c>
      <c r="J136" s="94" t="s">
        <v>3564</v>
      </c>
      <c r="K136" s="94" t="s">
        <v>946</v>
      </c>
      <c r="L136" s="94" t="s">
        <v>3565</v>
      </c>
      <c r="M136" s="95">
        <v>44900</v>
      </c>
      <c r="N136" s="95">
        <v>4000</v>
      </c>
      <c r="O136" s="95">
        <v>6000</v>
      </c>
      <c r="P136" s="96">
        <v>0</v>
      </c>
      <c r="Q136" s="152"/>
      <c r="R136" s="95">
        <v>44900</v>
      </c>
      <c r="S136" s="95">
        <f>R136/24</f>
        <v>1870.8333333333333</v>
      </c>
      <c r="T136" s="95">
        <v>44900</v>
      </c>
      <c r="U136" s="95">
        <f>T136/24</f>
        <v>1870.8333333333333</v>
      </c>
      <c r="V136" s="95">
        <v>44900</v>
      </c>
      <c r="W136" s="95">
        <f>V136/24</f>
        <v>1870.8333333333333</v>
      </c>
      <c r="X136" s="128"/>
      <c r="Y136" s="95">
        <v>149900</v>
      </c>
      <c r="Z136" s="95">
        <v>10000</v>
      </c>
      <c r="AA136" s="95">
        <f>IFERROR(IF(D136="Premium",0.4*Y136,0),"No Disp")</f>
        <v>0</v>
      </c>
      <c r="AB136" s="95">
        <f>IFERROR(IF(4*Y136&gt;AC136,1.5*Y136,4*Y136),"No Disp")</f>
        <v>224850</v>
      </c>
      <c r="AC136" s="95">
        <f>IF(Z136="No Disp","No Disp",(Z136*18)+Y136)</f>
        <v>329900</v>
      </c>
      <c r="AD136" s="95">
        <f>18*Z136-100+Y136</f>
        <v>329800</v>
      </c>
      <c r="AE136" s="95">
        <v>19900</v>
      </c>
      <c r="AF136" s="95">
        <v>2000</v>
      </c>
      <c r="AG136" s="95">
        <f>IF(AF136="No Disp","No Disp",(AF136*18)+AE136)</f>
        <v>55900</v>
      </c>
      <c r="AH136" s="95">
        <f>18*AF136-100+AE136</f>
        <v>55800</v>
      </c>
      <c r="AI136" s="95" t="s">
        <v>4613</v>
      </c>
      <c r="AJ136" s="99"/>
      <c r="AK136" s="100" t="s">
        <v>43</v>
      </c>
      <c r="AL136" s="100" t="s">
        <v>43</v>
      </c>
      <c r="AM136" s="100" t="str">
        <f>IF(AL136&lt;&gt;"No Disp",AK136+12*AL136,"No Disp")</f>
        <v>No Disp</v>
      </c>
      <c r="AN136" s="100" t="s">
        <v>43</v>
      </c>
      <c r="AO136" s="100" t="s">
        <v>43</v>
      </c>
      <c r="AP136" s="100" t="str">
        <f>IF(AO136&lt;&gt;"No Disp",AN136+12*AO136,"No Disp")</f>
        <v>No Disp</v>
      </c>
      <c r="AQ136" s="100" t="s">
        <v>43</v>
      </c>
      <c r="AR136" s="100" t="s">
        <v>43</v>
      </c>
      <c r="AS136" s="100" t="str">
        <f>IF(AR136&lt;&gt;"No Disp",AQ136+12*AR136,"No Disp")</f>
        <v>No Disp</v>
      </c>
    </row>
    <row r="137" spans="1:45" s="101" customFormat="1" x14ac:dyDescent="0.25">
      <c r="A137" s="90" t="s">
        <v>102</v>
      </c>
      <c r="B137" s="90" t="s">
        <v>39</v>
      </c>
      <c r="C137" s="90" t="s">
        <v>40</v>
      </c>
      <c r="D137" s="90" t="s">
        <v>4539</v>
      </c>
      <c r="E137" s="90" t="s">
        <v>4542</v>
      </c>
      <c r="F137" s="91">
        <v>59</v>
      </c>
      <c r="G137" s="92">
        <v>70008972</v>
      </c>
      <c r="H137" s="91">
        <v>70008973</v>
      </c>
      <c r="I137" s="93" t="s">
        <v>87</v>
      </c>
      <c r="J137" s="94" t="s">
        <v>3566</v>
      </c>
      <c r="K137" s="94" t="s">
        <v>3567</v>
      </c>
      <c r="L137" s="94" t="s">
        <v>3568</v>
      </c>
      <c r="M137" s="95">
        <v>309900</v>
      </c>
      <c r="N137" s="95">
        <v>9500</v>
      </c>
      <c r="O137" s="95">
        <v>13500</v>
      </c>
      <c r="P137" s="96">
        <v>0</v>
      </c>
      <c r="Q137" s="152"/>
      <c r="R137" s="95">
        <v>309900</v>
      </c>
      <c r="S137" s="95">
        <f>R137/24</f>
        <v>12912.5</v>
      </c>
      <c r="T137" s="95">
        <v>309900</v>
      </c>
      <c r="U137" s="95">
        <f>T137/24</f>
        <v>12912.5</v>
      </c>
      <c r="V137" s="95">
        <v>309900</v>
      </c>
      <c r="W137" s="95">
        <f>V137/24</f>
        <v>12912.5</v>
      </c>
      <c r="X137" s="128"/>
      <c r="Y137" s="95">
        <v>139900</v>
      </c>
      <c r="Z137" s="95">
        <v>15000</v>
      </c>
      <c r="AA137" s="95">
        <f>IFERROR(IF(D137="Premium",0.4*Y137,0),"No Disp")</f>
        <v>0</v>
      </c>
      <c r="AB137" s="95">
        <f>IFERROR(IF(4*Y137&gt;AC137,1.5*Y137,4*Y137),"No Disp")</f>
        <v>209850</v>
      </c>
      <c r="AC137" s="95">
        <f>IF(Z137="No Disp","No Disp",(Z137*18)+Y137)</f>
        <v>409900</v>
      </c>
      <c r="AD137" s="95">
        <f>18*Z137-100+Y137</f>
        <v>409800</v>
      </c>
      <c r="AE137" s="95">
        <v>99900</v>
      </c>
      <c r="AF137" s="95">
        <v>17000</v>
      </c>
      <c r="AG137" s="95">
        <f>IF(AF137="No Disp","No Disp",(AF137*18)+AE137)</f>
        <v>405900</v>
      </c>
      <c r="AH137" s="95">
        <f>18*AF137-100+AE137</f>
        <v>405800</v>
      </c>
      <c r="AI137" s="95" t="s">
        <v>4613</v>
      </c>
      <c r="AJ137" s="99"/>
      <c r="AK137" s="100" t="s">
        <v>43</v>
      </c>
      <c r="AL137" s="100" t="s">
        <v>43</v>
      </c>
      <c r="AM137" s="100" t="str">
        <f>IF(AL137&lt;&gt;"No Disp",AK137+12*AL137,"No Disp")</f>
        <v>No Disp</v>
      </c>
      <c r="AN137" s="100" t="s">
        <v>43</v>
      </c>
      <c r="AO137" s="100" t="s">
        <v>43</v>
      </c>
      <c r="AP137" s="100" t="str">
        <f>IF(AO137&lt;&gt;"No Disp",AN137+12*AO137,"No Disp")</f>
        <v>No Disp</v>
      </c>
      <c r="AQ137" s="100" t="s">
        <v>43</v>
      </c>
      <c r="AR137" s="100" t="s">
        <v>43</v>
      </c>
      <c r="AS137" s="100" t="str">
        <f>IF(AR137&lt;&gt;"No Disp",AQ137+12*AR137,"No Disp")</f>
        <v>No Disp</v>
      </c>
    </row>
    <row r="138" spans="1:45" s="101" customFormat="1" x14ac:dyDescent="0.25">
      <c r="A138" s="90" t="s">
        <v>102</v>
      </c>
      <c r="B138" s="90" t="s">
        <v>39</v>
      </c>
      <c r="C138" s="90" t="s">
        <v>40</v>
      </c>
      <c r="D138" s="90" t="s">
        <v>4539</v>
      </c>
      <c r="E138" s="90" t="s">
        <v>4542</v>
      </c>
      <c r="F138" s="91">
        <v>60</v>
      </c>
      <c r="G138" s="92">
        <v>70008979</v>
      </c>
      <c r="H138" s="91">
        <v>70008980</v>
      </c>
      <c r="I138" s="93" t="s">
        <v>87</v>
      </c>
      <c r="J138" s="94" t="s">
        <v>3566</v>
      </c>
      <c r="K138" s="94" t="s">
        <v>3569</v>
      </c>
      <c r="L138" s="94" t="s">
        <v>3570</v>
      </c>
      <c r="M138" s="95">
        <v>309900</v>
      </c>
      <c r="N138" s="95">
        <v>4000</v>
      </c>
      <c r="O138" s="95">
        <v>6000</v>
      </c>
      <c r="P138" s="96">
        <v>0</v>
      </c>
      <c r="Q138" s="152"/>
      <c r="R138" s="95">
        <v>309900</v>
      </c>
      <c r="S138" s="95">
        <f>R138/24</f>
        <v>12912.5</v>
      </c>
      <c r="T138" s="95">
        <v>309900</v>
      </c>
      <c r="U138" s="95">
        <f>T138/24</f>
        <v>12912.5</v>
      </c>
      <c r="V138" s="95">
        <v>309900</v>
      </c>
      <c r="W138" s="95">
        <f>V138/24</f>
        <v>12912.5</v>
      </c>
      <c r="X138" s="128"/>
      <c r="Y138" s="95">
        <v>139900</v>
      </c>
      <c r="Z138" s="95">
        <v>15000</v>
      </c>
      <c r="AA138" s="95">
        <f>IFERROR(IF(D138="Premium",0.4*Y138,0),"No Disp")</f>
        <v>0</v>
      </c>
      <c r="AB138" s="95">
        <f>IFERROR(IF(4*Y138&gt;AC138,1.5*Y138,4*Y138),"No Disp")</f>
        <v>209850</v>
      </c>
      <c r="AC138" s="95">
        <f>IF(Z138="No Disp","No Disp",(Z138*18)+Y138)</f>
        <v>409900</v>
      </c>
      <c r="AD138" s="95">
        <f>18*Z138-100+Y138</f>
        <v>409800</v>
      </c>
      <c r="AE138" s="95">
        <v>99900</v>
      </c>
      <c r="AF138" s="95">
        <v>17000</v>
      </c>
      <c r="AG138" s="95">
        <f>IF(AF138="No Disp","No Disp",(AF138*18)+AE138)</f>
        <v>405900</v>
      </c>
      <c r="AH138" s="95">
        <f>18*AF138-100+AE138</f>
        <v>405800</v>
      </c>
      <c r="AI138" s="95" t="s">
        <v>4613</v>
      </c>
      <c r="AJ138" s="99"/>
      <c r="AK138" s="100" t="s">
        <v>43</v>
      </c>
      <c r="AL138" s="100" t="s">
        <v>43</v>
      </c>
      <c r="AM138" s="100" t="str">
        <f>IF(AL138&lt;&gt;"No Disp",AK138+12*AL138,"No Disp")</f>
        <v>No Disp</v>
      </c>
      <c r="AN138" s="100" t="s">
        <v>43</v>
      </c>
      <c r="AO138" s="100" t="s">
        <v>43</v>
      </c>
      <c r="AP138" s="100" t="str">
        <f>IF(AO138&lt;&gt;"No Disp",AN138+12*AO138,"No Disp")</f>
        <v>No Disp</v>
      </c>
      <c r="AQ138" s="100" t="s">
        <v>43</v>
      </c>
      <c r="AR138" s="100" t="s">
        <v>43</v>
      </c>
      <c r="AS138" s="100" t="str">
        <f>IF(AR138&lt;&gt;"No Disp",AQ138+12*AR138,"No Disp")</f>
        <v>No Disp</v>
      </c>
    </row>
    <row r="139" spans="1:45" s="101" customFormat="1" x14ac:dyDescent="0.25">
      <c r="A139" s="90" t="s">
        <v>38</v>
      </c>
      <c r="B139" s="90" t="s">
        <v>39</v>
      </c>
      <c r="C139" s="90" t="s">
        <v>40</v>
      </c>
      <c r="D139" s="90" t="s">
        <v>4537</v>
      </c>
      <c r="E139" s="90" t="s">
        <v>4542</v>
      </c>
      <c r="F139" s="91">
        <v>61</v>
      </c>
      <c r="G139" s="92">
        <v>70008992</v>
      </c>
      <c r="H139" s="91">
        <v>70008993</v>
      </c>
      <c r="I139" s="93" t="s">
        <v>87</v>
      </c>
      <c r="J139" s="94" t="s">
        <v>3571</v>
      </c>
      <c r="K139" s="94" t="s">
        <v>3572</v>
      </c>
      <c r="L139" s="94" t="s">
        <v>3573</v>
      </c>
      <c r="M139" s="95">
        <v>179900</v>
      </c>
      <c r="N139" s="95">
        <v>4000</v>
      </c>
      <c r="O139" s="95">
        <v>6000</v>
      </c>
      <c r="P139" s="96">
        <v>0</v>
      </c>
      <c r="Q139" s="152"/>
      <c r="R139" s="95">
        <v>179900</v>
      </c>
      <c r="S139" s="95">
        <f>R139/24</f>
        <v>7495.833333333333</v>
      </c>
      <c r="T139" s="95">
        <v>179900</v>
      </c>
      <c r="U139" s="95">
        <f>T139/24</f>
        <v>7495.833333333333</v>
      </c>
      <c r="V139" s="95">
        <v>179900</v>
      </c>
      <c r="W139" s="95">
        <f>V139/24</f>
        <v>7495.833333333333</v>
      </c>
      <c r="X139" s="128"/>
      <c r="Y139" s="95">
        <v>74900</v>
      </c>
      <c r="Z139" s="95">
        <v>9000</v>
      </c>
      <c r="AA139" s="95">
        <f>IFERROR(IF(D139="Premium",0.4*Y139,0),"No Disp")</f>
        <v>0</v>
      </c>
      <c r="AB139" s="95">
        <f>IFERROR(IF(4*Y139&gt;AC139,1.5*Y139,4*Y139),"No Disp")</f>
        <v>112350</v>
      </c>
      <c r="AC139" s="95">
        <f>IF(Z139="No Disp","No Disp",(Z139*18)+Y139)</f>
        <v>236900</v>
      </c>
      <c r="AD139" s="95">
        <f>18*Z139-100+Y139</f>
        <v>236800</v>
      </c>
      <c r="AE139" s="95">
        <v>19900</v>
      </c>
      <c r="AF139" s="95">
        <v>12000</v>
      </c>
      <c r="AG139" s="95">
        <f>IF(AF139="No Disp","No Disp",(AF139*18)+AE139)</f>
        <v>235900</v>
      </c>
      <c r="AH139" s="95">
        <f>18*AF139-100+AE139</f>
        <v>235800</v>
      </c>
      <c r="AI139" s="95" t="s">
        <v>4613</v>
      </c>
      <c r="AJ139" s="99"/>
      <c r="AK139" s="100" t="s">
        <v>43</v>
      </c>
      <c r="AL139" s="100" t="s">
        <v>43</v>
      </c>
      <c r="AM139" s="100" t="str">
        <f>IF(AL139&lt;&gt;"No Disp",AK139+12*AL139,"No Disp")</f>
        <v>No Disp</v>
      </c>
      <c r="AN139" s="100" t="s">
        <v>43</v>
      </c>
      <c r="AO139" s="100" t="s">
        <v>43</v>
      </c>
      <c r="AP139" s="100" t="str">
        <f>IF(AO139&lt;&gt;"No Disp",AN139+12*AO139,"No Disp")</f>
        <v>No Disp</v>
      </c>
      <c r="AQ139" s="100" t="s">
        <v>43</v>
      </c>
      <c r="AR139" s="100" t="s">
        <v>43</v>
      </c>
      <c r="AS139" s="100" t="str">
        <f>IF(AR139&lt;&gt;"No Disp",AQ139+12*AR139,"No Disp")</f>
        <v>No Disp</v>
      </c>
    </row>
    <row r="140" spans="1:45" s="101" customFormat="1" x14ac:dyDescent="0.25">
      <c r="A140" s="90" t="s">
        <v>102</v>
      </c>
      <c r="B140" s="90" t="s">
        <v>39</v>
      </c>
      <c r="C140" s="90" t="s">
        <v>40</v>
      </c>
      <c r="D140" s="90" t="s">
        <v>4541</v>
      </c>
      <c r="E140" s="90" t="s">
        <v>4542</v>
      </c>
      <c r="F140" s="91">
        <v>63</v>
      </c>
      <c r="G140" s="92">
        <v>70009001</v>
      </c>
      <c r="H140" s="91">
        <v>70008995</v>
      </c>
      <c r="I140" s="93" t="s">
        <v>229</v>
      </c>
      <c r="J140" s="94" t="s">
        <v>3547</v>
      </c>
      <c r="K140" s="94" t="s">
        <v>944</v>
      </c>
      <c r="L140" s="94" t="s">
        <v>3574</v>
      </c>
      <c r="M140" s="95">
        <v>59900</v>
      </c>
      <c r="N140" s="95">
        <v>2500</v>
      </c>
      <c r="O140" s="95">
        <v>4000</v>
      </c>
      <c r="P140" s="96">
        <v>0</v>
      </c>
      <c r="Q140" s="152"/>
      <c r="R140" s="95">
        <v>59900</v>
      </c>
      <c r="S140" s="95">
        <f>R140/24</f>
        <v>2495.8333333333335</v>
      </c>
      <c r="T140" s="95">
        <v>59900</v>
      </c>
      <c r="U140" s="95">
        <f>T140/24</f>
        <v>2495.8333333333335</v>
      </c>
      <c r="V140" s="95">
        <v>59900</v>
      </c>
      <c r="W140" s="95">
        <f>V140/24</f>
        <v>2495.8333333333335</v>
      </c>
      <c r="X140" s="128"/>
      <c r="Y140" s="95">
        <v>49900</v>
      </c>
      <c r="Z140" s="95">
        <v>6000</v>
      </c>
      <c r="AA140" s="95">
        <f>IFERROR(IF(D140="Premium",0.4*Y140,0),"No Disp")</f>
        <v>0</v>
      </c>
      <c r="AB140" s="95">
        <f>IFERROR(IF(4*Y140&gt;AC140,1.5*Y140,4*Y140),"No Disp")</f>
        <v>74850</v>
      </c>
      <c r="AC140" s="95">
        <f>IF(Z140="No Disp","No Disp",(Z140*18)+Y140)</f>
        <v>157900</v>
      </c>
      <c r="AD140" s="95">
        <f>18*Z140-100+Y140</f>
        <v>157800</v>
      </c>
      <c r="AE140" s="95">
        <v>19900</v>
      </c>
      <c r="AF140" s="95">
        <v>6000</v>
      </c>
      <c r="AG140" s="95">
        <f>IF(AF140="No Disp","No Disp",(AF140*18)+AE140)</f>
        <v>127900</v>
      </c>
      <c r="AH140" s="95">
        <f>18*AF140-100+AE140</f>
        <v>127800</v>
      </c>
      <c r="AI140" s="95" t="s">
        <v>4613</v>
      </c>
      <c r="AJ140" s="99"/>
      <c r="AK140" s="100" t="s">
        <v>43</v>
      </c>
      <c r="AL140" s="100" t="s">
        <v>43</v>
      </c>
      <c r="AM140" s="100" t="str">
        <f>IF(AL140&lt;&gt;"No Disp",AK140+12*AL140,"No Disp")</f>
        <v>No Disp</v>
      </c>
      <c r="AN140" s="100" t="s">
        <v>43</v>
      </c>
      <c r="AO140" s="100" t="s">
        <v>43</v>
      </c>
      <c r="AP140" s="100" t="str">
        <f>IF(AO140&lt;&gt;"No Disp",AN140+12*AO140,"No Disp")</f>
        <v>No Disp</v>
      </c>
      <c r="AQ140" s="100" t="s">
        <v>43</v>
      </c>
      <c r="AR140" s="100" t="s">
        <v>43</v>
      </c>
      <c r="AS140" s="100" t="str">
        <f>IF(AR140&lt;&gt;"No Disp",AQ140+12*AR140,"No Disp")</f>
        <v>No Disp</v>
      </c>
    </row>
    <row r="141" spans="1:45" s="101" customFormat="1" x14ac:dyDescent="0.25">
      <c r="A141" s="90" t="s">
        <v>102</v>
      </c>
      <c r="B141" s="90" t="s">
        <v>39</v>
      </c>
      <c r="C141" s="90" t="s">
        <v>40</v>
      </c>
      <c r="D141" s="90" t="s">
        <v>4537</v>
      </c>
      <c r="E141" s="90" t="s">
        <v>4542</v>
      </c>
      <c r="F141" s="91">
        <v>62</v>
      </c>
      <c r="G141" s="92">
        <v>70008997</v>
      </c>
      <c r="H141" s="91">
        <v>70008998</v>
      </c>
      <c r="I141" s="93" t="s">
        <v>229</v>
      </c>
      <c r="J141" s="94" t="s">
        <v>891</v>
      </c>
      <c r="K141" s="94" t="s">
        <v>945</v>
      </c>
      <c r="L141" s="94" t="s">
        <v>3575</v>
      </c>
      <c r="M141" s="95">
        <v>39900</v>
      </c>
      <c r="N141" s="95">
        <v>2500</v>
      </c>
      <c r="O141" s="95">
        <v>4000</v>
      </c>
      <c r="P141" s="96">
        <v>0</v>
      </c>
      <c r="Q141" s="152"/>
      <c r="R141" s="95">
        <v>39900</v>
      </c>
      <c r="S141" s="95">
        <f>R141/24</f>
        <v>1662.5</v>
      </c>
      <c r="T141" s="95">
        <v>39900</v>
      </c>
      <c r="U141" s="95">
        <f>T141/24</f>
        <v>1662.5</v>
      </c>
      <c r="V141" s="95">
        <v>39900</v>
      </c>
      <c r="W141" s="95">
        <f>V141/24</f>
        <v>1662.5</v>
      </c>
      <c r="X141" s="128"/>
      <c r="Y141" s="95">
        <v>19900</v>
      </c>
      <c r="Z141" s="95">
        <v>2500</v>
      </c>
      <c r="AA141" s="95">
        <f>IFERROR(IF(D141="Premium",0.4*Y141,0),"No Disp")</f>
        <v>0</v>
      </c>
      <c r="AB141" s="95">
        <f>IFERROR(IF(4*Y141&gt;AC141,1.5*Y141,4*Y141),"No Disp")</f>
        <v>29850</v>
      </c>
      <c r="AC141" s="95">
        <f>IF(Z141="No Disp","No Disp",(Z141*18)+Y141)</f>
        <v>64900</v>
      </c>
      <c r="AD141" s="95">
        <f>18*Z141-100+Y141</f>
        <v>64800</v>
      </c>
      <c r="AE141" s="95">
        <v>19900</v>
      </c>
      <c r="AF141" s="95">
        <v>2000</v>
      </c>
      <c r="AG141" s="95">
        <f>IF(AF141="No Disp","No Disp",(AF141*18)+AE141)</f>
        <v>55900</v>
      </c>
      <c r="AH141" s="95">
        <f>18*AF141-100+AE141</f>
        <v>55800</v>
      </c>
      <c r="AI141" s="95" t="s">
        <v>4613</v>
      </c>
      <c r="AJ141" s="99"/>
      <c r="AK141" s="100" t="s">
        <v>43</v>
      </c>
      <c r="AL141" s="100" t="s">
        <v>43</v>
      </c>
      <c r="AM141" s="100" t="str">
        <f>IF(AL141&lt;&gt;"No Disp",AK141+12*AL141,"No Disp")</f>
        <v>No Disp</v>
      </c>
      <c r="AN141" s="100" t="s">
        <v>43</v>
      </c>
      <c r="AO141" s="100" t="s">
        <v>43</v>
      </c>
      <c r="AP141" s="100" t="str">
        <f>IF(AO141&lt;&gt;"No Disp",AN141+12*AO141,"No Disp")</f>
        <v>No Disp</v>
      </c>
      <c r="AQ141" s="100" t="s">
        <v>43</v>
      </c>
      <c r="AR141" s="100" t="s">
        <v>43</v>
      </c>
      <c r="AS141" s="100" t="str">
        <f>IF(AR141&lt;&gt;"No Disp",AQ141+12*AR141,"No Disp")</f>
        <v>No Disp</v>
      </c>
    </row>
    <row r="142" spans="1:45" s="101" customFormat="1" x14ac:dyDescent="0.25">
      <c r="A142" s="90" t="s">
        <v>102</v>
      </c>
      <c r="B142" s="90" t="s">
        <v>39</v>
      </c>
      <c r="C142" s="90" t="s">
        <v>40</v>
      </c>
      <c r="D142" s="90" t="s">
        <v>4539</v>
      </c>
      <c r="E142" s="90" t="s">
        <v>4542</v>
      </c>
      <c r="F142" s="91">
        <v>64</v>
      </c>
      <c r="G142" s="92">
        <v>70009090</v>
      </c>
      <c r="H142" s="91">
        <v>70009091</v>
      </c>
      <c r="I142" s="93" t="s">
        <v>229</v>
      </c>
      <c r="J142" s="94" t="s">
        <v>3576</v>
      </c>
      <c r="K142" s="94" t="s">
        <v>943</v>
      </c>
      <c r="L142" s="94" t="s">
        <v>3577</v>
      </c>
      <c r="M142" s="95">
        <v>99900</v>
      </c>
      <c r="N142" s="95">
        <v>2500</v>
      </c>
      <c r="O142" s="95">
        <v>4000</v>
      </c>
      <c r="P142" s="96">
        <v>0</v>
      </c>
      <c r="Q142" s="152"/>
      <c r="R142" s="95">
        <v>99900</v>
      </c>
      <c r="S142" s="95">
        <f>R142/24</f>
        <v>4162.5</v>
      </c>
      <c r="T142" s="95">
        <v>99900</v>
      </c>
      <c r="U142" s="95">
        <f>T142/24</f>
        <v>4162.5</v>
      </c>
      <c r="V142" s="95">
        <v>99900</v>
      </c>
      <c r="W142" s="95">
        <f>V142/24</f>
        <v>4162.5</v>
      </c>
      <c r="X142" s="128"/>
      <c r="Y142" s="95">
        <v>89900</v>
      </c>
      <c r="Z142" s="95">
        <v>10500</v>
      </c>
      <c r="AA142" s="95">
        <f>IFERROR(IF(D142="Premium",0.4*Y142,0),"No Disp")</f>
        <v>0</v>
      </c>
      <c r="AB142" s="95">
        <f>IFERROR(IF(4*Y142&gt;AC142,1.5*Y142,4*Y142),"No Disp")</f>
        <v>134850</v>
      </c>
      <c r="AC142" s="95">
        <f>IF(Z142="No Disp","No Disp",(Z142*18)+Y142)</f>
        <v>278900</v>
      </c>
      <c r="AD142" s="95">
        <f>18*Z142-100+Y142</f>
        <v>278800</v>
      </c>
      <c r="AE142" s="95">
        <v>19900</v>
      </c>
      <c r="AF142" s="95">
        <v>13000</v>
      </c>
      <c r="AG142" s="95">
        <f>IF(AF142="No Disp","No Disp",(AF142*18)+AE142)</f>
        <v>253900</v>
      </c>
      <c r="AH142" s="95">
        <f>18*AF142-100+AE142</f>
        <v>253800</v>
      </c>
      <c r="AI142" s="95" t="s">
        <v>4613</v>
      </c>
      <c r="AJ142" s="99"/>
      <c r="AK142" s="100" t="s">
        <v>43</v>
      </c>
      <c r="AL142" s="100" t="s">
        <v>43</v>
      </c>
      <c r="AM142" s="100" t="str">
        <f>IF(AL142&lt;&gt;"No Disp",AK142+12*AL142,"No Disp")</f>
        <v>No Disp</v>
      </c>
      <c r="AN142" s="100" t="s">
        <v>43</v>
      </c>
      <c r="AO142" s="100" t="s">
        <v>43</v>
      </c>
      <c r="AP142" s="100" t="str">
        <f>IF(AO142&lt;&gt;"No Disp",AN142+12*AO142,"No Disp")</f>
        <v>No Disp</v>
      </c>
      <c r="AQ142" s="100" t="s">
        <v>43</v>
      </c>
      <c r="AR142" s="100" t="s">
        <v>43</v>
      </c>
      <c r="AS142" s="100" t="str">
        <f>IF(AR142&lt;&gt;"No Disp",AQ142+12*AR142,"No Disp")</f>
        <v>No Disp</v>
      </c>
    </row>
    <row r="143" spans="1:45" s="101" customFormat="1" x14ac:dyDescent="0.25">
      <c r="A143" s="90" t="s">
        <v>102</v>
      </c>
      <c r="B143" s="90" t="s">
        <v>39</v>
      </c>
      <c r="C143" s="90" t="s">
        <v>40</v>
      </c>
      <c r="D143" s="90" t="s">
        <v>4539</v>
      </c>
      <c r="E143" s="90" t="s">
        <v>4542</v>
      </c>
      <c r="F143" s="91">
        <v>66</v>
      </c>
      <c r="G143" s="92">
        <v>70009095</v>
      </c>
      <c r="H143" s="91">
        <v>70009094</v>
      </c>
      <c r="I143" s="93" t="s">
        <v>229</v>
      </c>
      <c r="J143" s="94" t="s">
        <v>3576</v>
      </c>
      <c r="K143" s="94" t="s">
        <v>941</v>
      </c>
      <c r="L143" s="94" t="s">
        <v>3578</v>
      </c>
      <c r="M143" s="95">
        <v>99900</v>
      </c>
      <c r="N143" s="95">
        <v>2500</v>
      </c>
      <c r="O143" s="95">
        <v>4000</v>
      </c>
      <c r="P143" s="96">
        <v>0</v>
      </c>
      <c r="Q143" s="152"/>
      <c r="R143" s="95">
        <v>99900</v>
      </c>
      <c r="S143" s="95">
        <f>R143/24</f>
        <v>4162.5</v>
      </c>
      <c r="T143" s="95">
        <v>99900</v>
      </c>
      <c r="U143" s="95">
        <f>T143/24</f>
        <v>4162.5</v>
      </c>
      <c r="V143" s="95">
        <v>99900</v>
      </c>
      <c r="W143" s="95">
        <f>V143/24</f>
        <v>4162.5</v>
      </c>
      <c r="X143" s="128"/>
      <c r="Y143" s="95">
        <v>89900</v>
      </c>
      <c r="Z143" s="95">
        <v>10500</v>
      </c>
      <c r="AA143" s="95">
        <f>IFERROR(IF(D143="Premium",0.4*Y143,0),"No Disp")</f>
        <v>0</v>
      </c>
      <c r="AB143" s="95">
        <f>IFERROR(IF(4*Y143&gt;AC143,1.5*Y143,4*Y143),"No Disp")</f>
        <v>134850</v>
      </c>
      <c r="AC143" s="95">
        <f>IF(Z143="No Disp","No Disp",(Z143*18)+Y143)</f>
        <v>278900</v>
      </c>
      <c r="AD143" s="95">
        <f>18*Z143-100+Y143</f>
        <v>278800</v>
      </c>
      <c r="AE143" s="95">
        <v>19900</v>
      </c>
      <c r="AF143" s="95">
        <v>13000</v>
      </c>
      <c r="AG143" s="95">
        <f>IF(AF143="No Disp","No Disp",(AF143*18)+AE143)</f>
        <v>253900</v>
      </c>
      <c r="AH143" s="95">
        <f>18*AF143-100+AE143</f>
        <v>253800</v>
      </c>
      <c r="AI143" s="95" t="s">
        <v>4613</v>
      </c>
      <c r="AJ143" s="99"/>
      <c r="AK143" s="100" t="s">
        <v>43</v>
      </c>
      <c r="AL143" s="100" t="s">
        <v>43</v>
      </c>
      <c r="AM143" s="100" t="str">
        <f>IF(AL143&lt;&gt;"No Disp",AK143+12*AL143,"No Disp")</f>
        <v>No Disp</v>
      </c>
      <c r="AN143" s="100" t="s">
        <v>43</v>
      </c>
      <c r="AO143" s="100" t="s">
        <v>43</v>
      </c>
      <c r="AP143" s="100" t="str">
        <f>IF(AO143&lt;&gt;"No Disp",AN143+12*AO143,"No Disp")</f>
        <v>No Disp</v>
      </c>
      <c r="AQ143" s="100" t="s">
        <v>43</v>
      </c>
      <c r="AR143" s="100" t="s">
        <v>43</v>
      </c>
      <c r="AS143" s="100" t="str">
        <f>IF(AR143&lt;&gt;"No Disp",AQ143+12*AR143,"No Disp")</f>
        <v>No Disp</v>
      </c>
    </row>
    <row r="144" spans="1:45" s="101" customFormat="1" x14ac:dyDescent="0.25">
      <c r="A144" s="90" t="s">
        <v>102</v>
      </c>
      <c r="B144" s="90" t="s">
        <v>39</v>
      </c>
      <c r="C144" s="90" t="s">
        <v>40</v>
      </c>
      <c r="D144" s="90" t="s">
        <v>4539</v>
      </c>
      <c r="E144" s="90" t="s">
        <v>4542</v>
      </c>
      <c r="F144" s="91">
        <v>65</v>
      </c>
      <c r="G144" s="92">
        <v>70009093</v>
      </c>
      <c r="H144" s="91">
        <v>70009097</v>
      </c>
      <c r="I144" s="93" t="s">
        <v>87</v>
      </c>
      <c r="J144" s="94" t="s">
        <v>3485</v>
      </c>
      <c r="K144" s="94" t="s">
        <v>942</v>
      </c>
      <c r="L144" s="94" t="s">
        <v>3579</v>
      </c>
      <c r="M144" s="95">
        <v>174900</v>
      </c>
      <c r="N144" s="95">
        <v>4000</v>
      </c>
      <c r="O144" s="95">
        <v>6000</v>
      </c>
      <c r="P144" s="96">
        <v>0</v>
      </c>
      <c r="Q144" s="152"/>
      <c r="R144" s="95">
        <v>174900</v>
      </c>
      <c r="S144" s="95">
        <f>R144/24</f>
        <v>7287.5</v>
      </c>
      <c r="T144" s="95">
        <v>174900</v>
      </c>
      <c r="U144" s="95">
        <f>T144/24</f>
        <v>7287.5</v>
      </c>
      <c r="V144" s="95">
        <v>174900</v>
      </c>
      <c r="W144" s="95">
        <f>V144/24</f>
        <v>7287.5</v>
      </c>
      <c r="X144" s="128"/>
      <c r="Y144" s="95">
        <v>74900</v>
      </c>
      <c r="Z144" s="95">
        <v>9000</v>
      </c>
      <c r="AA144" s="95">
        <f>IFERROR(IF(D144="Premium",0.4*Y144,0),"No Disp")</f>
        <v>0</v>
      </c>
      <c r="AB144" s="95">
        <f>IFERROR(IF(4*Y144&gt;AC144,1.5*Y144,4*Y144),"No Disp")</f>
        <v>112350</v>
      </c>
      <c r="AC144" s="95">
        <f>IF(Z144="No Disp","No Disp",(Z144*18)+Y144)</f>
        <v>236900</v>
      </c>
      <c r="AD144" s="95">
        <f>18*Z144-100+Y144</f>
        <v>236800</v>
      </c>
      <c r="AE144" s="95">
        <v>19900</v>
      </c>
      <c r="AF144" s="95">
        <v>12000</v>
      </c>
      <c r="AG144" s="95">
        <f>IF(AF144="No Disp","No Disp",(AF144*18)+AE144)</f>
        <v>235900</v>
      </c>
      <c r="AH144" s="95">
        <f>18*AF144-100+AE144</f>
        <v>235800</v>
      </c>
      <c r="AI144" s="95" t="s">
        <v>4613</v>
      </c>
      <c r="AJ144" s="99"/>
      <c r="AK144" s="100" t="s">
        <v>43</v>
      </c>
      <c r="AL144" s="100" t="s">
        <v>43</v>
      </c>
      <c r="AM144" s="100" t="str">
        <f>IF(AL144&lt;&gt;"No Disp",AK144+12*AL144,"No Disp")</f>
        <v>No Disp</v>
      </c>
      <c r="AN144" s="100" t="s">
        <v>43</v>
      </c>
      <c r="AO144" s="100" t="s">
        <v>43</v>
      </c>
      <c r="AP144" s="100" t="str">
        <f>IF(AO144&lt;&gt;"No Disp",AN144+12*AO144,"No Disp")</f>
        <v>No Disp</v>
      </c>
      <c r="AQ144" s="100" t="s">
        <v>43</v>
      </c>
      <c r="AR144" s="100" t="s">
        <v>43</v>
      </c>
      <c r="AS144" s="100" t="str">
        <f>IF(AR144&lt;&gt;"No Disp",AQ144+12*AR144,"No Disp")</f>
        <v>No Disp</v>
      </c>
    </row>
    <row r="145" spans="1:45" s="101" customFormat="1" x14ac:dyDescent="0.25">
      <c r="A145" s="90" t="s">
        <v>38</v>
      </c>
      <c r="B145" s="90" t="s">
        <v>39</v>
      </c>
      <c r="C145" s="90" t="s">
        <v>40</v>
      </c>
      <c r="D145" s="90" t="s">
        <v>4539</v>
      </c>
      <c r="E145" s="90" t="s">
        <v>4542</v>
      </c>
      <c r="F145" s="91">
        <v>67</v>
      </c>
      <c r="G145" s="92">
        <v>70009105</v>
      </c>
      <c r="H145" s="91">
        <v>70009106</v>
      </c>
      <c r="I145" s="93" t="s">
        <v>87</v>
      </c>
      <c r="J145" s="94" t="s">
        <v>3580</v>
      </c>
      <c r="K145" s="94" t="s">
        <v>940</v>
      </c>
      <c r="L145" s="94" t="s">
        <v>3581</v>
      </c>
      <c r="M145" s="95">
        <v>199900</v>
      </c>
      <c r="N145" s="95">
        <v>2500</v>
      </c>
      <c r="O145" s="95">
        <v>4000</v>
      </c>
      <c r="P145" s="96">
        <v>0</v>
      </c>
      <c r="Q145" s="152"/>
      <c r="R145" s="95">
        <v>199900</v>
      </c>
      <c r="S145" s="95">
        <f>R145/24</f>
        <v>8329.1666666666661</v>
      </c>
      <c r="T145" s="95">
        <v>199900</v>
      </c>
      <c r="U145" s="95">
        <f>T145/24</f>
        <v>8329.1666666666661</v>
      </c>
      <c r="V145" s="95">
        <v>199900</v>
      </c>
      <c r="W145" s="95">
        <f>V145/24</f>
        <v>8329.1666666666661</v>
      </c>
      <c r="X145" s="128"/>
      <c r="Y145" s="95">
        <v>109900</v>
      </c>
      <c r="Z145" s="95">
        <v>9500</v>
      </c>
      <c r="AA145" s="95">
        <f>IFERROR(IF(D145="Premium",0.4*Y145,0),"No Disp")</f>
        <v>0</v>
      </c>
      <c r="AB145" s="95">
        <f>IFERROR(IF(4*Y145&gt;AC145,1.5*Y145,4*Y145),"No Disp")</f>
        <v>164850</v>
      </c>
      <c r="AC145" s="95">
        <f>IF(Z145="No Disp","No Disp",(Z145*18)+Y145)</f>
        <v>280900</v>
      </c>
      <c r="AD145" s="95">
        <f>18*Z145-100+Y145</f>
        <v>280800</v>
      </c>
      <c r="AE145" s="95">
        <v>19900</v>
      </c>
      <c r="AF145" s="95">
        <v>14000</v>
      </c>
      <c r="AG145" s="95">
        <f>IF(AF145="No Disp","No Disp",(AF145*18)+AE145)</f>
        <v>271900</v>
      </c>
      <c r="AH145" s="95">
        <f>18*AF145-100+AE145</f>
        <v>271800</v>
      </c>
      <c r="AI145" s="95" t="s">
        <v>4613</v>
      </c>
      <c r="AJ145" s="99"/>
      <c r="AK145" s="100" t="s">
        <v>43</v>
      </c>
      <c r="AL145" s="100" t="s">
        <v>43</v>
      </c>
      <c r="AM145" s="100" t="str">
        <f>IF(AL145&lt;&gt;"No Disp",AK145+12*AL145,"No Disp")</f>
        <v>No Disp</v>
      </c>
      <c r="AN145" s="100" t="s">
        <v>43</v>
      </c>
      <c r="AO145" s="100" t="s">
        <v>43</v>
      </c>
      <c r="AP145" s="100" t="str">
        <f>IF(AO145&lt;&gt;"No Disp",AN145+12*AO145,"No Disp")</f>
        <v>No Disp</v>
      </c>
      <c r="AQ145" s="100" t="s">
        <v>43</v>
      </c>
      <c r="AR145" s="100" t="s">
        <v>43</v>
      </c>
      <c r="AS145" s="100" t="str">
        <f>IF(AR145&lt;&gt;"No Disp",AQ145+12*AR145,"No Disp")</f>
        <v>No Disp</v>
      </c>
    </row>
    <row r="146" spans="1:45" s="101" customFormat="1" x14ac:dyDescent="0.25">
      <c r="A146" s="90" t="s">
        <v>102</v>
      </c>
      <c r="B146" s="90" t="s">
        <v>39</v>
      </c>
      <c r="C146" s="90" t="s">
        <v>40</v>
      </c>
      <c r="D146" s="90" t="s">
        <v>4541</v>
      </c>
      <c r="E146" s="90" t="s">
        <v>4542</v>
      </c>
      <c r="F146" s="91">
        <v>68</v>
      </c>
      <c r="G146" s="92">
        <v>70009111</v>
      </c>
      <c r="H146" s="91">
        <v>70009112</v>
      </c>
      <c r="I146" s="93" t="s">
        <v>46</v>
      </c>
      <c r="J146" s="94" t="s">
        <v>3582</v>
      </c>
      <c r="K146" s="94" t="s">
        <v>939</v>
      </c>
      <c r="L146" s="94" t="s">
        <v>3583</v>
      </c>
      <c r="M146" s="95">
        <v>29900</v>
      </c>
      <c r="N146" s="95">
        <v>2500</v>
      </c>
      <c r="O146" s="95">
        <v>4000</v>
      </c>
      <c r="P146" s="96">
        <v>0</v>
      </c>
      <c r="Q146" s="152"/>
      <c r="R146" s="95">
        <v>29900</v>
      </c>
      <c r="S146" s="95">
        <f>R146/24</f>
        <v>1245.8333333333333</v>
      </c>
      <c r="T146" s="95">
        <v>29900</v>
      </c>
      <c r="U146" s="95">
        <f>T146/24</f>
        <v>1245.8333333333333</v>
      </c>
      <c r="V146" s="95">
        <v>29900</v>
      </c>
      <c r="W146" s="95">
        <f>V146/24</f>
        <v>1245.8333333333333</v>
      </c>
      <c r="X146" s="128"/>
      <c r="Y146" s="95">
        <v>84900</v>
      </c>
      <c r="Z146" s="95">
        <v>10000</v>
      </c>
      <c r="AA146" s="95">
        <f>IFERROR(IF(D146="Premium",0.4*Y146,0),"No Disp")</f>
        <v>0</v>
      </c>
      <c r="AB146" s="95">
        <f>IFERROR(IF(4*Y146&gt;AC146,1.5*Y146,4*Y146),"No Disp")</f>
        <v>127350</v>
      </c>
      <c r="AC146" s="95">
        <f>IF(Z146="No Disp","No Disp",(Z146*18)+Y146)</f>
        <v>264900</v>
      </c>
      <c r="AD146" s="95">
        <f>18*Z146-100+Y146</f>
        <v>264800</v>
      </c>
      <c r="AE146" s="95">
        <v>19900</v>
      </c>
      <c r="AF146" s="95">
        <v>13500</v>
      </c>
      <c r="AG146" s="95">
        <f>IF(AF146="No Disp","No Disp",(AF146*18)+AE146)</f>
        <v>262900</v>
      </c>
      <c r="AH146" s="95">
        <f>18*AF146-100+AE146</f>
        <v>262800</v>
      </c>
      <c r="AI146" s="95" t="s">
        <v>4613</v>
      </c>
      <c r="AJ146" s="99"/>
      <c r="AK146" s="100" t="s">
        <v>43</v>
      </c>
      <c r="AL146" s="100" t="s">
        <v>43</v>
      </c>
      <c r="AM146" s="100" t="str">
        <f>IF(AL146&lt;&gt;"No Disp",AK146+12*AL146,"No Disp")</f>
        <v>No Disp</v>
      </c>
      <c r="AN146" s="100" t="s">
        <v>43</v>
      </c>
      <c r="AO146" s="100" t="s">
        <v>43</v>
      </c>
      <c r="AP146" s="100" t="str">
        <f>IF(AO146&lt;&gt;"No Disp",AN146+12*AO146,"No Disp")</f>
        <v>No Disp</v>
      </c>
      <c r="AQ146" s="100" t="s">
        <v>43</v>
      </c>
      <c r="AR146" s="100" t="s">
        <v>43</v>
      </c>
      <c r="AS146" s="100" t="str">
        <f>IF(AR146&lt;&gt;"No Disp",AQ146+12*AR146,"No Disp")</f>
        <v>No Disp</v>
      </c>
    </row>
    <row r="147" spans="1:45" s="101" customFormat="1" x14ac:dyDescent="0.25">
      <c r="A147" s="90" t="s">
        <v>102</v>
      </c>
      <c r="B147" s="90" t="s">
        <v>39</v>
      </c>
      <c r="C147" s="90" t="s">
        <v>40</v>
      </c>
      <c r="D147" s="90" t="s">
        <v>4541</v>
      </c>
      <c r="E147" s="90" t="s">
        <v>4542</v>
      </c>
      <c r="F147" s="91">
        <v>69</v>
      </c>
      <c r="G147" s="92">
        <v>70009113</v>
      </c>
      <c r="H147" s="91">
        <v>70009114</v>
      </c>
      <c r="I147" s="93" t="s">
        <v>131</v>
      </c>
      <c r="J147" s="94" t="s">
        <v>3584</v>
      </c>
      <c r="K147" s="94" t="s">
        <v>3585</v>
      </c>
      <c r="L147" s="94" t="s">
        <v>3586</v>
      </c>
      <c r="M147" s="95">
        <v>156900</v>
      </c>
      <c r="N147" s="95">
        <v>2500</v>
      </c>
      <c r="O147" s="95">
        <v>4000</v>
      </c>
      <c r="P147" s="96">
        <v>0</v>
      </c>
      <c r="Q147" s="152"/>
      <c r="R147" s="95">
        <v>156900</v>
      </c>
      <c r="S147" s="95">
        <f>R147/24</f>
        <v>6537.5</v>
      </c>
      <c r="T147" s="95">
        <v>156900</v>
      </c>
      <c r="U147" s="95">
        <f>T147/24</f>
        <v>6537.5</v>
      </c>
      <c r="V147" s="95">
        <v>156900</v>
      </c>
      <c r="W147" s="95">
        <f>V147/24</f>
        <v>6537.5</v>
      </c>
      <c r="X147" s="128"/>
      <c r="Y147" s="95">
        <v>69900</v>
      </c>
      <c r="Z147" s="95">
        <v>8500</v>
      </c>
      <c r="AA147" s="95">
        <f>IFERROR(IF(D147="Premium",0.4*Y147,0),"No Disp")</f>
        <v>0</v>
      </c>
      <c r="AB147" s="95">
        <f>IFERROR(IF(4*Y147&gt;AC147,1.5*Y147,4*Y147),"No Disp")</f>
        <v>104850</v>
      </c>
      <c r="AC147" s="95">
        <f>IF(Z147="No Disp","No Disp",(Z147*18)+Y147)</f>
        <v>222900</v>
      </c>
      <c r="AD147" s="95">
        <f>18*Z147-100+Y147</f>
        <v>222800</v>
      </c>
      <c r="AE147" s="95">
        <v>19900</v>
      </c>
      <c r="AF147" s="95">
        <v>11000</v>
      </c>
      <c r="AG147" s="95">
        <f>IF(AF147="No Disp","No Disp",(AF147*18)+AE147)</f>
        <v>217900</v>
      </c>
      <c r="AH147" s="95">
        <f>18*AF147-100+AE147</f>
        <v>217800</v>
      </c>
      <c r="AI147" s="95" t="s">
        <v>4613</v>
      </c>
      <c r="AJ147" s="99"/>
      <c r="AK147" s="100" t="s">
        <v>43</v>
      </c>
      <c r="AL147" s="100" t="s">
        <v>43</v>
      </c>
      <c r="AM147" s="100" t="str">
        <f>IF(AL147&lt;&gt;"No Disp",AK147+12*AL147,"No Disp")</f>
        <v>No Disp</v>
      </c>
      <c r="AN147" s="100" t="s">
        <v>43</v>
      </c>
      <c r="AO147" s="100" t="s">
        <v>43</v>
      </c>
      <c r="AP147" s="100" t="str">
        <f>IF(AO147&lt;&gt;"No Disp",AN147+12*AO147,"No Disp")</f>
        <v>No Disp</v>
      </c>
      <c r="AQ147" s="100" t="s">
        <v>43</v>
      </c>
      <c r="AR147" s="100" t="s">
        <v>43</v>
      </c>
      <c r="AS147" s="100" t="str">
        <f>IF(AR147&lt;&gt;"No Disp",AQ147+12*AR147,"No Disp")</f>
        <v>No Disp</v>
      </c>
    </row>
    <row r="148" spans="1:45" s="101" customFormat="1" x14ac:dyDescent="0.25">
      <c r="A148" s="90" t="s">
        <v>102</v>
      </c>
      <c r="B148" s="90" t="s">
        <v>39</v>
      </c>
      <c r="C148" s="90" t="s">
        <v>40</v>
      </c>
      <c r="D148" s="90" t="s">
        <v>4539</v>
      </c>
      <c r="E148" s="90" t="s">
        <v>4542</v>
      </c>
      <c r="F148" s="91">
        <v>70</v>
      </c>
      <c r="G148" s="92">
        <v>70009139</v>
      </c>
      <c r="H148" s="91">
        <v>70009140</v>
      </c>
      <c r="I148" s="93" t="s">
        <v>87</v>
      </c>
      <c r="J148" s="94" t="s">
        <v>3564</v>
      </c>
      <c r="K148" s="94" t="s">
        <v>938</v>
      </c>
      <c r="L148" s="94" t="s">
        <v>3587</v>
      </c>
      <c r="M148" s="95">
        <v>44900</v>
      </c>
      <c r="N148" s="95">
        <v>2500</v>
      </c>
      <c r="O148" s="95">
        <v>4000</v>
      </c>
      <c r="P148" s="96">
        <v>0</v>
      </c>
      <c r="Q148" s="152"/>
      <c r="R148" s="95">
        <v>44900</v>
      </c>
      <c r="S148" s="95">
        <f>R148/24</f>
        <v>1870.8333333333333</v>
      </c>
      <c r="T148" s="95">
        <v>44900</v>
      </c>
      <c r="U148" s="95">
        <f>T148/24</f>
        <v>1870.8333333333333</v>
      </c>
      <c r="V148" s="95">
        <v>44900</v>
      </c>
      <c r="W148" s="95">
        <f>V148/24</f>
        <v>1870.8333333333333</v>
      </c>
      <c r="X148" s="128"/>
      <c r="Y148" s="95">
        <v>149900</v>
      </c>
      <c r="Z148" s="95">
        <v>10000</v>
      </c>
      <c r="AA148" s="95">
        <f>IFERROR(IF(D148="Premium",0.4*Y148,0),"No Disp")</f>
        <v>0</v>
      </c>
      <c r="AB148" s="95">
        <f>IFERROR(IF(4*Y148&gt;AC148,1.5*Y148,4*Y148),"No Disp")</f>
        <v>224850</v>
      </c>
      <c r="AC148" s="95">
        <f>IF(Z148="No Disp","No Disp",(Z148*18)+Y148)</f>
        <v>329900</v>
      </c>
      <c r="AD148" s="95">
        <f>18*Z148-100+Y148</f>
        <v>329800</v>
      </c>
      <c r="AE148" s="95">
        <v>19900</v>
      </c>
      <c r="AF148" s="95">
        <v>2000</v>
      </c>
      <c r="AG148" s="95">
        <f>IF(AF148="No Disp","No Disp",(AF148*18)+AE148)</f>
        <v>55900</v>
      </c>
      <c r="AH148" s="95">
        <f>18*AF148-100+AE148</f>
        <v>55800</v>
      </c>
      <c r="AI148" s="95" t="s">
        <v>4613</v>
      </c>
      <c r="AJ148" s="99"/>
      <c r="AK148" s="100" t="s">
        <v>43</v>
      </c>
      <c r="AL148" s="100" t="s">
        <v>43</v>
      </c>
      <c r="AM148" s="100" t="str">
        <f>IF(AL148&lt;&gt;"No Disp",AK148+12*AL148,"No Disp")</f>
        <v>No Disp</v>
      </c>
      <c r="AN148" s="100" t="s">
        <v>43</v>
      </c>
      <c r="AO148" s="100" t="s">
        <v>43</v>
      </c>
      <c r="AP148" s="100" t="str">
        <f>IF(AO148&lt;&gt;"No Disp",AN148+12*AO148,"No Disp")</f>
        <v>No Disp</v>
      </c>
      <c r="AQ148" s="100" t="s">
        <v>43</v>
      </c>
      <c r="AR148" s="100" t="s">
        <v>43</v>
      </c>
      <c r="AS148" s="100" t="str">
        <f>IF(AR148&lt;&gt;"No Disp",AQ148+12*AR148,"No Disp")</f>
        <v>No Disp</v>
      </c>
    </row>
    <row r="149" spans="1:45" s="101" customFormat="1" x14ac:dyDescent="0.25">
      <c r="A149" s="90" t="s">
        <v>102</v>
      </c>
      <c r="B149" s="90" t="s">
        <v>39</v>
      </c>
      <c r="C149" s="90" t="s">
        <v>39</v>
      </c>
      <c r="D149" s="90" t="s">
        <v>4541</v>
      </c>
      <c r="E149" s="90" t="s">
        <v>4542</v>
      </c>
      <c r="F149" s="91">
        <v>71</v>
      </c>
      <c r="G149" s="92">
        <v>70009144</v>
      </c>
      <c r="H149" s="91">
        <v>70009145</v>
      </c>
      <c r="I149" s="93" t="s">
        <v>46</v>
      </c>
      <c r="J149" s="94" t="s">
        <v>3551</v>
      </c>
      <c r="K149" s="94" t="s">
        <v>3588</v>
      </c>
      <c r="L149" s="94" t="s">
        <v>3589</v>
      </c>
      <c r="M149" s="95">
        <v>374900</v>
      </c>
      <c r="N149" s="95">
        <v>6000</v>
      </c>
      <c r="O149" s="95">
        <v>8500</v>
      </c>
      <c r="P149" s="96">
        <v>0</v>
      </c>
      <c r="Q149" s="152"/>
      <c r="R149" s="95">
        <v>374900</v>
      </c>
      <c r="S149" s="95">
        <f>R149/24</f>
        <v>15620.833333333334</v>
      </c>
      <c r="T149" s="95">
        <v>374900</v>
      </c>
      <c r="U149" s="95">
        <f>T149/24</f>
        <v>15620.833333333334</v>
      </c>
      <c r="V149" s="95">
        <v>374900</v>
      </c>
      <c r="W149" s="95">
        <f>V149/24</f>
        <v>15620.833333333334</v>
      </c>
      <c r="X149" s="128"/>
      <c r="Y149" s="95">
        <v>264900</v>
      </c>
      <c r="Z149" s="95">
        <v>10000</v>
      </c>
      <c r="AA149" s="95">
        <f>IFERROR(IF(D149="Premium",0.4*Y149,0),"No Disp")</f>
        <v>0</v>
      </c>
      <c r="AB149" s="95">
        <f>IFERROR(IF(4*Y149&gt;AC149,1.5*Y149,4*Y149),"No Disp")</f>
        <v>397350</v>
      </c>
      <c r="AC149" s="95">
        <f>IF(Z149="No Disp","No Disp",(Z149*18)+Y149)</f>
        <v>444900</v>
      </c>
      <c r="AD149" s="95">
        <f>18*Z149-100+Y149</f>
        <v>444800</v>
      </c>
      <c r="AE149" s="95">
        <v>0</v>
      </c>
      <c r="AF149" s="95">
        <v>21000</v>
      </c>
      <c r="AG149" s="95">
        <f>IF(AF149="No Disp","No Disp",(AF149*18)+AE149)</f>
        <v>378000</v>
      </c>
      <c r="AH149" s="95">
        <f>18*AF149-100+AE149</f>
        <v>377900</v>
      </c>
      <c r="AI149" s="95" t="s">
        <v>4613</v>
      </c>
      <c r="AJ149" s="99"/>
      <c r="AK149" s="100" t="s">
        <v>43</v>
      </c>
      <c r="AL149" s="100" t="s">
        <v>43</v>
      </c>
      <c r="AM149" s="100" t="str">
        <f>IF(AL149&lt;&gt;"No Disp",AK149+12*AL149,"No Disp")</f>
        <v>No Disp</v>
      </c>
      <c r="AN149" s="100" t="s">
        <v>43</v>
      </c>
      <c r="AO149" s="100" t="s">
        <v>43</v>
      </c>
      <c r="AP149" s="100" t="str">
        <f>IF(AO149&lt;&gt;"No Disp",AN149+12*AO149,"No Disp")</f>
        <v>No Disp</v>
      </c>
      <c r="AQ149" s="100" t="s">
        <v>43</v>
      </c>
      <c r="AR149" s="100" t="s">
        <v>43</v>
      </c>
      <c r="AS149" s="100" t="str">
        <f>IF(AR149&lt;&gt;"No Disp",AQ149+12*AR149,"No Disp")</f>
        <v>No Disp</v>
      </c>
    </row>
    <row r="150" spans="1:45" s="101" customFormat="1" x14ac:dyDescent="0.25">
      <c r="A150" s="90" t="s">
        <v>102</v>
      </c>
      <c r="B150" s="90" t="s">
        <v>39</v>
      </c>
      <c r="C150" s="90" t="s">
        <v>39</v>
      </c>
      <c r="D150" s="90" t="s">
        <v>4537</v>
      </c>
      <c r="E150" s="90" t="s">
        <v>4542</v>
      </c>
      <c r="F150" s="91">
        <v>72</v>
      </c>
      <c r="G150" s="92">
        <v>70009147</v>
      </c>
      <c r="H150" s="91">
        <v>70009148</v>
      </c>
      <c r="I150" s="93" t="s">
        <v>46</v>
      </c>
      <c r="J150" s="94" t="s">
        <v>3544</v>
      </c>
      <c r="K150" s="94" t="s">
        <v>937</v>
      </c>
      <c r="L150" s="94" t="s">
        <v>3590</v>
      </c>
      <c r="M150" s="95">
        <v>199900</v>
      </c>
      <c r="N150" s="95">
        <v>2500</v>
      </c>
      <c r="O150" s="95">
        <v>4000</v>
      </c>
      <c r="P150" s="96">
        <v>0</v>
      </c>
      <c r="Q150" s="152"/>
      <c r="R150" s="95">
        <v>199900</v>
      </c>
      <c r="S150" s="95">
        <f>R150/24</f>
        <v>8329.1666666666661</v>
      </c>
      <c r="T150" s="95">
        <v>199900</v>
      </c>
      <c r="U150" s="95">
        <f>T150/24</f>
        <v>8329.1666666666661</v>
      </c>
      <c r="V150" s="95">
        <v>199900</v>
      </c>
      <c r="W150" s="95">
        <f>V150/24</f>
        <v>8329.1666666666661</v>
      </c>
      <c r="X150" s="128"/>
      <c r="Y150" s="95">
        <v>99900</v>
      </c>
      <c r="Z150" s="95">
        <v>9000</v>
      </c>
      <c r="AA150" s="95">
        <f>IFERROR(IF(D150="Premium",0.4*Y150,0),"No Disp")</f>
        <v>0</v>
      </c>
      <c r="AB150" s="95">
        <f>IFERROR(IF(4*Y150&gt;AC150,1.5*Y150,4*Y150),"No Disp")</f>
        <v>149850</v>
      </c>
      <c r="AC150" s="95">
        <f>IF(Z150="No Disp","No Disp",(Z150*18)+Y150)</f>
        <v>261900</v>
      </c>
      <c r="AD150" s="95">
        <f>18*Z150-100+Y150</f>
        <v>261800</v>
      </c>
      <c r="AE150" s="95">
        <v>0</v>
      </c>
      <c r="AF150" s="95">
        <v>13000</v>
      </c>
      <c r="AG150" s="95">
        <f>IF(AF150="No Disp","No Disp",(AF150*18)+AE150)</f>
        <v>234000</v>
      </c>
      <c r="AH150" s="95">
        <f>18*AF150-100+AE150</f>
        <v>233900</v>
      </c>
      <c r="AI150" s="95" t="s">
        <v>4613</v>
      </c>
      <c r="AJ150" s="99"/>
      <c r="AK150" s="100" t="s">
        <v>43</v>
      </c>
      <c r="AL150" s="100" t="s">
        <v>43</v>
      </c>
      <c r="AM150" s="100" t="str">
        <f>IF(AL150&lt;&gt;"No Disp",AK150+12*AL150,"No Disp")</f>
        <v>No Disp</v>
      </c>
      <c r="AN150" s="100" t="s">
        <v>43</v>
      </c>
      <c r="AO150" s="100" t="s">
        <v>43</v>
      </c>
      <c r="AP150" s="100" t="str">
        <f>IF(AO150&lt;&gt;"No Disp",AN150+12*AO150,"No Disp")</f>
        <v>No Disp</v>
      </c>
      <c r="AQ150" s="100" t="s">
        <v>43</v>
      </c>
      <c r="AR150" s="100" t="s">
        <v>43</v>
      </c>
      <c r="AS150" s="100" t="str">
        <f>IF(AR150&lt;&gt;"No Disp",AQ150+12*AR150,"No Disp")</f>
        <v>No Disp</v>
      </c>
    </row>
    <row r="151" spans="1:45" s="101" customFormat="1" x14ac:dyDescent="0.25">
      <c r="A151" s="90" t="s">
        <v>102</v>
      </c>
      <c r="B151" s="90" t="s">
        <v>39</v>
      </c>
      <c r="C151" s="90" t="s">
        <v>39</v>
      </c>
      <c r="D151" s="90" t="s">
        <v>4539</v>
      </c>
      <c r="E151" s="90" t="s">
        <v>4542</v>
      </c>
      <c r="F151" s="91">
        <v>73</v>
      </c>
      <c r="G151" s="92">
        <v>70009150</v>
      </c>
      <c r="H151" s="91">
        <v>70009151</v>
      </c>
      <c r="I151" s="93" t="s">
        <v>46</v>
      </c>
      <c r="J151" s="94" t="s">
        <v>898</v>
      </c>
      <c r="K151" s="94" t="s">
        <v>3591</v>
      </c>
      <c r="L151" s="94" t="s">
        <v>3592</v>
      </c>
      <c r="M151" s="95">
        <v>189900</v>
      </c>
      <c r="N151" s="95">
        <v>2500</v>
      </c>
      <c r="O151" s="95">
        <v>4000</v>
      </c>
      <c r="P151" s="96">
        <v>0</v>
      </c>
      <c r="Q151" s="152"/>
      <c r="R151" s="95">
        <v>189900</v>
      </c>
      <c r="S151" s="95">
        <f>R151/24</f>
        <v>7912.5</v>
      </c>
      <c r="T151" s="95">
        <v>189900</v>
      </c>
      <c r="U151" s="95">
        <f>T151/24</f>
        <v>7912.5</v>
      </c>
      <c r="V151" s="95">
        <v>189900</v>
      </c>
      <c r="W151" s="95">
        <f>V151/24</f>
        <v>7912.5</v>
      </c>
      <c r="X151" s="128"/>
      <c r="Y151" s="95">
        <v>79900</v>
      </c>
      <c r="Z151" s="95">
        <v>7500</v>
      </c>
      <c r="AA151" s="95">
        <f>IFERROR(IF(D151="Premium",0.4*Y151,0),"No Disp")</f>
        <v>0</v>
      </c>
      <c r="AB151" s="95">
        <f>IFERROR(IF(4*Y151&gt;AC151,1.5*Y151,4*Y151),"No Disp")</f>
        <v>119850</v>
      </c>
      <c r="AC151" s="95">
        <f>IF(Z151="No Disp","No Disp",(Z151*18)+Y151)</f>
        <v>214900</v>
      </c>
      <c r="AD151" s="95">
        <f>18*Z151-100+Y151</f>
        <v>214800</v>
      </c>
      <c r="AE151" s="95">
        <v>0</v>
      </c>
      <c r="AF151" s="95">
        <v>10500</v>
      </c>
      <c r="AG151" s="95">
        <f>IF(AF151="No Disp","No Disp",(AF151*18)+AE151)</f>
        <v>189000</v>
      </c>
      <c r="AH151" s="95">
        <f>18*AF151-100+AE151</f>
        <v>188900</v>
      </c>
      <c r="AI151" s="95" t="s">
        <v>4613</v>
      </c>
      <c r="AJ151" s="99"/>
      <c r="AK151" s="100" t="s">
        <v>43</v>
      </c>
      <c r="AL151" s="100" t="s">
        <v>43</v>
      </c>
      <c r="AM151" s="100" t="str">
        <f>IF(AL151&lt;&gt;"No Disp",AK151+12*AL151,"No Disp")</f>
        <v>No Disp</v>
      </c>
      <c r="AN151" s="100" t="s">
        <v>43</v>
      </c>
      <c r="AO151" s="100" t="s">
        <v>43</v>
      </c>
      <c r="AP151" s="100" t="str">
        <f>IF(AO151&lt;&gt;"No Disp",AN151+12*AO151,"No Disp")</f>
        <v>No Disp</v>
      </c>
      <c r="AQ151" s="100" t="s">
        <v>43</v>
      </c>
      <c r="AR151" s="100" t="s">
        <v>43</v>
      </c>
      <c r="AS151" s="100" t="str">
        <f>IF(AR151&lt;&gt;"No Disp",AQ151+12*AR151,"No Disp")</f>
        <v>No Disp</v>
      </c>
    </row>
    <row r="152" spans="1:45" s="101" customFormat="1" x14ac:dyDescent="0.25">
      <c r="A152" s="90" t="s">
        <v>38</v>
      </c>
      <c r="B152" s="90" t="s">
        <v>39</v>
      </c>
      <c r="C152" s="90" t="s">
        <v>40</v>
      </c>
      <c r="D152" s="90" t="s">
        <v>4539</v>
      </c>
      <c r="E152" s="90" t="s">
        <v>4542</v>
      </c>
      <c r="F152" s="91">
        <v>74</v>
      </c>
      <c r="G152" s="92">
        <v>70009153</v>
      </c>
      <c r="H152" s="91">
        <v>70009154</v>
      </c>
      <c r="I152" s="93" t="s">
        <v>87</v>
      </c>
      <c r="J152" s="94" t="s">
        <v>3580</v>
      </c>
      <c r="K152" s="94" t="s">
        <v>936</v>
      </c>
      <c r="L152" s="94" t="s">
        <v>3593</v>
      </c>
      <c r="M152" s="95">
        <v>199900</v>
      </c>
      <c r="N152" s="95">
        <v>2500</v>
      </c>
      <c r="O152" s="95">
        <v>4000</v>
      </c>
      <c r="P152" s="96">
        <v>0</v>
      </c>
      <c r="Q152" s="152"/>
      <c r="R152" s="95">
        <v>199900</v>
      </c>
      <c r="S152" s="95">
        <f>R152/24</f>
        <v>8329.1666666666661</v>
      </c>
      <c r="T152" s="95">
        <v>199900</v>
      </c>
      <c r="U152" s="95">
        <f>T152/24</f>
        <v>8329.1666666666661</v>
      </c>
      <c r="V152" s="95">
        <v>199900</v>
      </c>
      <c r="W152" s="95">
        <f>V152/24</f>
        <v>8329.1666666666661</v>
      </c>
      <c r="X152" s="128"/>
      <c r="Y152" s="95">
        <v>109900</v>
      </c>
      <c r="Z152" s="95">
        <v>9500</v>
      </c>
      <c r="AA152" s="95">
        <f>IFERROR(IF(D152="Premium",0.4*Y152,0),"No Disp")</f>
        <v>0</v>
      </c>
      <c r="AB152" s="95">
        <f>IFERROR(IF(4*Y152&gt;AC152,1.5*Y152,4*Y152),"No Disp")</f>
        <v>164850</v>
      </c>
      <c r="AC152" s="95">
        <f>IF(Z152="No Disp","No Disp",(Z152*18)+Y152)</f>
        <v>280900</v>
      </c>
      <c r="AD152" s="95">
        <f>18*Z152-100+Y152</f>
        <v>280800</v>
      </c>
      <c r="AE152" s="95">
        <v>19900</v>
      </c>
      <c r="AF152" s="95">
        <v>14000</v>
      </c>
      <c r="AG152" s="95">
        <f>IF(AF152="No Disp","No Disp",(AF152*18)+AE152)</f>
        <v>271900</v>
      </c>
      <c r="AH152" s="95">
        <f>18*AF152-100+AE152</f>
        <v>271800</v>
      </c>
      <c r="AI152" s="95" t="s">
        <v>4613</v>
      </c>
      <c r="AJ152" s="99"/>
      <c r="AK152" s="100" t="s">
        <v>43</v>
      </c>
      <c r="AL152" s="100" t="s">
        <v>43</v>
      </c>
      <c r="AM152" s="100" t="str">
        <f>IF(AL152&lt;&gt;"No Disp",AK152+12*AL152,"No Disp")</f>
        <v>No Disp</v>
      </c>
      <c r="AN152" s="100" t="s">
        <v>43</v>
      </c>
      <c r="AO152" s="100" t="s">
        <v>43</v>
      </c>
      <c r="AP152" s="100" t="str">
        <f>IF(AO152&lt;&gt;"No Disp",AN152+12*AO152,"No Disp")</f>
        <v>No Disp</v>
      </c>
      <c r="AQ152" s="100" t="s">
        <v>43</v>
      </c>
      <c r="AR152" s="100" t="s">
        <v>43</v>
      </c>
      <c r="AS152" s="100" t="str">
        <f>IF(AR152&lt;&gt;"No Disp",AQ152+12*AR152,"No Disp")</f>
        <v>No Disp</v>
      </c>
    </row>
    <row r="153" spans="1:45" s="101" customFormat="1" x14ac:dyDescent="0.25">
      <c r="A153" s="90" t="s">
        <v>102</v>
      </c>
      <c r="B153" s="90" t="s">
        <v>39</v>
      </c>
      <c r="C153" s="90" t="s">
        <v>40</v>
      </c>
      <c r="D153" s="90" t="s">
        <v>4539</v>
      </c>
      <c r="E153" s="90" t="s">
        <v>4542</v>
      </c>
      <c r="F153" s="91">
        <v>75</v>
      </c>
      <c r="G153" s="92">
        <v>70009188</v>
      </c>
      <c r="H153" s="91">
        <v>70009189</v>
      </c>
      <c r="I153" s="93" t="s">
        <v>46</v>
      </c>
      <c r="J153" s="94" t="s">
        <v>3594</v>
      </c>
      <c r="K153" s="94" t="s">
        <v>935</v>
      </c>
      <c r="L153" s="94" t="s">
        <v>3595</v>
      </c>
      <c r="M153" s="95">
        <v>99900</v>
      </c>
      <c r="N153" s="95">
        <v>2500</v>
      </c>
      <c r="O153" s="95">
        <v>4000</v>
      </c>
      <c r="P153" s="96">
        <v>0</v>
      </c>
      <c r="Q153" s="152"/>
      <c r="R153" s="95">
        <v>99900</v>
      </c>
      <c r="S153" s="95">
        <f>R153/24</f>
        <v>4162.5</v>
      </c>
      <c r="T153" s="95">
        <v>99900</v>
      </c>
      <c r="U153" s="95">
        <f>T153/24</f>
        <v>4162.5</v>
      </c>
      <c r="V153" s="95">
        <v>99900</v>
      </c>
      <c r="W153" s="95">
        <f>V153/24</f>
        <v>4162.5</v>
      </c>
      <c r="X153" s="128"/>
      <c r="Y153" s="95">
        <v>29900</v>
      </c>
      <c r="Z153" s="95">
        <v>17000</v>
      </c>
      <c r="AA153" s="95">
        <f>IFERROR(IF(D153="Premium",0.4*Y153,0),"No Disp")</f>
        <v>0</v>
      </c>
      <c r="AB153" s="95">
        <f>IFERROR(IF(4*Y153&gt;AC153,1.5*Y153,4*Y153),"No Disp")</f>
        <v>119600</v>
      </c>
      <c r="AC153" s="95">
        <f>IF(Z153="No Disp","No Disp",(Z153*18)+Y153)</f>
        <v>335900</v>
      </c>
      <c r="AD153" s="95">
        <f>18*Z153-100+Y153</f>
        <v>335800</v>
      </c>
      <c r="AE153" s="95">
        <v>399900</v>
      </c>
      <c r="AF153" s="95">
        <v>43000</v>
      </c>
      <c r="AG153" s="95">
        <f>IF(AF153="No Disp","No Disp",(AF153*18)+AE153)</f>
        <v>1173900</v>
      </c>
      <c r="AH153" s="95">
        <f>18*AF153-100+AE153</f>
        <v>1173800</v>
      </c>
      <c r="AI153" s="95" t="s">
        <v>4613</v>
      </c>
      <c r="AJ153" s="99"/>
      <c r="AK153" s="100" t="s">
        <v>43</v>
      </c>
      <c r="AL153" s="100" t="s">
        <v>43</v>
      </c>
      <c r="AM153" s="100" t="str">
        <f>IF(AL153&lt;&gt;"No Disp",AK153+12*AL153,"No Disp")</f>
        <v>No Disp</v>
      </c>
      <c r="AN153" s="100" t="s">
        <v>43</v>
      </c>
      <c r="AO153" s="100" t="s">
        <v>43</v>
      </c>
      <c r="AP153" s="100" t="str">
        <f>IF(AO153&lt;&gt;"No Disp",AN153+12*AO153,"No Disp")</f>
        <v>No Disp</v>
      </c>
      <c r="AQ153" s="100" t="s">
        <v>43</v>
      </c>
      <c r="AR153" s="100" t="s">
        <v>43</v>
      </c>
      <c r="AS153" s="100" t="str">
        <f>IF(AR153&lt;&gt;"No Disp",AQ153+12*AR153,"No Disp")</f>
        <v>No Disp</v>
      </c>
    </row>
    <row r="154" spans="1:45" s="101" customFormat="1" x14ac:dyDescent="0.25">
      <c r="A154" s="90" t="s">
        <v>38</v>
      </c>
      <c r="B154" s="90" t="s">
        <v>40</v>
      </c>
      <c r="C154" s="90" t="s">
        <v>39</v>
      </c>
      <c r="D154" s="90" t="s">
        <v>4540</v>
      </c>
      <c r="E154" s="90" t="s">
        <v>4542</v>
      </c>
      <c r="F154" s="91">
        <v>76</v>
      </c>
      <c r="G154" s="92">
        <v>70009192</v>
      </c>
      <c r="H154" s="91">
        <v>70009193</v>
      </c>
      <c r="I154" s="93" t="s">
        <v>63</v>
      </c>
      <c r="J154" s="94" t="s">
        <v>3523</v>
      </c>
      <c r="K154" s="94" t="s">
        <v>934</v>
      </c>
      <c r="L154" s="94" t="s">
        <v>3596</v>
      </c>
      <c r="M154" s="95">
        <v>1049900</v>
      </c>
      <c r="N154" s="95">
        <v>7000</v>
      </c>
      <c r="O154" s="95">
        <v>10000</v>
      </c>
      <c r="P154" s="96">
        <v>0</v>
      </c>
      <c r="Q154" s="152"/>
      <c r="R154" s="95">
        <v>1049900</v>
      </c>
      <c r="S154" s="95">
        <f>R154/24</f>
        <v>43745.833333333336</v>
      </c>
      <c r="T154" s="95">
        <v>1049900</v>
      </c>
      <c r="U154" s="95">
        <f>T154/24</f>
        <v>43745.833333333336</v>
      </c>
      <c r="V154" s="95">
        <v>1049900</v>
      </c>
      <c r="W154" s="95">
        <f>V154/24</f>
        <v>43745.833333333336</v>
      </c>
      <c r="X154" s="128"/>
      <c r="Y154" s="95">
        <v>929900</v>
      </c>
      <c r="Z154" s="95">
        <v>17000</v>
      </c>
      <c r="AA154" s="95">
        <f>IFERROR(IF(D154="Premium",0.4*Y154,0),"No Disp")</f>
        <v>371960</v>
      </c>
      <c r="AB154" s="95">
        <f>IFERROR(IF(4*Y154&gt;AC154,1.5*Y154,4*Y154),"No Disp")</f>
        <v>1394850</v>
      </c>
      <c r="AC154" s="95">
        <f>IF(Z154="No Disp","No Disp",(Z154*18)+Y154)</f>
        <v>1235900</v>
      </c>
      <c r="AD154" s="95">
        <f>18*Z154-100+Y154</f>
        <v>1235800</v>
      </c>
      <c r="AE154" s="95">
        <v>599900</v>
      </c>
      <c r="AF154" s="95">
        <v>30000</v>
      </c>
      <c r="AG154" s="95">
        <f>IF(AF154="No Disp","No Disp",(AF154*18)+AE154)</f>
        <v>1139900</v>
      </c>
      <c r="AH154" s="95">
        <f>18*AF154-100+AE154</f>
        <v>1139800</v>
      </c>
      <c r="AI154" s="95" t="s">
        <v>4613</v>
      </c>
      <c r="AJ154" s="99"/>
      <c r="AK154" s="100" t="s">
        <v>43</v>
      </c>
      <c r="AL154" s="100" t="s">
        <v>43</v>
      </c>
      <c r="AM154" s="100" t="str">
        <f>IF(AL154&lt;&gt;"No Disp",AK154+12*AL154,"No Disp")</f>
        <v>No Disp</v>
      </c>
      <c r="AN154" s="100" t="s">
        <v>43</v>
      </c>
      <c r="AO154" s="100" t="s">
        <v>43</v>
      </c>
      <c r="AP154" s="100" t="str">
        <f>IF(AO154&lt;&gt;"No Disp",AN154+12*AO154,"No Disp")</f>
        <v>No Disp</v>
      </c>
      <c r="AQ154" s="100" t="s">
        <v>43</v>
      </c>
      <c r="AR154" s="100" t="s">
        <v>43</v>
      </c>
      <c r="AS154" s="100" t="str">
        <f>IF(AR154&lt;&gt;"No Disp",AQ154+12*AR154,"No Disp")</f>
        <v>No Disp</v>
      </c>
    </row>
    <row r="155" spans="1:45" s="101" customFormat="1" x14ac:dyDescent="0.25">
      <c r="A155" s="90" t="s">
        <v>102</v>
      </c>
      <c r="B155" s="90" t="s">
        <v>39</v>
      </c>
      <c r="C155" s="90" t="s">
        <v>40</v>
      </c>
      <c r="D155" s="90" t="s">
        <v>4541</v>
      </c>
      <c r="E155" s="90" t="s">
        <v>4542</v>
      </c>
      <c r="F155" s="91">
        <v>77</v>
      </c>
      <c r="G155" s="92">
        <v>70009194</v>
      </c>
      <c r="H155" s="91">
        <v>70009195</v>
      </c>
      <c r="I155" s="93" t="s">
        <v>46</v>
      </c>
      <c r="J155" s="94" t="s">
        <v>3597</v>
      </c>
      <c r="K155" s="94" t="s">
        <v>933</v>
      </c>
      <c r="L155" s="94" t="s">
        <v>3598</v>
      </c>
      <c r="M155" s="95">
        <v>129900</v>
      </c>
      <c r="N155" s="95">
        <v>2500</v>
      </c>
      <c r="O155" s="95">
        <v>4000</v>
      </c>
      <c r="P155" s="96">
        <v>0</v>
      </c>
      <c r="Q155" s="152"/>
      <c r="R155" s="95">
        <v>129900</v>
      </c>
      <c r="S155" s="95">
        <f>R155/24</f>
        <v>5412.5</v>
      </c>
      <c r="T155" s="95">
        <v>129900</v>
      </c>
      <c r="U155" s="95">
        <f>T155/24</f>
        <v>5412.5</v>
      </c>
      <c r="V155" s="95">
        <v>129900</v>
      </c>
      <c r="W155" s="95">
        <f>V155/24</f>
        <v>5412.5</v>
      </c>
      <c r="X155" s="128"/>
      <c r="Y155" s="95">
        <v>64900</v>
      </c>
      <c r="Z155" s="95">
        <v>5500</v>
      </c>
      <c r="AA155" s="95">
        <f>IFERROR(IF(D155="Premium",0.4*Y155,0),"No Disp")</f>
        <v>0</v>
      </c>
      <c r="AB155" s="95">
        <f>IFERROR(IF(4*Y155&gt;AC155,1.5*Y155,4*Y155),"No Disp")</f>
        <v>97350</v>
      </c>
      <c r="AC155" s="95">
        <f>IF(Z155="No Disp","No Disp",(Z155*18)+Y155)</f>
        <v>163900</v>
      </c>
      <c r="AD155" s="95">
        <f>18*Z155-100+Y155</f>
        <v>163800</v>
      </c>
      <c r="AE155" s="95">
        <v>0</v>
      </c>
      <c r="AF155" s="95">
        <v>8000</v>
      </c>
      <c r="AG155" s="95">
        <f>IF(AF155="No Disp","No Disp",(AF155*18)+AE155)</f>
        <v>144000</v>
      </c>
      <c r="AH155" s="95">
        <f>18*AF155-100+AE155</f>
        <v>143900</v>
      </c>
      <c r="AI155" s="95" t="s">
        <v>4613</v>
      </c>
      <c r="AJ155" s="99"/>
      <c r="AK155" s="100" t="s">
        <v>43</v>
      </c>
      <c r="AL155" s="100" t="s">
        <v>43</v>
      </c>
      <c r="AM155" s="100" t="str">
        <f>IF(AL155&lt;&gt;"No Disp",AK155+12*AL155,"No Disp")</f>
        <v>No Disp</v>
      </c>
      <c r="AN155" s="100" t="s">
        <v>43</v>
      </c>
      <c r="AO155" s="100" t="s">
        <v>43</v>
      </c>
      <c r="AP155" s="100" t="str">
        <f>IF(AO155&lt;&gt;"No Disp",AN155+12*AO155,"No Disp")</f>
        <v>No Disp</v>
      </c>
      <c r="AQ155" s="100" t="s">
        <v>43</v>
      </c>
      <c r="AR155" s="100" t="s">
        <v>43</v>
      </c>
      <c r="AS155" s="100" t="str">
        <f>IF(AR155&lt;&gt;"No Disp",AQ155+12*AR155,"No Disp")</f>
        <v>No Disp</v>
      </c>
    </row>
    <row r="156" spans="1:45" s="101" customFormat="1" x14ac:dyDescent="0.25">
      <c r="A156" s="90" t="s">
        <v>102</v>
      </c>
      <c r="B156" s="90" t="s">
        <v>40</v>
      </c>
      <c r="C156" s="90" t="s">
        <v>39</v>
      </c>
      <c r="D156" s="90" t="s">
        <v>4540</v>
      </c>
      <c r="E156" s="90" t="s">
        <v>4542</v>
      </c>
      <c r="F156" s="91">
        <v>78</v>
      </c>
      <c r="G156" s="92">
        <v>70009200</v>
      </c>
      <c r="H156" s="91">
        <v>70009201</v>
      </c>
      <c r="I156" s="93" t="s">
        <v>63</v>
      </c>
      <c r="J156" s="94" t="s">
        <v>932</v>
      </c>
      <c r="K156" s="94" t="s">
        <v>3599</v>
      </c>
      <c r="L156" s="94" t="s">
        <v>3600</v>
      </c>
      <c r="M156" s="95">
        <v>399900</v>
      </c>
      <c r="N156" s="95">
        <v>6000</v>
      </c>
      <c r="O156" s="95">
        <v>8500</v>
      </c>
      <c r="P156" s="96">
        <v>0</v>
      </c>
      <c r="Q156" s="152"/>
      <c r="R156" s="95">
        <v>399900</v>
      </c>
      <c r="S156" s="95">
        <f>R156/24</f>
        <v>16662.5</v>
      </c>
      <c r="T156" s="95">
        <v>399900</v>
      </c>
      <c r="U156" s="95">
        <f>T156/24</f>
        <v>16662.5</v>
      </c>
      <c r="V156" s="95">
        <v>399900</v>
      </c>
      <c r="W156" s="95">
        <f>V156/24</f>
        <v>16662.5</v>
      </c>
      <c r="X156" s="128"/>
      <c r="Y156" s="95">
        <v>349900</v>
      </c>
      <c r="Z156" s="95">
        <v>18500</v>
      </c>
      <c r="AA156" s="95">
        <f>IFERROR(IF(D156="Premium",0.4*Y156,0),"No Disp")</f>
        <v>139960</v>
      </c>
      <c r="AB156" s="95">
        <f>IFERROR(IF(4*Y156&gt;AC156,1.5*Y156,4*Y156),"No Disp")</f>
        <v>524850</v>
      </c>
      <c r="AC156" s="95">
        <f>IF(Z156="No Disp","No Disp",(Z156*18)+Y156)</f>
        <v>682900</v>
      </c>
      <c r="AD156" s="95">
        <f>18*Z156-100+Y156</f>
        <v>682800</v>
      </c>
      <c r="AE156" s="95">
        <v>69900</v>
      </c>
      <c r="AF156" s="95">
        <v>29000</v>
      </c>
      <c r="AG156" s="95">
        <f>IF(AF156="No Disp","No Disp",(AF156*18)+AE156)</f>
        <v>591900</v>
      </c>
      <c r="AH156" s="95">
        <f>18*AF156-100+AE156</f>
        <v>591800</v>
      </c>
      <c r="AI156" s="95" t="s">
        <v>4613</v>
      </c>
      <c r="AJ156" s="99"/>
      <c r="AK156" s="100" t="s">
        <v>43</v>
      </c>
      <c r="AL156" s="100" t="s">
        <v>43</v>
      </c>
      <c r="AM156" s="100" t="str">
        <f>IF(AL156&lt;&gt;"No Disp",AK156+12*AL156,"No Disp")</f>
        <v>No Disp</v>
      </c>
      <c r="AN156" s="100" t="s">
        <v>43</v>
      </c>
      <c r="AO156" s="100" t="s">
        <v>43</v>
      </c>
      <c r="AP156" s="100" t="str">
        <f>IF(AO156&lt;&gt;"No Disp",AN156+12*AO156,"No Disp")</f>
        <v>No Disp</v>
      </c>
      <c r="AQ156" s="100" t="s">
        <v>43</v>
      </c>
      <c r="AR156" s="100" t="s">
        <v>43</v>
      </c>
      <c r="AS156" s="100" t="str">
        <f>IF(AR156&lt;&gt;"No Disp",AQ156+12*AR156,"No Disp")</f>
        <v>No Disp</v>
      </c>
    </row>
    <row r="157" spans="1:45" s="101" customFormat="1" x14ac:dyDescent="0.25">
      <c r="A157" s="90" t="s">
        <v>38</v>
      </c>
      <c r="B157" s="90" t="s">
        <v>39</v>
      </c>
      <c r="C157" s="90" t="s">
        <v>40</v>
      </c>
      <c r="D157" s="90" t="s">
        <v>4537</v>
      </c>
      <c r="E157" s="90" t="s">
        <v>4542</v>
      </c>
      <c r="F157" s="91">
        <v>79</v>
      </c>
      <c r="G157" s="92">
        <v>70009227</v>
      </c>
      <c r="H157" s="91">
        <v>70009228</v>
      </c>
      <c r="I157" s="93" t="s">
        <v>87</v>
      </c>
      <c r="J157" s="94" t="s">
        <v>3571</v>
      </c>
      <c r="K157" s="94" t="s">
        <v>931</v>
      </c>
      <c r="L157" s="94" t="s">
        <v>3601</v>
      </c>
      <c r="M157" s="95">
        <v>179900</v>
      </c>
      <c r="N157" s="95">
        <v>2500</v>
      </c>
      <c r="O157" s="95">
        <v>4000</v>
      </c>
      <c r="P157" s="96">
        <v>0</v>
      </c>
      <c r="Q157" s="152"/>
      <c r="R157" s="95">
        <v>179900</v>
      </c>
      <c r="S157" s="95">
        <f>R157/24</f>
        <v>7495.833333333333</v>
      </c>
      <c r="T157" s="95">
        <v>179900</v>
      </c>
      <c r="U157" s="95">
        <f>T157/24</f>
        <v>7495.833333333333</v>
      </c>
      <c r="V157" s="95">
        <v>179900</v>
      </c>
      <c r="W157" s="95">
        <f>V157/24</f>
        <v>7495.833333333333</v>
      </c>
      <c r="X157" s="128"/>
      <c r="Y157" s="95">
        <v>74900</v>
      </c>
      <c r="Z157" s="95">
        <v>9000</v>
      </c>
      <c r="AA157" s="95">
        <f>IFERROR(IF(D157="Premium",0.4*Y157,0),"No Disp")</f>
        <v>0</v>
      </c>
      <c r="AB157" s="95">
        <f>IFERROR(IF(4*Y157&gt;AC157,1.5*Y157,4*Y157),"No Disp")</f>
        <v>112350</v>
      </c>
      <c r="AC157" s="95">
        <f>IF(Z157="No Disp","No Disp",(Z157*18)+Y157)</f>
        <v>236900</v>
      </c>
      <c r="AD157" s="95">
        <f>18*Z157-100+Y157</f>
        <v>236800</v>
      </c>
      <c r="AE157" s="95">
        <v>19900</v>
      </c>
      <c r="AF157" s="95">
        <v>12000</v>
      </c>
      <c r="AG157" s="95">
        <f>IF(AF157="No Disp","No Disp",(AF157*18)+AE157)</f>
        <v>235900</v>
      </c>
      <c r="AH157" s="95">
        <f>18*AF157-100+AE157</f>
        <v>235800</v>
      </c>
      <c r="AI157" s="95" t="s">
        <v>4613</v>
      </c>
      <c r="AJ157" s="99"/>
      <c r="AK157" s="100" t="s">
        <v>43</v>
      </c>
      <c r="AL157" s="100" t="s">
        <v>43</v>
      </c>
      <c r="AM157" s="100" t="str">
        <f>IF(AL157&lt;&gt;"No Disp",AK157+12*AL157,"No Disp")</f>
        <v>No Disp</v>
      </c>
      <c r="AN157" s="100" t="s">
        <v>43</v>
      </c>
      <c r="AO157" s="100" t="s">
        <v>43</v>
      </c>
      <c r="AP157" s="100" t="str">
        <f>IF(AO157&lt;&gt;"No Disp",AN157+12*AO157,"No Disp")</f>
        <v>No Disp</v>
      </c>
      <c r="AQ157" s="100" t="s">
        <v>43</v>
      </c>
      <c r="AR157" s="100" t="s">
        <v>43</v>
      </c>
      <c r="AS157" s="100" t="str">
        <f>IF(AR157&lt;&gt;"No Disp",AQ157+12*AR157,"No Disp")</f>
        <v>No Disp</v>
      </c>
    </row>
    <row r="158" spans="1:45" s="101" customFormat="1" x14ac:dyDescent="0.25">
      <c r="A158" s="90" t="s">
        <v>102</v>
      </c>
      <c r="B158" s="90" t="s">
        <v>39</v>
      </c>
      <c r="C158" s="90" t="s">
        <v>40</v>
      </c>
      <c r="D158" s="90" t="s">
        <v>4541</v>
      </c>
      <c r="E158" s="90" t="s">
        <v>4542</v>
      </c>
      <c r="F158" s="91">
        <v>80</v>
      </c>
      <c r="G158" s="92">
        <v>70009240</v>
      </c>
      <c r="H158" s="91">
        <v>70009241</v>
      </c>
      <c r="I158" s="93" t="s">
        <v>46</v>
      </c>
      <c r="J158" s="94" t="s">
        <v>901</v>
      </c>
      <c r="K158" s="94" t="s">
        <v>930</v>
      </c>
      <c r="L158" s="94" t="s">
        <v>3543</v>
      </c>
      <c r="M158" s="95">
        <v>139900</v>
      </c>
      <c r="N158" s="95">
        <v>2500</v>
      </c>
      <c r="O158" s="95">
        <v>4000</v>
      </c>
      <c r="P158" s="96">
        <v>0</v>
      </c>
      <c r="Q158" s="152"/>
      <c r="R158" s="95">
        <v>139900</v>
      </c>
      <c r="S158" s="95">
        <f>R158/24</f>
        <v>5829.166666666667</v>
      </c>
      <c r="T158" s="95">
        <v>139900</v>
      </c>
      <c r="U158" s="95">
        <f>T158/24</f>
        <v>5829.166666666667</v>
      </c>
      <c r="V158" s="95">
        <v>139900</v>
      </c>
      <c r="W158" s="95">
        <f>V158/24</f>
        <v>5829.166666666667</v>
      </c>
      <c r="X158" s="128"/>
      <c r="Y158" s="95">
        <v>59900</v>
      </c>
      <c r="Z158" s="95">
        <v>5500</v>
      </c>
      <c r="AA158" s="95">
        <f>IFERROR(IF(D158="Premium",0.4*Y158,0),"No Disp")</f>
        <v>0</v>
      </c>
      <c r="AB158" s="95">
        <f>IFERROR(IF(4*Y158&gt;AC158,1.5*Y158,4*Y158),"No Disp")</f>
        <v>89850</v>
      </c>
      <c r="AC158" s="95">
        <f>IF(Z158="No Disp","No Disp",(Z158*18)+Y158)</f>
        <v>158900</v>
      </c>
      <c r="AD158" s="95">
        <f>18*Z158-100+Y158</f>
        <v>158800</v>
      </c>
      <c r="AE158" s="95">
        <v>0</v>
      </c>
      <c r="AF158" s="95">
        <v>7500</v>
      </c>
      <c r="AG158" s="95">
        <f>IF(AF158="No Disp","No Disp",(AF158*18)+AE158)</f>
        <v>135000</v>
      </c>
      <c r="AH158" s="95">
        <f>18*AF158-100+AE158</f>
        <v>134900</v>
      </c>
      <c r="AI158" s="95" t="s">
        <v>4613</v>
      </c>
      <c r="AJ158" s="99"/>
      <c r="AK158" s="100" t="s">
        <v>43</v>
      </c>
      <c r="AL158" s="100" t="s">
        <v>43</v>
      </c>
      <c r="AM158" s="100" t="str">
        <f>IF(AL158&lt;&gt;"No Disp",AK158+12*AL158,"No Disp")</f>
        <v>No Disp</v>
      </c>
      <c r="AN158" s="100" t="s">
        <v>43</v>
      </c>
      <c r="AO158" s="100" t="s">
        <v>43</v>
      </c>
      <c r="AP158" s="100" t="str">
        <f>IF(AO158&lt;&gt;"No Disp",AN158+12*AO158,"No Disp")</f>
        <v>No Disp</v>
      </c>
      <c r="AQ158" s="100" t="s">
        <v>43</v>
      </c>
      <c r="AR158" s="100" t="s">
        <v>43</v>
      </c>
      <c r="AS158" s="100" t="str">
        <f>IF(AR158&lt;&gt;"No Disp",AQ158+12*AR158,"No Disp")</f>
        <v>No Disp</v>
      </c>
    </row>
    <row r="159" spans="1:45" s="101" customFormat="1" x14ac:dyDescent="0.25">
      <c r="A159" s="90" t="s">
        <v>102</v>
      </c>
      <c r="B159" s="90" t="s">
        <v>40</v>
      </c>
      <c r="C159" s="90" t="s">
        <v>40</v>
      </c>
      <c r="D159" s="90" t="s">
        <v>4540</v>
      </c>
      <c r="E159" s="90" t="s">
        <v>4542</v>
      </c>
      <c r="F159" s="91">
        <v>81</v>
      </c>
      <c r="G159" s="92">
        <v>70009243</v>
      </c>
      <c r="H159" s="91">
        <v>70009244</v>
      </c>
      <c r="I159" s="93" t="s">
        <v>46</v>
      </c>
      <c r="J159" s="94" t="s">
        <v>3602</v>
      </c>
      <c r="K159" s="94" t="s">
        <v>3603</v>
      </c>
      <c r="L159" s="94" t="s">
        <v>3604</v>
      </c>
      <c r="M159" s="95">
        <v>349900</v>
      </c>
      <c r="N159" s="95">
        <v>6000</v>
      </c>
      <c r="O159" s="95">
        <v>8500</v>
      </c>
      <c r="P159" s="96">
        <v>0</v>
      </c>
      <c r="Q159" s="152"/>
      <c r="R159" s="95">
        <v>349900</v>
      </c>
      <c r="S159" s="95">
        <f>R159/24</f>
        <v>14579.166666666666</v>
      </c>
      <c r="T159" s="95">
        <v>349900</v>
      </c>
      <c r="U159" s="95">
        <f>T159/24</f>
        <v>14579.166666666666</v>
      </c>
      <c r="V159" s="95">
        <v>349900</v>
      </c>
      <c r="W159" s="95">
        <f>V159/24</f>
        <v>14579.166666666666</v>
      </c>
      <c r="X159" s="128"/>
      <c r="Y159" s="95">
        <v>264900</v>
      </c>
      <c r="Z159" s="95">
        <v>11000</v>
      </c>
      <c r="AA159" s="95">
        <f>IFERROR(IF(D159="Premium",0.4*Y159,0),"No Disp")</f>
        <v>105960</v>
      </c>
      <c r="AB159" s="95">
        <f>IFERROR(IF(4*Y159&gt;AC159,1.5*Y159,4*Y159),"No Disp")</f>
        <v>397350</v>
      </c>
      <c r="AC159" s="95">
        <f>IF(Z159="No Disp","No Disp",(Z159*18)+Y159)</f>
        <v>462900</v>
      </c>
      <c r="AD159" s="95">
        <f>18*Z159-100+Y159</f>
        <v>462800</v>
      </c>
      <c r="AE159" s="95">
        <v>0</v>
      </c>
      <c r="AF159" s="95">
        <v>22000</v>
      </c>
      <c r="AG159" s="95">
        <f>IF(AF159="No Disp","No Disp",(AF159*18)+AE159)</f>
        <v>396000</v>
      </c>
      <c r="AH159" s="95">
        <f>18*AF159-100+AE159</f>
        <v>395900</v>
      </c>
      <c r="AI159" s="95" t="s">
        <v>4613</v>
      </c>
      <c r="AJ159" s="99"/>
      <c r="AK159" s="100" t="s">
        <v>43</v>
      </c>
      <c r="AL159" s="100" t="s">
        <v>43</v>
      </c>
      <c r="AM159" s="100" t="str">
        <f>IF(AL159&lt;&gt;"No Disp",AK159+12*AL159,"No Disp")</f>
        <v>No Disp</v>
      </c>
      <c r="AN159" s="100" t="s">
        <v>43</v>
      </c>
      <c r="AO159" s="100" t="s">
        <v>43</v>
      </c>
      <c r="AP159" s="100" t="str">
        <f>IF(AO159&lt;&gt;"No Disp",AN159+12*AO159,"No Disp")</f>
        <v>No Disp</v>
      </c>
      <c r="AQ159" s="100" t="s">
        <v>43</v>
      </c>
      <c r="AR159" s="100" t="s">
        <v>43</v>
      </c>
      <c r="AS159" s="100" t="str">
        <f>IF(AR159&lt;&gt;"No Disp",AQ159+12*AR159,"No Disp")</f>
        <v>No Disp</v>
      </c>
    </row>
    <row r="160" spans="1:45" s="101" customFormat="1" x14ac:dyDescent="0.25">
      <c r="A160" s="90" t="s">
        <v>38</v>
      </c>
      <c r="B160" s="90" t="s">
        <v>39</v>
      </c>
      <c r="C160" s="90" t="s">
        <v>40</v>
      </c>
      <c r="D160" s="90" t="s">
        <v>4539</v>
      </c>
      <c r="E160" s="90" t="s">
        <v>4542</v>
      </c>
      <c r="F160" s="91">
        <v>82</v>
      </c>
      <c r="G160" s="92">
        <v>70009276</v>
      </c>
      <c r="H160" s="91">
        <v>70009277</v>
      </c>
      <c r="I160" s="93" t="s">
        <v>131</v>
      </c>
      <c r="J160" s="94" t="s">
        <v>3605</v>
      </c>
      <c r="K160" s="94" t="s">
        <v>929</v>
      </c>
      <c r="L160" s="94" t="s">
        <v>3606</v>
      </c>
      <c r="M160" s="95">
        <v>359900</v>
      </c>
      <c r="N160" s="95">
        <v>6000</v>
      </c>
      <c r="O160" s="95">
        <v>8500</v>
      </c>
      <c r="P160" s="96">
        <v>0</v>
      </c>
      <c r="Q160" s="152"/>
      <c r="R160" s="95">
        <v>359900</v>
      </c>
      <c r="S160" s="95">
        <f>R160/24</f>
        <v>14995.833333333334</v>
      </c>
      <c r="T160" s="95">
        <v>359900</v>
      </c>
      <c r="U160" s="95">
        <f>T160/24</f>
        <v>14995.833333333334</v>
      </c>
      <c r="V160" s="95">
        <v>359900</v>
      </c>
      <c r="W160" s="95">
        <f>V160/24</f>
        <v>14995.833333333334</v>
      </c>
      <c r="X160" s="128"/>
      <c r="Y160" s="95">
        <v>284900</v>
      </c>
      <c r="Z160" s="95">
        <v>10000</v>
      </c>
      <c r="AA160" s="95">
        <f>IFERROR(IF(D160="Premium",0.4*Y160,0),"No Disp")</f>
        <v>0</v>
      </c>
      <c r="AB160" s="95">
        <f>IFERROR(IF(4*Y160&gt;AC160,1.5*Y160,4*Y160),"No Disp")</f>
        <v>427350</v>
      </c>
      <c r="AC160" s="95">
        <f>IF(Z160="No Disp","No Disp",(Z160*18)+Y160)</f>
        <v>464900</v>
      </c>
      <c r="AD160" s="95">
        <f>18*Z160-100+Y160</f>
        <v>464800</v>
      </c>
      <c r="AE160" s="95">
        <v>49900</v>
      </c>
      <c r="AF160" s="95">
        <v>24500</v>
      </c>
      <c r="AG160" s="95">
        <f>IF(AF160="No Disp","No Disp",(AF160*18)+AE160)</f>
        <v>490900</v>
      </c>
      <c r="AH160" s="95">
        <f>18*AF160-100+AE160</f>
        <v>490800</v>
      </c>
      <c r="AI160" s="95" t="s">
        <v>4613</v>
      </c>
      <c r="AJ160" s="99"/>
      <c r="AK160" s="100" t="s">
        <v>43</v>
      </c>
      <c r="AL160" s="100" t="s">
        <v>43</v>
      </c>
      <c r="AM160" s="100" t="str">
        <f>IF(AL160&lt;&gt;"No Disp",AK160+12*AL160,"No Disp")</f>
        <v>No Disp</v>
      </c>
      <c r="AN160" s="100" t="s">
        <v>43</v>
      </c>
      <c r="AO160" s="100" t="s">
        <v>43</v>
      </c>
      <c r="AP160" s="100" t="str">
        <f>IF(AO160&lt;&gt;"No Disp",AN160+12*AO160,"No Disp")</f>
        <v>No Disp</v>
      </c>
      <c r="AQ160" s="100" t="s">
        <v>43</v>
      </c>
      <c r="AR160" s="100" t="s">
        <v>43</v>
      </c>
      <c r="AS160" s="100" t="str">
        <f>IF(AR160&lt;&gt;"No Disp",AQ160+12*AR160,"No Disp")</f>
        <v>No Disp</v>
      </c>
    </row>
    <row r="161" spans="1:45" s="101" customFormat="1" x14ac:dyDescent="0.25">
      <c r="A161" s="90" t="s">
        <v>38</v>
      </c>
      <c r="B161" s="90" t="s">
        <v>39</v>
      </c>
      <c r="C161" s="90" t="s">
        <v>40</v>
      </c>
      <c r="D161" s="90" t="s">
        <v>4539</v>
      </c>
      <c r="E161" s="90" t="s">
        <v>4542</v>
      </c>
      <c r="F161" s="91">
        <v>83</v>
      </c>
      <c r="G161" s="92">
        <v>70009279</v>
      </c>
      <c r="H161" s="91">
        <v>70009280</v>
      </c>
      <c r="I161" s="93" t="s">
        <v>131</v>
      </c>
      <c r="J161" s="94" t="s">
        <v>3607</v>
      </c>
      <c r="K161" s="94" t="s">
        <v>928</v>
      </c>
      <c r="L161" s="94" t="s">
        <v>3608</v>
      </c>
      <c r="M161" s="95">
        <v>48900</v>
      </c>
      <c r="N161" s="95">
        <v>2500</v>
      </c>
      <c r="O161" s="95">
        <v>4000</v>
      </c>
      <c r="P161" s="96">
        <v>0</v>
      </c>
      <c r="Q161" s="152"/>
      <c r="R161" s="95">
        <v>48900</v>
      </c>
      <c r="S161" s="95">
        <f>R161/24</f>
        <v>2037.5</v>
      </c>
      <c r="T161" s="95">
        <v>48900</v>
      </c>
      <c r="U161" s="95">
        <f>T161/24</f>
        <v>2037.5</v>
      </c>
      <c r="V161" s="95">
        <v>48900</v>
      </c>
      <c r="W161" s="95">
        <f>V161/24</f>
        <v>2037.5</v>
      </c>
      <c r="X161" s="128"/>
      <c r="Y161" s="95">
        <v>22900</v>
      </c>
      <c r="Z161" s="95">
        <v>3000</v>
      </c>
      <c r="AA161" s="95">
        <f>IFERROR(IF(D161="Premium",0.4*Y161,0),"No Disp")</f>
        <v>0</v>
      </c>
      <c r="AB161" s="95">
        <f>IFERROR(IF(4*Y161&gt;AC161,1.5*Y161,4*Y161),"No Disp")</f>
        <v>34350</v>
      </c>
      <c r="AC161" s="95">
        <f>IF(Z161="No Disp","No Disp",(Z161*18)+Y161)</f>
        <v>76900</v>
      </c>
      <c r="AD161" s="95">
        <f>18*Z161-100+Y161</f>
        <v>76800</v>
      </c>
      <c r="AE161" s="95">
        <v>9900</v>
      </c>
      <c r="AF161" s="95">
        <v>3500</v>
      </c>
      <c r="AG161" s="95">
        <f>IF(AF161="No Disp","No Disp",(AF161*18)+AE161)</f>
        <v>72900</v>
      </c>
      <c r="AH161" s="95">
        <f>18*AF161-100+AE161</f>
        <v>72800</v>
      </c>
      <c r="AI161" s="95" t="s">
        <v>4613</v>
      </c>
      <c r="AJ161" s="99"/>
      <c r="AK161" s="100" t="s">
        <v>43</v>
      </c>
      <c r="AL161" s="100" t="s">
        <v>43</v>
      </c>
      <c r="AM161" s="100" t="str">
        <f>IF(AL161&lt;&gt;"No Disp",AK161+12*AL161,"No Disp")</f>
        <v>No Disp</v>
      </c>
      <c r="AN161" s="100" t="s">
        <v>43</v>
      </c>
      <c r="AO161" s="100" t="s">
        <v>43</v>
      </c>
      <c r="AP161" s="100" t="str">
        <f>IF(AO161&lt;&gt;"No Disp",AN161+12*AO161,"No Disp")</f>
        <v>No Disp</v>
      </c>
      <c r="AQ161" s="100" t="s">
        <v>43</v>
      </c>
      <c r="AR161" s="100" t="s">
        <v>43</v>
      </c>
      <c r="AS161" s="100" t="str">
        <f>IF(AR161&lt;&gt;"No Disp",AQ161+12*AR161,"No Disp")</f>
        <v>No Disp</v>
      </c>
    </row>
    <row r="162" spans="1:45" s="101" customFormat="1" x14ac:dyDescent="0.25">
      <c r="A162" s="90" t="s">
        <v>102</v>
      </c>
      <c r="B162" s="90" t="s">
        <v>39</v>
      </c>
      <c r="C162" s="90" t="s">
        <v>40</v>
      </c>
      <c r="D162" s="90" t="s">
        <v>4541</v>
      </c>
      <c r="E162" s="90" t="s">
        <v>4542</v>
      </c>
      <c r="F162" s="91">
        <v>84</v>
      </c>
      <c r="G162" s="92">
        <v>70009282</v>
      </c>
      <c r="H162" s="91">
        <v>70009283</v>
      </c>
      <c r="I162" s="93" t="s">
        <v>46</v>
      </c>
      <c r="J162" s="94" t="s">
        <v>3609</v>
      </c>
      <c r="K162" s="94" t="s">
        <v>927</v>
      </c>
      <c r="L162" s="94" t="s">
        <v>3610</v>
      </c>
      <c r="M162" s="95">
        <v>114900</v>
      </c>
      <c r="N162" s="95">
        <v>2500</v>
      </c>
      <c r="O162" s="95">
        <v>4000</v>
      </c>
      <c r="P162" s="96">
        <v>0</v>
      </c>
      <c r="Q162" s="152"/>
      <c r="R162" s="95">
        <v>114900</v>
      </c>
      <c r="S162" s="95">
        <f>R162/24</f>
        <v>4787.5</v>
      </c>
      <c r="T162" s="95">
        <v>114900</v>
      </c>
      <c r="U162" s="95">
        <f>T162/24</f>
        <v>4787.5</v>
      </c>
      <c r="V162" s="95">
        <v>114900</v>
      </c>
      <c r="W162" s="95">
        <f>V162/24</f>
        <v>4787.5</v>
      </c>
      <c r="X162" s="128"/>
      <c r="Y162" s="95">
        <v>44900</v>
      </c>
      <c r="Z162" s="95">
        <v>7000</v>
      </c>
      <c r="AA162" s="95">
        <f>IFERROR(IF(D162="Premium",0.4*Y162,0),"No Disp")</f>
        <v>0</v>
      </c>
      <c r="AB162" s="95">
        <f>IFERROR(IF(4*Y162&gt;AC162,1.5*Y162,4*Y162),"No Disp")</f>
        <v>67350</v>
      </c>
      <c r="AC162" s="95">
        <f>IF(Z162="No Disp","No Disp",(Z162*18)+Y162)</f>
        <v>170900</v>
      </c>
      <c r="AD162" s="95">
        <f>18*Z162-100+Y162</f>
        <v>170800</v>
      </c>
      <c r="AE162" s="95">
        <v>19900</v>
      </c>
      <c r="AF162" s="95">
        <v>7500</v>
      </c>
      <c r="AG162" s="95">
        <f>IF(AF162="No Disp","No Disp",(AF162*18)+AE162)</f>
        <v>154900</v>
      </c>
      <c r="AH162" s="95">
        <f>18*AF162-100+AE162</f>
        <v>154800</v>
      </c>
      <c r="AI162" s="95" t="s">
        <v>4613</v>
      </c>
      <c r="AJ162" s="99"/>
      <c r="AK162" s="100" t="s">
        <v>43</v>
      </c>
      <c r="AL162" s="100" t="s">
        <v>43</v>
      </c>
      <c r="AM162" s="100" t="str">
        <f>IF(AL162&lt;&gt;"No Disp",AK162+12*AL162,"No Disp")</f>
        <v>No Disp</v>
      </c>
      <c r="AN162" s="100" t="s">
        <v>43</v>
      </c>
      <c r="AO162" s="100" t="s">
        <v>43</v>
      </c>
      <c r="AP162" s="100" t="str">
        <f>IF(AO162&lt;&gt;"No Disp",AN162+12*AO162,"No Disp")</f>
        <v>No Disp</v>
      </c>
      <c r="AQ162" s="100" t="s">
        <v>43</v>
      </c>
      <c r="AR162" s="100" t="s">
        <v>43</v>
      </c>
      <c r="AS162" s="100" t="str">
        <f>IF(AR162&lt;&gt;"No Disp",AQ162+12*AR162,"No Disp")</f>
        <v>No Disp</v>
      </c>
    </row>
    <row r="163" spans="1:45" s="101" customFormat="1" x14ac:dyDescent="0.25">
      <c r="A163" s="90" t="s">
        <v>38</v>
      </c>
      <c r="B163" s="90" t="s">
        <v>40</v>
      </c>
      <c r="C163" s="90" t="s">
        <v>40</v>
      </c>
      <c r="D163" s="90" t="s">
        <v>4540</v>
      </c>
      <c r="E163" s="90" t="s">
        <v>4542</v>
      </c>
      <c r="F163" s="91">
        <v>86</v>
      </c>
      <c r="G163" s="92">
        <v>70009291</v>
      </c>
      <c r="H163" s="91">
        <v>70009292</v>
      </c>
      <c r="I163" s="93" t="s">
        <v>46</v>
      </c>
      <c r="J163" s="94" t="s">
        <v>3611</v>
      </c>
      <c r="K163" s="94" t="s">
        <v>925</v>
      </c>
      <c r="L163" s="94" t="s">
        <v>3612</v>
      </c>
      <c r="M163" s="95">
        <v>1759900</v>
      </c>
      <c r="N163" s="95">
        <v>9500</v>
      </c>
      <c r="O163" s="95">
        <v>13500</v>
      </c>
      <c r="P163" s="96">
        <v>0</v>
      </c>
      <c r="Q163" s="152"/>
      <c r="R163" s="95">
        <v>1759900</v>
      </c>
      <c r="S163" s="95">
        <f>R163/24</f>
        <v>73329.166666666672</v>
      </c>
      <c r="T163" s="95">
        <v>1759900</v>
      </c>
      <c r="U163" s="95">
        <f>T163/24</f>
        <v>73329.166666666672</v>
      </c>
      <c r="V163" s="95">
        <v>1759900</v>
      </c>
      <c r="W163" s="95">
        <f>V163/24</f>
        <v>73329.166666666672</v>
      </c>
      <c r="X163" s="128"/>
      <c r="Y163" s="95">
        <v>1499900</v>
      </c>
      <c r="Z163" s="95">
        <v>41000</v>
      </c>
      <c r="AA163" s="95">
        <f>IFERROR(IF(D163="Premium",0.4*Y163,0),"No Disp")</f>
        <v>599960</v>
      </c>
      <c r="AB163" s="95">
        <f>IFERROR(IF(4*Y163&gt;AC163,1.5*Y163,4*Y163),"No Disp")</f>
        <v>2249850</v>
      </c>
      <c r="AC163" s="95">
        <f>IF(Z163="No Disp","No Disp",(Z163*18)+Y163)</f>
        <v>2237900</v>
      </c>
      <c r="AD163" s="95">
        <f>18*Z163-100+Y163</f>
        <v>2237800</v>
      </c>
      <c r="AE163" s="95">
        <v>759900</v>
      </c>
      <c r="AF163" s="95">
        <v>83000</v>
      </c>
      <c r="AG163" s="95">
        <f>IF(AF163="No Disp","No Disp",(AF163*18)+AE163)</f>
        <v>2253900</v>
      </c>
      <c r="AH163" s="95">
        <f>18*AF163-100+AE163</f>
        <v>2253800</v>
      </c>
      <c r="AI163" s="95" t="s">
        <v>4613</v>
      </c>
      <c r="AJ163" s="99"/>
      <c r="AK163" s="100" t="s">
        <v>43</v>
      </c>
      <c r="AL163" s="100" t="s">
        <v>43</v>
      </c>
      <c r="AM163" s="100" t="str">
        <f>IF(AL163&lt;&gt;"No Disp",AK163+12*AL163,"No Disp")</f>
        <v>No Disp</v>
      </c>
      <c r="AN163" s="100" t="s">
        <v>43</v>
      </c>
      <c r="AO163" s="100" t="s">
        <v>43</v>
      </c>
      <c r="AP163" s="100" t="str">
        <f>IF(AO163&lt;&gt;"No Disp",AN163+12*AO163,"No Disp")</f>
        <v>No Disp</v>
      </c>
      <c r="AQ163" s="100" t="s">
        <v>43</v>
      </c>
      <c r="AR163" s="100" t="s">
        <v>43</v>
      </c>
      <c r="AS163" s="100" t="str">
        <f>IF(AR163&lt;&gt;"No Disp",AQ163+12*AR163,"No Disp")</f>
        <v>No Disp</v>
      </c>
    </row>
    <row r="164" spans="1:45" s="101" customFormat="1" x14ac:dyDescent="0.25">
      <c r="A164" s="90" t="s">
        <v>38</v>
      </c>
      <c r="B164" s="90" t="s">
        <v>40</v>
      </c>
      <c r="C164" s="90" t="s">
        <v>40</v>
      </c>
      <c r="D164" s="90" t="s">
        <v>4540</v>
      </c>
      <c r="E164" s="90" t="s">
        <v>4542</v>
      </c>
      <c r="F164" s="91">
        <v>85</v>
      </c>
      <c r="G164" s="92">
        <v>70009287</v>
      </c>
      <c r="H164" s="91">
        <v>70009308</v>
      </c>
      <c r="I164" s="93" t="s">
        <v>46</v>
      </c>
      <c r="J164" s="94" t="s">
        <v>3613</v>
      </c>
      <c r="K164" s="94" t="s">
        <v>926</v>
      </c>
      <c r="L164" s="94" t="s">
        <v>3614</v>
      </c>
      <c r="M164" s="95">
        <v>999900</v>
      </c>
      <c r="N164" s="95">
        <v>7000</v>
      </c>
      <c r="O164" s="95">
        <v>10000</v>
      </c>
      <c r="P164" s="96">
        <v>0</v>
      </c>
      <c r="Q164" s="152"/>
      <c r="R164" s="95">
        <v>999900</v>
      </c>
      <c r="S164" s="95">
        <f>R164/24</f>
        <v>41662.5</v>
      </c>
      <c r="T164" s="95">
        <v>999900</v>
      </c>
      <c r="U164" s="95">
        <f>T164/24</f>
        <v>41662.5</v>
      </c>
      <c r="V164" s="95">
        <v>999900</v>
      </c>
      <c r="W164" s="95">
        <f>V164/24</f>
        <v>41662.5</v>
      </c>
      <c r="X164" s="128"/>
      <c r="Y164" s="95">
        <v>799900</v>
      </c>
      <c r="Z164" s="95">
        <v>25000</v>
      </c>
      <c r="AA164" s="95">
        <f>IFERROR(IF(D164="Premium",0.4*Y164,0),"No Disp")</f>
        <v>319960</v>
      </c>
      <c r="AB164" s="95">
        <f>IFERROR(IF(4*Y164&gt;AC164,1.5*Y164,4*Y164),"No Disp")</f>
        <v>1199850</v>
      </c>
      <c r="AC164" s="95">
        <f>IF(Z164="No Disp","No Disp",(Z164*18)+Y164)</f>
        <v>1249900</v>
      </c>
      <c r="AD164" s="95">
        <f>18*Z164-100+Y164</f>
        <v>1249800</v>
      </c>
      <c r="AE164" s="95">
        <v>509900</v>
      </c>
      <c r="AF164" s="95">
        <v>40000</v>
      </c>
      <c r="AG164" s="95">
        <f>IF(AF164="No Disp","No Disp",(AF164*18)+AE164)</f>
        <v>1229900</v>
      </c>
      <c r="AH164" s="95">
        <f>18*AF164-100+AE164</f>
        <v>1229800</v>
      </c>
      <c r="AI164" s="95" t="s">
        <v>4613</v>
      </c>
      <c r="AJ164" s="99"/>
      <c r="AK164" s="100" t="s">
        <v>43</v>
      </c>
      <c r="AL164" s="100" t="s">
        <v>43</v>
      </c>
      <c r="AM164" s="100" t="str">
        <f>IF(AL164&lt;&gt;"No Disp",AK164+12*AL164,"No Disp")</f>
        <v>No Disp</v>
      </c>
      <c r="AN164" s="100" t="s">
        <v>43</v>
      </c>
      <c r="AO164" s="100" t="s">
        <v>43</v>
      </c>
      <c r="AP164" s="100" t="str">
        <f>IF(AO164&lt;&gt;"No Disp",AN164+12*AO164,"No Disp")</f>
        <v>No Disp</v>
      </c>
      <c r="AQ164" s="100" t="s">
        <v>43</v>
      </c>
      <c r="AR164" s="100" t="s">
        <v>43</v>
      </c>
      <c r="AS164" s="100" t="str">
        <f>IF(AR164&lt;&gt;"No Disp",AQ164+12*AR164,"No Disp")</f>
        <v>No Disp</v>
      </c>
    </row>
    <row r="165" spans="1:45" s="101" customFormat="1" x14ac:dyDescent="0.25">
      <c r="A165" s="90" t="s">
        <v>102</v>
      </c>
      <c r="B165" s="90" t="s">
        <v>39</v>
      </c>
      <c r="C165" s="90" t="s">
        <v>40</v>
      </c>
      <c r="D165" s="90" t="s">
        <v>4541</v>
      </c>
      <c r="E165" s="90" t="s">
        <v>4542</v>
      </c>
      <c r="F165" s="91">
        <v>87</v>
      </c>
      <c r="G165" s="92">
        <v>70009349</v>
      </c>
      <c r="H165" s="91">
        <v>70009350</v>
      </c>
      <c r="I165" s="93" t="s">
        <v>87</v>
      </c>
      <c r="J165" s="94" t="s">
        <v>844</v>
      </c>
      <c r="K165" s="94" t="s">
        <v>924</v>
      </c>
      <c r="L165" s="94" t="s">
        <v>3615</v>
      </c>
      <c r="M165" s="95">
        <v>59900</v>
      </c>
      <c r="N165" s="95">
        <v>2500</v>
      </c>
      <c r="O165" s="95">
        <v>4000</v>
      </c>
      <c r="P165" s="96">
        <v>0</v>
      </c>
      <c r="Q165" s="152"/>
      <c r="R165" s="95">
        <v>59900</v>
      </c>
      <c r="S165" s="95">
        <f>R165/24</f>
        <v>2495.8333333333335</v>
      </c>
      <c r="T165" s="95">
        <v>59900</v>
      </c>
      <c r="U165" s="95">
        <f>T165/24</f>
        <v>2495.8333333333335</v>
      </c>
      <c r="V165" s="95">
        <v>59900</v>
      </c>
      <c r="W165" s="95">
        <f>V165/24</f>
        <v>2495.8333333333335</v>
      </c>
      <c r="X165" s="128"/>
      <c r="Y165" s="95">
        <v>29900</v>
      </c>
      <c r="Z165" s="95">
        <v>3000</v>
      </c>
      <c r="AA165" s="95">
        <f>IFERROR(IF(D165="Premium",0.4*Y165,0),"No Disp")</f>
        <v>0</v>
      </c>
      <c r="AB165" s="95">
        <f>IFERROR(IF(4*Y165&gt;AC165,1.5*Y165,4*Y165),"No Disp")</f>
        <v>44850</v>
      </c>
      <c r="AC165" s="95">
        <f>IF(Z165="No Disp","No Disp",(Z165*18)+Y165)</f>
        <v>83900</v>
      </c>
      <c r="AD165" s="95">
        <f>18*Z165-100+Y165</f>
        <v>83800</v>
      </c>
      <c r="AE165" s="95">
        <v>19900</v>
      </c>
      <c r="AF165" s="95">
        <v>3500</v>
      </c>
      <c r="AG165" s="95">
        <f>IF(AF165="No Disp","No Disp",(AF165*18)+AE165)</f>
        <v>82900</v>
      </c>
      <c r="AH165" s="95">
        <f>18*AF165-100+AE165</f>
        <v>82800</v>
      </c>
      <c r="AI165" s="95" t="s">
        <v>4613</v>
      </c>
      <c r="AJ165" s="99"/>
      <c r="AK165" s="100" t="s">
        <v>43</v>
      </c>
      <c r="AL165" s="100" t="s">
        <v>43</v>
      </c>
      <c r="AM165" s="100" t="str">
        <f>IF(AL165&lt;&gt;"No Disp",AK165+12*AL165,"No Disp")</f>
        <v>No Disp</v>
      </c>
      <c r="AN165" s="100" t="s">
        <v>43</v>
      </c>
      <c r="AO165" s="100" t="s">
        <v>43</v>
      </c>
      <c r="AP165" s="100" t="str">
        <f>IF(AO165&lt;&gt;"No Disp",AN165+12*AO165,"No Disp")</f>
        <v>No Disp</v>
      </c>
      <c r="AQ165" s="100" t="s">
        <v>43</v>
      </c>
      <c r="AR165" s="100" t="s">
        <v>43</v>
      </c>
      <c r="AS165" s="100" t="str">
        <f>IF(AR165&lt;&gt;"No Disp",AQ165+12*AR165,"No Disp")</f>
        <v>No Disp</v>
      </c>
    </row>
    <row r="166" spans="1:45" s="101" customFormat="1" x14ac:dyDescent="0.25">
      <c r="A166" s="90" t="s">
        <v>38</v>
      </c>
      <c r="B166" s="90" t="s">
        <v>40</v>
      </c>
      <c r="C166" s="90" t="s">
        <v>40</v>
      </c>
      <c r="D166" s="90" t="s">
        <v>4537</v>
      </c>
      <c r="E166" s="90" t="s">
        <v>4542</v>
      </c>
      <c r="F166" s="91">
        <v>91</v>
      </c>
      <c r="G166" s="92">
        <v>70009401</v>
      </c>
      <c r="H166" s="91">
        <v>70009379</v>
      </c>
      <c r="I166" s="93" t="s">
        <v>87</v>
      </c>
      <c r="J166" s="94" t="s">
        <v>3616</v>
      </c>
      <c r="K166" s="94" t="s">
        <v>920</v>
      </c>
      <c r="L166" s="94" t="s">
        <v>3617</v>
      </c>
      <c r="M166" s="95">
        <v>169900</v>
      </c>
      <c r="N166" s="95">
        <v>2500</v>
      </c>
      <c r="O166" s="95">
        <v>4000</v>
      </c>
      <c r="P166" s="96">
        <v>0</v>
      </c>
      <c r="Q166" s="152"/>
      <c r="R166" s="95">
        <v>169900</v>
      </c>
      <c r="S166" s="95">
        <f>R166/24</f>
        <v>7079.166666666667</v>
      </c>
      <c r="T166" s="95">
        <v>169900</v>
      </c>
      <c r="U166" s="95">
        <f>T166/24</f>
        <v>7079.166666666667</v>
      </c>
      <c r="V166" s="95">
        <v>169900</v>
      </c>
      <c r="W166" s="95">
        <f>V166/24</f>
        <v>7079.166666666667</v>
      </c>
      <c r="X166" s="128"/>
      <c r="Y166" s="95">
        <v>599900</v>
      </c>
      <c r="Z166" s="95">
        <v>19000</v>
      </c>
      <c r="AA166" s="95">
        <f>IFERROR(IF(D166="Premium",0.4*Y166,0),"No Disp")</f>
        <v>0</v>
      </c>
      <c r="AB166" s="95">
        <f>IFERROR(IF(4*Y166&gt;AC166,1.5*Y166,4*Y166),"No Disp")</f>
        <v>899850</v>
      </c>
      <c r="AC166" s="95">
        <f>IF(Z166="No Disp","No Disp",(Z166*18)+Y166)</f>
        <v>941900</v>
      </c>
      <c r="AD166" s="95">
        <f>18*Z166-100+Y166</f>
        <v>941800</v>
      </c>
      <c r="AE166" s="95">
        <v>19900</v>
      </c>
      <c r="AF166" s="95">
        <v>12000</v>
      </c>
      <c r="AG166" s="95">
        <f>IF(AF166="No Disp","No Disp",(AF166*18)+AE166)</f>
        <v>235900</v>
      </c>
      <c r="AH166" s="95">
        <f>18*AF166-100+AE166</f>
        <v>235800</v>
      </c>
      <c r="AI166" s="95" t="s">
        <v>4613</v>
      </c>
      <c r="AJ166" s="99"/>
      <c r="AK166" s="100" t="s">
        <v>43</v>
      </c>
      <c r="AL166" s="100" t="s">
        <v>43</v>
      </c>
      <c r="AM166" s="100" t="str">
        <f>IF(AL166&lt;&gt;"No Disp",AK166+12*AL166,"No Disp")</f>
        <v>No Disp</v>
      </c>
      <c r="AN166" s="100" t="s">
        <v>43</v>
      </c>
      <c r="AO166" s="100" t="s">
        <v>43</v>
      </c>
      <c r="AP166" s="100" t="str">
        <f>IF(AO166&lt;&gt;"No Disp",AN166+12*AO166,"No Disp")</f>
        <v>No Disp</v>
      </c>
      <c r="AQ166" s="100" t="s">
        <v>43</v>
      </c>
      <c r="AR166" s="100" t="s">
        <v>43</v>
      </c>
      <c r="AS166" s="100" t="str">
        <f>IF(AR166&lt;&gt;"No Disp",AQ166+12*AR166,"No Disp")</f>
        <v>No Disp</v>
      </c>
    </row>
    <row r="167" spans="1:45" s="101" customFormat="1" x14ac:dyDescent="0.25">
      <c r="A167" s="90" t="s">
        <v>102</v>
      </c>
      <c r="B167" s="90" t="s">
        <v>39</v>
      </c>
      <c r="C167" s="90" t="s">
        <v>40</v>
      </c>
      <c r="D167" s="90" t="s">
        <v>4539</v>
      </c>
      <c r="E167" s="90" t="s">
        <v>4542</v>
      </c>
      <c r="F167" s="91">
        <v>88</v>
      </c>
      <c r="G167" s="92">
        <v>70009384</v>
      </c>
      <c r="H167" s="91">
        <v>70009385</v>
      </c>
      <c r="I167" s="93" t="s">
        <v>87</v>
      </c>
      <c r="J167" s="94" t="s">
        <v>917</v>
      </c>
      <c r="K167" s="94" t="s">
        <v>923</v>
      </c>
      <c r="L167" s="94" t="s">
        <v>3618</v>
      </c>
      <c r="M167" s="95">
        <v>194900</v>
      </c>
      <c r="N167" s="95">
        <v>2500</v>
      </c>
      <c r="O167" s="95">
        <v>4000</v>
      </c>
      <c r="P167" s="96">
        <v>0</v>
      </c>
      <c r="Q167" s="152"/>
      <c r="R167" s="95">
        <v>194900</v>
      </c>
      <c r="S167" s="95">
        <f>R167/24</f>
        <v>8120.833333333333</v>
      </c>
      <c r="T167" s="95">
        <v>194900</v>
      </c>
      <c r="U167" s="95">
        <f>T167/24</f>
        <v>8120.833333333333</v>
      </c>
      <c r="V167" s="95">
        <v>194900</v>
      </c>
      <c r="W167" s="95">
        <f>V167/24</f>
        <v>8120.833333333333</v>
      </c>
      <c r="X167" s="128"/>
      <c r="Y167" s="95">
        <v>74900</v>
      </c>
      <c r="Z167" s="95">
        <v>10500</v>
      </c>
      <c r="AA167" s="95">
        <f>IFERROR(IF(D167="Premium",0.4*Y167,0),"No Disp")</f>
        <v>0</v>
      </c>
      <c r="AB167" s="95">
        <f>IFERROR(IF(4*Y167&gt;AC167,1.5*Y167,4*Y167),"No Disp")</f>
        <v>112350</v>
      </c>
      <c r="AC167" s="95">
        <f>IF(Z167="No Disp","No Disp",(Z167*18)+Y167)</f>
        <v>263900</v>
      </c>
      <c r="AD167" s="95">
        <f>18*Z167-100+Y167</f>
        <v>263800</v>
      </c>
      <c r="AE167" s="95">
        <v>19900</v>
      </c>
      <c r="AF167" s="95">
        <v>13500</v>
      </c>
      <c r="AG167" s="95">
        <f>IF(AF167="No Disp","No Disp",(AF167*18)+AE167)</f>
        <v>262900</v>
      </c>
      <c r="AH167" s="95">
        <f>18*AF167-100+AE167</f>
        <v>262800</v>
      </c>
      <c r="AI167" s="95" t="s">
        <v>4613</v>
      </c>
      <c r="AJ167" s="99"/>
      <c r="AK167" s="100" t="s">
        <v>43</v>
      </c>
      <c r="AL167" s="100" t="s">
        <v>43</v>
      </c>
      <c r="AM167" s="100" t="str">
        <f>IF(AL167&lt;&gt;"No Disp",AK167+12*AL167,"No Disp")</f>
        <v>No Disp</v>
      </c>
      <c r="AN167" s="100" t="s">
        <v>43</v>
      </c>
      <c r="AO167" s="100" t="s">
        <v>43</v>
      </c>
      <c r="AP167" s="100" t="str">
        <f>IF(AO167&lt;&gt;"No Disp",AN167+12*AO167,"No Disp")</f>
        <v>No Disp</v>
      </c>
      <c r="AQ167" s="100" t="s">
        <v>43</v>
      </c>
      <c r="AR167" s="100" t="s">
        <v>43</v>
      </c>
      <c r="AS167" s="100" t="str">
        <f>IF(AR167&lt;&gt;"No Disp",AQ167+12*AR167,"No Disp")</f>
        <v>No Disp</v>
      </c>
    </row>
    <row r="168" spans="1:45" s="101" customFormat="1" x14ac:dyDescent="0.25">
      <c r="A168" s="90" t="s">
        <v>38</v>
      </c>
      <c r="B168" s="90" t="s">
        <v>39</v>
      </c>
      <c r="C168" s="90" t="s">
        <v>40</v>
      </c>
      <c r="D168" s="90" t="s">
        <v>4539</v>
      </c>
      <c r="E168" s="90" t="s">
        <v>4542</v>
      </c>
      <c r="F168" s="91">
        <v>89</v>
      </c>
      <c r="G168" s="92">
        <v>70009389</v>
      </c>
      <c r="H168" s="91">
        <v>70009390</v>
      </c>
      <c r="I168" s="93" t="s">
        <v>87</v>
      </c>
      <c r="J168" s="94" t="s">
        <v>3619</v>
      </c>
      <c r="K168" s="94" t="s">
        <v>922</v>
      </c>
      <c r="L168" s="94" t="s">
        <v>3620</v>
      </c>
      <c r="M168" s="95">
        <v>69900</v>
      </c>
      <c r="N168" s="95">
        <v>2500</v>
      </c>
      <c r="O168" s="95">
        <v>4000</v>
      </c>
      <c r="P168" s="96">
        <v>0</v>
      </c>
      <c r="Q168" s="152"/>
      <c r="R168" s="95">
        <v>69900</v>
      </c>
      <c r="S168" s="95">
        <f>R168/24</f>
        <v>2912.5</v>
      </c>
      <c r="T168" s="95">
        <v>69900</v>
      </c>
      <c r="U168" s="95">
        <f>T168/24</f>
        <v>2912.5</v>
      </c>
      <c r="V168" s="95">
        <v>69900</v>
      </c>
      <c r="W168" s="95">
        <f>V168/24</f>
        <v>2912.5</v>
      </c>
      <c r="X168" s="128"/>
      <c r="Y168" s="95">
        <v>199900</v>
      </c>
      <c r="Z168" s="95">
        <v>18000</v>
      </c>
      <c r="AA168" s="95">
        <f>IFERROR(IF(D168="Premium",0.4*Y168,0),"No Disp")</f>
        <v>0</v>
      </c>
      <c r="AB168" s="95">
        <f>IFERROR(IF(4*Y168&gt;AC168,1.5*Y168,4*Y168),"No Disp")</f>
        <v>299850</v>
      </c>
      <c r="AC168" s="95">
        <f>IF(Z168="No Disp","No Disp",(Z168*18)+Y168)</f>
        <v>523900</v>
      </c>
      <c r="AD168" s="95">
        <f>18*Z168-100+Y168</f>
        <v>523800</v>
      </c>
      <c r="AE168" s="95">
        <v>19900</v>
      </c>
      <c r="AF168" s="95">
        <v>4000</v>
      </c>
      <c r="AG168" s="95">
        <f>IF(AF168="No Disp","No Disp",(AF168*18)+AE168)</f>
        <v>91900</v>
      </c>
      <c r="AH168" s="95">
        <f>18*AF168-100+AE168</f>
        <v>91800</v>
      </c>
      <c r="AI168" s="95" t="s">
        <v>4613</v>
      </c>
      <c r="AJ168" s="99"/>
      <c r="AK168" s="100" t="s">
        <v>43</v>
      </c>
      <c r="AL168" s="100" t="s">
        <v>43</v>
      </c>
      <c r="AM168" s="100" t="str">
        <f>IF(AL168&lt;&gt;"No Disp",AK168+12*AL168,"No Disp")</f>
        <v>No Disp</v>
      </c>
      <c r="AN168" s="100" t="s">
        <v>43</v>
      </c>
      <c r="AO168" s="100" t="s">
        <v>43</v>
      </c>
      <c r="AP168" s="100" t="str">
        <f>IF(AO168&lt;&gt;"No Disp",AN168+12*AO168,"No Disp")</f>
        <v>No Disp</v>
      </c>
      <c r="AQ168" s="100" t="s">
        <v>43</v>
      </c>
      <c r="AR168" s="100" t="s">
        <v>43</v>
      </c>
      <c r="AS168" s="100" t="str">
        <f>IF(AR168&lt;&gt;"No Disp",AQ168+12*AR168,"No Disp")</f>
        <v>No Disp</v>
      </c>
    </row>
    <row r="169" spans="1:45" s="101" customFormat="1" x14ac:dyDescent="0.25">
      <c r="A169" s="90" t="s">
        <v>38</v>
      </c>
      <c r="B169" s="90" t="s">
        <v>40</v>
      </c>
      <c r="C169" s="90" t="s">
        <v>40</v>
      </c>
      <c r="D169" s="90" t="s">
        <v>4537</v>
      </c>
      <c r="E169" s="90" t="s">
        <v>4542</v>
      </c>
      <c r="F169" s="91">
        <v>90</v>
      </c>
      <c r="G169" s="92">
        <v>70009395</v>
      </c>
      <c r="H169" s="91">
        <v>70009396</v>
      </c>
      <c r="I169" s="93" t="s">
        <v>87</v>
      </c>
      <c r="J169" s="94" t="s">
        <v>885</v>
      </c>
      <c r="K169" s="94" t="s">
        <v>921</v>
      </c>
      <c r="L169" s="94" t="s">
        <v>3621</v>
      </c>
      <c r="M169" s="95">
        <v>419900</v>
      </c>
      <c r="N169" s="95">
        <v>6000</v>
      </c>
      <c r="O169" s="95">
        <v>8500</v>
      </c>
      <c r="P169" s="96">
        <v>0</v>
      </c>
      <c r="Q169" s="152"/>
      <c r="R169" s="95">
        <v>419900</v>
      </c>
      <c r="S169" s="95">
        <f>R169/24</f>
        <v>17495.833333333332</v>
      </c>
      <c r="T169" s="95">
        <v>419900</v>
      </c>
      <c r="U169" s="95">
        <f>T169/24</f>
        <v>17495.833333333332</v>
      </c>
      <c r="V169" s="95">
        <v>419900</v>
      </c>
      <c r="W169" s="95">
        <f>V169/24</f>
        <v>17495.833333333332</v>
      </c>
      <c r="X169" s="128"/>
      <c r="Y169" s="95">
        <v>299900</v>
      </c>
      <c r="Z169" s="95">
        <v>16000</v>
      </c>
      <c r="AA169" s="95">
        <f>IFERROR(IF(D169="Premium",0.4*Y169,0),"No Disp")</f>
        <v>0</v>
      </c>
      <c r="AB169" s="95">
        <f>IFERROR(IF(4*Y169&gt;AC169,1.5*Y169,4*Y169),"No Disp")</f>
        <v>449850</v>
      </c>
      <c r="AC169" s="95">
        <f>IF(Z169="No Disp","No Disp",(Z169*18)+Y169)</f>
        <v>587900</v>
      </c>
      <c r="AD169" s="95">
        <f>18*Z169-100+Y169</f>
        <v>587800</v>
      </c>
      <c r="AE169" s="95">
        <v>49900</v>
      </c>
      <c r="AF169" s="95">
        <v>29500</v>
      </c>
      <c r="AG169" s="95">
        <f>IF(AF169="No Disp","No Disp",(AF169*18)+AE169)</f>
        <v>580900</v>
      </c>
      <c r="AH169" s="95">
        <f>18*AF169-100+AE169</f>
        <v>580800</v>
      </c>
      <c r="AI169" s="95" t="s">
        <v>4613</v>
      </c>
      <c r="AJ169" s="99"/>
      <c r="AK169" s="100" t="s">
        <v>43</v>
      </c>
      <c r="AL169" s="100" t="s">
        <v>43</v>
      </c>
      <c r="AM169" s="100" t="str">
        <f>IF(AL169&lt;&gt;"No Disp",AK169+12*AL169,"No Disp")</f>
        <v>No Disp</v>
      </c>
      <c r="AN169" s="100" t="s">
        <v>43</v>
      </c>
      <c r="AO169" s="100" t="s">
        <v>43</v>
      </c>
      <c r="AP169" s="100" t="str">
        <f>IF(AO169&lt;&gt;"No Disp",AN169+12*AO169,"No Disp")</f>
        <v>No Disp</v>
      </c>
      <c r="AQ169" s="100" t="s">
        <v>43</v>
      </c>
      <c r="AR169" s="100" t="s">
        <v>43</v>
      </c>
      <c r="AS169" s="100" t="str">
        <f>IF(AR169&lt;&gt;"No Disp",AQ169+12*AR169,"No Disp")</f>
        <v>No Disp</v>
      </c>
    </row>
    <row r="170" spans="1:45" s="101" customFormat="1" x14ac:dyDescent="0.25">
      <c r="A170" s="90" t="s">
        <v>38</v>
      </c>
      <c r="B170" s="90" t="s">
        <v>40</v>
      </c>
      <c r="C170" s="90" t="s">
        <v>40</v>
      </c>
      <c r="D170" s="90" t="s">
        <v>4537</v>
      </c>
      <c r="E170" s="90" t="s">
        <v>4542</v>
      </c>
      <c r="F170" s="91">
        <v>92</v>
      </c>
      <c r="G170" s="92">
        <v>70009409</v>
      </c>
      <c r="H170" s="91">
        <v>70009410</v>
      </c>
      <c r="I170" s="93" t="s">
        <v>87</v>
      </c>
      <c r="J170" s="94" t="s">
        <v>885</v>
      </c>
      <c r="K170" s="94" t="s">
        <v>919</v>
      </c>
      <c r="L170" s="94" t="s">
        <v>3622</v>
      </c>
      <c r="M170" s="95">
        <v>419900</v>
      </c>
      <c r="N170" s="95">
        <v>6000</v>
      </c>
      <c r="O170" s="95">
        <v>8500</v>
      </c>
      <c r="P170" s="96">
        <v>0</v>
      </c>
      <c r="Q170" s="152"/>
      <c r="R170" s="95">
        <v>419900</v>
      </c>
      <c r="S170" s="95">
        <f>R170/24</f>
        <v>17495.833333333332</v>
      </c>
      <c r="T170" s="95">
        <v>419900</v>
      </c>
      <c r="U170" s="95">
        <f>T170/24</f>
        <v>17495.833333333332</v>
      </c>
      <c r="V170" s="95">
        <v>419900</v>
      </c>
      <c r="W170" s="95">
        <f>V170/24</f>
        <v>17495.833333333332</v>
      </c>
      <c r="X170" s="128"/>
      <c r="Y170" s="95">
        <v>299900</v>
      </c>
      <c r="Z170" s="95">
        <v>16000</v>
      </c>
      <c r="AA170" s="95">
        <f>IFERROR(IF(D170="Premium",0.4*Y170,0),"No Disp")</f>
        <v>0</v>
      </c>
      <c r="AB170" s="95">
        <f>IFERROR(IF(4*Y170&gt;AC170,1.5*Y170,4*Y170),"No Disp")</f>
        <v>449850</v>
      </c>
      <c r="AC170" s="95">
        <f>IF(Z170="No Disp","No Disp",(Z170*18)+Y170)</f>
        <v>587900</v>
      </c>
      <c r="AD170" s="95">
        <f>18*Z170-100+Y170</f>
        <v>587800</v>
      </c>
      <c r="AE170" s="95">
        <v>49900</v>
      </c>
      <c r="AF170" s="95">
        <v>29500</v>
      </c>
      <c r="AG170" s="95">
        <f>IF(AF170="No Disp","No Disp",(AF170*18)+AE170)</f>
        <v>580900</v>
      </c>
      <c r="AH170" s="95">
        <f>18*AF170-100+AE170</f>
        <v>580800</v>
      </c>
      <c r="AI170" s="95" t="s">
        <v>4613</v>
      </c>
      <c r="AJ170" s="99"/>
      <c r="AK170" s="100" t="s">
        <v>43</v>
      </c>
      <c r="AL170" s="100" t="s">
        <v>43</v>
      </c>
      <c r="AM170" s="100" t="str">
        <f>IF(AL170&lt;&gt;"No Disp",AK170+12*AL170,"No Disp")</f>
        <v>No Disp</v>
      </c>
      <c r="AN170" s="100" t="s">
        <v>43</v>
      </c>
      <c r="AO170" s="100" t="s">
        <v>43</v>
      </c>
      <c r="AP170" s="100" t="str">
        <f>IF(AO170&lt;&gt;"No Disp",AN170+12*AO170,"No Disp")</f>
        <v>No Disp</v>
      </c>
      <c r="AQ170" s="100" t="s">
        <v>43</v>
      </c>
      <c r="AR170" s="100" t="s">
        <v>43</v>
      </c>
      <c r="AS170" s="100" t="str">
        <f>IF(AR170&lt;&gt;"No Disp",AQ170+12*AR170,"No Disp")</f>
        <v>No Disp</v>
      </c>
    </row>
    <row r="171" spans="1:45" s="101" customFormat="1" x14ac:dyDescent="0.25">
      <c r="A171" s="90" t="s">
        <v>102</v>
      </c>
      <c r="B171" s="90" t="s">
        <v>39</v>
      </c>
      <c r="C171" s="90" t="s">
        <v>40</v>
      </c>
      <c r="D171" s="90" t="s">
        <v>4539</v>
      </c>
      <c r="E171" s="90" t="s">
        <v>4542</v>
      </c>
      <c r="F171" s="91">
        <v>93</v>
      </c>
      <c r="G171" s="92">
        <v>70009415</v>
      </c>
      <c r="H171" s="91">
        <v>70009416</v>
      </c>
      <c r="I171" s="93" t="s">
        <v>87</v>
      </c>
      <c r="J171" s="94" t="s">
        <v>917</v>
      </c>
      <c r="K171" s="94" t="s">
        <v>918</v>
      </c>
      <c r="L171" s="94" t="s">
        <v>3623</v>
      </c>
      <c r="M171" s="95">
        <v>194900</v>
      </c>
      <c r="N171" s="95">
        <v>9500</v>
      </c>
      <c r="O171" s="95">
        <v>13500</v>
      </c>
      <c r="P171" s="96">
        <v>0</v>
      </c>
      <c r="Q171" s="152"/>
      <c r="R171" s="95">
        <v>194900</v>
      </c>
      <c r="S171" s="95">
        <f>R171/24</f>
        <v>8120.833333333333</v>
      </c>
      <c r="T171" s="95">
        <v>194900</v>
      </c>
      <c r="U171" s="95">
        <f>T171/24</f>
        <v>8120.833333333333</v>
      </c>
      <c r="V171" s="95">
        <v>194900</v>
      </c>
      <c r="W171" s="95">
        <f>V171/24</f>
        <v>8120.833333333333</v>
      </c>
      <c r="X171" s="128"/>
      <c r="Y171" s="95">
        <v>74900</v>
      </c>
      <c r="Z171" s="95">
        <v>10500</v>
      </c>
      <c r="AA171" s="95">
        <f>IFERROR(IF(D171="Premium",0.4*Y171,0),"No Disp")</f>
        <v>0</v>
      </c>
      <c r="AB171" s="95">
        <f>IFERROR(IF(4*Y171&gt;AC171,1.5*Y171,4*Y171),"No Disp")</f>
        <v>112350</v>
      </c>
      <c r="AC171" s="95">
        <f>IF(Z171="No Disp","No Disp",(Z171*18)+Y171)</f>
        <v>263900</v>
      </c>
      <c r="AD171" s="95">
        <f>18*Z171-100+Y171</f>
        <v>263800</v>
      </c>
      <c r="AE171" s="95">
        <v>19900</v>
      </c>
      <c r="AF171" s="95">
        <v>13500</v>
      </c>
      <c r="AG171" s="95">
        <f>IF(AF171="No Disp","No Disp",(AF171*18)+AE171)</f>
        <v>262900</v>
      </c>
      <c r="AH171" s="95">
        <f>18*AF171-100+AE171</f>
        <v>262800</v>
      </c>
      <c r="AI171" s="95" t="s">
        <v>4613</v>
      </c>
      <c r="AJ171" s="99"/>
      <c r="AK171" s="100" t="s">
        <v>43</v>
      </c>
      <c r="AL171" s="100" t="s">
        <v>43</v>
      </c>
      <c r="AM171" s="100" t="str">
        <f>IF(AL171&lt;&gt;"No Disp",AK171+12*AL171,"No Disp")</f>
        <v>No Disp</v>
      </c>
      <c r="AN171" s="100" t="s">
        <v>43</v>
      </c>
      <c r="AO171" s="100" t="s">
        <v>43</v>
      </c>
      <c r="AP171" s="100" t="str">
        <f>IF(AO171&lt;&gt;"No Disp",AN171+12*AO171,"No Disp")</f>
        <v>No Disp</v>
      </c>
      <c r="AQ171" s="100" t="s">
        <v>43</v>
      </c>
      <c r="AR171" s="100" t="s">
        <v>43</v>
      </c>
      <c r="AS171" s="100" t="str">
        <f>IF(AR171&lt;&gt;"No Disp",AQ171+12*AR171,"No Disp")</f>
        <v>No Disp</v>
      </c>
    </row>
    <row r="172" spans="1:45" s="101" customFormat="1" x14ac:dyDescent="0.25">
      <c r="A172" s="90" t="s">
        <v>38</v>
      </c>
      <c r="B172" s="90" t="s">
        <v>40</v>
      </c>
      <c r="C172" s="90" t="s">
        <v>39</v>
      </c>
      <c r="D172" s="90" t="s">
        <v>4537</v>
      </c>
      <c r="E172" s="90" t="s">
        <v>4538</v>
      </c>
      <c r="F172" s="91">
        <v>94</v>
      </c>
      <c r="G172" s="92">
        <v>70009444</v>
      </c>
      <c r="H172" s="91">
        <v>70009445</v>
      </c>
      <c r="I172" s="93" t="s">
        <v>63</v>
      </c>
      <c r="J172" s="94" t="s">
        <v>91</v>
      </c>
      <c r="K172" s="94" t="s">
        <v>95</v>
      </c>
      <c r="L172" s="94" t="s">
        <v>3624</v>
      </c>
      <c r="M172" s="95">
        <v>479900</v>
      </c>
      <c r="N172" s="95">
        <v>6000</v>
      </c>
      <c r="O172" s="95">
        <v>8500</v>
      </c>
      <c r="P172" s="96">
        <v>889990</v>
      </c>
      <c r="Q172" s="152"/>
      <c r="R172" s="95">
        <v>539990</v>
      </c>
      <c r="S172" s="95">
        <f>R172/24</f>
        <v>22499.583333333332</v>
      </c>
      <c r="T172" s="95">
        <v>479900</v>
      </c>
      <c r="U172" s="95">
        <f>T172/24</f>
        <v>19995.833333333332</v>
      </c>
      <c r="V172" s="95">
        <v>479900</v>
      </c>
      <c r="W172" s="95">
        <f>V172/24</f>
        <v>19995.833333333332</v>
      </c>
      <c r="X172" s="128"/>
      <c r="Y172" s="95">
        <v>149900</v>
      </c>
      <c r="Z172" s="95">
        <v>41000</v>
      </c>
      <c r="AA172" s="95">
        <f>IFERROR(IF(D172="Premium",0.4*Y172,0),"No Disp")</f>
        <v>0</v>
      </c>
      <c r="AB172" s="95">
        <f>IFERROR(IF(4*Y172&gt;AC172,1.5*Y172,4*Y172),"No Disp")</f>
        <v>599600</v>
      </c>
      <c r="AC172" s="95">
        <f>IF(Z172="No Disp","No Disp",(Z172*18)+Y172)</f>
        <v>887900</v>
      </c>
      <c r="AD172" s="95">
        <f>18*Z172-100+Y172</f>
        <v>887800</v>
      </c>
      <c r="AE172" s="95">
        <v>49900</v>
      </c>
      <c r="AF172" s="95">
        <v>36500</v>
      </c>
      <c r="AG172" s="95">
        <f>IF(AF172="No Disp","No Disp",(AF172*18)+AE172)</f>
        <v>706900</v>
      </c>
      <c r="AH172" s="95">
        <f>18*AF172-100+AE172</f>
        <v>706800</v>
      </c>
      <c r="AI172" s="95" t="s">
        <v>4613</v>
      </c>
      <c r="AJ172" s="99"/>
      <c r="AK172" s="100">
        <v>0</v>
      </c>
      <c r="AL172" s="100">
        <v>27000</v>
      </c>
      <c r="AM172" s="100">
        <f>IF(AL172&lt;&gt;"No Disp",AK172+12*AL172,"No Disp")</f>
        <v>324000</v>
      </c>
      <c r="AN172" s="100">
        <v>0</v>
      </c>
      <c r="AO172" s="100">
        <v>27000</v>
      </c>
      <c r="AP172" s="100">
        <f>IF(AO172&lt;&gt;"No Disp",AN172+12*AO172,"No Disp")</f>
        <v>324000</v>
      </c>
      <c r="AQ172" s="100">
        <v>0</v>
      </c>
      <c r="AR172" s="100">
        <v>27000</v>
      </c>
      <c r="AS172" s="100">
        <f>IF(AR172&lt;&gt;"No Disp",AQ172+12*AR172,"No Disp")</f>
        <v>324000</v>
      </c>
    </row>
    <row r="173" spans="1:45" s="101" customFormat="1" x14ac:dyDescent="0.25">
      <c r="A173" s="90" t="s">
        <v>38</v>
      </c>
      <c r="B173" s="90" t="s">
        <v>40</v>
      </c>
      <c r="C173" s="90" t="s">
        <v>39</v>
      </c>
      <c r="D173" s="90" t="s">
        <v>4537</v>
      </c>
      <c r="E173" s="90" t="s">
        <v>4538</v>
      </c>
      <c r="F173" s="91">
        <v>95</v>
      </c>
      <c r="G173" s="92">
        <v>70009447</v>
      </c>
      <c r="H173" s="91">
        <v>70009448</v>
      </c>
      <c r="I173" s="93" t="s">
        <v>63</v>
      </c>
      <c r="J173" s="94" t="s">
        <v>91</v>
      </c>
      <c r="K173" s="94" t="s">
        <v>94</v>
      </c>
      <c r="L173" s="94" t="s">
        <v>3625</v>
      </c>
      <c r="M173" s="95">
        <v>479900</v>
      </c>
      <c r="N173" s="95">
        <v>6000</v>
      </c>
      <c r="O173" s="95">
        <v>8500</v>
      </c>
      <c r="P173" s="96">
        <v>889990</v>
      </c>
      <c r="Q173" s="152"/>
      <c r="R173" s="95">
        <v>539990</v>
      </c>
      <c r="S173" s="95">
        <f>R173/24</f>
        <v>22499.583333333332</v>
      </c>
      <c r="T173" s="95">
        <v>479900</v>
      </c>
      <c r="U173" s="95">
        <f>T173/24</f>
        <v>19995.833333333332</v>
      </c>
      <c r="V173" s="95">
        <v>479900</v>
      </c>
      <c r="W173" s="95">
        <f>V173/24</f>
        <v>19995.833333333332</v>
      </c>
      <c r="X173" s="128"/>
      <c r="Y173" s="95">
        <v>149900</v>
      </c>
      <c r="Z173" s="95">
        <v>41000</v>
      </c>
      <c r="AA173" s="95">
        <f>IFERROR(IF(D173="Premium",0.4*Y173,0),"No Disp")</f>
        <v>0</v>
      </c>
      <c r="AB173" s="95">
        <f>IFERROR(IF(4*Y173&gt;AC173,1.5*Y173,4*Y173),"No Disp")</f>
        <v>599600</v>
      </c>
      <c r="AC173" s="95">
        <f>IF(Z173="No Disp","No Disp",(Z173*18)+Y173)</f>
        <v>887900</v>
      </c>
      <c r="AD173" s="95">
        <f>18*Z173-100+Y173</f>
        <v>887800</v>
      </c>
      <c r="AE173" s="95">
        <v>49900</v>
      </c>
      <c r="AF173" s="95">
        <v>36500</v>
      </c>
      <c r="AG173" s="95">
        <f>IF(AF173="No Disp","No Disp",(AF173*18)+AE173)</f>
        <v>706900</v>
      </c>
      <c r="AH173" s="95">
        <f>18*AF173-100+AE173</f>
        <v>706800</v>
      </c>
      <c r="AI173" s="95" t="s">
        <v>4613</v>
      </c>
      <c r="AJ173" s="99"/>
      <c r="AK173" s="100">
        <v>0</v>
      </c>
      <c r="AL173" s="100">
        <v>27000</v>
      </c>
      <c r="AM173" s="100">
        <f>IF(AL173&lt;&gt;"No Disp",AK173+12*AL173,"No Disp")</f>
        <v>324000</v>
      </c>
      <c r="AN173" s="100">
        <v>0</v>
      </c>
      <c r="AO173" s="100">
        <v>27000</v>
      </c>
      <c r="AP173" s="100">
        <f>IF(AO173&lt;&gt;"No Disp",AN173+12*AO173,"No Disp")</f>
        <v>324000</v>
      </c>
      <c r="AQ173" s="100">
        <v>0</v>
      </c>
      <c r="AR173" s="100">
        <v>27000</v>
      </c>
      <c r="AS173" s="100">
        <f>IF(AR173&lt;&gt;"No Disp",AQ173+12*AR173,"No Disp")</f>
        <v>324000</v>
      </c>
    </row>
    <row r="174" spans="1:45" s="101" customFormat="1" x14ac:dyDescent="0.25">
      <c r="A174" s="90" t="s">
        <v>38</v>
      </c>
      <c r="B174" s="90" t="s">
        <v>40</v>
      </c>
      <c r="C174" s="90" t="s">
        <v>39</v>
      </c>
      <c r="D174" s="90" t="s">
        <v>4537</v>
      </c>
      <c r="E174" s="90" t="s">
        <v>4538</v>
      </c>
      <c r="F174" s="91">
        <v>96</v>
      </c>
      <c r="G174" s="92">
        <v>70009450</v>
      </c>
      <c r="H174" s="91">
        <v>70009451</v>
      </c>
      <c r="I174" s="93" t="s">
        <v>63</v>
      </c>
      <c r="J174" s="94" t="s">
        <v>91</v>
      </c>
      <c r="K174" s="94" t="s">
        <v>93</v>
      </c>
      <c r="L174" s="94" t="s">
        <v>3626</v>
      </c>
      <c r="M174" s="95">
        <v>479900</v>
      </c>
      <c r="N174" s="95">
        <v>6000</v>
      </c>
      <c r="O174" s="95">
        <v>8500</v>
      </c>
      <c r="P174" s="96">
        <v>889990</v>
      </c>
      <c r="Q174" s="152"/>
      <c r="R174" s="95">
        <v>539990</v>
      </c>
      <c r="S174" s="95">
        <f>R174/24</f>
        <v>22499.583333333332</v>
      </c>
      <c r="T174" s="95">
        <v>479900</v>
      </c>
      <c r="U174" s="95">
        <f>T174/24</f>
        <v>19995.833333333332</v>
      </c>
      <c r="V174" s="95">
        <v>479900</v>
      </c>
      <c r="W174" s="95">
        <f>V174/24</f>
        <v>19995.833333333332</v>
      </c>
      <c r="X174" s="128"/>
      <c r="Y174" s="95">
        <v>149900</v>
      </c>
      <c r="Z174" s="95">
        <v>41000</v>
      </c>
      <c r="AA174" s="95">
        <f>IFERROR(IF(D174="Premium",0.4*Y174,0),"No Disp")</f>
        <v>0</v>
      </c>
      <c r="AB174" s="95">
        <f>IFERROR(IF(4*Y174&gt;AC174,1.5*Y174,4*Y174),"No Disp")</f>
        <v>599600</v>
      </c>
      <c r="AC174" s="95">
        <f>IF(Z174="No Disp","No Disp",(Z174*18)+Y174)</f>
        <v>887900</v>
      </c>
      <c r="AD174" s="95">
        <f>18*Z174-100+Y174</f>
        <v>887800</v>
      </c>
      <c r="AE174" s="95">
        <v>49900</v>
      </c>
      <c r="AF174" s="95">
        <v>36500</v>
      </c>
      <c r="AG174" s="95">
        <f>IF(AF174="No Disp","No Disp",(AF174*18)+AE174)</f>
        <v>706900</v>
      </c>
      <c r="AH174" s="95">
        <f>18*AF174-100+AE174</f>
        <v>706800</v>
      </c>
      <c r="AI174" s="95" t="s">
        <v>4613</v>
      </c>
      <c r="AJ174" s="99"/>
      <c r="AK174" s="100">
        <v>0</v>
      </c>
      <c r="AL174" s="100">
        <v>27000</v>
      </c>
      <c r="AM174" s="100">
        <f>IF(AL174&lt;&gt;"No Disp",AK174+12*AL174,"No Disp")</f>
        <v>324000</v>
      </c>
      <c r="AN174" s="100">
        <v>0</v>
      </c>
      <c r="AO174" s="100">
        <v>27000</v>
      </c>
      <c r="AP174" s="100">
        <f>IF(AO174&lt;&gt;"No Disp",AN174+12*AO174,"No Disp")</f>
        <v>324000</v>
      </c>
      <c r="AQ174" s="100">
        <v>0</v>
      </c>
      <c r="AR174" s="100">
        <v>27000</v>
      </c>
      <c r="AS174" s="100">
        <f>IF(AR174&lt;&gt;"No Disp",AQ174+12*AR174,"No Disp")</f>
        <v>324000</v>
      </c>
    </row>
    <row r="175" spans="1:45" s="101" customFormat="1" x14ac:dyDescent="0.25">
      <c r="A175" s="90" t="s">
        <v>38</v>
      </c>
      <c r="B175" s="90" t="s">
        <v>40</v>
      </c>
      <c r="C175" s="90" t="s">
        <v>39</v>
      </c>
      <c r="D175" s="90" t="s">
        <v>4540</v>
      </c>
      <c r="E175" s="90" t="s">
        <v>4542</v>
      </c>
      <c r="F175" s="91">
        <v>97</v>
      </c>
      <c r="G175" s="92">
        <v>70009453</v>
      </c>
      <c r="H175" s="91">
        <v>70009454</v>
      </c>
      <c r="I175" s="93" t="s">
        <v>63</v>
      </c>
      <c r="J175" s="94" t="s">
        <v>3627</v>
      </c>
      <c r="K175" s="94" t="s">
        <v>916</v>
      </c>
      <c r="L175" s="94" t="s">
        <v>3628</v>
      </c>
      <c r="M175" s="95">
        <v>824900</v>
      </c>
      <c r="N175" s="95">
        <v>6000</v>
      </c>
      <c r="O175" s="95">
        <v>8500</v>
      </c>
      <c r="P175" s="96">
        <v>0</v>
      </c>
      <c r="Q175" s="152"/>
      <c r="R175" s="95">
        <v>824900</v>
      </c>
      <c r="S175" s="95">
        <f>R175/24</f>
        <v>34370.833333333336</v>
      </c>
      <c r="T175" s="95">
        <v>824900</v>
      </c>
      <c r="U175" s="95">
        <f>T175/24</f>
        <v>34370.833333333336</v>
      </c>
      <c r="V175" s="95">
        <v>824900</v>
      </c>
      <c r="W175" s="95">
        <f>V175/24</f>
        <v>34370.833333333336</v>
      </c>
      <c r="X175" s="128"/>
      <c r="Y175" s="95">
        <v>789900</v>
      </c>
      <c r="Z175" s="95">
        <v>17000</v>
      </c>
      <c r="AA175" s="95">
        <f>IFERROR(IF(D175="Premium",0.4*Y175,0),"No Disp")</f>
        <v>315960</v>
      </c>
      <c r="AB175" s="95">
        <f>IFERROR(IF(4*Y175&gt;AC175,1.5*Y175,4*Y175),"No Disp")</f>
        <v>1184850</v>
      </c>
      <c r="AC175" s="95">
        <f>IF(Z175="No Disp","No Disp",(Z175*18)+Y175)</f>
        <v>1095900</v>
      </c>
      <c r="AD175" s="95">
        <f>18*Z175-100+Y175</f>
        <v>1095800</v>
      </c>
      <c r="AE175" s="95">
        <v>199900</v>
      </c>
      <c r="AF175" s="95">
        <v>49500</v>
      </c>
      <c r="AG175" s="95">
        <f>IF(AF175="No Disp","No Disp",(AF175*18)+AE175)</f>
        <v>1090900</v>
      </c>
      <c r="AH175" s="95">
        <f>18*AF175-100+AE175</f>
        <v>1090800</v>
      </c>
      <c r="AI175" s="95" t="s">
        <v>4613</v>
      </c>
      <c r="AJ175" s="99"/>
      <c r="AK175" s="100" t="s">
        <v>43</v>
      </c>
      <c r="AL175" s="100" t="s">
        <v>43</v>
      </c>
      <c r="AM175" s="100" t="str">
        <f>IF(AL175&lt;&gt;"No Disp",AK175+12*AL175,"No Disp")</f>
        <v>No Disp</v>
      </c>
      <c r="AN175" s="100" t="s">
        <v>43</v>
      </c>
      <c r="AO175" s="100" t="s">
        <v>43</v>
      </c>
      <c r="AP175" s="100" t="str">
        <f>IF(AO175&lt;&gt;"No Disp",AN175+12*AO175,"No Disp")</f>
        <v>No Disp</v>
      </c>
      <c r="AQ175" s="100" t="s">
        <v>43</v>
      </c>
      <c r="AR175" s="100" t="s">
        <v>43</v>
      </c>
      <c r="AS175" s="100" t="str">
        <f>IF(AR175&lt;&gt;"No Disp",AQ175+12*AR175,"No Disp")</f>
        <v>No Disp</v>
      </c>
    </row>
    <row r="176" spans="1:45" s="101" customFormat="1" x14ac:dyDescent="0.25">
      <c r="A176" s="90" t="s">
        <v>38</v>
      </c>
      <c r="B176" s="90" t="s">
        <v>40</v>
      </c>
      <c r="C176" s="90" t="s">
        <v>39</v>
      </c>
      <c r="D176" s="90" t="s">
        <v>4540</v>
      </c>
      <c r="E176" s="90" t="s">
        <v>4542</v>
      </c>
      <c r="F176" s="91">
        <v>98</v>
      </c>
      <c r="G176" s="92">
        <v>70009483</v>
      </c>
      <c r="H176" s="91">
        <v>70009484</v>
      </c>
      <c r="I176" s="93" t="s">
        <v>63</v>
      </c>
      <c r="J176" s="94" t="s">
        <v>3629</v>
      </c>
      <c r="K176" s="94" t="s">
        <v>915</v>
      </c>
      <c r="L176" s="94" t="s">
        <v>3630</v>
      </c>
      <c r="M176" s="95">
        <v>1139900</v>
      </c>
      <c r="N176" s="95">
        <v>7000</v>
      </c>
      <c r="O176" s="95">
        <v>10000</v>
      </c>
      <c r="P176" s="96">
        <v>0</v>
      </c>
      <c r="Q176" s="152"/>
      <c r="R176" s="95">
        <v>1139900</v>
      </c>
      <c r="S176" s="95">
        <f>R176/24</f>
        <v>47495.833333333336</v>
      </c>
      <c r="T176" s="95">
        <v>1139900</v>
      </c>
      <c r="U176" s="95">
        <f>T176/24</f>
        <v>47495.833333333336</v>
      </c>
      <c r="V176" s="95">
        <v>1139900</v>
      </c>
      <c r="W176" s="95">
        <f>V176/24</f>
        <v>47495.833333333336</v>
      </c>
      <c r="X176" s="128"/>
      <c r="Y176" s="95">
        <v>949900</v>
      </c>
      <c r="Z176" s="95">
        <v>23000</v>
      </c>
      <c r="AA176" s="95">
        <f>IFERROR(IF(D176="Premium",0.4*Y176,0),"No Disp")</f>
        <v>379960</v>
      </c>
      <c r="AB176" s="95">
        <f>IFERROR(IF(4*Y176&gt;AC176,1.5*Y176,4*Y176),"No Disp")</f>
        <v>1424850</v>
      </c>
      <c r="AC176" s="95">
        <f>IF(Z176="No Disp","No Disp",(Z176*18)+Y176)</f>
        <v>1363900</v>
      </c>
      <c r="AD176" s="95">
        <f>18*Z176-100+Y176</f>
        <v>1363800</v>
      </c>
      <c r="AE176" s="95">
        <v>649900</v>
      </c>
      <c r="AF176" s="95">
        <v>39000</v>
      </c>
      <c r="AG176" s="95">
        <f>IF(AF176="No Disp","No Disp",(AF176*18)+AE176)</f>
        <v>1351900</v>
      </c>
      <c r="AH176" s="95">
        <f>18*AF176-100+AE176</f>
        <v>1351800</v>
      </c>
      <c r="AI176" s="95" t="s">
        <v>4613</v>
      </c>
      <c r="AJ176" s="99"/>
      <c r="AK176" s="100" t="s">
        <v>43</v>
      </c>
      <c r="AL176" s="100" t="s">
        <v>43</v>
      </c>
      <c r="AM176" s="100" t="str">
        <f>IF(AL176&lt;&gt;"No Disp",AK176+12*AL176,"No Disp")</f>
        <v>No Disp</v>
      </c>
      <c r="AN176" s="100" t="s">
        <v>43</v>
      </c>
      <c r="AO176" s="100" t="s">
        <v>43</v>
      </c>
      <c r="AP176" s="100" t="str">
        <f>IF(AO176&lt;&gt;"No Disp",AN176+12*AO176,"No Disp")</f>
        <v>No Disp</v>
      </c>
      <c r="AQ176" s="100" t="s">
        <v>43</v>
      </c>
      <c r="AR176" s="100" t="s">
        <v>43</v>
      </c>
      <c r="AS176" s="100" t="str">
        <f>IF(AR176&lt;&gt;"No Disp",AQ176+12*AR176,"No Disp")</f>
        <v>No Disp</v>
      </c>
    </row>
    <row r="177" spans="1:45" s="101" customFormat="1" x14ac:dyDescent="0.25">
      <c r="A177" s="90" t="s">
        <v>38</v>
      </c>
      <c r="B177" s="90" t="s">
        <v>40</v>
      </c>
      <c r="C177" s="90" t="s">
        <v>39</v>
      </c>
      <c r="D177" s="90" t="s">
        <v>4540</v>
      </c>
      <c r="E177" s="90" t="s">
        <v>4542</v>
      </c>
      <c r="F177" s="91">
        <v>99</v>
      </c>
      <c r="G177" s="92">
        <v>70009489</v>
      </c>
      <c r="H177" s="91">
        <v>70009490</v>
      </c>
      <c r="I177" s="93" t="s">
        <v>63</v>
      </c>
      <c r="J177" s="94" t="s">
        <v>3629</v>
      </c>
      <c r="K177" s="94" t="s">
        <v>914</v>
      </c>
      <c r="L177" s="94" t="s">
        <v>3631</v>
      </c>
      <c r="M177" s="95">
        <v>1139900</v>
      </c>
      <c r="N177" s="95">
        <v>7000</v>
      </c>
      <c r="O177" s="95">
        <v>10000</v>
      </c>
      <c r="P177" s="96">
        <v>0</v>
      </c>
      <c r="Q177" s="152"/>
      <c r="R177" s="95">
        <v>1139900</v>
      </c>
      <c r="S177" s="95">
        <f>R177/24</f>
        <v>47495.833333333336</v>
      </c>
      <c r="T177" s="95">
        <v>1139900</v>
      </c>
      <c r="U177" s="95">
        <f>T177/24</f>
        <v>47495.833333333336</v>
      </c>
      <c r="V177" s="95">
        <v>1139900</v>
      </c>
      <c r="W177" s="95">
        <f>V177/24</f>
        <v>47495.833333333336</v>
      </c>
      <c r="X177" s="128"/>
      <c r="Y177" s="95">
        <v>949900</v>
      </c>
      <c r="Z177" s="95">
        <v>23000</v>
      </c>
      <c r="AA177" s="95">
        <f>IFERROR(IF(D177="Premium",0.4*Y177,0),"No Disp")</f>
        <v>379960</v>
      </c>
      <c r="AB177" s="95">
        <f>IFERROR(IF(4*Y177&gt;AC177,1.5*Y177,4*Y177),"No Disp")</f>
        <v>1424850</v>
      </c>
      <c r="AC177" s="95">
        <f>IF(Z177="No Disp","No Disp",(Z177*18)+Y177)</f>
        <v>1363900</v>
      </c>
      <c r="AD177" s="95">
        <f>18*Z177-100+Y177</f>
        <v>1363800</v>
      </c>
      <c r="AE177" s="95">
        <v>649900</v>
      </c>
      <c r="AF177" s="95">
        <v>39000</v>
      </c>
      <c r="AG177" s="95">
        <f>IF(AF177="No Disp","No Disp",(AF177*18)+AE177)</f>
        <v>1351900</v>
      </c>
      <c r="AH177" s="95">
        <f>18*AF177-100+AE177</f>
        <v>1351800</v>
      </c>
      <c r="AI177" s="95" t="s">
        <v>4613</v>
      </c>
      <c r="AJ177" s="99"/>
      <c r="AK177" s="100" t="s">
        <v>43</v>
      </c>
      <c r="AL177" s="100" t="s">
        <v>43</v>
      </c>
      <c r="AM177" s="100" t="str">
        <f>IF(AL177&lt;&gt;"No Disp",AK177+12*AL177,"No Disp")</f>
        <v>No Disp</v>
      </c>
      <c r="AN177" s="100" t="s">
        <v>43</v>
      </c>
      <c r="AO177" s="100" t="s">
        <v>43</v>
      </c>
      <c r="AP177" s="100" t="str">
        <f>IF(AO177&lt;&gt;"No Disp",AN177+12*AO177,"No Disp")</f>
        <v>No Disp</v>
      </c>
      <c r="AQ177" s="100" t="s">
        <v>43</v>
      </c>
      <c r="AR177" s="100" t="s">
        <v>43</v>
      </c>
      <c r="AS177" s="100" t="str">
        <f>IF(AR177&lt;&gt;"No Disp",AQ177+12*AR177,"No Disp")</f>
        <v>No Disp</v>
      </c>
    </row>
    <row r="178" spans="1:45" s="101" customFormat="1" x14ac:dyDescent="0.25">
      <c r="A178" s="90" t="s">
        <v>102</v>
      </c>
      <c r="B178" s="90" t="s">
        <v>39</v>
      </c>
      <c r="C178" s="90" t="s">
        <v>40</v>
      </c>
      <c r="D178" s="90" t="s">
        <v>4541</v>
      </c>
      <c r="E178" s="90" t="s">
        <v>4542</v>
      </c>
      <c r="F178" s="91">
        <v>100</v>
      </c>
      <c r="G178" s="92">
        <v>70009506</v>
      </c>
      <c r="H178" s="91">
        <v>70009507</v>
      </c>
      <c r="I178" s="93" t="s">
        <v>229</v>
      </c>
      <c r="J178" s="94" t="s">
        <v>3632</v>
      </c>
      <c r="K178" s="94" t="s">
        <v>913</v>
      </c>
      <c r="L178" s="94" t="s">
        <v>3633</v>
      </c>
      <c r="M178" s="95">
        <v>69900</v>
      </c>
      <c r="N178" s="95">
        <v>2500</v>
      </c>
      <c r="O178" s="95">
        <v>4000</v>
      </c>
      <c r="P178" s="96">
        <v>0</v>
      </c>
      <c r="Q178" s="152"/>
      <c r="R178" s="95">
        <v>69900</v>
      </c>
      <c r="S178" s="95">
        <f>R178/24</f>
        <v>2912.5</v>
      </c>
      <c r="T178" s="95">
        <v>69900</v>
      </c>
      <c r="U178" s="95">
        <f>T178/24</f>
        <v>2912.5</v>
      </c>
      <c r="V178" s="95">
        <v>69900</v>
      </c>
      <c r="W178" s="95">
        <f>V178/24</f>
        <v>2912.5</v>
      </c>
      <c r="X178" s="128"/>
      <c r="Y178" s="95">
        <v>49900</v>
      </c>
      <c r="Z178" s="95">
        <v>3000</v>
      </c>
      <c r="AA178" s="95">
        <f>IFERROR(IF(D178="Premium",0.4*Y178,0),"No Disp")</f>
        <v>0</v>
      </c>
      <c r="AB178" s="95">
        <f>IFERROR(IF(4*Y178&gt;AC178,1.5*Y178,4*Y178),"No Disp")</f>
        <v>74850</v>
      </c>
      <c r="AC178" s="95">
        <f>IF(Z178="No Disp","No Disp",(Z178*18)+Y178)</f>
        <v>103900</v>
      </c>
      <c r="AD178" s="95">
        <f>18*Z178-100+Y178</f>
        <v>103800</v>
      </c>
      <c r="AE178" s="95">
        <v>19900</v>
      </c>
      <c r="AF178" s="95">
        <v>4500</v>
      </c>
      <c r="AG178" s="95">
        <f>IF(AF178="No Disp","No Disp",(AF178*18)+AE178)</f>
        <v>100900</v>
      </c>
      <c r="AH178" s="95">
        <f>18*AF178-100+AE178</f>
        <v>100800</v>
      </c>
      <c r="AI178" s="95" t="s">
        <v>4613</v>
      </c>
      <c r="AJ178" s="99"/>
      <c r="AK178" s="100" t="s">
        <v>43</v>
      </c>
      <c r="AL178" s="100" t="s">
        <v>43</v>
      </c>
      <c r="AM178" s="100" t="str">
        <f>IF(AL178&lt;&gt;"No Disp",AK178+12*AL178,"No Disp")</f>
        <v>No Disp</v>
      </c>
      <c r="AN178" s="100" t="s">
        <v>43</v>
      </c>
      <c r="AO178" s="100" t="s">
        <v>43</v>
      </c>
      <c r="AP178" s="100" t="str">
        <f>IF(AO178&lt;&gt;"No Disp",AN178+12*AO178,"No Disp")</f>
        <v>No Disp</v>
      </c>
      <c r="AQ178" s="100" t="s">
        <v>43</v>
      </c>
      <c r="AR178" s="100" t="s">
        <v>43</v>
      </c>
      <c r="AS178" s="100" t="str">
        <f>IF(AR178&lt;&gt;"No Disp",AQ178+12*AR178,"No Disp")</f>
        <v>No Disp</v>
      </c>
    </row>
    <row r="179" spans="1:45" s="101" customFormat="1" x14ac:dyDescent="0.25">
      <c r="A179" s="90" t="s">
        <v>102</v>
      </c>
      <c r="B179" s="90" t="s">
        <v>39</v>
      </c>
      <c r="C179" s="90" t="s">
        <v>40</v>
      </c>
      <c r="D179" s="90" t="s">
        <v>4541</v>
      </c>
      <c r="E179" s="90" t="s">
        <v>4542</v>
      </c>
      <c r="F179" s="91">
        <v>101</v>
      </c>
      <c r="G179" s="92">
        <v>70009508</v>
      </c>
      <c r="H179" s="91">
        <v>70009509</v>
      </c>
      <c r="I179" s="93" t="s">
        <v>229</v>
      </c>
      <c r="J179" s="94" t="s">
        <v>3632</v>
      </c>
      <c r="K179" s="94" t="s">
        <v>912</v>
      </c>
      <c r="L179" s="94" t="s">
        <v>3634</v>
      </c>
      <c r="M179" s="95">
        <v>69900</v>
      </c>
      <c r="N179" s="95">
        <v>2500</v>
      </c>
      <c r="O179" s="95">
        <v>4000</v>
      </c>
      <c r="P179" s="96">
        <v>0</v>
      </c>
      <c r="Q179" s="152"/>
      <c r="R179" s="95">
        <v>69900</v>
      </c>
      <c r="S179" s="95">
        <f>R179/24</f>
        <v>2912.5</v>
      </c>
      <c r="T179" s="95">
        <v>69900</v>
      </c>
      <c r="U179" s="95">
        <f>T179/24</f>
        <v>2912.5</v>
      </c>
      <c r="V179" s="95">
        <v>69900</v>
      </c>
      <c r="W179" s="95">
        <f>V179/24</f>
        <v>2912.5</v>
      </c>
      <c r="X179" s="128"/>
      <c r="Y179" s="95">
        <v>49900</v>
      </c>
      <c r="Z179" s="95">
        <v>3000</v>
      </c>
      <c r="AA179" s="95">
        <f>IFERROR(IF(D179="Premium",0.4*Y179,0),"No Disp")</f>
        <v>0</v>
      </c>
      <c r="AB179" s="95">
        <f>IFERROR(IF(4*Y179&gt;AC179,1.5*Y179,4*Y179),"No Disp")</f>
        <v>74850</v>
      </c>
      <c r="AC179" s="95">
        <f>IF(Z179="No Disp","No Disp",(Z179*18)+Y179)</f>
        <v>103900</v>
      </c>
      <c r="AD179" s="95">
        <f>18*Z179-100+Y179</f>
        <v>103800</v>
      </c>
      <c r="AE179" s="95">
        <v>19900</v>
      </c>
      <c r="AF179" s="95">
        <v>4500</v>
      </c>
      <c r="AG179" s="95">
        <f>IF(AF179="No Disp","No Disp",(AF179*18)+AE179)</f>
        <v>100900</v>
      </c>
      <c r="AH179" s="95">
        <f>18*AF179-100+AE179</f>
        <v>100800</v>
      </c>
      <c r="AI179" s="95" t="s">
        <v>4613</v>
      </c>
      <c r="AJ179" s="99"/>
      <c r="AK179" s="100" t="s">
        <v>43</v>
      </c>
      <c r="AL179" s="100" t="s">
        <v>43</v>
      </c>
      <c r="AM179" s="100" t="str">
        <f>IF(AL179&lt;&gt;"No Disp",AK179+12*AL179,"No Disp")</f>
        <v>No Disp</v>
      </c>
      <c r="AN179" s="100" t="s">
        <v>43</v>
      </c>
      <c r="AO179" s="100" t="s">
        <v>43</v>
      </c>
      <c r="AP179" s="100" t="str">
        <f>IF(AO179&lt;&gt;"No Disp",AN179+12*AO179,"No Disp")</f>
        <v>No Disp</v>
      </c>
      <c r="AQ179" s="100" t="s">
        <v>43</v>
      </c>
      <c r="AR179" s="100" t="s">
        <v>43</v>
      </c>
      <c r="AS179" s="100" t="str">
        <f>IF(AR179&lt;&gt;"No Disp",AQ179+12*AR179,"No Disp")</f>
        <v>No Disp</v>
      </c>
    </row>
    <row r="180" spans="1:45" s="101" customFormat="1" x14ac:dyDescent="0.25">
      <c r="A180" s="90" t="s">
        <v>102</v>
      </c>
      <c r="B180" s="90" t="s">
        <v>39</v>
      </c>
      <c r="C180" s="90" t="s">
        <v>40</v>
      </c>
      <c r="D180" s="90" t="s">
        <v>4541</v>
      </c>
      <c r="E180" s="90" t="s">
        <v>4542</v>
      </c>
      <c r="F180" s="91">
        <v>102</v>
      </c>
      <c r="G180" s="92">
        <v>70009510</v>
      </c>
      <c r="H180" s="91">
        <v>70009511</v>
      </c>
      <c r="I180" s="93" t="s">
        <v>131</v>
      </c>
      <c r="J180" s="94" t="s">
        <v>3635</v>
      </c>
      <c r="K180" s="94" t="s">
        <v>911</v>
      </c>
      <c r="L180" s="94" t="s">
        <v>3636</v>
      </c>
      <c r="M180" s="95">
        <v>19900</v>
      </c>
      <c r="N180" s="95">
        <v>2500</v>
      </c>
      <c r="O180" s="95">
        <v>4000</v>
      </c>
      <c r="P180" s="96">
        <v>0</v>
      </c>
      <c r="Q180" s="152"/>
      <c r="R180" s="95">
        <v>19900</v>
      </c>
      <c r="S180" s="95">
        <f>R180/24</f>
        <v>829.16666666666663</v>
      </c>
      <c r="T180" s="95">
        <v>19900</v>
      </c>
      <c r="U180" s="95">
        <f>T180/24</f>
        <v>829.16666666666663</v>
      </c>
      <c r="V180" s="95">
        <v>19900</v>
      </c>
      <c r="W180" s="95">
        <f>V180/24</f>
        <v>829.16666666666663</v>
      </c>
      <c r="X180" s="128"/>
      <c r="Y180" s="95">
        <v>39900</v>
      </c>
      <c r="Z180" s="95">
        <v>5000</v>
      </c>
      <c r="AA180" s="95">
        <f>IFERROR(IF(D180="Premium",0.4*Y180,0),"No Disp")</f>
        <v>0</v>
      </c>
      <c r="AB180" s="95">
        <f>IFERROR(IF(4*Y180&gt;AC180,1.5*Y180,4*Y180),"No Disp")</f>
        <v>59850</v>
      </c>
      <c r="AC180" s="95">
        <f>IF(Z180="No Disp","No Disp",(Z180*18)+Y180)</f>
        <v>129900</v>
      </c>
      <c r="AD180" s="95">
        <f>18*Z180-100+Y180</f>
        <v>129800</v>
      </c>
      <c r="AE180" s="95">
        <v>19900</v>
      </c>
      <c r="AF180" s="95">
        <v>6000</v>
      </c>
      <c r="AG180" s="95">
        <f>IF(AF180="No Disp","No Disp",(AF180*18)+AE180)</f>
        <v>127900</v>
      </c>
      <c r="AH180" s="95">
        <f>18*AF180-100+AE180</f>
        <v>127800</v>
      </c>
      <c r="AI180" s="95" t="s">
        <v>4613</v>
      </c>
      <c r="AJ180" s="99"/>
      <c r="AK180" s="100" t="s">
        <v>43</v>
      </c>
      <c r="AL180" s="100" t="s">
        <v>43</v>
      </c>
      <c r="AM180" s="100" t="str">
        <f>IF(AL180&lt;&gt;"No Disp",AK180+12*AL180,"No Disp")</f>
        <v>No Disp</v>
      </c>
      <c r="AN180" s="100" t="s">
        <v>43</v>
      </c>
      <c r="AO180" s="100" t="s">
        <v>43</v>
      </c>
      <c r="AP180" s="100" t="str">
        <f>IF(AO180&lt;&gt;"No Disp",AN180+12*AO180,"No Disp")</f>
        <v>No Disp</v>
      </c>
      <c r="AQ180" s="100" t="s">
        <v>43</v>
      </c>
      <c r="AR180" s="100" t="s">
        <v>43</v>
      </c>
      <c r="AS180" s="100" t="str">
        <f>IF(AR180&lt;&gt;"No Disp",AQ180+12*AR180,"No Disp")</f>
        <v>No Disp</v>
      </c>
    </row>
    <row r="181" spans="1:45" s="101" customFormat="1" x14ac:dyDescent="0.25">
      <c r="A181" s="90" t="s">
        <v>102</v>
      </c>
      <c r="B181" s="90" t="s">
        <v>39</v>
      </c>
      <c r="C181" s="90" t="s">
        <v>40</v>
      </c>
      <c r="D181" s="90" t="s">
        <v>4541</v>
      </c>
      <c r="E181" s="90" t="s">
        <v>4542</v>
      </c>
      <c r="F181" s="91">
        <v>103</v>
      </c>
      <c r="G181" s="92">
        <v>70009512</v>
      </c>
      <c r="H181" s="91">
        <v>70009513</v>
      </c>
      <c r="I181" s="93" t="s">
        <v>131</v>
      </c>
      <c r="J181" s="94" t="s">
        <v>3637</v>
      </c>
      <c r="K181" s="94" t="s">
        <v>910</v>
      </c>
      <c r="L181" s="94" t="s">
        <v>3638</v>
      </c>
      <c r="M181" s="95">
        <v>119900</v>
      </c>
      <c r="N181" s="95">
        <v>2500</v>
      </c>
      <c r="O181" s="95">
        <v>4000</v>
      </c>
      <c r="P181" s="96">
        <v>0</v>
      </c>
      <c r="Q181" s="152"/>
      <c r="R181" s="95">
        <v>119900</v>
      </c>
      <c r="S181" s="95">
        <f>R181/24</f>
        <v>4995.833333333333</v>
      </c>
      <c r="T181" s="95">
        <v>119900</v>
      </c>
      <c r="U181" s="95">
        <f>T181/24</f>
        <v>4995.833333333333</v>
      </c>
      <c r="V181" s="95">
        <v>119900</v>
      </c>
      <c r="W181" s="95">
        <f>V181/24</f>
        <v>4995.833333333333</v>
      </c>
      <c r="X181" s="128"/>
      <c r="Y181" s="95">
        <v>48900</v>
      </c>
      <c r="Z181" s="95">
        <v>6000</v>
      </c>
      <c r="AA181" s="95">
        <f>IFERROR(IF(D181="Premium",0.4*Y181,0),"No Disp")</f>
        <v>0</v>
      </c>
      <c r="AB181" s="95">
        <f>IFERROR(IF(4*Y181&gt;AC181,1.5*Y181,4*Y181),"No Disp")</f>
        <v>73350</v>
      </c>
      <c r="AC181" s="95">
        <f>IF(Z181="No Disp","No Disp",(Z181*18)+Y181)</f>
        <v>156900</v>
      </c>
      <c r="AD181" s="95">
        <f>18*Z181-100+Y181</f>
        <v>156800</v>
      </c>
      <c r="AE181" s="95">
        <v>19900</v>
      </c>
      <c r="AF181" s="95">
        <v>7500</v>
      </c>
      <c r="AG181" s="95">
        <f>IF(AF181="No Disp","No Disp",(AF181*18)+AE181)</f>
        <v>154900</v>
      </c>
      <c r="AH181" s="95">
        <f>18*AF181-100+AE181</f>
        <v>154800</v>
      </c>
      <c r="AI181" s="95" t="s">
        <v>4613</v>
      </c>
      <c r="AJ181" s="99"/>
      <c r="AK181" s="100" t="s">
        <v>43</v>
      </c>
      <c r="AL181" s="100" t="s">
        <v>43</v>
      </c>
      <c r="AM181" s="100" t="str">
        <f>IF(AL181&lt;&gt;"No Disp",AK181+12*AL181,"No Disp")</f>
        <v>No Disp</v>
      </c>
      <c r="AN181" s="100" t="s">
        <v>43</v>
      </c>
      <c r="AO181" s="100" t="s">
        <v>43</v>
      </c>
      <c r="AP181" s="100" t="str">
        <f>IF(AO181&lt;&gt;"No Disp",AN181+12*AO181,"No Disp")</f>
        <v>No Disp</v>
      </c>
      <c r="AQ181" s="100" t="s">
        <v>43</v>
      </c>
      <c r="AR181" s="100" t="s">
        <v>43</v>
      </c>
      <c r="AS181" s="100" t="str">
        <f>IF(AR181&lt;&gt;"No Disp",AQ181+12*AR181,"No Disp")</f>
        <v>No Disp</v>
      </c>
    </row>
    <row r="182" spans="1:45" s="101" customFormat="1" x14ac:dyDescent="0.25">
      <c r="A182" s="90" t="s">
        <v>102</v>
      </c>
      <c r="B182" s="90" t="s">
        <v>39</v>
      </c>
      <c r="C182" s="90" t="s">
        <v>40</v>
      </c>
      <c r="D182" s="90" t="s">
        <v>4541</v>
      </c>
      <c r="E182" s="90" t="s">
        <v>4542</v>
      </c>
      <c r="F182" s="91">
        <v>104</v>
      </c>
      <c r="G182" s="92">
        <v>70009514</v>
      </c>
      <c r="H182" s="91">
        <v>70009515</v>
      </c>
      <c r="I182" s="93" t="s">
        <v>131</v>
      </c>
      <c r="J182" s="94" t="s">
        <v>3639</v>
      </c>
      <c r="K182" s="94" t="s">
        <v>909</v>
      </c>
      <c r="L182" s="94" t="s">
        <v>3640</v>
      </c>
      <c r="M182" s="95">
        <v>29900</v>
      </c>
      <c r="N182" s="95">
        <v>2500</v>
      </c>
      <c r="O182" s="95">
        <v>4000</v>
      </c>
      <c r="P182" s="96">
        <v>0</v>
      </c>
      <c r="Q182" s="152"/>
      <c r="R182" s="95">
        <v>29900</v>
      </c>
      <c r="S182" s="95">
        <f>R182/24</f>
        <v>1245.8333333333333</v>
      </c>
      <c r="T182" s="95">
        <v>29900</v>
      </c>
      <c r="U182" s="95">
        <f>T182/24</f>
        <v>1245.8333333333333</v>
      </c>
      <c r="V182" s="95">
        <v>29900</v>
      </c>
      <c r="W182" s="95">
        <f>V182/24</f>
        <v>1245.8333333333333</v>
      </c>
      <c r="X182" s="128"/>
      <c r="Y182" s="95">
        <v>74900</v>
      </c>
      <c r="Z182" s="95">
        <v>7500</v>
      </c>
      <c r="AA182" s="95">
        <f>IFERROR(IF(D182="Premium",0.4*Y182,0),"No Disp")</f>
        <v>0</v>
      </c>
      <c r="AB182" s="95">
        <f>IFERROR(IF(4*Y182&gt;AC182,1.5*Y182,4*Y182),"No Disp")</f>
        <v>112350</v>
      </c>
      <c r="AC182" s="95">
        <f>IF(Z182="No Disp","No Disp",(Z182*18)+Y182)</f>
        <v>209900</v>
      </c>
      <c r="AD182" s="95">
        <f>18*Z182-100+Y182</f>
        <v>209800</v>
      </c>
      <c r="AE182" s="95">
        <v>19900</v>
      </c>
      <c r="AF182" s="95">
        <v>2000</v>
      </c>
      <c r="AG182" s="95">
        <f>IF(AF182="No Disp","No Disp",(AF182*18)+AE182)</f>
        <v>55900</v>
      </c>
      <c r="AH182" s="95">
        <f>18*AF182-100+AE182</f>
        <v>55800</v>
      </c>
      <c r="AI182" s="95" t="s">
        <v>4613</v>
      </c>
      <c r="AJ182" s="99"/>
      <c r="AK182" s="100" t="s">
        <v>43</v>
      </c>
      <c r="AL182" s="100" t="s">
        <v>43</v>
      </c>
      <c r="AM182" s="100" t="str">
        <f>IF(AL182&lt;&gt;"No Disp",AK182+12*AL182,"No Disp")</f>
        <v>No Disp</v>
      </c>
      <c r="AN182" s="100" t="s">
        <v>43</v>
      </c>
      <c r="AO182" s="100" t="s">
        <v>43</v>
      </c>
      <c r="AP182" s="100" t="str">
        <f>IF(AO182&lt;&gt;"No Disp",AN182+12*AO182,"No Disp")</f>
        <v>No Disp</v>
      </c>
      <c r="AQ182" s="100" t="s">
        <v>43</v>
      </c>
      <c r="AR182" s="100" t="s">
        <v>43</v>
      </c>
      <c r="AS182" s="100" t="str">
        <f>IF(AR182&lt;&gt;"No Disp",AQ182+12*AR182,"No Disp")</f>
        <v>No Disp</v>
      </c>
    </row>
    <row r="183" spans="1:45" s="101" customFormat="1" x14ac:dyDescent="0.25">
      <c r="A183" s="90" t="s">
        <v>102</v>
      </c>
      <c r="B183" s="90" t="s">
        <v>39</v>
      </c>
      <c r="C183" s="90" t="s">
        <v>40</v>
      </c>
      <c r="D183" s="90" t="s">
        <v>4541</v>
      </c>
      <c r="E183" s="90" t="s">
        <v>4542</v>
      </c>
      <c r="F183" s="91">
        <v>105</v>
      </c>
      <c r="G183" s="92">
        <v>70009516</v>
      </c>
      <c r="H183" s="91">
        <v>70009517</v>
      </c>
      <c r="I183" s="93" t="s">
        <v>131</v>
      </c>
      <c r="J183" s="94" t="s">
        <v>3639</v>
      </c>
      <c r="K183" s="94" t="s">
        <v>908</v>
      </c>
      <c r="L183" s="94" t="s">
        <v>3641</v>
      </c>
      <c r="M183" s="95">
        <v>29900</v>
      </c>
      <c r="N183" s="95">
        <v>2500</v>
      </c>
      <c r="O183" s="95">
        <v>4000</v>
      </c>
      <c r="P183" s="96">
        <v>0</v>
      </c>
      <c r="Q183" s="152"/>
      <c r="R183" s="95">
        <v>29900</v>
      </c>
      <c r="S183" s="95">
        <f>R183/24</f>
        <v>1245.8333333333333</v>
      </c>
      <c r="T183" s="95">
        <v>29900</v>
      </c>
      <c r="U183" s="95">
        <f>T183/24</f>
        <v>1245.8333333333333</v>
      </c>
      <c r="V183" s="95">
        <v>29900</v>
      </c>
      <c r="W183" s="95">
        <f>V183/24</f>
        <v>1245.8333333333333</v>
      </c>
      <c r="X183" s="128"/>
      <c r="Y183" s="95">
        <v>74900</v>
      </c>
      <c r="Z183" s="95">
        <v>7500</v>
      </c>
      <c r="AA183" s="95">
        <f>IFERROR(IF(D183="Premium",0.4*Y183,0),"No Disp")</f>
        <v>0</v>
      </c>
      <c r="AB183" s="95">
        <f>IFERROR(IF(4*Y183&gt;AC183,1.5*Y183,4*Y183),"No Disp")</f>
        <v>112350</v>
      </c>
      <c r="AC183" s="95">
        <f>IF(Z183="No Disp","No Disp",(Z183*18)+Y183)</f>
        <v>209900</v>
      </c>
      <c r="AD183" s="95">
        <f>18*Z183-100+Y183</f>
        <v>209800</v>
      </c>
      <c r="AE183" s="95">
        <v>19900</v>
      </c>
      <c r="AF183" s="95">
        <v>2000</v>
      </c>
      <c r="AG183" s="95">
        <f>IF(AF183="No Disp","No Disp",(AF183*18)+AE183)</f>
        <v>55900</v>
      </c>
      <c r="AH183" s="95">
        <f>18*AF183-100+AE183</f>
        <v>55800</v>
      </c>
      <c r="AI183" s="95" t="s">
        <v>4613</v>
      </c>
      <c r="AJ183" s="99"/>
      <c r="AK183" s="100" t="s">
        <v>43</v>
      </c>
      <c r="AL183" s="100" t="s">
        <v>43</v>
      </c>
      <c r="AM183" s="100" t="str">
        <f>IF(AL183&lt;&gt;"No Disp",AK183+12*AL183,"No Disp")</f>
        <v>No Disp</v>
      </c>
      <c r="AN183" s="100" t="s">
        <v>43</v>
      </c>
      <c r="AO183" s="100" t="s">
        <v>43</v>
      </c>
      <c r="AP183" s="100" t="str">
        <f>IF(AO183&lt;&gt;"No Disp",AN183+12*AO183,"No Disp")</f>
        <v>No Disp</v>
      </c>
      <c r="AQ183" s="100" t="s">
        <v>43</v>
      </c>
      <c r="AR183" s="100" t="s">
        <v>43</v>
      </c>
      <c r="AS183" s="100" t="str">
        <f>IF(AR183&lt;&gt;"No Disp",AQ183+12*AR183,"No Disp")</f>
        <v>No Disp</v>
      </c>
    </row>
    <row r="184" spans="1:45" s="101" customFormat="1" x14ac:dyDescent="0.25">
      <c r="A184" s="90" t="s">
        <v>38</v>
      </c>
      <c r="B184" s="90" t="s">
        <v>40</v>
      </c>
      <c r="C184" s="90" t="s">
        <v>39</v>
      </c>
      <c r="D184" s="90" t="s">
        <v>4539</v>
      </c>
      <c r="E184" s="90" t="s">
        <v>4542</v>
      </c>
      <c r="F184" s="91">
        <v>106</v>
      </c>
      <c r="G184" s="92">
        <v>70009520</v>
      </c>
      <c r="H184" s="91">
        <v>70009521</v>
      </c>
      <c r="I184" s="93" t="s">
        <v>229</v>
      </c>
      <c r="J184" s="94" t="s">
        <v>3642</v>
      </c>
      <c r="K184" s="94" t="s">
        <v>907</v>
      </c>
      <c r="L184" s="94" t="s">
        <v>3643</v>
      </c>
      <c r="M184" s="95">
        <v>149900</v>
      </c>
      <c r="N184" s="95">
        <v>2500</v>
      </c>
      <c r="O184" s="95">
        <v>4000</v>
      </c>
      <c r="P184" s="96">
        <v>279990</v>
      </c>
      <c r="Q184" s="152"/>
      <c r="R184" s="95">
        <v>169990</v>
      </c>
      <c r="S184" s="95">
        <f>R184/24</f>
        <v>7082.916666666667</v>
      </c>
      <c r="T184" s="95">
        <v>149900</v>
      </c>
      <c r="U184" s="95">
        <f>T184/24</f>
        <v>6245.833333333333</v>
      </c>
      <c r="V184" s="95">
        <v>149900</v>
      </c>
      <c r="W184" s="95">
        <f>V184/24</f>
        <v>6245.833333333333</v>
      </c>
      <c r="X184" s="128"/>
      <c r="Y184" s="95">
        <v>1000000</v>
      </c>
      <c r="Z184" s="95">
        <v>100000</v>
      </c>
      <c r="AA184" s="95">
        <f>IFERROR(IF(D184="Premium",0.4*Y184,0),"No Disp")</f>
        <v>0</v>
      </c>
      <c r="AB184" s="95">
        <f>IFERROR(IF(4*Y184&gt;AC184,1.5*Y184,4*Y184),"No Disp")</f>
        <v>1500000</v>
      </c>
      <c r="AC184" s="95">
        <f>IF(Z184="No Disp","No Disp",(Z184*18)+Y184)</f>
        <v>2800000</v>
      </c>
      <c r="AD184" s="95">
        <f>18*Z184-100+Y184</f>
        <v>2799900</v>
      </c>
      <c r="AE184" s="95">
        <v>1000000</v>
      </c>
      <c r="AF184" s="95">
        <v>100000</v>
      </c>
      <c r="AG184" s="95">
        <f>IF(AF184="No Disp","No Disp",(AF184*18)+AE184)</f>
        <v>2800000</v>
      </c>
      <c r="AH184" s="95">
        <f>18*AF184-100+AE184</f>
        <v>2799900</v>
      </c>
      <c r="AI184" s="95" t="s">
        <v>4613</v>
      </c>
      <c r="AJ184" s="99"/>
      <c r="AK184" s="100" t="s">
        <v>43</v>
      </c>
      <c r="AL184" s="100" t="s">
        <v>43</v>
      </c>
      <c r="AM184" s="100" t="str">
        <f>IF(AL184&lt;&gt;"No Disp",AK184+12*AL184,"No Disp")</f>
        <v>No Disp</v>
      </c>
      <c r="AN184" s="100" t="s">
        <v>43</v>
      </c>
      <c r="AO184" s="100" t="s">
        <v>43</v>
      </c>
      <c r="AP184" s="100" t="str">
        <f>IF(AO184&lt;&gt;"No Disp",AN184+12*AO184,"No Disp")</f>
        <v>No Disp</v>
      </c>
      <c r="AQ184" s="100" t="s">
        <v>43</v>
      </c>
      <c r="AR184" s="100" t="s">
        <v>43</v>
      </c>
      <c r="AS184" s="100" t="str">
        <f>IF(AR184&lt;&gt;"No Disp",AQ184+12*AR184,"No Disp")</f>
        <v>No Disp</v>
      </c>
    </row>
    <row r="185" spans="1:45" s="101" customFormat="1" x14ac:dyDescent="0.25">
      <c r="A185" s="90" t="s">
        <v>38</v>
      </c>
      <c r="B185" s="90" t="s">
        <v>40</v>
      </c>
      <c r="C185" s="90" t="s">
        <v>39</v>
      </c>
      <c r="D185" s="90" t="s">
        <v>4539</v>
      </c>
      <c r="E185" s="90" t="s">
        <v>4542</v>
      </c>
      <c r="F185" s="91">
        <v>107</v>
      </c>
      <c r="G185" s="92">
        <v>70009523</v>
      </c>
      <c r="H185" s="91">
        <v>70009524</v>
      </c>
      <c r="I185" s="93" t="s">
        <v>229</v>
      </c>
      <c r="J185" s="94" t="s">
        <v>3642</v>
      </c>
      <c r="K185" s="94" t="s">
        <v>906</v>
      </c>
      <c r="L185" s="94" t="s">
        <v>3644</v>
      </c>
      <c r="M185" s="95">
        <v>149900</v>
      </c>
      <c r="N185" s="95">
        <v>2500</v>
      </c>
      <c r="O185" s="95">
        <v>4000</v>
      </c>
      <c r="P185" s="96">
        <v>279990</v>
      </c>
      <c r="Q185" s="152"/>
      <c r="R185" s="95">
        <v>169990</v>
      </c>
      <c r="S185" s="95">
        <f>R185/24</f>
        <v>7082.916666666667</v>
      </c>
      <c r="T185" s="95">
        <v>149900</v>
      </c>
      <c r="U185" s="95">
        <f>T185/24</f>
        <v>6245.833333333333</v>
      </c>
      <c r="V185" s="95">
        <v>149900</v>
      </c>
      <c r="W185" s="95">
        <f>V185/24</f>
        <v>6245.833333333333</v>
      </c>
      <c r="X185" s="128"/>
      <c r="Y185" s="95">
        <v>1000000</v>
      </c>
      <c r="Z185" s="95">
        <v>100000</v>
      </c>
      <c r="AA185" s="95">
        <f>IFERROR(IF(D185="Premium",0.4*Y185,0),"No Disp")</f>
        <v>0</v>
      </c>
      <c r="AB185" s="95">
        <f>IFERROR(IF(4*Y185&gt;AC185,1.5*Y185,4*Y185),"No Disp")</f>
        <v>1500000</v>
      </c>
      <c r="AC185" s="95">
        <f>IF(Z185="No Disp","No Disp",(Z185*18)+Y185)</f>
        <v>2800000</v>
      </c>
      <c r="AD185" s="95">
        <f>18*Z185-100+Y185</f>
        <v>2799900</v>
      </c>
      <c r="AE185" s="95">
        <v>1000000</v>
      </c>
      <c r="AF185" s="95">
        <v>100000</v>
      </c>
      <c r="AG185" s="95">
        <f>IF(AF185="No Disp","No Disp",(AF185*18)+AE185)</f>
        <v>2800000</v>
      </c>
      <c r="AH185" s="95">
        <f>18*AF185-100+AE185</f>
        <v>2799900</v>
      </c>
      <c r="AI185" s="95" t="s">
        <v>4613</v>
      </c>
      <c r="AJ185" s="99"/>
      <c r="AK185" s="100" t="s">
        <v>43</v>
      </c>
      <c r="AL185" s="100" t="s">
        <v>43</v>
      </c>
      <c r="AM185" s="100" t="str">
        <f>IF(AL185&lt;&gt;"No Disp",AK185+12*AL185,"No Disp")</f>
        <v>No Disp</v>
      </c>
      <c r="AN185" s="100" t="s">
        <v>43</v>
      </c>
      <c r="AO185" s="100" t="s">
        <v>43</v>
      </c>
      <c r="AP185" s="100" t="str">
        <f>IF(AO185&lt;&gt;"No Disp",AN185+12*AO185,"No Disp")</f>
        <v>No Disp</v>
      </c>
      <c r="AQ185" s="100" t="s">
        <v>43</v>
      </c>
      <c r="AR185" s="100" t="s">
        <v>43</v>
      </c>
      <c r="AS185" s="100" t="str">
        <f>IF(AR185&lt;&gt;"No Disp",AQ185+12*AR185,"No Disp")</f>
        <v>No Disp</v>
      </c>
    </row>
    <row r="186" spans="1:45" s="101" customFormat="1" x14ac:dyDescent="0.25">
      <c r="A186" s="90" t="s">
        <v>102</v>
      </c>
      <c r="B186" s="90" t="s">
        <v>39</v>
      </c>
      <c r="C186" s="90" t="s">
        <v>40</v>
      </c>
      <c r="D186" s="90" t="s">
        <v>4539</v>
      </c>
      <c r="E186" s="90" t="s">
        <v>4542</v>
      </c>
      <c r="F186" s="91">
        <v>108</v>
      </c>
      <c r="G186" s="92">
        <v>70009526</v>
      </c>
      <c r="H186" s="91">
        <v>70009527</v>
      </c>
      <c r="I186" s="93" t="s">
        <v>87</v>
      </c>
      <c r="J186" s="94" t="s">
        <v>3564</v>
      </c>
      <c r="K186" s="94" t="s">
        <v>905</v>
      </c>
      <c r="L186" s="94" t="s">
        <v>3645</v>
      </c>
      <c r="M186" s="95">
        <v>44900</v>
      </c>
      <c r="N186" s="95">
        <v>2500</v>
      </c>
      <c r="O186" s="95">
        <v>4000</v>
      </c>
      <c r="P186" s="96">
        <v>0</v>
      </c>
      <c r="Q186" s="152"/>
      <c r="R186" s="95">
        <v>44900</v>
      </c>
      <c r="S186" s="95">
        <f>R186/24</f>
        <v>1870.8333333333333</v>
      </c>
      <c r="T186" s="95">
        <v>44900</v>
      </c>
      <c r="U186" s="95">
        <f>T186/24</f>
        <v>1870.8333333333333</v>
      </c>
      <c r="V186" s="95">
        <v>44900</v>
      </c>
      <c r="W186" s="95">
        <f>V186/24</f>
        <v>1870.8333333333333</v>
      </c>
      <c r="X186" s="128"/>
      <c r="Y186" s="95">
        <v>149900</v>
      </c>
      <c r="Z186" s="95">
        <v>10000</v>
      </c>
      <c r="AA186" s="95">
        <f>IFERROR(IF(D186="Premium",0.4*Y186,0),"No Disp")</f>
        <v>0</v>
      </c>
      <c r="AB186" s="95">
        <f>IFERROR(IF(4*Y186&gt;AC186,1.5*Y186,4*Y186),"No Disp")</f>
        <v>224850</v>
      </c>
      <c r="AC186" s="95">
        <f>IF(Z186="No Disp","No Disp",(Z186*18)+Y186)</f>
        <v>329900</v>
      </c>
      <c r="AD186" s="95">
        <f>18*Z186-100+Y186</f>
        <v>329800</v>
      </c>
      <c r="AE186" s="95">
        <v>19900</v>
      </c>
      <c r="AF186" s="95">
        <v>2000</v>
      </c>
      <c r="AG186" s="95">
        <f>IF(AF186="No Disp","No Disp",(AF186*18)+AE186)</f>
        <v>55900</v>
      </c>
      <c r="AH186" s="95">
        <f>18*AF186-100+AE186</f>
        <v>55800</v>
      </c>
      <c r="AI186" s="95" t="s">
        <v>4613</v>
      </c>
      <c r="AJ186" s="99"/>
      <c r="AK186" s="100" t="s">
        <v>43</v>
      </c>
      <c r="AL186" s="100" t="s">
        <v>43</v>
      </c>
      <c r="AM186" s="100" t="str">
        <f>IF(AL186&lt;&gt;"No Disp",AK186+12*AL186,"No Disp")</f>
        <v>No Disp</v>
      </c>
      <c r="AN186" s="100" t="s">
        <v>43</v>
      </c>
      <c r="AO186" s="100" t="s">
        <v>43</v>
      </c>
      <c r="AP186" s="100" t="str">
        <f>IF(AO186&lt;&gt;"No Disp",AN186+12*AO186,"No Disp")</f>
        <v>No Disp</v>
      </c>
      <c r="AQ186" s="100" t="s">
        <v>43</v>
      </c>
      <c r="AR186" s="100" t="s">
        <v>43</v>
      </c>
      <c r="AS186" s="100" t="str">
        <f>IF(AR186&lt;&gt;"No Disp",AQ186+12*AR186,"No Disp")</f>
        <v>No Disp</v>
      </c>
    </row>
    <row r="187" spans="1:45" s="101" customFormat="1" x14ac:dyDescent="0.25">
      <c r="A187" s="90" t="s">
        <v>38</v>
      </c>
      <c r="B187" s="90" t="s">
        <v>39</v>
      </c>
      <c r="C187" s="90" t="s">
        <v>40</v>
      </c>
      <c r="D187" s="90" t="s">
        <v>4539</v>
      </c>
      <c r="E187" s="90" t="s">
        <v>4542</v>
      </c>
      <c r="F187" s="91">
        <v>110</v>
      </c>
      <c r="G187" s="92">
        <v>70009529</v>
      </c>
      <c r="H187" s="91">
        <v>70009530</v>
      </c>
      <c r="I187" s="93" t="s">
        <v>87</v>
      </c>
      <c r="J187" s="94" t="s">
        <v>3619</v>
      </c>
      <c r="K187" s="94" t="s">
        <v>3646</v>
      </c>
      <c r="L187" s="94" t="s">
        <v>3647</v>
      </c>
      <c r="M187" s="95">
        <v>69900</v>
      </c>
      <c r="N187" s="95">
        <v>2500</v>
      </c>
      <c r="O187" s="95">
        <v>4000</v>
      </c>
      <c r="P187" s="96">
        <v>0</v>
      </c>
      <c r="Q187" s="152"/>
      <c r="R187" s="95">
        <v>69900</v>
      </c>
      <c r="S187" s="95">
        <f>R187/24</f>
        <v>2912.5</v>
      </c>
      <c r="T187" s="95">
        <v>69900</v>
      </c>
      <c r="U187" s="95">
        <f>T187/24</f>
        <v>2912.5</v>
      </c>
      <c r="V187" s="95">
        <v>69900</v>
      </c>
      <c r="W187" s="95">
        <f>V187/24</f>
        <v>2912.5</v>
      </c>
      <c r="X187" s="128"/>
      <c r="Y187" s="95">
        <v>199900</v>
      </c>
      <c r="Z187" s="95">
        <v>18000</v>
      </c>
      <c r="AA187" s="95">
        <f>IFERROR(IF(D187="Premium",0.4*Y187,0),"No Disp")</f>
        <v>0</v>
      </c>
      <c r="AB187" s="95">
        <f>IFERROR(IF(4*Y187&gt;AC187,1.5*Y187,4*Y187),"No Disp")</f>
        <v>299850</v>
      </c>
      <c r="AC187" s="95">
        <f>IF(Z187="No Disp","No Disp",(Z187*18)+Y187)</f>
        <v>523900</v>
      </c>
      <c r="AD187" s="95">
        <f>18*Z187-100+Y187</f>
        <v>523800</v>
      </c>
      <c r="AE187" s="95">
        <v>19900</v>
      </c>
      <c r="AF187" s="95">
        <v>4000</v>
      </c>
      <c r="AG187" s="95">
        <f>IF(AF187="No Disp","No Disp",(AF187*18)+AE187)</f>
        <v>91900</v>
      </c>
      <c r="AH187" s="95">
        <f>18*AF187-100+AE187</f>
        <v>91800</v>
      </c>
      <c r="AI187" s="95" t="s">
        <v>4613</v>
      </c>
      <c r="AJ187" s="99"/>
      <c r="AK187" s="100" t="s">
        <v>43</v>
      </c>
      <c r="AL187" s="100" t="s">
        <v>43</v>
      </c>
      <c r="AM187" s="100" t="str">
        <f>IF(AL187&lt;&gt;"No Disp",AK187+12*AL187,"No Disp")</f>
        <v>No Disp</v>
      </c>
      <c r="AN187" s="100" t="s">
        <v>43</v>
      </c>
      <c r="AO187" s="100" t="s">
        <v>43</v>
      </c>
      <c r="AP187" s="100" t="str">
        <f>IF(AO187&lt;&gt;"No Disp",AN187+12*AO187,"No Disp")</f>
        <v>No Disp</v>
      </c>
      <c r="AQ187" s="100" t="s">
        <v>43</v>
      </c>
      <c r="AR187" s="100" t="s">
        <v>43</v>
      </c>
      <c r="AS187" s="100" t="str">
        <f>IF(AR187&lt;&gt;"No Disp",AQ187+12*AR187,"No Disp")</f>
        <v>No Disp</v>
      </c>
    </row>
    <row r="188" spans="1:45" s="101" customFormat="1" x14ac:dyDescent="0.25">
      <c r="A188" s="90" t="s">
        <v>38</v>
      </c>
      <c r="B188" s="90" t="s">
        <v>40</v>
      </c>
      <c r="C188" s="90" t="s">
        <v>40</v>
      </c>
      <c r="D188" s="90" t="s">
        <v>4537</v>
      </c>
      <c r="E188" s="90" t="s">
        <v>4542</v>
      </c>
      <c r="F188" s="91">
        <v>111</v>
      </c>
      <c r="G188" s="92">
        <v>70009533</v>
      </c>
      <c r="H188" s="91">
        <v>70009534</v>
      </c>
      <c r="I188" s="93" t="s">
        <v>87</v>
      </c>
      <c r="J188" s="94" t="s">
        <v>885</v>
      </c>
      <c r="K188" s="94" t="s">
        <v>3648</v>
      </c>
      <c r="L188" s="94" t="s">
        <v>3649</v>
      </c>
      <c r="M188" s="95">
        <v>419900</v>
      </c>
      <c r="N188" s="95">
        <v>6000</v>
      </c>
      <c r="O188" s="95">
        <v>8500</v>
      </c>
      <c r="P188" s="96">
        <v>0</v>
      </c>
      <c r="Q188" s="152"/>
      <c r="R188" s="95">
        <v>419900</v>
      </c>
      <c r="S188" s="95">
        <f>R188/24</f>
        <v>17495.833333333332</v>
      </c>
      <c r="T188" s="95">
        <v>419900</v>
      </c>
      <c r="U188" s="95">
        <f>T188/24</f>
        <v>17495.833333333332</v>
      </c>
      <c r="V188" s="95">
        <v>419900</v>
      </c>
      <c r="W188" s="95">
        <f>V188/24</f>
        <v>17495.833333333332</v>
      </c>
      <c r="X188" s="128"/>
      <c r="Y188" s="95">
        <v>299900</v>
      </c>
      <c r="Z188" s="95">
        <v>16000</v>
      </c>
      <c r="AA188" s="95">
        <f>IFERROR(IF(D188="Premium",0.4*Y188,0),"No Disp")</f>
        <v>0</v>
      </c>
      <c r="AB188" s="95">
        <f>IFERROR(IF(4*Y188&gt;AC188,1.5*Y188,4*Y188),"No Disp")</f>
        <v>449850</v>
      </c>
      <c r="AC188" s="95">
        <f>IF(Z188="No Disp","No Disp",(Z188*18)+Y188)</f>
        <v>587900</v>
      </c>
      <c r="AD188" s="95">
        <f>18*Z188-100+Y188</f>
        <v>587800</v>
      </c>
      <c r="AE188" s="95">
        <v>49900</v>
      </c>
      <c r="AF188" s="95">
        <v>29500</v>
      </c>
      <c r="AG188" s="95">
        <f>IF(AF188="No Disp","No Disp",(AF188*18)+AE188)</f>
        <v>580900</v>
      </c>
      <c r="AH188" s="95">
        <f>18*AF188-100+AE188</f>
        <v>580800</v>
      </c>
      <c r="AI188" s="95" t="s">
        <v>4613</v>
      </c>
      <c r="AJ188" s="99"/>
      <c r="AK188" s="100" t="s">
        <v>43</v>
      </c>
      <c r="AL188" s="100" t="s">
        <v>43</v>
      </c>
      <c r="AM188" s="100" t="str">
        <f>IF(AL188&lt;&gt;"No Disp",AK188+12*AL188,"No Disp")</f>
        <v>No Disp</v>
      </c>
      <c r="AN188" s="100" t="s">
        <v>43</v>
      </c>
      <c r="AO188" s="100" t="s">
        <v>43</v>
      </c>
      <c r="AP188" s="100" t="str">
        <f>IF(AO188&lt;&gt;"No Disp",AN188+12*AO188,"No Disp")</f>
        <v>No Disp</v>
      </c>
      <c r="AQ188" s="100" t="s">
        <v>43</v>
      </c>
      <c r="AR188" s="100" t="s">
        <v>43</v>
      </c>
      <c r="AS188" s="100" t="str">
        <f>IF(AR188&lt;&gt;"No Disp",AQ188+12*AR188,"No Disp")</f>
        <v>No Disp</v>
      </c>
    </row>
    <row r="189" spans="1:45" s="101" customFormat="1" x14ac:dyDescent="0.25">
      <c r="A189" s="90" t="s">
        <v>38</v>
      </c>
      <c r="B189" s="90" t="s">
        <v>40</v>
      </c>
      <c r="C189" s="90" t="s">
        <v>40</v>
      </c>
      <c r="D189" s="90" t="s">
        <v>4537</v>
      </c>
      <c r="E189" s="90" t="s">
        <v>4542</v>
      </c>
      <c r="F189" s="91">
        <v>112</v>
      </c>
      <c r="G189" s="92">
        <v>70009535</v>
      </c>
      <c r="H189" s="91">
        <v>70009536</v>
      </c>
      <c r="I189" s="93" t="s">
        <v>87</v>
      </c>
      <c r="J189" s="94" t="s">
        <v>3616</v>
      </c>
      <c r="K189" s="94" t="s">
        <v>3650</v>
      </c>
      <c r="L189" s="94" t="s">
        <v>3651</v>
      </c>
      <c r="M189" s="95">
        <v>169900</v>
      </c>
      <c r="N189" s="95">
        <v>2500</v>
      </c>
      <c r="O189" s="95">
        <v>4000</v>
      </c>
      <c r="P189" s="96">
        <v>0</v>
      </c>
      <c r="Q189" s="152"/>
      <c r="R189" s="95">
        <v>169900</v>
      </c>
      <c r="S189" s="95">
        <f>R189/24</f>
        <v>7079.166666666667</v>
      </c>
      <c r="T189" s="95">
        <v>169900</v>
      </c>
      <c r="U189" s="95">
        <f>T189/24</f>
        <v>7079.166666666667</v>
      </c>
      <c r="V189" s="95">
        <v>169900</v>
      </c>
      <c r="W189" s="95">
        <f>V189/24</f>
        <v>7079.166666666667</v>
      </c>
      <c r="X189" s="128"/>
      <c r="Y189" s="95">
        <v>599900</v>
      </c>
      <c r="Z189" s="95">
        <v>19000</v>
      </c>
      <c r="AA189" s="95">
        <f>IFERROR(IF(D189="Premium",0.4*Y189,0),"No Disp")</f>
        <v>0</v>
      </c>
      <c r="AB189" s="95">
        <f>IFERROR(IF(4*Y189&gt;AC189,1.5*Y189,4*Y189),"No Disp")</f>
        <v>899850</v>
      </c>
      <c r="AC189" s="95">
        <f>IF(Z189="No Disp","No Disp",(Z189*18)+Y189)</f>
        <v>941900</v>
      </c>
      <c r="AD189" s="95">
        <f>18*Z189-100+Y189</f>
        <v>941800</v>
      </c>
      <c r="AE189" s="95">
        <v>19900</v>
      </c>
      <c r="AF189" s="95">
        <v>12000</v>
      </c>
      <c r="AG189" s="95">
        <f>IF(AF189="No Disp","No Disp",(AF189*18)+AE189)</f>
        <v>235900</v>
      </c>
      <c r="AH189" s="95">
        <f>18*AF189-100+AE189</f>
        <v>235800</v>
      </c>
      <c r="AI189" s="95" t="s">
        <v>4613</v>
      </c>
      <c r="AJ189" s="99"/>
      <c r="AK189" s="100" t="s">
        <v>43</v>
      </c>
      <c r="AL189" s="100" t="s">
        <v>43</v>
      </c>
      <c r="AM189" s="100" t="str">
        <f>IF(AL189&lt;&gt;"No Disp",AK189+12*AL189,"No Disp")</f>
        <v>No Disp</v>
      </c>
      <c r="AN189" s="100" t="s">
        <v>43</v>
      </c>
      <c r="AO189" s="100" t="s">
        <v>43</v>
      </c>
      <c r="AP189" s="100" t="str">
        <f>IF(AO189&lt;&gt;"No Disp",AN189+12*AO189,"No Disp")</f>
        <v>No Disp</v>
      </c>
      <c r="AQ189" s="100" t="s">
        <v>43</v>
      </c>
      <c r="AR189" s="100" t="s">
        <v>43</v>
      </c>
      <c r="AS189" s="100" t="str">
        <f>IF(AR189&lt;&gt;"No Disp",AQ189+12*AR189,"No Disp")</f>
        <v>No Disp</v>
      </c>
    </row>
    <row r="190" spans="1:45" s="101" customFormat="1" x14ac:dyDescent="0.25">
      <c r="A190" s="90" t="s">
        <v>38</v>
      </c>
      <c r="B190" s="90" t="s">
        <v>40</v>
      </c>
      <c r="C190" s="90" t="s">
        <v>40</v>
      </c>
      <c r="D190" s="90" t="s">
        <v>4537</v>
      </c>
      <c r="E190" s="90" t="s">
        <v>4542</v>
      </c>
      <c r="F190" s="91">
        <v>113</v>
      </c>
      <c r="G190" s="92">
        <v>70009537</v>
      </c>
      <c r="H190" s="91">
        <v>70009538</v>
      </c>
      <c r="I190" s="93" t="s">
        <v>87</v>
      </c>
      <c r="J190" s="94" t="s">
        <v>3616</v>
      </c>
      <c r="K190" s="94" t="s">
        <v>3652</v>
      </c>
      <c r="L190" s="94" t="s">
        <v>3653</v>
      </c>
      <c r="M190" s="95">
        <v>169900</v>
      </c>
      <c r="N190" s="95">
        <v>2500</v>
      </c>
      <c r="O190" s="95">
        <v>4000</v>
      </c>
      <c r="P190" s="96">
        <v>0</v>
      </c>
      <c r="Q190" s="152"/>
      <c r="R190" s="95">
        <v>169900</v>
      </c>
      <c r="S190" s="95">
        <f>R190/24</f>
        <v>7079.166666666667</v>
      </c>
      <c r="T190" s="95">
        <v>169900</v>
      </c>
      <c r="U190" s="95">
        <f>T190/24</f>
        <v>7079.166666666667</v>
      </c>
      <c r="V190" s="95">
        <v>169900</v>
      </c>
      <c r="W190" s="95">
        <f>V190/24</f>
        <v>7079.166666666667</v>
      </c>
      <c r="X190" s="128"/>
      <c r="Y190" s="95">
        <v>599900</v>
      </c>
      <c r="Z190" s="95">
        <v>19000</v>
      </c>
      <c r="AA190" s="95">
        <f>IFERROR(IF(D190="Premium",0.4*Y190,0),"No Disp")</f>
        <v>0</v>
      </c>
      <c r="AB190" s="95">
        <f>IFERROR(IF(4*Y190&gt;AC190,1.5*Y190,4*Y190),"No Disp")</f>
        <v>899850</v>
      </c>
      <c r="AC190" s="95">
        <f>IF(Z190="No Disp","No Disp",(Z190*18)+Y190)</f>
        <v>941900</v>
      </c>
      <c r="AD190" s="95">
        <f>18*Z190-100+Y190</f>
        <v>941800</v>
      </c>
      <c r="AE190" s="95">
        <v>19900</v>
      </c>
      <c r="AF190" s="95">
        <v>12000</v>
      </c>
      <c r="AG190" s="95">
        <f>IF(AF190="No Disp","No Disp",(AF190*18)+AE190)</f>
        <v>235900</v>
      </c>
      <c r="AH190" s="95">
        <f>18*AF190-100+AE190</f>
        <v>235800</v>
      </c>
      <c r="AI190" s="95" t="s">
        <v>4613</v>
      </c>
      <c r="AJ190" s="99"/>
      <c r="AK190" s="100" t="s">
        <v>43</v>
      </c>
      <c r="AL190" s="100" t="s">
        <v>43</v>
      </c>
      <c r="AM190" s="100" t="str">
        <f>IF(AL190&lt;&gt;"No Disp",AK190+12*AL190,"No Disp")</f>
        <v>No Disp</v>
      </c>
      <c r="AN190" s="100" t="s">
        <v>43</v>
      </c>
      <c r="AO190" s="100" t="s">
        <v>43</v>
      </c>
      <c r="AP190" s="100" t="str">
        <f>IF(AO190&lt;&gt;"No Disp",AN190+12*AO190,"No Disp")</f>
        <v>No Disp</v>
      </c>
      <c r="AQ190" s="100" t="s">
        <v>43</v>
      </c>
      <c r="AR190" s="100" t="s">
        <v>43</v>
      </c>
      <c r="AS190" s="100" t="str">
        <f>IF(AR190&lt;&gt;"No Disp",AQ190+12*AR190,"No Disp")</f>
        <v>No Disp</v>
      </c>
    </row>
    <row r="191" spans="1:45" s="101" customFormat="1" x14ac:dyDescent="0.25">
      <c r="A191" s="90" t="s">
        <v>102</v>
      </c>
      <c r="B191" s="90" t="s">
        <v>39</v>
      </c>
      <c r="C191" s="90" t="s">
        <v>40</v>
      </c>
      <c r="D191" s="90" t="s">
        <v>4539</v>
      </c>
      <c r="E191" s="90" t="s">
        <v>4542</v>
      </c>
      <c r="F191" s="91">
        <v>114</v>
      </c>
      <c r="G191" s="92">
        <v>70009544</v>
      </c>
      <c r="H191" s="91">
        <v>70009545</v>
      </c>
      <c r="I191" s="93" t="s">
        <v>229</v>
      </c>
      <c r="J191" s="94" t="s">
        <v>3654</v>
      </c>
      <c r="K191" s="94" t="s">
        <v>903</v>
      </c>
      <c r="L191" s="94" t="s">
        <v>3655</v>
      </c>
      <c r="M191" s="95">
        <v>59900</v>
      </c>
      <c r="N191" s="95">
        <v>2500</v>
      </c>
      <c r="O191" s="95">
        <v>4000</v>
      </c>
      <c r="P191" s="96">
        <v>0</v>
      </c>
      <c r="Q191" s="152"/>
      <c r="R191" s="95">
        <v>59900</v>
      </c>
      <c r="S191" s="95">
        <f>R191/24</f>
        <v>2495.8333333333335</v>
      </c>
      <c r="T191" s="95">
        <v>59900</v>
      </c>
      <c r="U191" s="95">
        <f>T191/24</f>
        <v>2495.8333333333335</v>
      </c>
      <c r="V191" s="95">
        <v>59900</v>
      </c>
      <c r="W191" s="95">
        <f>V191/24</f>
        <v>2495.8333333333335</v>
      </c>
      <c r="X191" s="128"/>
      <c r="Y191" s="95">
        <v>39900</v>
      </c>
      <c r="Z191" s="95">
        <v>2500</v>
      </c>
      <c r="AA191" s="95">
        <f>IFERROR(IF(D191="Premium",0.4*Y191,0),"No Disp")</f>
        <v>0</v>
      </c>
      <c r="AB191" s="95">
        <f>IFERROR(IF(4*Y191&gt;AC191,1.5*Y191,4*Y191),"No Disp")</f>
        <v>59850</v>
      </c>
      <c r="AC191" s="95">
        <f>IF(Z191="No Disp","No Disp",(Z191*18)+Y191)</f>
        <v>84900</v>
      </c>
      <c r="AD191" s="95">
        <f>18*Z191-100+Y191</f>
        <v>84800</v>
      </c>
      <c r="AE191" s="95">
        <v>19900</v>
      </c>
      <c r="AF191" s="95">
        <v>4000</v>
      </c>
      <c r="AG191" s="95">
        <f>IF(AF191="No Disp","No Disp",(AF191*18)+AE191)</f>
        <v>91900</v>
      </c>
      <c r="AH191" s="95">
        <f>18*AF191-100+AE191</f>
        <v>91800</v>
      </c>
      <c r="AI191" s="95" t="s">
        <v>4613</v>
      </c>
      <c r="AJ191" s="99"/>
      <c r="AK191" s="100" t="s">
        <v>43</v>
      </c>
      <c r="AL191" s="100" t="s">
        <v>43</v>
      </c>
      <c r="AM191" s="100" t="str">
        <f>IF(AL191&lt;&gt;"No Disp",AK191+12*AL191,"No Disp")</f>
        <v>No Disp</v>
      </c>
      <c r="AN191" s="100" t="s">
        <v>43</v>
      </c>
      <c r="AO191" s="100" t="s">
        <v>43</v>
      </c>
      <c r="AP191" s="100" t="str">
        <f>IF(AO191&lt;&gt;"No Disp",AN191+12*AO191,"No Disp")</f>
        <v>No Disp</v>
      </c>
      <c r="AQ191" s="100" t="s">
        <v>43</v>
      </c>
      <c r="AR191" s="100" t="s">
        <v>43</v>
      </c>
      <c r="AS191" s="100" t="str">
        <f>IF(AR191&lt;&gt;"No Disp",AQ191+12*AR191,"No Disp")</f>
        <v>No Disp</v>
      </c>
    </row>
    <row r="192" spans="1:45" s="101" customFormat="1" x14ac:dyDescent="0.25">
      <c r="A192" s="90" t="s">
        <v>102</v>
      </c>
      <c r="B192" s="90" t="s">
        <v>39</v>
      </c>
      <c r="C192" s="90" t="s">
        <v>39</v>
      </c>
      <c r="D192" s="90" t="s">
        <v>4541</v>
      </c>
      <c r="E192" s="90" t="s">
        <v>4542</v>
      </c>
      <c r="F192" s="91">
        <v>115</v>
      </c>
      <c r="G192" s="92">
        <v>70009568</v>
      </c>
      <c r="H192" s="91">
        <v>70009569</v>
      </c>
      <c r="I192" s="93" t="s">
        <v>46</v>
      </c>
      <c r="J192" s="94" t="s">
        <v>901</v>
      </c>
      <c r="K192" s="94" t="s">
        <v>902</v>
      </c>
      <c r="L192" s="94" t="s">
        <v>3656</v>
      </c>
      <c r="M192" s="95">
        <v>139900</v>
      </c>
      <c r="N192" s="95">
        <v>2500</v>
      </c>
      <c r="O192" s="95">
        <v>4000</v>
      </c>
      <c r="P192" s="96">
        <v>0</v>
      </c>
      <c r="Q192" s="152"/>
      <c r="R192" s="95">
        <v>139900</v>
      </c>
      <c r="S192" s="95">
        <f>R192/24</f>
        <v>5829.166666666667</v>
      </c>
      <c r="T192" s="95">
        <v>139900</v>
      </c>
      <c r="U192" s="95">
        <f>T192/24</f>
        <v>5829.166666666667</v>
      </c>
      <c r="V192" s="95">
        <v>139900</v>
      </c>
      <c r="W192" s="95">
        <f>V192/24</f>
        <v>5829.166666666667</v>
      </c>
      <c r="X192" s="128"/>
      <c r="Y192" s="95">
        <v>59900</v>
      </c>
      <c r="Z192" s="95">
        <v>5500</v>
      </c>
      <c r="AA192" s="95">
        <f>IFERROR(IF(D192="Premium",0.4*Y192,0),"No Disp")</f>
        <v>0</v>
      </c>
      <c r="AB192" s="95">
        <f>IFERROR(IF(4*Y192&gt;AC192,1.5*Y192,4*Y192),"No Disp")</f>
        <v>89850</v>
      </c>
      <c r="AC192" s="95">
        <f>IF(Z192="No Disp","No Disp",(Z192*18)+Y192)</f>
        <v>158900</v>
      </c>
      <c r="AD192" s="95">
        <f>18*Z192-100+Y192</f>
        <v>158800</v>
      </c>
      <c r="AE192" s="95">
        <v>0</v>
      </c>
      <c r="AF192" s="95">
        <v>7500</v>
      </c>
      <c r="AG192" s="95">
        <f>IF(AF192="No Disp","No Disp",(AF192*18)+AE192)</f>
        <v>135000</v>
      </c>
      <c r="AH192" s="95">
        <f>18*AF192-100+AE192</f>
        <v>134900</v>
      </c>
      <c r="AI192" s="95" t="s">
        <v>4613</v>
      </c>
      <c r="AJ192" s="99"/>
      <c r="AK192" s="100" t="s">
        <v>43</v>
      </c>
      <c r="AL192" s="100" t="s">
        <v>43</v>
      </c>
      <c r="AM192" s="100" t="str">
        <f>IF(AL192&lt;&gt;"No Disp",AK192+12*AL192,"No Disp")</f>
        <v>No Disp</v>
      </c>
      <c r="AN192" s="100" t="s">
        <v>43</v>
      </c>
      <c r="AO192" s="100" t="s">
        <v>43</v>
      </c>
      <c r="AP192" s="100" t="str">
        <f>IF(AO192&lt;&gt;"No Disp",AN192+12*AO192,"No Disp")</f>
        <v>No Disp</v>
      </c>
      <c r="AQ192" s="100" t="s">
        <v>43</v>
      </c>
      <c r="AR192" s="100" t="s">
        <v>43</v>
      </c>
      <c r="AS192" s="100" t="str">
        <f>IF(AR192&lt;&gt;"No Disp",AQ192+12*AR192,"No Disp")</f>
        <v>No Disp</v>
      </c>
    </row>
    <row r="193" spans="1:45" s="101" customFormat="1" x14ac:dyDescent="0.25">
      <c r="A193" s="90" t="s">
        <v>102</v>
      </c>
      <c r="B193" s="90" t="s">
        <v>39</v>
      </c>
      <c r="C193" s="90" t="s">
        <v>39</v>
      </c>
      <c r="D193" s="90" t="s">
        <v>4539</v>
      </c>
      <c r="E193" s="90" t="s">
        <v>4542</v>
      </c>
      <c r="F193" s="91">
        <v>116</v>
      </c>
      <c r="G193" s="92">
        <v>70009571</v>
      </c>
      <c r="H193" s="91">
        <v>70009572</v>
      </c>
      <c r="I193" s="93" t="s">
        <v>46</v>
      </c>
      <c r="J193" s="94" t="s">
        <v>3594</v>
      </c>
      <c r="K193" s="94" t="s">
        <v>900</v>
      </c>
      <c r="L193" s="94" t="s">
        <v>3657</v>
      </c>
      <c r="M193" s="95">
        <v>99900</v>
      </c>
      <c r="N193" s="95">
        <v>2500</v>
      </c>
      <c r="O193" s="95">
        <v>4000</v>
      </c>
      <c r="P193" s="96">
        <v>0</v>
      </c>
      <c r="Q193" s="152"/>
      <c r="R193" s="95">
        <v>99900</v>
      </c>
      <c r="S193" s="95">
        <f>R193/24</f>
        <v>4162.5</v>
      </c>
      <c r="T193" s="95">
        <v>99900</v>
      </c>
      <c r="U193" s="95">
        <f>T193/24</f>
        <v>4162.5</v>
      </c>
      <c r="V193" s="95">
        <v>99900</v>
      </c>
      <c r="W193" s="95">
        <f>V193/24</f>
        <v>4162.5</v>
      </c>
      <c r="X193" s="128"/>
      <c r="Y193" s="95">
        <v>29900</v>
      </c>
      <c r="Z193" s="95">
        <v>17000</v>
      </c>
      <c r="AA193" s="95">
        <f>IFERROR(IF(D193="Premium",0.4*Y193,0),"No Disp")</f>
        <v>0</v>
      </c>
      <c r="AB193" s="95">
        <f>IFERROR(IF(4*Y193&gt;AC193,1.5*Y193,4*Y193),"No Disp")</f>
        <v>119600</v>
      </c>
      <c r="AC193" s="95">
        <f>IF(Z193="No Disp","No Disp",(Z193*18)+Y193)</f>
        <v>335900</v>
      </c>
      <c r="AD193" s="95">
        <f>18*Z193-100+Y193</f>
        <v>335800</v>
      </c>
      <c r="AE193" s="95">
        <v>399900</v>
      </c>
      <c r="AF193" s="95">
        <v>43000</v>
      </c>
      <c r="AG193" s="95">
        <f>IF(AF193="No Disp","No Disp",(AF193*18)+AE193)</f>
        <v>1173900</v>
      </c>
      <c r="AH193" s="95">
        <f>18*AF193-100+AE193</f>
        <v>1173800</v>
      </c>
      <c r="AI193" s="95" t="s">
        <v>4613</v>
      </c>
      <c r="AJ193" s="99"/>
      <c r="AK193" s="100" t="s">
        <v>43</v>
      </c>
      <c r="AL193" s="100" t="s">
        <v>43</v>
      </c>
      <c r="AM193" s="100" t="str">
        <f>IF(AL193&lt;&gt;"No Disp",AK193+12*AL193,"No Disp")</f>
        <v>No Disp</v>
      </c>
      <c r="AN193" s="100" t="s">
        <v>43</v>
      </c>
      <c r="AO193" s="100" t="s">
        <v>43</v>
      </c>
      <c r="AP193" s="100" t="str">
        <f>IF(AO193&lt;&gt;"No Disp",AN193+12*AO193,"No Disp")</f>
        <v>No Disp</v>
      </c>
      <c r="AQ193" s="100" t="s">
        <v>43</v>
      </c>
      <c r="AR193" s="100" t="s">
        <v>43</v>
      </c>
      <c r="AS193" s="100" t="str">
        <f>IF(AR193&lt;&gt;"No Disp",AQ193+12*AR193,"No Disp")</f>
        <v>No Disp</v>
      </c>
    </row>
    <row r="194" spans="1:45" s="101" customFormat="1" x14ac:dyDescent="0.25">
      <c r="A194" s="90" t="s">
        <v>102</v>
      </c>
      <c r="B194" s="90" t="s">
        <v>39</v>
      </c>
      <c r="C194" s="90" t="s">
        <v>39</v>
      </c>
      <c r="D194" s="90" t="s">
        <v>4539</v>
      </c>
      <c r="E194" s="90" t="s">
        <v>4542</v>
      </c>
      <c r="F194" s="91">
        <v>117</v>
      </c>
      <c r="G194" s="92">
        <v>70009574</v>
      </c>
      <c r="H194" s="91">
        <v>70009578</v>
      </c>
      <c r="I194" s="93" t="s">
        <v>46</v>
      </c>
      <c r="J194" s="94" t="s">
        <v>898</v>
      </c>
      <c r="K194" s="94" t="s">
        <v>899</v>
      </c>
      <c r="L194" s="94" t="s">
        <v>3592</v>
      </c>
      <c r="M194" s="95">
        <v>189900</v>
      </c>
      <c r="N194" s="95">
        <v>2500</v>
      </c>
      <c r="O194" s="95">
        <v>4000</v>
      </c>
      <c r="P194" s="96">
        <v>0</v>
      </c>
      <c r="Q194" s="152"/>
      <c r="R194" s="95">
        <v>189900</v>
      </c>
      <c r="S194" s="95">
        <f>R194/24</f>
        <v>7912.5</v>
      </c>
      <c r="T194" s="95">
        <v>189900</v>
      </c>
      <c r="U194" s="95">
        <f>T194/24</f>
        <v>7912.5</v>
      </c>
      <c r="V194" s="95">
        <v>189900</v>
      </c>
      <c r="W194" s="95">
        <f>V194/24</f>
        <v>7912.5</v>
      </c>
      <c r="X194" s="128"/>
      <c r="Y194" s="95">
        <v>79900</v>
      </c>
      <c r="Z194" s="95">
        <v>7500</v>
      </c>
      <c r="AA194" s="95">
        <f>IFERROR(IF(D194="Premium",0.4*Y194,0),"No Disp")</f>
        <v>0</v>
      </c>
      <c r="AB194" s="95">
        <f>IFERROR(IF(4*Y194&gt;AC194,1.5*Y194,4*Y194),"No Disp")</f>
        <v>119850</v>
      </c>
      <c r="AC194" s="95">
        <f>IF(Z194="No Disp","No Disp",(Z194*18)+Y194)</f>
        <v>214900</v>
      </c>
      <c r="AD194" s="95">
        <f>18*Z194-100+Y194</f>
        <v>214800</v>
      </c>
      <c r="AE194" s="95">
        <v>0</v>
      </c>
      <c r="AF194" s="95">
        <v>10500</v>
      </c>
      <c r="AG194" s="95">
        <f>IF(AF194="No Disp","No Disp",(AF194*18)+AE194)</f>
        <v>189000</v>
      </c>
      <c r="AH194" s="95">
        <f>18*AF194-100+AE194</f>
        <v>188900</v>
      </c>
      <c r="AI194" s="95" t="s">
        <v>4613</v>
      </c>
      <c r="AJ194" s="99"/>
      <c r="AK194" s="100" t="s">
        <v>43</v>
      </c>
      <c r="AL194" s="100" t="s">
        <v>43</v>
      </c>
      <c r="AM194" s="100" t="str">
        <f>IF(AL194&lt;&gt;"No Disp",AK194+12*AL194,"No Disp")</f>
        <v>No Disp</v>
      </c>
      <c r="AN194" s="100" t="s">
        <v>43</v>
      </c>
      <c r="AO194" s="100" t="s">
        <v>43</v>
      </c>
      <c r="AP194" s="100" t="str">
        <f>IF(AO194&lt;&gt;"No Disp",AN194+12*AO194,"No Disp")</f>
        <v>No Disp</v>
      </c>
      <c r="AQ194" s="100" t="s">
        <v>43</v>
      </c>
      <c r="AR194" s="100" t="s">
        <v>43</v>
      </c>
      <c r="AS194" s="100" t="str">
        <f>IF(AR194&lt;&gt;"No Disp",AQ194+12*AR194,"No Disp")</f>
        <v>No Disp</v>
      </c>
    </row>
    <row r="195" spans="1:45" s="101" customFormat="1" x14ac:dyDescent="0.25">
      <c r="A195" s="90" t="s">
        <v>102</v>
      </c>
      <c r="B195" s="90" t="s">
        <v>39</v>
      </c>
      <c r="C195" s="90" t="s">
        <v>39</v>
      </c>
      <c r="D195" s="90" t="s">
        <v>4537</v>
      </c>
      <c r="E195" s="90" t="s">
        <v>4542</v>
      </c>
      <c r="F195" s="91">
        <v>118</v>
      </c>
      <c r="G195" s="92">
        <v>70009589</v>
      </c>
      <c r="H195" s="91">
        <v>70009590</v>
      </c>
      <c r="I195" s="93" t="s">
        <v>46</v>
      </c>
      <c r="J195" s="94" t="s">
        <v>3544</v>
      </c>
      <c r="K195" s="94" t="s">
        <v>897</v>
      </c>
      <c r="L195" s="94" t="s">
        <v>3590</v>
      </c>
      <c r="M195" s="95">
        <v>199900</v>
      </c>
      <c r="N195" s="95">
        <v>2500</v>
      </c>
      <c r="O195" s="95">
        <v>4000</v>
      </c>
      <c r="P195" s="96">
        <v>0</v>
      </c>
      <c r="Q195" s="152"/>
      <c r="R195" s="95">
        <v>199900</v>
      </c>
      <c r="S195" s="95">
        <f>R195/24</f>
        <v>8329.1666666666661</v>
      </c>
      <c r="T195" s="95">
        <v>199900</v>
      </c>
      <c r="U195" s="95">
        <f>T195/24</f>
        <v>8329.1666666666661</v>
      </c>
      <c r="V195" s="95">
        <v>199900</v>
      </c>
      <c r="W195" s="95">
        <f>V195/24</f>
        <v>8329.1666666666661</v>
      </c>
      <c r="X195" s="128"/>
      <c r="Y195" s="95">
        <v>99900</v>
      </c>
      <c r="Z195" s="95">
        <v>9000</v>
      </c>
      <c r="AA195" s="95">
        <f>IFERROR(IF(D195="Premium",0.4*Y195,0),"No Disp")</f>
        <v>0</v>
      </c>
      <c r="AB195" s="95">
        <f>IFERROR(IF(4*Y195&gt;AC195,1.5*Y195,4*Y195),"No Disp")</f>
        <v>149850</v>
      </c>
      <c r="AC195" s="95">
        <f>IF(Z195="No Disp","No Disp",(Z195*18)+Y195)</f>
        <v>261900</v>
      </c>
      <c r="AD195" s="95">
        <f>18*Z195-100+Y195</f>
        <v>261800</v>
      </c>
      <c r="AE195" s="95">
        <v>0</v>
      </c>
      <c r="AF195" s="95">
        <v>13000</v>
      </c>
      <c r="AG195" s="95">
        <f>IF(AF195="No Disp","No Disp",(AF195*18)+AE195)</f>
        <v>234000</v>
      </c>
      <c r="AH195" s="95">
        <f>18*AF195-100+AE195</f>
        <v>233900</v>
      </c>
      <c r="AI195" s="95" t="s">
        <v>4613</v>
      </c>
      <c r="AJ195" s="99"/>
      <c r="AK195" s="100" t="s">
        <v>43</v>
      </c>
      <c r="AL195" s="100" t="s">
        <v>43</v>
      </c>
      <c r="AM195" s="100" t="str">
        <f>IF(AL195&lt;&gt;"No Disp",AK195+12*AL195,"No Disp")</f>
        <v>No Disp</v>
      </c>
      <c r="AN195" s="100" t="s">
        <v>43</v>
      </c>
      <c r="AO195" s="100" t="s">
        <v>43</v>
      </c>
      <c r="AP195" s="100" t="str">
        <f>IF(AO195&lt;&gt;"No Disp",AN195+12*AO195,"No Disp")</f>
        <v>No Disp</v>
      </c>
      <c r="AQ195" s="100" t="s">
        <v>43</v>
      </c>
      <c r="AR195" s="100" t="s">
        <v>43</v>
      </c>
      <c r="AS195" s="100" t="str">
        <f>IF(AR195&lt;&gt;"No Disp",AQ195+12*AR195,"No Disp")</f>
        <v>No Disp</v>
      </c>
    </row>
    <row r="196" spans="1:45" s="101" customFormat="1" x14ac:dyDescent="0.25">
      <c r="A196" s="90" t="s">
        <v>102</v>
      </c>
      <c r="B196" s="90" t="s">
        <v>39</v>
      </c>
      <c r="C196" s="90" t="s">
        <v>39</v>
      </c>
      <c r="D196" s="90" t="s">
        <v>4541</v>
      </c>
      <c r="E196" s="90" t="s">
        <v>4542</v>
      </c>
      <c r="F196" s="91">
        <v>119</v>
      </c>
      <c r="G196" s="92">
        <v>70009723</v>
      </c>
      <c r="H196" s="91">
        <v>70009724</v>
      </c>
      <c r="I196" s="93" t="s">
        <v>895</v>
      </c>
      <c r="J196" s="94" t="s">
        <v>3658</v>
      </c>
      <c r="K196" s="94" t="s">
        <v>896</v>
      </c>
      <c r="L196" s="94" t="s">
        <v>3659</v>
      </c>
      <c r="M196" s="95">
        <v>114900</v>
      </c>
      <c r="N196" s="95">
        <v>2500</v>
      </c>
      <c r="O196" s="95">
        <v>4000</v>
      </c>
      <c r="P196" s="96">
        <v>0</v>
      </c>
      <c r="Q196" s="152"/>
      <c r="R196" s="95">
        <v>114900</v>
      </c>
      <c r="S196" s="95">
        <f>R196/24</f>
        <v>4787.5</v>
      </c>
      <c r="T196" s="95">
        <v>114900</v>
      </c>
      <c r="U196" s="95">
        <f>T196/24</f>
        <v>4787.5</v>
      </c>
      <c r="V196" s="95">
        <v>114900</v>
      </c>
      <c r="W196" s="95">
        <f>V196/24</f>
        <v>4787.5</v>
      </c>
      <c r="X196" s="128"/>
      <c r="Y196" s="95">
        <v>44900</v>
      </c>
      <c r="Z196" s="95">
        <v>4500</v>
      </c>
      <c r="AA196" s="95">
        <f>IFERROR(IF(D196="Premium",0.4*Y196,0),"No Disp")</f>
        <v>0</v>
      </c>
      <c r="AB196" s="95">
        <f>IFERROR(IF(4*Y196&gt;AC196,1.5*Y196,4*Y196),"No Disp")</f>
        <v>67350</v>
      </c>
      <c r="AC196" s="95">
        <f>IF(Z196="No Disp","No Disp",(Z196*18)+Y196)</f>
        <v>125900</v>
      </c>
      <c r="AD196" s="95">
        <f>18*Z196-100+Y196</f>
        <v>125800</v>
      </c>
      <c r="AE196" s="95">
        <v>0</v>
      </c>
      <c r="AF196" s="95">
        <v>6000</v>
      </c>
      <c r="AG196" s="95">
        <f>IF(AF196="No Disp","No Disp",(AF196*18)+AE196)</f>
        <v>108000</v>
      </c>
      <c r="AH196" s="95">
        <f>18*AF196-100+AE196</f>
        <v>107900</v>
      </c>
      <c r="AI196" s="95" t="s">
        <v>4613</v>
      </c>
      <c r="AJ196" s="99"/>
      <c r="AK196" s="100" t="s">
        <v>43</v>
      </c>
      <c r="AL196" s="100" t="s">
        <v>43</v>
      </c>
      <c r="AM196" s="100" t="str">
        <f>IF(AL196&lt;&gt;"No Disp",AK196+12*AL196,"No Disp")</f>
        <v>No Disp</v>
      </c>
      <c r="AN196" s="100" t="s">
        <v>43</v>
      </c>
      <c r="AO196" s="100" t="s">
        <v>43</v>
      </c>
      <c r="AP196" s="100" t="str">
        <f>IF(AO196&lt;&gt;"No Disp",AN196+12*AO196,"No Disp")</f>
        <v>No Disp</v>
      </c>
      <c r="AQ196" s="100" t="s">
        <v>43</v>
      </c>
      <c r="AR196" s="100" t="s">
        <v>43</v>
      </c>
      <c r="AS196" s="100" t="str">
        <f>IF(AR196&lt;&gt;"No Disp",AQ196+12*AR196,"No Disp")</f>
        <v>No Disp</v>
      </c>
    </row>
    <row r="197" spans="1:45" s="101" customFormat="1" x14ac:dyDescent="0.25">
      <c r="A197" s="90" t="s">
        <v>102</v>
      </c>
      <c r="B197" s="90" t="s">
        <v>39</v>
      </c>
      <c r="C197" s="90" t="s">
        <v>39</v>
      </c>
      <c r="D197" s="90" t="s">
        <v>4537</v>
      </c>
      <c r="E197" s="90" t="s">
        <v>4542</v>
      </c>
      <c r="F197" s="91">
        <v>120</v>
      </c>
      <c r="G197" s="92">
        <v>70009725</v>
      </c>
      <c r="H197" s="91">
        <v>70009726</v>
      </c>
      <c r="I197" s="93" t="s">
        <v>229</v>
      </c>
      <c r="J197" s="94" t="s">
        <v>891</v>
      </c>
      <c r="K197" s="94" t="s">
        <v>894</v>
      </c>
      <c r="L197" s="94" t="s">
        <v>3660</v>
      </c>
      <c r="M197" s="95">
        <v>39900</v>
      </c>
      <c r="N197" s="95">
        <v>2500</v>
      </c>
      <c r="O197" s="95">
        <v>4000</v>
      </c>
      <c r="P197" s="96">
        <v>0</v>
      </c>
      <c r="Q197" s="152"/>
      <c r="R197" s="95">
        <v>39900</v>
      </c>
      <c r="S197" s="95">
        <f>R197/24</f>
        <v>1662.5</v>
      </c>
      <c r="T197" s="95">
        <v>39900</v>
      </c>
      <c r="U197" s="95">
        <f>T197/24</f>
        <v>1662.5</v>
      </c>
      <c r="V197" s="95">
        <v>39900</v>
      </c>
      <c r="W197" s="95">
        <f>V197/24</f>
        <v>1662.5</v>
      </c>
      <c r="X197" s="128"/>
      <c r="Y197" s="95">
        <v>19900</v>
      </c>
      <c r="Z197" s="95">
        <v>2500</v>
      </c>
      <c r="AA197" s="95">
        <f>IFERROR(IF(D197="Premium",0.4*Y197,0),"No Disp")</f>
        <v>0</v>
      </c>
      <c r="AB197" s="95">
        <f>IFERROR(IF(4*Y197&gt;AC197,1.5*Y197,4*Y197),"No Disp")</f>
        <v>29850</v>
      </c>
      <c r="AC197" s="95">
        <f>IF(Z197="No Disp","No Disp",(Z197*18)+Y197)</f>
        <v>64900</v>
      </c>
      <c r="AD197" s="95">
        <f>18*Z197-100+Y197</f>
        <v>64800</v>
      </c>
      <c r="AE197" s="95">
        <v>19900</v>
      </c>
      <c r="AF197" s="95">
        <v>2000</v>
      </c>
      <c r="AG197" s="95">
        <f>IF(AF197="No Disp","No Disp",(AF197*18)+AE197)</f>
        <v>55900</v>
      </c>
      <c r="AH197" s="95">
        <f>18*AF197-100+AE197</f>
        <v>55800</v>
      </c>
      <c r="AI197" s="95" t="s">
        <v>4613</v>
      </c>
      <c r="AJ197" s="99"/>
      <c r="AK197" s="100" t="s">
        <v>43</v>
      </c>
      <c r="AL197" s="100" t="s">
        <v>43</v>
      </c>
      <c r="AM197" s="100" t="str">
        <f>IF(AL197&lt;&gt;"No Disp",AK197+12*AL197,"No Disp")</f>
        <v>No Disp</v>
      </c>
      <c r="AN197" s="100" t="s">
        <v>43</v>
      </c>
      <c r="AO197" s="100" t="s">
        <v>43</v>
      </c>
      <c r="AP197" s="100" t="str">
        <f>IF(AO197&lt;&gt;"No Disp",AN197+12*AO197,"No Disp")</f>
        <v>No Disp</v>
      </c>
      <c r="AQ197" s="100" t="s">
        <v>43</v>
      </c>
      <c r="AR197" s="100" t="s">
        <v>43</v>
      </c>
      <c r="AS197" s="100" t="str">
        <f>IF(AR197&lt;&gt;"No Disp",AQ197+12*AR197,"No Disp")</f>
        <v>No Disp</v>
      </c>
    </row>
    <row r="198" spans="1:45" s="101" customFormat="1" x14ac:dyDescent="0.25">
      <c r="A198" s="90" t="s">
        <v>102</v>
      </c>
      <c r="B198" s="90" t="s">
        <v>39</v>
      </c>
      <c r="C198" s="90" t="s">
        <v>39</v>
      </c>
      <c r="D198" s="90" t="s">
        <v>4539</v>
      </c>
      <c r="E198" s="90" t="s">
        <v>4542</v>
      </c>
      <c r="F198" s="91">
        <v>121</v>
      </c>
      <c r="G198" s="92">
        <v>70009731</v>
      </c>
      <c r="H198" s="91">
        <v>70009732</v>
      </c>
      <c r="I198" s="93" t="s">
        <v>229</v>
      </c>
      <c r="J198" s="94" t="s">
        <v>3576</v>
      </c>
      <c r="K198" s="94" t="s">
        <v>893</v>
      </c>
      <c r="L198" s="94" t="s">
        <v>3661</v>
      </c>
      <c r="M198" s="95">
        <v>99900</v>
      </c>
      <c r="N198" s="95">
        <v>2500</v>
      </c>
      <c r="O198" s="95">
        <v>4000</v>
      </c>
      <c r="P198" s="96">
        <v>0</v>
      </c>
      <c r="Q198" s="152"/>
      <c r="R198" s="95">
        <v>99900</v>
      </c>
      <c r="S198" s="95">
        <f>R198/24</f>
        <v>4162.5</v>
      </c>
      <c r="T198" s="95">
        <v>99900</v>
      </c>
      <c r="U198" s="95">
        <f>T198/24</f>
        <v>4162.5</v>
      </c>
      <c r="V198" s="95">
        <v>99900</v>
      </c>
      <c r="W198" s="95">
        <f>V198/24</f>
        <v>4162.5</v>
      </c>
      <c r="X198" s="128"/>
      <c r="Y198" s="95">
        <v>89900</v>
      </c>
      <c r="Z198" s="95">
        <v>10500</v>
      </c>
      <c r="AA198" s="95">
        <f>IFERROR(IF(D198="Premium",0.4*Y198,0),"No Disp")</f>
        <v>0</v>
      </c>
      <c r="AB198" s="95">
        <f>IFERROR(IF(4*Y198&gt;AC198,1.5*Y198,4*Y198),"No Disp")</f>
        <v>134850</v>
      </c>
      <c r="AC198" s="95">
        <f>IF(Z198="No Disp","No Disp",(Z198*18)+Y198)</f>
        <v>278900</v>
      </c>
      <c r="AD198" s="95">
        <f>18*Z198-100+Y198</f>
        <v>278800</v>
      </c>
      <c r="AE198" s="95">
        <v>19900</v>
      </c>
      <c r="AF198" s="95">
        <v>13000</v>
      </c>
      <c r="AG198" s="95">
        <f>IF(AF198="No Disp","No Disp",(AF198*18)+AE198)</f>
        <v>253900</v>
      </c>
      <c r="AH198" s="95">
        <f>18*AF198-100+AE198</f>
        <v>253800</v>
      </c>
      <c r="AI198" s="95" t="s">
        <v>4613</v>
      </c>
      <c r="AJ198" s="99"/>
      <c r="AK198" s="100" t="s">
        <v>43</v>
      </c>
      <c r="AL198" s="100" t="s">
        <v>43</v>
      </c>
      <c r="AM198" s="100" t="str">
        <f>IF(AL198&lt;&gt;"No Disp",AK198+12*AL198,"No Disp")</f>
        <v>No Disp</v>
      </c>
      <c r="AN198" s="100" t="s">
        <v>43</v>
      </c>
      <c r="AO198" s="100" t="s">
        <v>43</v>
      </c>
      <c r="AP198" s="100" t="str">
        <f>IF(AO198&lt;&gt;"No Disp",AN198+12*AO198,"No Disp")</f>
        <v>No Disp</v>
      </c>
      <c r="AQ198" s="100" t="s">
        <v>43</v>
      </c>
      <c r="AR198" s="100" t="s">
        <v>43</v>
      </c>
      <c r="AS198" s="100" t="str">
        <f>IF(AR198&lt;&gt;"No Disp",AQ198+12*AR198,"No Disp")</f>
        <v>No Disp</v>
      </c>
    </row>
    <row r="199" spans="1:45" s="101" customFormat="1" x14ac:dyDescent="0.25">
      <c r="A199" s="90" t="s">
        <v>102</v>
      </c>
      <c r="B199" s="90" t="s">
        <v>39</v>
      </c>
      <c r="C199" s="90" t="s">
        <v>39</v>
      </c>
      <c r="D199" s="90" t="s">
        <v>4537</v>
      </c>
      <c r="E199" s="90" t="s">
        <v>4542</v>
      </c>
      <c r="F199" s="91">
        <v>122</v>
      </c>
      <c r="G199" s="92">
        <v>70009736</v>
      </c>
      <c r="H199" s="91">
        <v>70009737</v>
      </c>
      <c r="I199" s="93" t="s">
        <v>229</v>
      </c>
      <c r="J199" s="94" t="s">
        <v>891</v>
      </c>
      <c r="K199" s="94" t="s">
        <v>892</v>
      </c>
      <c r="L199" s="94" t="s">
        <v>3662</v>
      </c>
      <c r="M199" s="95">
        <v>39900</v>
      </c>
      <c r="N199" s="95">
        <v>2500</v>
      </c>
      <c r="O199" s="95">
        <v>4000</v>
      </c>
      <c r="P199" s="96">
        <v>0</v>
      </c>
      <c r="Q199" s="152"/>
      <c r="R199" s="95">
        <v>39900</v>
      </c>
      <c r="S199" s="95">
        <f>R199/24</f>
        <v>1662.5</v>
      </c>
      <c r="T199" s="95">
        <v>39900</v>
      </c>
      <c r="U199" s="95">
        <f>T199/24</f>
        <v>1662.5</v>
      </c>
      <c r="V199" s="95">
        <v>39900</v>
      </c>
      <c r="W199" s="95">
        <f>V199/24</f>
        <v>1662.5</v>
      </c>
      <c r="X199" s="128"/>
      <c r="Y199" s="95">
        <v>19900</v>
      </c>
      <c r="Z199" s="95">
        <v>2500</v>
      </c>
      <c r="AA199" s="95">
        <f>IFERROR(IF(D199="Premium",0.4*Y199,0),"No Disp")</f>
        <v>0</v>
      </c>
      <c r="AB199" s="95">
        <f>IFERROR(IF(4*Y199&gt;AC199,1.5*Y199,4*Y199),"No Disp")</f>
        <v>29850</v>
      </c>
      <c r="AC199" s="95">
        <f>IF(Z199="No Disp","No Disp",(Z199*18)+Y199)</f>
        <v>64900</v>
      </c>
      <c r="AD199" s="95">
        <f>18*Z199-100+Y199</f>
        <v>64800</v>
      </c>
      <c r="AE199" s="95">
        <v>19900</v>
      </c>
      <c r="AF199" s="95">
        <v>2000</v>
      </c>
      <c r="AG199" s="95">
        <f>IF(AF199="No Disp","No Disp",(AF199*18)+AE199)</f>
        <v>55900</v>
      </c>
      <c r="AH199" s="95">
        <f>18*AF199-100+AE199</f>
        <v>55800</v>
      </c>
      <c r="AI199" s="95" t="s">
        <v>4613</v>
      </c>
      <c r="AJ199" s="99"/>
      <c r="AK199" s="100" t="s">
        <v>43</v>
      </c>
      <c r="AL199" s="100" t="s">
        <v>43</v>
      </c>
      <c r="AM199" s="100" t="str">
        <f>IF(AL199&lt;&gt;"No Disp",AK199+12*AL199,"No Disp")</f>
        <v>No Disp</v>
      </c>
      <c r="AN199" s="100" t="s">
        <v>43</v>
      </c>
      <c r="AO199" s="100" t="s">
        <v>43</v>
      </c>
      <c r="AP199" s="100" t="str">
        <f>IF(AO199&lt;&gt;"No Disp",AN199+12*AO199,"No Disp")</f>
        <v>No Disp</v>
      </c>
      <c r="AQ199" s="100" t="s">
        <v>43</v>
      </c>
      <c r="AR199" s="100" t="s">
        <v>43</v>
      </c>
      <c r="AS199" s="100" t="str">
        <f>IF(AR199&lt;&gt;"No Disp",AQ199+12*AR199,"No Disp")</f>
        <v>No Disp</v>
      </c>
    </row>
    <row r="200" spans="1:45" s="101" customFormat="1" x14ac:dyDescent="0.25">
      <c r="A200" s="90" t="s">
        <v>38</v>
      </c>
      <c r="B200" s="90" t="s">
        <v>40</v>
      </c>
      <c r="C200" s="90" t="s">
        <v>39</v>
      </c>
      <c r="D200" s="90" t="s">
        <v>4537</v>
      </c>
      <c r="E200" s="90" t="s">
        <v>4542</v>
      </c>
      <c r="F200" s="91">
        <v>125</v>
      </c>
      <c r="G200" s="92">
        <v>70009782</v>
      </c>
      <c r="H200" s="91">
        <v>70009783</v>
      </c>
      <c r="I200" s="93" t="s">
        <v>87</v>
      </c>
      <c r="J200" s="94" t="s">
        <v>3616</v>
      </c>
      <c r="K200" s="94" t="s">
        <v>888</v>
      </c>
      <c r="L200" s="94" t="s">
        <v>3663</v>
      </c>
      <c r="M200" s="95">
        <v>169900</v>
      </c>
      <c r="N200" s="95">
        <v>2500</v>
      </c>
      <c r="O200" s="95">
        <v>4000</v>
      </c>
      <c r="P200" s="96">
        <v>0</v>
      </c>
      <c r="Q200" s="152"/>
      <c r="R200" s="95">
        <v>169900</v>
      </c>
      <c r="S200" s="95">
        <f>R200/24</f>
        <v>7079.166666666667</v>
      </c>
      <c r="T200" s="95">
        <v>169900</v>
      </c>
      <c r="U200" s="95">
        <f>T200/24</f>
        <v>7079.166666666667</v>
      </c>
      <c r="V200" s="95">
        <v>169900</v>
      </c>
      <c r="W200" s="95">
        <f>V200/24</f>
        <v>7079.166666666667</v>
      </c>
      <c r="X200" s="128"/>
      <c r="Y200" s="95">
        <v>599900</v>
      </c>
      <c r="Z200" s="95">
        <v>19000</v>
      </c>
      <c r="AA200" s="95">
        <f>IFERROR(IF(D200="Premium",0.4*Y200,0),"No Disp")</f>
        <v>0</v>
      </c>
      <c r="AB200" s="95">
        <f>IFERROR(IF(4*Y200&gt;AC200,1.5*Y200,4*Y200),"No Disp")</f>
        <v>899850</v>
      </c>
      <c r="AC200" s="95">
        <f>IF(Z200="No Disp","No Disp",(Z200*18)+Y200)</f>
        <v>941900</v>
      </c>
      <c r="AD200" s="95">
        <f>18*Z200-100+Y200</f>
        <v>941800</v>
      </c>
      <c r="AE200" s="95">
        <v>19900</v>
      </c>
      <c r="AF200" s="95">
        <v>12000</v>
      </c>
      <c r="AG200" s="95">
        <f>IF(AF200="No Disp","No Disp",(AF200*18)+AE200)</f>
        <v>235900</v>
      </c>
      <c r="AH200" s="95">
        <f>18*AF200-100+AE200</f>
        <v>235800</v>
      </c>
      <c r="AI200" s="95" t="s">
        <v>4613</v>
      </c>
      <c r="AJ200" s="99"/>
      <c r="AK200" s="100" t="s">
        <v>43</v>
      </c>
      <c r="AL200" s="100" t="s">
        <v>43</v>
      </c>
      <c r="AM200" s="100" t="str">
        <f>IF(AL200&lt;&gt;"No Disp",AK200+12*AL200,"No Disp")</f>
        <v>No Disp</v>
      </c>
      <c r="AN200" s="100" t="s">
        <v>43</v>
      </c>
      <c r="AO200" s="100" t="s">
        <v>43</v>
      </c>
      <c r="AP200" s="100" t="str">
        <f>IF(AO200&lt;&gt;"No Disp",AN200+12*AO200,"No Disp")</f>
        <v>No Disp</v>
      </c>
      <c r="AQ200" s="100" t="s">
        <v>43</v>
      </c>
      <c r="AR200" s="100" t="s">
        <v>43</v>
      </c>
      <c r="AS200" s="100" t="str">
        <f>IF(AR200&lt;&gt;"No Disp",AQ200+12*AR200,"No Disp")</f>
        <v>No Disp</v>
      </c>
    </row>
    <row r="201" spans="1:45" s="101" customFormat="1" x14ac:dyDescent="0.25">
      <c r="A201" s="90" t="s">
        <v>102</v>
      </c>
      <c r="B201" s="90" t="s">
        <v>39</v>
      </c>
      <c r="C201" s="90" t="s">
        <v>40</v>
      </c>
      <c r="D201" s="90" t="s">
        <v>4539</v>
      </c>
      <c r="E201" s="90" t="s">
        <v>4542</v>
      </c>
      <c r="F201" s="91">
        <v>126</v>
      </c>
      <c r="G201" s="92">
        <v>70009785</v>
      </c>
      <c r="H201" s="91">
        <v>70009786</v>
      </c>
      <c r="I201" s="93" t="s">
        <v>229</v>
      </c>
      <c r="J201" s="94" t="s">
        <v>3654</v>
      </c>
      <c r="K201" s="94" t="s">
        <v>887</v>
      </c>
      <c r="L201" s="94" t="s">
        <v>3664</v>
      </c>
      <c r="M201" s="95">
        <v>59900</v>
      </c>
      <c r="N201" s="95">
        <v>2500</v>
      </c>
      <c r="O201" s="95">
        <v>4000</v>
      </c>
      <c r="P201" s="96">
        <v>0</v>
      </c>
      <c r="Q201" s="152"/>
      <c r="R201" s="95">
        <v>59900</v>
      </c>
      <c r="S201" s="95">
        <f>R201/24</f>
        <v>2495.8333333333335</v>
      </c>
      <c r="T201" s="95">
        <v>59900</v>
      </c>
      <c r="U201" s="95">
        <f>T201/24</f>
        <v>2495.8333333333335</v>
      </c>
      <c r="V201" s="95">
        <v>59900</v>
      </c>
      <c r="W201" s="95">
        <f>V201/24</f>
        <v>2495.8333333333335</v>
      </c>
      <c r="X201" s="128"/>
      <c r="Y201" s="95">
        <v>39900</v>
      </c>
      <c r="Z201" s="95">
        <v>2500</v>
      </c>
      <c r="AA201" s="95">
        <f>IFERROR(IF(D201="Premium",0.4*Y201,0),"No Disp")</f>
        <v>0</v>
      </c>
      <c r="AB201" s="95">
        <f>IFERROR(IF(4*Y201&gt;AC201,1.5*Y201,4*Y201),"No Disp")</f>
        <v>59850</v>
      </c>
      <c r="AC201" s="95">
        <f>IF(Z201="No Disp","No Disp",(Z201*18)+Y201)</f>
        <v>84900</v>
      </c>
      <c r="AD201" s="95">
        <f>18*Z201-100+Y201</f>
        <v>84800</v>
      </c>
      <c r="AE201" s="95">
        <v>19900</v>
      </c>
      <c r="AF201" s="95">
        <v>4000</v>
      </c>
      <c r="AG201" s="95">
        <f>IF(AF201="No Disp","No Disp",(AF201*18)+AE201)</f>
        <v>91900</v>
      </c>
      <c r="AH201" s="95">
        <f>18*AF201-100+AE201</f>
        <v>91800</v>
      </c>
      <c r="AI201" s="95" t="s">
        <v>4613</v>
      </c>
      <c r="AJ201" s="99"/>
      <c r="AK201" s="100" t="s">
        <v>43</v>
      </c>
      <c r="AL201" s="100" t="s">
        <v>43</v>
      </c>
      <c r="AM201" s="100" t="str">
        <f>IF(AL201&lt;&gt;"No Disp",AK201+12*AL201,"No Disp")</f>
        <v>No Disp</v>
      </c>
      <c r="AN201" s="100" t="s">
        <v>43</v>
      </c>
      <c r="AO201" s="100" t="s">
        <v>43</v>
      </c>
      <c r="AP201" s="100" t="str">
        <f>IF(AO201&lt;&gt;"No Disp",AN201+12*AO201,"No Disp")</f>
        <v>No Disp</v>
      </c>
      <c r="AQ201" s="100" t="s">
        <v>43</v>
      </c>
      <c r="AR201" s="100" t="s">
        <v>43</v>
      </c>
      <c r="AS201" s="100" t="str">
        <f>IF(AR201&lt;&gt;"No Disp",AQ201+12*AR201,"No Disp")</f>
        <v>No Disp</v>
      </c>
    </row>
    <row r="202" spans="1:45" s="101" customFormat="1" x14ac:dyDescent="0.25">
      <c r="A202" s="90" t="s">
        <v>38</v>
      </c>
      <c r="B202" s="90" t="s">
        <v>40</v>
      </c>
      <c r="C202" s="90" t="s">
        <v>39</v>
      </c>
      <c r="D202" s="90" t="s">
        <v>4537</v>
      </c>
      <c r="E202" s="90" t="s">
        <v>4542</v>
      </c>
      <c r="F202" s="91">
        <v>123</v>
      </c>
      <c r="G202" s="92">
        <v>70009777</v>
      </c>
      <c r="H202" s="91">
        <v>70009787</v>
      </c>
      <c r="I202" s="93" t="s">
        <v>87</v>
      </c>
      <c r="J202" s="94" t="s">
        <v>885</v>
      </c>
      <c r="K202" s="94" t="s">
        <v>890</v>
      </c>
      <c r="L202" s="94" t="s">
        <v>3665</v>
      </c>
      <c r="M202" s="95">
        <v>419900</v>
      </c>
      <c r="N202" s="95">
        <v>6000</v>
      </c>
      <c r="O202" s="95">
        <v>8500</v>
      </c>
      <c r="P202" s="96">
        <v>0</v>
      </c>
      <c r="Q202" s="152"/>
      <c r="R202" s="95">
        <v>419900</v>
      </c>
      <c r="S202" s="95">
        <f>R202/24</f>
        <v>17495.833333333332</v>
      </c>
      <c r="T202" s="95">
        <v>419900</v>
      </c>
      <c r="U202" s="95">
        <f>T202/24</f>
        <v>17495.833333333332</v>
      </c>
      <c r="V202" s="95">
        <v>419900</v>
      </c>
      <c r="W202" s="95">
        <f>V202/24</f>
        <v>17495.833333333332</v>
      </c>
      <c r="X202" s="128"/>
      <c r="Y202" s="95">
        <v>299900</v>
      </c>
      <c r="Z202" s="95">
        <v>16000</v>
      </c>
      <c r="AA202" s="95">
        <f>IFERROR(IF(D202="Premium",0.4*Y202,0),"No Disp")</f>
        <v>0</v>
      </c>
      <c r="AB202" s="95">
        <f>IFERROR(IF(4*Y202&gt;AC202,1.5*Y202,4*Y202),"No Disp")</f>
        <v>449850</v>
      </c>
      <c r="AC202" s="95">
        <f>IF(Z202="No Disp","No Disp",(Z202*18)+Y202)</f>
        <v>587900</v>
      </c>
      <c r="AD202" s="95">
        <f>18*Z202-100+Y202</f>
        <v>587800</v>
      </c>
      <c r="AE202" s="95">
        <v>49900</v>
      </c>
      <c r="AF202" s="95">
        <v>29500</v>
      </c>
      <c r="AG202" s="95">
        <f>IF(AF202="No Disp","No Disp",(AF202*18)+AE202)</f>
        <v>580900</v>
      </c>
      <c r="AH202" s="95">
        <f>18*AF202-100+AE202</f>
        <v>580800</v>
      </c>
      <c r="AI202" s="95" t="s">
        <v>4613</v>
      </c>
      <c r="AJ202" s="99"/>
      <c r="AK202" s="100" t="s">
        <v>43</v>
      </c>
      <c r="AL202" s="100" t="s">
        <v>43</v>
      </c>
      <c r="AM202" s="100" t="str">
        <f>IF(AL202&lt;&gt;"No Disp",AK202+12*AL202,"No Disp")</f>
        <v>No Disp</v>
      </c>
      <c r="AN202" s="100" t="s">
        <v>43</v>
      </c>
      <c r="AO202" s="100" t="s">
        <v>43</v>
      </c>
      <c r="AP202" s="100" t="str">
        <f>IF(AO202&lt;&gt;"No Disp",AN202+12*AO202,"No Disp")</f>
        <v>No Disp</v>
      </c>
      <c r="AQ202" s="100" t="s">
        <v>43</v>
      </c>
      <c r="AR202" s="100" t="s">
        <v>43</v>
      </c>
      <c r="AS202" s="100" t="str">
        <f>IF(AR202&lt;&gt;"No Disp",AQ202+12*AR202,"No Disp")</f>
        <v>No Disp</v>
      </c>
    </row>
    <row r="203" spans="1:45" s="101" customFormat="1" x14ac:dyDescent="0.25">
      <c r="A203" s="90" t="s">
        <v>38</v>
      </c>
      <c r="B203" s="90" t="s">
        <v>40</v>
      </c>
      <c r="C203" s="90" t="s">
        <v>39</v>
      </c>
      <c r="D203" s="90" t="s">
        <v>4537</v>
      </c>
      <c r="E203" s="90" t="s">
        <v>4542</v>
      </c>
      <c r="F203" s="91">
        <v>127</v>
      </c>
      <c r="G203" s="92">
        <v>70009788</v>
      </c>
      <c r="H203" s="91">
        <v>70009789</v>
      </c>
      <c r="I203" s="93" t="s">
        <v>87</v>
      </c>
      <c r="J203" s="94" t="s">
        <v>885</v>
      </c>
      <c r="K203" s="94" t="s">
        <v>886</v>
      </c>
      <c r="L203" s="94" t="s">
        <v>3666</v>
      </c>
      <c r="M203" s="95">
        <v>419900</v>
      </c>
      <c r="N203" s="95">
        <v>6000</v>
      </c>
      <c r="O203" s="95">
        <v>8500</v>
      </c>
      <c r="P203" s="96">
        <v>0</v>
      </c>
      <c r="Q203" s="152"/>
      <c r="R203" s="95">
        <v>419900</v>
      </c>
      <c r="S203" s="95">
        <f>R203/24</f>
        <v>17495.833333333332</v>
      </c>
      <c r="T203" s="95">
        <v>419900</v>
      </c>
      <c r="U203" s="95">
        <f>T203/24</f>
        <v>17495.833333333332</v>
      </c>
      <c r="V203" s="95">
        <v>419900</v>
      </c>
      <c r="W203" s="95">
        <f>V203/24</f>
        <v>17495.833333333332</v>
      </c>
      <c r="X203" s="128"/>
      <c r="Y203" s="95">
        <v>299900</v>
      </c>
      <c r="Z203" s="95">
        <v>16000</v>
      </c>
      <c r="AA203" s="95">
        <f>IFERROR(IF(D203="Premium",0.4*Y203,0),"No Disp")</f>
        <v>0</v>
      </c>
      <c r="AB203" s="95">
        <f>IFERROR(IF(4*Y203&gt;AC203,1.5*Y203,4*Y203),"No Disp")</f>
        <v>449850</v>
      </c>
      <c r="AC203" s="95">
        <f>IF(Z203="No Disp","No Disp",(Z203*18)+Y203)</f>
        <v>587900</v>
      </c>
      <c r="AD203" s="95">
        <f>18*Z203-100+Y203</f>
        <v>587800</v>
      </c>
      <c r="AE203" s="95">
        <v>49900</v>
      </c>
      <c r="AF203" s="95">
        <v>29500</v>
      </c>
      <c r="AG203" s="95">
        <f>IF(AF203="No Disp","No Disp",(AF203*18)+AE203)</f>
        <v>580900</v>
      </c>
      <c r="AH203" s="95">
        <f>18*AF203-100+AE203</f>
        <v>580800</v>
      </c>
      <c r="AI203" s="95" t="s">
        <v>4613</v>
      </c>
      <c r="AJ203" s="99"/>
      <c r="AK203" s="100" t="s">
        <v>43</v>
      </c>
      <c r="AL203" s="100" t="s">
        <v>43</v>
      </c>
      <c r="AM203" s="100" t="str">
        <f>IF(AL203&lt;&gt;"No Disp",AK203+12*AL203,"No Disp")</f>
        <v>No Disp</v>
      </c>
      <c r="AN203" s="100" t="s">
        <v>43</v>
      </c>
      <c r="AO203" s="100" t="s">
        <v>43</v>
      </c>
      <c r="AP203" s="100" t="str">
        <f>IF(AO203&lt;&gt;"No Disp",AN203+12*AO203,"No Disp")</f>
        <v>No Disp</v>
      </c>
      <c r="AQ203" s="100" t="s">
        <v>43</v>
      </c>
      <c r="AR203" s="100" t="s">
        <v>43</v>
      </c>
      <c r="AS203" s="100" t="str">
        <f>IF(AR203&lt;&gt;"No Disp",AQ203+12*AR203,"No Disp")</f>
        <v>No Disp</v>
      </c>
    </row>
    <row r="204" spans="1:45" s="101" customFormat="1" x14ac:dyDescent="0.25">
      <c r="A204" s="90" t="s">
        <v>38</v>
      </c>
      <c r="B204" s="90" t="s">
        <v>40</v>
      </c>
      <c r="C204" s="90" t="s">
        <v>39</v>
      </c>
      <c r="D204" s="90" t="s">
        <v>4537</v>
      </c>
      <c r="E204" s="90" t="s">
        <v>4542</v>
      </c>
      <c r="F204" s="91">
        <v>124</v>
      </c>
      <c r="G204" s="92">
        <v>70009780</v>
      </c>
      <c r="H204" s="91">
        <v>70009790</v>
      </c>
      <c r="I204" s="93" t="s">
        <v>87</v>
      </c>
      <c r="J204" s="94" t="s">
        <v>3616</v>
      </c>
      <c r="K204" s="94" t="s">
        <v>889</v>
      </c>
      <c r="L204" s="94" t="s">
        <v>3667</v>
      </c>
      <c r="M204" s="95">
        <v>169900</v>
      </c>
      <c r="N204" s="95">
        <v>2500</v>
      </c>
      <c r="O204" s="95">
        <v>4000</v>
      </c>
      <c r="P204" s="96">
        <v>0</v>
      </c>
      <c r="Q204" s="152"/>
      <c r="R204" s="95">
        <v>169900</v>
      </c>
      <c r="S204" s="95">
        <f>R204/24</f>
        <v>7079.166666666667</v>
      </c>
      <c r="T204" s="95">
        <v>169900</v>
      </c>
      <c r="U204" s="95">
        <f>T204/24</f>
        <v>7079.166666666667</v>
      </c>
      <c r="V204" s="95">
        <v>169900</v>
      </c>
      <c r="W204" s="95">
        <f>V204/24</f>
        <v>7079.166666666667</v>
      </c>
      <c r="X204" s="128"/>
      <c r="Y204" s="95">
        <v>599900</v>
      </c>
      <c r="Z204" s="95">
        <v>19000</v>
      </c>
      <c r="AA204" s="95">
        <f>IFERROR(IF(D204="Premium",0.4*Y204,0),"No Disp")</f>
        <v>0</v>
      </c>
      <c r="AB204" s="95">
        <f>IFERROR(IF(4*Y204&gt;AC204,1.5*Y204,4*Y204),"No Disp")</f>
        <v>899850</v>
      </c>
      <c r="AC204" s="95">
        <f>IF(Z204="No Disp","No Disp",(Z204*18)+Y204)</f>
        <v>941900</v>
      </c>
      <c r="AD204" s="95">
        <f>18*Z204-100+Y204</f>
        <v>941800</v>
      </c>
      <c r="AE204" s="95">
        <v>19900</v>
      </c>
      <c r="AF204" s="95">
        <v>12000</v>
      </c>
      <c r="AG204" s="95">
        <f>IF(AF204="No Disp","No Disp",(AF204*18)+AE204)</f>
        <v>235900</v>
      </c>
      <c r="AH204" s="95">
        <f>18*AF204-100+AE204</f>
        <v>235800</v>
      </c>
      <c r="AI204" s="95" t="s">
        <v>4613</v>
      </c>
      <c r="AJ204" s="99"/>
      <c r="AK204" s="100" t="s">
        <v>43</v>
      </c>
      <c r="AL204" s="100" t="s">
        <v>43</v>
      </c>
      <c r="AM204" s="100" t="str">
        <f>IF(AL204&lt;&gt;"No Disp",AK204+12*AL204,"No Disp")</f>
        <v>No Disp</v>
      </c>
      <c r="AN204" s="100" t="s">
        <v>43</v>
      </c>
      <c r="AO204" s="100" t="s">
        <v>43</v>
      </c>
      <c r="AP204" s="100" t="str">
        <f>IF(AO204&lt;&gt;"No Disp",AN204+12*AO204,"No Disp")</f>
        <v>No Disp</v>
      </c>
      <c r="AQ204" s="100" t="s">
        <v>43</v>
      </c>
      <c r="AR204" s="100" t="s">
        <v>43</v>
      </c>
      <c r="AS204" s="100" t="str">
        <f>IF(AR204&lt;&gt;"No Disp",AQ204+12*AR204,"No Disp")</f>
        <v>No Disp</v>
      </c>
    </row>
    <row r="205" spans="1:45" s="101" customFormat="1" x14ac:dyDescent="0.25">
      <c r="A205" s="90" t="s">
        <v>102</v>
      </c>
      <c r="B205" s="90" t="s">
        <v>39</v>
      </c>
      <c r="C205" s="90" t="s">
        <v>39</v>
      </c>
      <c r="D205" s="90" t="s">
        <v>4541</v>
      </c>
      <c r="E205" s="90" t="s">
        <v>4542</v>
      </c>
      <c r="F205" s="91">
        <v>128</v>
      </c>
      <c r="G205" s="92">
        <v>70009804</v>
      </c>
      <c r="H205" s="91">
        <v>70009805</v>
      </c>
      <c r="I205" s="93" t="s">
        <v>46</v>
      </c>
      <c r="J205" s="94" t="s">
        <v>3668</v>
      </c>
      <c r="K205" s="94" t="s">
        <v>884</v>
      </c>
      <c r="L205" s="94" t="s">
        <v>3669</v>
      </c>
      <c r="M205" s="95">
        <v>34900</v>
      </c>
      <c r="N205" s="95">
        <v>2500</v>
      </c>
      <c r="O205" s="95">
        <v>4000</v>
      </c>
      <c r="P205" s="96">
        <v>0</v>
      </c>
      <c r="Q205" s="152"/>
      <c r="R205" s="95">
        <v>34900</v>
      </c>
      <c r="S205" s="95">
        <f>R205/24</f>
        <v>1454.1666666666667</v>
      </c>
      <c r="T205" s="95">
        <v>34900</v>
      </c>
      <c r="U205" s="95">
        <f>T205/24</f>
        <v>1454.1666666666667</v>
      </c>
      <c r="V205" s="95">
        <v>34900</v>
      </c>
      <c r="W205" s="95">
        <f>V205/24</f>
        <v>1454.1666666666667</v>
      </c>
      <c r="X205" s="128"/>
      <c r="Y205" s="95">
        <v>54900</v>
      </c>
      <c r="Z205" s="95">
        <v>7000</v>
      </c>
      <c r="AA205" s="95">
        <f>IFERROR(IF(D205="Premium",0.4*Y205,0),"No Disp")</f>
        <v>0</v>
      </c>
      <c r="AB205" s="95">
        <f>IFERROR(IF(4*Y205&gt;AC205,1.5*Y205,4*Y205),"No Disp")</f>
        <v>82350</v>
      </c>
      <c r="AC205" s="95">
        <f>IF(Z205="No Disp","No Disp",(Z205*18)+Y205)</f>
        <v>180900</v>
      </c>
      <c r="AD205" s="95">
        <f>18*Z205-100+Y205</f>
        <v>180800</v>
      </c>
      <c r="AE205" s="95">
        <v>19900</v>
      </c>
      <c r="AF205" s="95">
        <v>2000</v>
      </c>
      <c r="AG205" s="95">
        <f>IF(AF205="No Disp","No Disp",(AF205*18)+AE205)</f>
        <v>55900</v>
      </c>
      <c r="AH205" s="95">
        <f>18*AF205-100+AE205</f>
        <v>55800</v>
      </c>
      <c r="AI205" s="95" t="s">
        <v>4613</v>
      </c>
      <c r="AJ205" s="99"/>
      <c r="AK205" s="100" t="s">
        <v>43</v>
      </c>
      <c r="AL205" s="100" t="s">
        <v>43</v>
      </c>
      <c r="AM205" s="100" t="str">
        <f>IF(AL205&lt;&gt;"No Disp",AK205+12*AL205,"No Disp")</f>
        <v>No Disp</v>
      </c>
      <c r="AN205" s="100" t="s">
        <v>43</v>
      </c>
      <c r="AO205" s="100" t="s">
        <v>43</v>
      </c>
      <c r="AP205" s="100" t="str">
        <f>IF(AO205&lt;&gt;"No Disp",AN205+12*AO205,"No Disp")</f>
        <v>No Disp</v>
      </c>
      <c r="AQ205" s="100" t="s">
        <v>43</v>
      </c>
      <c r="AR205" s="100" t="s">
        <v>43</v>
      </c>
      <c r="AS205" s="100" t="str">
        <f>IF(AR205&lt;&gt;"No Disp",AQ205+12*AR205,"No Disp")</f>
        <v>No Disp</v>
      </c>
    </row>
    <row r="206" spans="1:45" s="101" customFormat="1" x14ac:dyDescent="0.25">
      <c r="A206" s="90" t="s">
        <v>38</v>
      </c>
      <c r="B206" s="90" t="s">
        <v>39</v>
      </c>
      <c r="C206" s="90" t="s">
        <v>39</v>
      </c>
      <c r="D206" s="90" t="s">
        <v>4539</v>
      </c>
      <c r="E206" s="90" t="s">
        <v>4542</v>
      </c>
      <c r="F206" s="91">
        <v>129</v>
      </c>
      <c r="G206" s="92">
        <v>70009807</v>
      </c>
      <c r="H206" s="91">
        <v>70009828</v>
      </c>
      <c r="I206" s="93" t="s">
        <v>46</v>
      </c>
      <c r="J206" s="94" t="s">
        <v>3670</v>
      </c>
      <c r="K206" s="94" t="s">
        <v>3671</v>
      </c>
      <c r="L206" s="94" t="s">
        <v>3672</v>
      </c>
      <c r="M206" s="95">
        <v>49900</v>
      </c>
      <c r="N206" s="95">
        <v>2500</v>
      </c>
      <c r="O206" s="95">
        <v>4000</v>
      </c>
      <c r="P206" s="96">
        <v>0</v>
      </c>
      <c r="Q206" s="152"/>
      <c r="R206" s="95">
        <v>49900</v>
      </c>
      <c r="S206" s="95">
        <f>R206/24</f>
        <v>2079.1666666666665</v>
      </c>
      <c r="T206" s="95">
        <v>49900</v>
      </c>
      <c r="U206" s="95">
        <f>T206/24</f>
        <v>2079.1666666666665</v>
      </c>
      <c r="V206" s="95">
        <v>49900</v>
      </c>
      <c r="W206" s="95">
        <f>V206/24</f>
        <v>2079.1666666666665</v>
      </c>
      <c r="X206" s="128"/>
      <c r="Y206" s="95">
        <v>69900</v>
      </c>
      <c r="Z206" s="95">
        <v>10000</v>
      </c>
      <c r="AA206" s="95">
        <f>IFERROR(IF(D206="Premium",0.4*Y206,0),"No Disp")</f>
        <v>0</v>
      </c>
      <c r="AB206" s="95">
        <f>IFERROR(IF(4*Y206&gt;AC206,1.5*Y206,4*Y206),"No Disp")</f>
        <v>104850</v>
      </c>
      <c r="AC206" s="95">
        <f>IF(Z206="No Disp","No Disp",(Z206*18)+Y206)</f>
        <v>249900</v>
      </c>
      <c r="AD206" s="95">
        <f>18*Z206-100+Y206</f>
        <v>249800</v>
      </c>
      <c r="AE206" s="95">
        <v>19900</v>
      </c>
      <c r="AF206" s="95">
        <v>2500</v>
      </c>
      <c r="AG206" s="95">
        <f>IF(AF206="No Disp","No Disp",(AF206*18)+AE206)</f>
        <v>64900</v>
      </c>
      <c r="AH206" s="95">
        <f>18*AF206-100+AE206</f>
        <v>64800</v>
      </c>
      <c r="AI206" s="95" t="s">
        <v>4613</v>
      </c>
      <c r="AJ206" s="99"/>
      <c r="AK206" s="100" t="s">
        <v>43</v>
      </c>
      <c r="AL206" s="100" t="s">
        <v>43</v>
      </c>
      <c r="AM206" s="100" t="str">
        <f>IF(AL206&lt;&gt;"No Disp",AK206+12*AL206,"No Disp")</f>
        <v>No Disp</v>
      </c>
      <c r="AN206" s="100" t="s">
        <v>43</v>
      </c>
      <c r="AO206" s="100" t="s">
        <v>43</v>
      </c>
      <c r="AP206" s="100" t="str">
        <f>IF(AO206&lt;&gt;"No Disp",AN206+12*AO206,"No Disp")</f>
        <v>No Disp</v>
      </c>
      <c r="AQ206" s="100" t="s">
        <v>43</v>
      </c>
      <c r="AR206" s="100" t="s">
        <v>43</v>
      </c>
      <c r="AS206" s="100" t="str">
        <f>IF(AR206&lt;&gt;"No Disp",AQ206+12*AR206,"No Disp")</f>
        <v>No Disp</v>
      </c>
    </row>
    <row r="207" spans="1:45" s="101" customFormat="1" x14ac:dyDescent="0.25">
      <c r="A207" s="90" t="s">
        <v>38</v>
      </c>
      <c r="B207" s="90" t="s">
        <v>39</v>
      </c>
      <c r="C207" s="90" t="s">
        <v>39</v>
      </c>
      <c r="D207" s="90" t="s">
        <v>4539</v>
      </c>
      <c r="E207" s="90" t="s">
        <v>4542</v>
      </c>
      <c r="F207" s="91">
        <v>131</v>
      </c>
      <c r="G207" s="92">
        <v>70009830</v>
      </c>
      <c r="H207" s="91">
        <v>70009831</v>
      </c>
      <c r="I207" s="93" t="s">
        <v>46</v>
      </c>
      <c r="J207" s="94" t="s">
        <v>3673</v>
      </c>
      <c r="K207" s="94" t="s">
        <v>882</v>
      </c>
      <c r="L207" s="94" t="s">
        <v>3674</v>
      </c>
      <c r="M207" s="95">
        <v>289900</v>
      </c>
      <c r="N207" s="95">
        <v>4000</v>
      </c>
      <c r="O207" s="95">
        <v>6000</v>
      </c>
      <c r="P207" s="96">
        <v>0</v>
      </c>
      <c r="Q207" s="152"/>
      <c r="R207" s="95">
        <v>289900</v>
      </c>
      <c r="S207" s="95">
        <f>R207/24</f>
        <v>12079.166666666666</v>
      </c>
      <c r="T207" s="95">
        <v>289900</v>
      </c>
      <c r="U207" s="95">
        <f>T207/24</f>
        <v>12079.166666666666</v>
      </c>
      <c r="V207" s="95">
        <v>289900</v>
      </c>
      <c r="W207" s="95">
        <f>V207/24</f>
        <v>12079.166666666666</v>
      </c>
      <c r="X207" s="128"/>
      <c r="Y207" s="95">
        <v>124900</v>
      </c>
      <c r="Z207" s="95">
        <v>11000</v>
      </c>
      <c r="AA207" s="95">
        <f>IFERROR(IF(D207="Premium",0.4*Y207,0),"No Disp")</f>
        <v>0</v>
      </c>
      <c r="AB207" s="95">
        <f>IFERROR(IF(4*Y207&gt;AC207,1.5*Y207,4*Y207),"No Disp")</f>
        <v>187350</v>
      </c>
      <c r="AC207" s="95">
        <f>IF(Z207="No Disp","No Disp",(Z207*18)+Y207)</f>
        <v>322900</v>
      </c>
      <c r="AD207" s="95">
        <f>18*Z207-100+Y207</f>
        <v>322800</v>
      </c>
      <c r="AE207" s="95">
        <v>0</v>
      </c>
      <c r="AF207" s="95">
        <v>16000</v>
      </c>
      <c r="AG207" s="95">
        <f>IF(AF207="No Disp","No Disp",(AF207*18)+AE207)</f>
        <v>288000</v>
      </c>
      <c r="AH207" s="95">
        <f>18*AF207-100+AE207</f>
        <v>287900</v>
      </c>
      <c r="AI207" s="95" t="s">
        <v>4613</v>
      </c>
      <c r="AJ207" s="99"/>
      <c r="AK207" s="100" t="s">
        <v>43</v>
      </c>
      <c r="AL207" s="100" t="s">
        <v>43</v>
      </c>
      <c r="AM207" s="100" t="str">
        <f>IF(AL207&lt;&gt;"No Disp",AK207+12*AL207,"No Disp")</f>
        <v>No Disp</v>
      </c>
      <c r="AN207" s="100" t="s">
        <v>43</v>
      </c>
      <c r="AO207" s="100" t="s">
        <v>43</v>
      </c>
      <c r="AP207" s="100" t="str">
        <f>IF(AO207&lt;&gt;"No Disp",AN207+12*AO207,"No Disp")</f>
        <v>No Disp</v>
      </c>
      <c r="AQ207" s="100" t="s">
        <v>43</v>
      </c>
      <c r="AR207" s="100" t="s">
        <v>43</v>
      </c>
      <c r="AS207" s="100" t="str">
        <f>IF(AR207&lt;&gt;"No Disp",AQ207+12*AR207,"No Disp")</f>
        <v>No Disp</v>
      </c>
    </row>
    <row r="208" spans="1:45" s="101" customFormat="1" x14ac:dyDescent="0.25">
      <c r="A208" s="90" t="s">
        <v>38</v>
      </c>
      <c r="B208" s="90" t="s">
        <v>39</v>
      </c>
      <c r="C208" s="90" t="s">
        <v>40</v>
      </c>
      <c r="D208" s="90" t="s">
        <v>4539</v>
      </c>
      <c r="E208" s="90" t="s">
        <v>4542</v>
      </c>
      <c r="F208" s="91">
        <v>130</v>
      </c>
      <c r="G208" s="92">
        <v>70009827</v>
      </c>
      <c r="H208" s="91">
        <v>70009838</v>
      </c>
      <c r="I208" s="93" t="s">
        <v>131</v>
      </c>
      <c r="J208" s="94" t="s">
        <v>3675</v>
      </c>
      <c r="K208" s="94" t="s">
        <v>883</v>
      </c>
      <c r="L208" s="94" t="s">
        <v>3676</v>
      </c>
      <c r="M208" s="95">
        <v>69900</v>
      </c>
      <c r="N208" s="95">
        <v>2500</v>
      </c>
      <c r="O208" s="95">
        <v>4000</v>
      </c>
      <c r="P208" s="96">
        <v>0</v>
      </c>
      <c r="Q208" s="152"/>
      <c r="R208" s="95">
        <v>69900</v>
      </c>
      <c r="S208" s="95">
        <f>R208/24</f>
        <v>2912.5</v>
      </c>
      <c r="T208" s="95">
        <v>69900</v>
      </c>
      <c r="U208" s="95">
        <f>T208/24</f>
        <v>2912.5</v>
      </c>
      <c r="V208" s="95">
        <v>69900</v>
      </c>
      <c r="W208" s="95">
        <f>V208/24</f>
        <v>2912.5</v>
      </c>
      <c r="X208" s="128"/>
      <c r="Y208" s="95">
        <v>119900</v>
      </c>
      <c r="Z208" s="95">
        <v>12500</v>
      </c>
      <c r="AA208" s="95">
        <f>IFERROR(IF(D208="Premium",0.4*Y208,0),"No Disp")</f>
        <v>0</v>
      </c>
      <c r="AB208" s="95">
        <f>IFERROR(IF(4*Y208&gt;AC208,1.5*Y208,4*Y208),"No Disp")</f>
        <v>179850</v>
      </c>
      <c r="AC208" s="95">
        <f>IF(Z208="No Disp","No Disp",(Z208*18)+Y208)</f>
        <v>344900</v>
      </c>
      <c r="AD208" s="95">
        <f>18*Z208-100+Y208</f>
        <v>344800</v>
      </c>
      <c r="AE208" s="95">
        <v>19900</v>
      </c>
      <c r="AF208" s="95">
        <v>4000</v>
      </c>
      <c r="AG208" s="95">
        <f>IF(AF208="No Disp","No Disp",(AF208*18)+AE208)</f>
        <v>91900</v>
      </c>
      <c r="AH208" s="95">
        <f>18*AF208-100+AE208</f>
        <v>91800</v>
      </c>
      <c r="AI208" s="95" t="s">
        <v>4613</v>
      </c>
      <c r="AJ208" s="99"/>
      <c r="AK208" s="100" t="s">
        <v>43</v>
      </c>
      <c r="AL208" s="100" t="s">
        <v>43</v>
      </c>
      <c r="AM208" s="100" t="str">
        <f>IF(AL208&lt;&gt;"No Disp",AK208+12*AL208,"No Disp")</f>
        <v>No Disp</v>
      </c>
      <c r="AN208" s="100" t="s">
        <v>43</v>
      </c>
      <c r="AO208" s="100" t="s">
        <v>43</v>
      </c>
      <c r="AP208" s="100" t="str">
        <f>IF(AO208&lt;&gt;"No Disp",AN208+12*AO208,"No Disp")</f>
        <v>No Disp</v>
      </c>
      <c r="AQ208" s="100" t="s">
        <v>43</v>
      </c>
      <c r="AR208" s="100" t="s">
        <v>43</v>
      </c>
      <c r="AS208" s="100" t="str">
        <f>IF(AR208&lt;&gt;"No Disp",AQ208+12*AR208,"No Disp")</f>
        <v>No Disp</v>
      </c>
    </row>
    <row r="209" spans="1:45" s="101" customFormat="1" x14ac:dyDescent="0.25">
      <c r="A209" s="90" t="s">
        <v>38</v>
      </c>
      <c r="B209" s="90" t="s">
        <v>40</v>
      </c>
      <c r="C209" s="90" t="s">
        <v>40</v>
      </c>
      <c r="D209" s="90" t="s">
        <v>4537</v>
      </c>
      <c r="E209" s="90" t="s">
        <v>4542</v>
      </c>
      <c r="F209" s="91">
        <v>132</v>
      </c>
      <c r="G209" s="92">
        <v>70009845</v>
      </c>
      <c r="H209" s="91">
        <v>70009846</v>
      </c>
      <c r="I209" s="93" t="s">
        <v>131</v>
      </c>
      <c r="J209" s="94" t="s">
        <v>3677</v>
      </c>
      <c r="K209" s="94" t="s">
        <v>3678</v>
      </c>
      <c r="L209" s="94" t="s">
        <v>3679</v>
      </c>
      <c r="M209" s="95">
        <v>539900</v>
      </c>
      <c r="N209" s="95">
        <v>6000</v>
      </c>
      <c r="O209" s="95">
        <v>8500</v>
      </c>
      <c r="P209" s="96">
        <v>0</v>
      </c>
      <c r="Q209" s="152"/>
      <c r="R209" s="95">
        <v>539900</v>
      </c>
      <c r="S209" s="95">
        <f>R209/24</f>
        <v>22495.833333333332</v>
      </c>
      <c r="T209" s="95">
        <v>539900</v>
      </c>
      <c r="U209" s="95">
        <f>T209/24</f>
        <v>22495.833333333332</v>
      </c>
      <c r="V209" s="95">
        <v>539900</v>
      </c>
      <c r="W209" s="95">
        <f>V209/24</f>
        <v>22495.833333333332</v>
      </c>
      <c r="X209" s="128"/>
      <c r="Y209" s="95">
        <v>439900</v>
      </c>
      <c r="Z209" s="95">
        <v>16500</v>
      </c>
      <c r="AA209" s="95">
        <f>IFERROR(IF(D209="Premium",0.4*Y209,0),"No Disp")</f>
        <v>0</v>
      </c>
      <c r="AB209" s="95">
        <f>IFERROR(IF(4*Y209&gt;AC209,1.5*Y209,4*Y209),"No Disp")</f>
        <v>659850</v>
      </c>
      <c r="AC209" s="95">
        <f>IF(Z209="No Disp","No Disp",(Z209*18)+Y209)</f>
        <v>736900</v>
      </c>
      <c r="AD209" s="95">
        <f>18*Z209-100+Y209</f>
        <v>736800</v>
      </c>
      <c r="AE209" s="95">
        <v>49900</v>
      </c>
      <c r="AF209" s="95">
        <v>38000</v>
      </c>
      <c r="AG209" s="95">
        <f>IF(AF209="No Disp","No Disp",(AF209*18)+AE209)</f>
        <v>733900</v>
      </c>
      <c r="AH209" s="95">
        <f>18*AF209-100+AE209</f>
        <v>733800</v>
      </c>
      <c r="AI209" s="95" t="s">
        <v>4613</v>
      </c>
      <c r="AJ209" s="99"/>
      <c r="AK209" s="100" t="s">
        <v>43</v>
      </c>
      <c r="AL209" s="100" t="s">
        <v>43</v>
      </c>
      <c r="AM209" s="100" t="str">
        <f>IF(AL209&lt;&gt;"No Disp",AK209+12*AL209,"No Disp")</f>
        <v>No Disp</v>
      </c>
      <c r="AN209" s="100" t="s">
        <v>43</v>
      </c>
      <c r="AO209" s="100" t="s">
        <v>43</v>
      </c>
      <c r="AP209" s="100" t="str">
        <f>IF(AO209&lt;&gt;"No Disp",AN209+12*AO209,"No Disp")</f>
        <v>No Disp</v>
      </c>
      <c r="AQ209" s="100" t="s">
        <v>43</v>
      </c>
      <c r="AR209" s="100" t="s">
        <v>43</v>
      </c>
      <c r="AS209" s="100" t="str">
        <f>IF(AR209&lt;&gt;"No Disp",AQ209+12*AR209,"No Disp")</f>
        <v>No Disp</v>
      </c>
    </row>
    <row r="210" spans="1:45" s="101" customFormat="1" x14ac:dyDescent="0.25">
      <c r="A210" s="90" t="s">
        <v>102</v>
      </c>
      <c r="B210" s="90" t="s">
        <v>39</v>
      </c>
      <c r="C210" s="90" t="s">
        <v>40</v>
      </c>
      <c r="D210" s="90" t="s">
        <v>4539</v>
      </c>
      <c r="E210" s="90" t="s">
        <v>4542</v>
      </c>
      <c r="F210" s="91">
        <v>134</v>
      </c>
      <c r="G210" s="92">
        <v>70009880</v>
      </c>
      <c r="H210" s="91">
        <v>70009881</v>
      </c>
      <c r="I210" s="93" t="s">
        <v>87</v>
      </c>
      <c r="J210" s="94" t="s">
        <v>3680</v>
      </c>
      <c r="K210" s="94" t="s">
        <v>880</v>
      </c>
      <c r="L210" s="94" t="s">
        <v>3681</v>
      </c>
      <c r="M210" s="95">
        <v>59900</v>
      </c>
      <c r="N210" s="95">
        <v>2500</v>
      </c>
      <c r="O210" s="95">
        <v>4000</v>
      </c>
      <c r="P210" s="96">
        <v>0</v>
      </c>
      <c r="Q210" s="152"/>
      <c r="R210" s="95">
        <v>59900</v>
      </c>
      <c r="S210" s="95">
        <f>R210/24</f>
        <v>2495.8333333333335</v>
      </c>
      <c r="T210" s="95">
        <v>59900</v>
      </c>
      <c r="U210" s="95">
        <f>T210/24</f>
        <v>2495.8333333333335</v>
      </c>
      <c r="V210" s="95">
        <v>59900</v>
      </c>
      <c r="W210" s="95">
        <f>V210/24</f>
        <v>2495.8333333333335</v>
      </c>
      <c r="X210" s="128"/>
      <c r="Y210" s="95">
        <v>99900</v>
      </c>
      <c r="Z210" s="95">
        <v>14000</v>
      </c>
      <c r="AA210" s="95">
        <f>IFERROR(IF(D210="Premium",0.4*Y210,0),"No Disp")</f>
        <v>0</v>
      </c>
      <c r="AB210" s="95">
        <f>IFERROR(IF(4*Y210&gt;AC210,1.5*Y210,4*Y210),"No Disp")</f>
        <v>149850</v>
      </c>
      <c r="AC210" s="95">
        <f>IF(Z210="No Disp","No Disp",(Z210*18)+Y210)</f>
        <v>351900</v>
      </c>
      <c r="AD210" s="95">
        <f>18*Z210-100+Y210</f>
        <v>351800</v>
      </c>
      <c r="AE210" s="95">
        <v>19900</v>
      </c>
      <c r="AF210" s="95">
        <v>3500</v>
      </c>
      <c r="AG210" s="95">
        <f>IF(AF210="No Disp","No Disp",(AF210*18)+AE210)</f>
        <v>82900</v>
      </c>
      <c r="AH210" s="95">
        <f>18*AF210-100+AE210</f>
        <v>82800</v>
      </c>
      <c r="AI210" s="95" t="s">
        <v>4613</v>
      </c>
      <c r="AJ210" s="99"/>
      <c r="AK210" s="100" t="s">
        <v>43</v>
      </c>
      <c r="AL210" s="100" t="s">
        <v>43</v>
      </c>
      <c r="AM210" s="100" t="str">
        <f>IF(AL210&lt;&gt;"No Disp",AK210+12*AL210,"No Disp")</f>
        <v>No Disp</v>
      </c>
      <c r="AN210" s="100" t="s">
        <v>43</v>
      </c>
      <c r="AO210" s="100" t="s">
        <v>43</v>
      </c>
      <c r="AP210" s="100" t="str">
        <f>IF(AO210&lt;&gt;"No Disp",AN210+12*AO210,"No Disp")</f>
        <v>No Disp</v>
      </c>
      <c r="AQ210" s="100" t="s">
        <v>43</v>
      </c>
      <c r="AR210" s="100" t="s">
        <v>43</v>
      </c>
      <c r="AS210" s="100" t="str">
        <f>IF(AR210&lt;&gt;"No Disp",AQ210+12*AR210,"No Disp")</f>
        <v>No Disp</v>
      </c>
    </row>
    <row r="211" spans="1:45" s="101" customFormat="1" x14ac:dyDescent="0.25">
      <c r="A211" s="90" t="s">
        <v>102</v>
      </c>
      <c r="B211" s="90" t="s">
        <v>39</v>
      </c>
      <c r="C211" s="90" t="s">
        <v>40</v>
      </c>
      <c r="D211" s="90" t="s">
        <v>4539</v>
      </c>
      <c r="E211" s="90" t="s">
        <v>4542</v>
      </c>
      <c r="F211" s="91">
        <v>135</v>
      </c>
      <c r="G211" s="92">
        <v>70009895</v>
      </c>
      <c r="H211" s="91">
        <v>70009896</v>
      </c>
      <c r="I211" s="93" t="s">
        <v>87</v>
      </c>
      <c r="J211" s="94" t="s">
        <v>3680</v>
      </c>
      <c r="K211" s="94" t="s">
        <v>3682</v>
      </c>
      <c r="L211" s="94" t="s">
        <v>3683</v>
      </c>
      <c r="M211" s="95">
        <v>59900</v>
      </c>
      <c r="N211" s="95">
        <v>2500</v>
      </c>
      <c r="O211" s="95">
        <v>4000</v>
      </c>
      <c r="P211" s="96">
        <v>0</v>
      </c>
      <c r="Q211" s="152"/>
      <c r="R211" s="95">
        <v>59900</v>
      </c>
      <c r="S211" s="95">
        <f>R211/24</f>
        <v>2495.8333333333335</v>
      </c>
      <c r="T211" s="95">
        <v>59900</v>
      </c>
      <c r="U211" s="95">
        <f>T211/24</f>
        <v>2495.8333333333335</v>
      </c>
      <c r="V211" s="95">
        <v>59900</v>
      </c>
      <c r="W211" s="95">
        <f>V211/24</f>
        <v>2495.8333333333335</v>
      </c>
      <c r="X211" s="128"/>
      <c r="Y211" s="95">
        <v>99900</v>
      </c>
      <c r="Z211" s="95">
        <v>14000</v>
      </c>
      <c r="AA211" s="95">
        <f>IFERROR(IF(D211="Premium",0.4*Y211,0),"No Disp")</f>
        <v>0</v>
      </c>
      <c r="AB211" s="95">
        <f>IFERROR(IF(4*Y211&gt;AC211,1.5*Y211,4*Y211),"No Disp")</f>
        <v>149850</v>
      </c>
      <c r="AC211" s="95">
        <f>IF(Z211="No Disp","No Disp",(Z211*18)+Y211)</f>
        <v>351900</v>
      </c>
      <c r="AD211" s="95">
        <f>18*Z211-100+Y211</f>
        <v>351800</v>
      </c>
      <c r="AE211" s="95">
        <v>19900</v>
      </c>
      <c r="AF211" s="95">
        <v>3500</v>
      </c>
      <c r="AG211" s="95">
        <f>IF(AF211="No Disp","No Disp",(AF211*18)+AE211)</f>
        <v>82900</v>
      </c>
      <c r="AH211" s="95">
        <f>18*AF211-100+AE211</f>
        <v>82800</v>
      </c>
      <c r="AI211" s="95" t="s">
        <v>4613</v>
      </c>
      <c r="AJ211" s="99"/>
      <c r="AK211" s="100" t="s">
        <v>43</v>
      </c>
      <c r="AL211" s="100" t="s">
        <v>43</v>
      </c>
      <c r="AM211" s="100" t="str">
        <f>IF(AL211&lt;&gt;"No Disp",AK211+12*AL211,"No Disp")</f>
        <v>No Disp</v>
      </c>
      <c r="AN211" s="100" t="s">
        <v>43</v>
      </c>
      <c r="AO211" s="100" t="s">
        <v>43</v>
      </c>
      <c r="AP211" s="100" t="str">
        <f>IF(AO211&lt;&gt;"No Disp",AN211+12*AO211,"No Disp")</f>
        <v>No Disp</v>
      </c>
      <c r="AQ211" s="100" t="s">
        <v>43</v>
      </c>
      <c r="AR211" s="100" t="s">
        <v>43</v>
      </c>
      <c r="AS211" s="100" t="str">
        <f>IF(AR211&lt;&gt;"No Disp",AQ211+12*AR211,"No Disp")</f>
        <v>No Disp</v>
      </c>
    </row>
    <row r="212" spans="1:45" s="101" customFormat="1" x14ac:dyDescent="0.25">
      <c r="A212" s="90" t="s">
        <v>102</v>
      </c>
      <c r="B212" s="90" t="s">
        <v>39</v>
      </c>
      <c r="C212" s="90" t="s">
        <v>40</v>
      </c>
      <c r="D212" s="90" t="s">
        <v>4539</v>
      </c>
      <c r="E212" s="90" t="s">
        <v>4542</v>
      </c>
      <c r="F212" s="91">
        <v>136</v>
      </c>
      <c r="G212" s="92">
        <v>70009898</v>
      </c>
      <c r="H212" s="91">
        <v>70009899</v>
      </c>
      <c r="I212" s="93" t="s">
        <v>87</v>
      </c>
      <c r="J212" s="94" t="s">
        <v>3680</v>
      </c>
      <c r="K212" s="94" t="s">
        <v>879</v>
      </c>
      <c r="L212" s="94" t="s">
        <v>3684</v>
      </c>
      <c r="M212" s="95">
        <v>59900</v>
      </c>
      <c r="N212" s="95">
        <v>2500</v>
      </c>
      <c r="O212" s="95">
        <v>4000</v>
      </c>
      <c r="P212" s="96">
        <v>0</v>
      </c>
      <c r="Q212" s="152"/>
      <c r="R212" s="95">
        <v>59900</v>
      </c>
      <c r="S212" s="95">
        <f>R212/24</f>
        <v>2495.8333333333335</v>
      </c>
      <c r="T212" s="95">
        <v>59900</v>
      </c>
      <c r="U212" s="95">
        <f>T212/24</f>
        <v>2495.8333333333335</v>
      </c>
      <c r="V212" s="95">
        <v>59900</v>
      </c>
      <c r="W212" s="95">
        <f>V212/24</f>
        <v>2495.8333333333335</v>
      </c>
      <c r="X212" s="128"/>
      <c r="Y212" s="95">
        <v>99900</v>
      </c>
      <c r="Z212" s="95">
        <v>14000</v>
      </c>
      <c r="AA212" s="95">
        <f>IFERROR(IF(D212="Premium",0.4*Y212,0),"No Disp")</f>
        <v>0</v>
      </c>
      <c r="AB212" s="95">
        <f>IFERROR(IF(4*Y212&gt;AC212,1.5*Y212,4*Y212),"No Disp")</f>
        <v>149850</v>
      </c>
      <c r="AC212" s="95">
        <f>IF(Z212="No Disp","No Disp",(Z212*18)+Y212)</f>
        <v>351900</v>
      </c>
      <c r="AD212" s="95">
        <f>18*Z212-100+Y212</f>
        <v>351800</v>
      </c>
      <c r="AE212" s="95">
        <v>19900</v>
      </c>
      <c r="AF212" s="95">
        <v>3500</v>
      </c>
      <c r="AG212" s="95">
        <f>IF(AF212="No Disp","No Disp",(AF212*18)+AE212)</f>
        <v>82900</v>
      </c>
      <c r="AH212" s="95">
        <f>18*AF212-100+AE212</f>
        <v>82800</v>
      </c>
      <c r="AI212" s="95" t="s">
        <v>4613</v>
      </c>
      <c r="AJ212" s="99"/>
      <c r="AK212" s="100" t="s">
        <v>43</v>
      </c>
      <c r="AL212" s="100" t="s">
        <v>43</v>
      </c>
      <c r="AM212" s="100" t="str">
        <f>IF(AL212&lt;&gt;"No Disp",AK212+12*AL212,"No Disp")</f>
        <v>No Disp</v>
      </c>
      <c r="AN212" s="100" t="s">
        <v>43</v>
      </c>
      <c r="AO212" s="100" t="s">
        <v>43</v>
      </c>
      <c r="AP212" s="100" t="str">
        <f>IF(AO212&lt;&gt;"No Disp",AN212+12*AO212,"No Disp")</f>
        <v>No Disp</v>
      </c>
      <c r="AQ212" s="100" t="s">
        <v>43</v>
      </c>
      <c r="AR212" s="100" t="s">
        <v>43</v>
      </c>
      <c r="AS212" s="100" t="str">
        <f>IF(AR212&lt;&gt;"No Disp",AQ212+12*AR212,"No Disp")</f>
        <v>No Disp</v>
      </c>
    </row>
    <row r="213" spans="1:45" s="101" customFormat="1" x14ac:dyDescent="0.25">
      <c r="A213" s="90" t="s">
        <v>102</v>
      </c>
      <c r="B213" s="90" t="s">
        <v>39</v>
      </c>
      <c r="C213" s="90" t="s">
        <v>39</v>
      </c>
      <c r="D213" s="90" t="s">
        <v>4541</v>
      </c>
      <c r="E213" s="90" t="s">
        <v>4542</v>
      </c>
      <c r="F213" s="91">
        <v>133</v>
      </c>
      <c r="G213" s="92">
        <v>70009877</v>
      </c>
      <c r="H213" s="91">
        <v>70009908</v>
      </c>
      <c r="I213" s="93" t="s">
        <v>46</v>
      </c>
      <c r="J213" s="94" t="s">
        <v>3685</v>
      </c>
      <c r="K213" s="94" t="s">
        <v>881</v>
      </c>
      <c r="L213" s="94" t="s">
        <v>3686</v>
      </c>
      <c r="M213" s="95">
        <v>99900</v>
      </c>
      <c r="N213" s="95">
        <v>2500</v>
      </c>
      <c r="O213" s="95">
        <v>4000</v>
      </c>
      <c r="P213" s="96">
        <v>0</v>
      </c>
      <c r="Q213" s="152"/>
      <c r="R213" s="95">
        <v>99900</v>
      </c>
      <c r="S213" s="95">
        <f>R213/24</f>
        <v>4162.5</v>
      </c>
      <c r="T213" s="95">
        <v>99900</v>
      </c>
      <c r="U213" s="95">
        <f>T213/24</f>
        <v>4162.5</v>
      </c>
      <c r="V213" s="95">
        <v>99900</v>
      </c>
      <c r="W213" s="95">
        <f>V213/24</f>
        <v>4162.5</v>
      </c>
      <c r="X213" s="128"/>
      <c r="Y213" s="95">
        <v>39900</v>
      </c>
      <c r="Z213" s="95">
        <v>6000</v>
      </c>
      <c r="AA213" s="95">
        <f>IFERROR(IF(D213="Premium",0.4*Y213,0),"No Disp")</f>
        <v>0</v>
      </c>
      <c r="AB213" s="95">
        <f>IFERROR(IF(4*Y213&gt;AC213,1.5*Y213,4*Y213),"No Disp")</f>
        <v>59850</v>
      </c>
      <c r="AC213" s="95">
        <f>IF(Z213="No Disp","No Disp",(Z213*18)+Y213)</f>
        <v>147900</v>
      </c>
      <c r="AD213" s="95">
        <f>18*Z213-100+Y213</f>
        <v>147800</v>
      </c>
      <c r="AE213" s="95">
        <v>19900</v>
      </c>
      <c r="AF213" s="95">
        <v>6500</v>
      </c>
      <c r="AG213" s="95">
        <f>IF(AF213="No Disp","No Disp",(AF213*18)+AE213)</f>
        <v>136900</v>
      </c>
      <c r="AH213" s="95">
        <f>18*AF213-100+AE213</f>
        <v>136800</v>
      </c>
      <c r="AI213" s="95" t="s">
        <v>4613</v>
      </c>
      <c r="AJ213" s="99"/>
      <c r="AK213" s="100" t="s">
        <v>43</v>
      </c>
      <c r="AL213" s="100" t="s">
        <v>43</v>
      </c>
      <c r="AM213" s="100" t="str">
        <f>IF(AL213&lt;&gt;"No Disp",AK213+12*AL213,"No Disp")</f>
        <v>No Disp</v>
      </c>
      <c r="AN213" s="100" t="s">
        <v>43</v>
      </c>
      <c r="AO213" s="100" t="s">
        <v>43</v>
      </c>
      <c r="AP213" s="100" t="str">
        <f>IF(AO213&lt;&gt;"No Disp",AN213+12*AO213,"No Disp")</f>
        <v>No Disp</v>
      </c>
      <c r="AQ213" s="100" t="s">
        <v>43</v>
      </c>
      <c r="AR213" s="100" t="s">
        <v>43</v>
      </c>
      <c r="AS213" s="100" t="str">
        <f>IF(AR213&lt;&gt;"No Disp",AQ213+12*AR213,"No Disp")</f>
        <v>No Disp</v>
      </c>
    </row>
    <row r="214" spans="1:45" s="101" customFormat="1" x14ac:dyDescent="0.25">
      <c r="A214" s="90" t="s">
        <v>102</v>
      </c>
      <c r="B214" s="90" t="s">
        <v>39</v>
      </c>
      <c r="C214" s="90" t="s">
        <v>39</v>
      </c>
      <c r="D214" s="90" t="s">
        <v>4539</v>
      </c>
      <c r="E214" s="90" t="s">
        <v>4542</v>
      </c>
      <c r="F214" s="91">
        <v>137</v>
      </c>
      <c r="G214" s="92">
        <v>70010036</v>
      </c>
      <c r="H214" s="91">
        <v>70010037</v>
      </c>
      <c r="I214" s="93" t="s">
        <v>87</v>
      </c>
      <c r="J214" s="94" t="s">
        <v>3680</v>
      </c>
      <c r="K214" s="94" t="s">
        <v>878</v>
      </c>
      <c r="L214" s="94" t="s">
        <v>3687</v>
      </c>
      <c r="M214" s="95">
        <v>59900</v>
      </c>
      <c r="N214" s="95">
        <v>2500</v>
      </c>
      <c r="O214" s="95">
        <v>4000</v>
      </c>
      <c r="P214" s="96">
        <v>0</v>
      </c>
      <c r="Q214" s="152"/>
      <c r="R214" s="95">
        <v>59900</v>
      </c>
      <c r="S214" s="95">
        <f>R214/24</f>
        <v>2495.8333333333335</v>
      </c>
      <c r="T214" s="95">
        <v>59900</v>
      </c>
      <c r="U214" s="95">
        <f>T214/24</f>
        <v>2495.8333333333335</v>
      </c>
      <c r="V214" s="95">
        <v>59900</v>
      </c>
      <c r="W214" s="95">
        <f>V214/24</f>
        <v>2495.8333333333335</v>
      </c>
      <c r="X214" s="128"/>
      <c r="Y214" s="95">
        <v>99900</v>
      </c>
      <c r="Z214" s="95">
        <v>14000</v>
      </c>
      <c r="AA214" s="95">
        <f>IFERROR(IF(D214="Premium",0.4*Y214,0),"No Disp")</f>
        <v>0</v>
      </c>
      <c r="AB214" s="95">
        <f>IFERROR(IF(4*Y214&gt;AC214,1.5*Y214,4*Y214),"No Disp")</f>
        <v>149850</v>
      </c>
      <c r="AC214" s="95">
        <f>IF(Z214="No Disp","No Disp",(Z214*18)+Y214)</f>
        <v>351900</v>
      </c>
      <c r="AD214" s="95">
        <f>18*Z214-100+Y214</f>
        <v>351800</v>
      </c>
      <c r="AE214" s="95">
        <v>19900</v>
      </c>
      <c r="AF214" s="95">
        <v>3500</v>
      </c>
      <c r="AG214" s="95">
        <f>IF(AF214="No Disp","No Disp",(AF214*18)+AE214)</f>
        <v>82900</v>
      </c>
      <c r="AH214" s="95">
        <f>18*AF214-100+AE214</f>
        <v>82800</v>
      </c>
      <c r="AI214" s="95" t="s">
        <v>4613</v>
      </c>
      <c r="AJ214" s="99"/>
      <c r="AK214" s="100" t="s">
        <v>43</v>
      </c>
      <c r="AL214" s="100" t="s">
        <v>43</v>
      </c>
      <c r="AM214" s="100" t="str">
        <f>IF(AL214&lt;&gt;"No Disp",AK214+12*AL214,"No Disp")</f>
        <v>No Disp</v>
      </c>
      <c r="AN214" s="100" t="s">
        <v>43</v>
      </c>
      <c r="AO214" s="100" t="s">
        <v>43</v>
      </c>
      <c r="AP214" s="100" t="str">
        <f>IF(AO214&lt;&gt;"No Disp",AN214+12*AO214,"No Disp")</f>
        <v>No Disp</v>
      </c>
      <c r="AQ214" s="100" t="s">
        <v>43</v>
      </c>
      <c r="AR214" s="100" t="s">
        <v>43</v>
      </c>
      <c r="AS214" s="100" t="str">
        <f>IF(AR214&lt;&gt;"No Disp",AQ214+12*AR214,"No Disp")</f>
        <v>No Disp</v>
      </c>
    </row>
    <row r="215" spans="1:45" s="101" customFormat="1" x14ac:dyDescent="0.25">
      <c r="A215" s="90" t="s">
        <v>38</v>
      </c>
      <c r="B215" s="90" t="s">
        <v>40</v>
      </c>
      <c r="C215" s="90" t="s">
        <v>39</v>
      </c>
      <c r="D215" s="90" t="s">
        <v>4540</v>
      </c>
      <c r="E215" s="90" t="s">
        <v>4542</v>
      </c>
      <c r="F215" s="91">
        <v>142</v>
      </c>
      <c r="G215" s="92">
        <v>70010087</v>
      </c>
      <c r="H215" s="91">
        <v>70010098</v>
      </c>
      <c r="I215" s="93" t="s">
        <v>63</v>
      </c>
      <c r="J215" s="94" t="s">
        <v>3688</v>
      </c>
      <c r="K215" s="94" t="s">
        <v>873</v>
      </c>
      <c r="L215" s="94" t="s">
        <v>3689</v>
      </c>
      <c r="M215" s="95">
        <v>109900</v>
      </c>
      <c r="N215" s="95">
        <v>2500</v>
      </c>
      <c r="O215" s="95">
        <v>4000</v>
      </c>
      <c r="P215" s="96">
        <v>0</v>
      </c>
      <c r="Q215" s="152"/>
      <c r="R215" s="95">
        <v>109900</v>
      </c>
      <c r="S215" s="95">
        <f>R215/24</f>
        <v>4579.166666666667</v>
      </c>
      <c r="T215" s="95">
        <v>109900</v>
      </c>
      <c r="U215" s="95">
        <f>T215/24</f>
        <v>4579.166666666667</v>
      </c>
      <c r="V215" s="95">
        <v>109900</v>
      </c>
      <c r="W215" s="95">
        <f>V215/24</f>
        <v>4579.166666666667</v>
      </c>
      <c r="X215" s="128"/>
      <c r="Y215" s="95">
        <v>269900</v>
      </c>
      <c r="Z215" s="95">
        <v>34000</v>
      </c>
      <c r="AA215" s="95">
        <f>IFERROR(IF(D215="Premium",0.4*Y215,0),"No Disp")</f>
        <v>107960</v>
      </c>
      <c r="AB215" s="95">
        <f>IFERROR(IF(4*Y215&gt;AC215,1.5*Y215,4*Y215),"No Disp")</f>
        <v>404850</v>
      </c>
      <c r="AC215" s="95">
        <f>IF(Z215="No Disp","No Disp",(Z215*18)+Y215)</f>
        <v>881900</v>
      </c>
      <c r="AD215" s="95">
        <f>18*Z215-100+Y215</f>
        <v>881800</v>
      </c>
      <c r="AE215" s="95">
        <v>39900</v>
      </c>
      <c r="AF215" s="95">
        <v>6500</v>
      </c>
      <c r="AG215" s="95">
        <f>IF(AF215="No Disp","No Disp",(AF215*18)+AE215)</f>
        <v>156900</v>
      </c>
      <c r="AH215" s="95">
        <f>18*AF215-100+AE215</f>
        <v>156800</v>
      </c>
      <c r="AI215" s="95" t="s">
        <v>4613</v>
      </c>
      <c r="AJ215" s="99"/>
      <c r="AK215" s="100" t="s">
        <v>43</v>
      </c>
      <c r="AL215" s="100" t="s">
        <v>43</v>
      </c>
      <c r="AM215" s="100" t="str">
        <f>IF(AL215&lt;&gt;"No Disp",AK215+12*AL215,"No Disp")</f>
        <v>No Disp</v>
      </c>
      <c r="AN215" s="100" t="s">
        <v>43</v>
      </c>
      <c r="AO215" s="100" t="s">
        <v>43</v>
      </c>
      <c r="AP215" s="100" t="str">
        <f>IF(AO215&lt;&gt;"No Disp",AN215+12*AO215,"No Disp")</f>
        <v>No Disp</v>
      </c>
      <c r="AQ215" s="100" t="s">
        <v>43</v>
      </c>
      <c r="AR215" s="100" t="s">
        <v>43</v>
      </c>
      <c r="AS215" s="100" t="str">
        <f>IF(AR215&lt;&gt;"No Disp",AQ215+12*AR215,"No Disp")</f>
        <v>No Disp</v>
      </c>
    </row>
    <row r="216" spans="1:45" s="101" customFormat="1" x14ac:dyDescent="0.25">
      <c r="A216" s="90" t="s">
        <v>38</v>
      </c>
      <c r="B216" s="90" t="s">
        <v>40</v>
      </c>
      <c r="C216" s="90" t="s">
        <v>39</v>
      </c>
      <c r="D216" s="90" t="s">
        <v>4537</v>
      </c>
      <c r="E216" s="90" t="s">
        <v>4538</v>
      </c>
      <c r="F216" s="91">
        <v>143</v>
      </c>
      <c r="G216" s="92">
        <v>70010106</v>
      </c>
      <c r="H216" s="91">
        <v>70010107</v>
      </c>
      <c r="I216" s="93" t="s">
        <v>63</v>
      </c>
      <c r="J216" s="94" t="s">
        <v>91</v>
      </c>
      <c r="K216" s="94" t="s">
        <v>92</v>
      </c>
      <c r="L216" s="94" t="s">
        <v>3690</v>
      </c>
      <c r="M216" s="95">
        <v>479900</v>
      </c>
      <c r="N216" s="95">
        <v>6000</v>
      </c>
      <c r="O216" s="95">
        <v>8500</v>
      </c>
      <c r="P216" s="96">
        <v>889990</v>
      </c>
      <c r="Q216" s="152"/>
      <c r="R216" s="95">
        <v>539990</v>
      </c>
      <c r="S216" s="95">
        <f>R216/24</f>
        <v>22499.583333333332</v>
      </c>
      <c r="T216" s="95">
        <v>479900</v>
      </c>
      <c r="U216" s="95">
        <f>T216/24</f>
        <v>19995.833333333332</v>
      </c>
      <c r="V216" s="95">
        <v>479900</v>
      </c>
      <c r="W216" s="95">
        <f>V216/24</f>
        <v>19995.833333333332</v>
      </c>
      <c r="X216" s="128"/>
      <c r="Y216" s="95">
        <v>149900</v>
      </c>
      <c r="Z216" s="95">
        <v>41000</v>
      </c>
      <c r="AA216" s="95">
        <f>IFERROR(IF(D216="Premium",0.4*Y216,0),"No Disp")</f>
        <v>0</v>
      </c>
      <c r="AB216" s="95">
        <f>IFERROR(IF(4*Y216&gt;AC216,1.5*Y216,4*Y216),"No Disp")</f>
        <v>599600</v>
      </c>
      <c r="AC216" s="95">
        <f>IF(Z216="No Disp","No Disp",(Z216*18)+Y216)</f>
        <v>887900</v>
      </c>
      <c r="AD216" s="95">
        <f>18*Z216-100+Y216</f>
        <v>887800</v>
      </c>
      <c r="AE216" s="95">
        <v>49900</v>
      </c>
      <c r="AF216" s="95">
        <v>36500</v>
      </c>
      <c r="AG216" s="95">
        <f>IF(AF216="No Disp","No Disp",(AF216*18)+AE216)</f>
        <v>706900</v>
      </c>
      <c r="AH216" s="95">
        <f>18*AF216-100+AE216</f>
        <v>706800</v>
      </c>
      <c r="AI216" s="95" t="s">
        <v>4613</v>
      </c>
      <c r="AJ216" s="99"/>
      <c r="AK216" s="100">
        <v>0</v>
      </c>
      <c r="AL216" s="100">
        <v>27000</v>
      </c>
      <c r="AM216" s="100">
        <f>IF(AL216&lt;&gt;"No Disp",AK216+12*AL216,"No Disp")</f>
        <v>324000</v>
      </c>
      <c r="AN216" s="100">
        <v>0</v>
      </c>
      <c r="AO216" s="100">
        <v>27000</v>
      </c>
      <c r="AP216" s="100">
        <f>IF(AO216&lt;&gt;"No Disp",AN216+12*AO216,"No Disp")</f>
        <v>324000</v>
      </c>
      <c r="AQ216" s="100">
        <v>0</v>
      </c>
      <c r="AR216" s="100">
        <v>27000</v>
      </c>
      <c r="AS216" s="100">
        <f>IF(AR216&lt;&gt;"No Disp",AQ216+12*AR216,"No Disp")</f>
        <v>324000</v>
      </c>
    </row>
    <row r="217" spans="1:45" s="101" customFormat="1" x14ac:dyDescent="0.25">
      <c r="A217" s="90" t="s">
        <v>38</v>
      </c>
      <c r="B217" s="90" t="s">
        <v>39</v>
      </c>
      <c r="C217" s="90" t="s">
        <v>40</v>
      </c>
      <c r="D217" s="90" t="s">
        <v>4537</v>
      </c>
      <c r="E217" s="90" t="s">
        <v>4542</v>
      </c>
      <c r="F217" s="91">
        <v>145</v>
      </c>
      <c r="G217" s="92">
        <v>70010152</v>
      </c>
      <c r="H217" s="91">
        <v>70010153</v>
      </c>
      <c r="I217" s="93" t="s">
        <v>46</v>
      </c>
      <c r="J217" s="94" t="s">
        <v>870</v>
      </c>
      <c r="K217" s="94" t="s">
        <v>871</v>
      </c>
      <c r="L217" s="94" t="s">
        <v>3691</v>
      </c>
      <c r="M217" s="95">
        <v>79900</v>
      </c>
      <c r="N217" s="95">
        <v>2500</v>
      </c>
      <c r="O217" s="95">
        <v>4000</v>
      </c>
      <c r="P217" s="96">
        <v>0</v>
      </c>
      <c r="Q217" s="152"/>
      <c r="R217" s="95">
        <v>79900</v>
      </c>
      <c r="S217" s="95">
        <f>R217/24</f>
        <v>3329.1666666666665</v>
      </c>
      <c r="T217" s="95">
        <v>79900</v>
      </c>
      <c r="U217" s="95">
        <f>T217/24</f>
        <v>3329.1666666666665</v>
      </c>
      <c r="V217" s="95">
        <v>79900</v>
      </c>
      <c r="W217" s="95">
        <f>V217/24</f>
        <v>3329.1666666666665</v>
      </c>
      <c r="X217" s="128"/>
      <c r="Y217" s="95">
        <v>119900</v>
      </c>
      <c r="Z217" s="95">
        <v>15500</v>
      </c>
      <c r="AA217" s="95">
        <f>IFERROR(IF(D217="Premium",0.4*Y217,0),"No Disp")</f>
        <v>0</v>
      </c>
      <c r="AB217" s="95">
        <f>IFERROR(IF(4*Y217&gt;AC217,1.5*Y217,4*Y217),"No Disp")</f>
        <v>179850</v>
      </c>
      <c r="AC217" s="95">
        <f>IF(Z217="No Disp","No Disp",(Z217*18)+Y217)</f>
        <v>398900</v>
      </c>
      <c r="AD217" s="95">
        <f>18*Z217-100+Y217</f>
        <v>398800</v>
      </c>
      <c r="AE217" s="95">
        <v>19900</v>
      </c>
      <c r="AF217" s="95">
        <v>5000</v>
      </c>
      <c r="AG217" s="95">
        <f>IF(AF217="No Disp","No Disp",(AF217*18)+AE217)</f>
        <v>109900</v>
      </c>
      <c r="AH217" s="95">
        <f>18*AF217-100+AE217</f>
        <v>109800</v>
      </c>
      <c r="AI217" s="95" t="s">
        <v>4613</v>
      </c>
      <c r="AJ217" s="99"/>
      <c r="AK217" s="100" t="s">
        <v>43</v>
      </c>
      <c r="AL217" s="100" t="s">
        <v>43</v>
      </c>
      <c r="AM217" s="100" t="str">
        <f>IF(AL217&lt;&gt;"No Disp",AK217+12*AL217,"No Disp")</f>
        <v>No Disp</v>
      </c>
      <c r="AN217" s="100" t="s">
        <v>43</v>
      </c>
      <c r="AO217" s="100" t="s">
        <v>43</v>
      </c>
      <c r="AP217" s="100" t="str">
        <f>IF(AO217&lt;&gt;"No Disp",AN217+12*AO217,"No Disp")</f>
        <v>No Disp</v>
      </c>
      <c r="AQ217" s="100" t="s">
        <v>43</v>
      </c>
      <c r="AR217" s="100" t="s">
        <v>43</v>
      </c>
      <c r="AS217" s="100" t="str">
        <f>IF(AR217&lt;&gt;"No Disp",AQ217+12*AR217,"No Disp")</f>
        <v>No Disp</v>
      </c>
    </row>
    <row r="218" spans="1:45" s="101" customFormat="1" x14ac:dyDescent="0.25">
      <c r="A218" s="90" t="s">
        <v>38</v>
      </c>
      <c r="B218" s="90" t="s">
        <v>39</v>
      </c>
      <c r="C218" s="90" t="s">
        <v>40</v>
      </c>
      <c r="D218" s="90" t="s">
        <v>4539</v>
      </c>
      <c r="E218" s="90" t="s">
        <v>4542</v>
      </c>
      <c r="F218" s="91">
        <v>144</v>
      </c>
      <c r="G218" s="92">
        <v>70010137</v>
      </c>
      <c r="H218" s="91">
        <v>70010188</v>
      </c>
      <c r="I218" s="93" t="s">
        <v>87</v>
      </c>
      <c r="J218" s="94" t="s">
        <v>3692</v>
      </c>
      <c r="K218" s="94" t="s">
        <v>872</v>
      </c>
      <c r="L218" s="94" t="s">
        <v>3693</v>
      </c>
      <c r="M218" s="95">
        <v>69900</v>
      </c>
      <c r="N218" s="95">
        <v>2500</v>
      </c>
      <c r="O218" s="95">
        <v>4000</v>
      </c>
      <c r="P218" s="96">
        <v>0</v>
      </c>
      <c r="Q218" s="152"/>
      <c r="R218" s="95">
        <v>69900</v>
      </c>
      <c r="S218" s="95">
        <f>R218/24</f>
        <v>2912.5</v>
      </c>
      <c r="T218" s="95">
        <v>69900</v>
      </c>
      <c r="U218" s="95">
        <f>T218/24</f>
        <v>2912.5</v>
      </c>
      <c r="V218" s="95">
        <v>69900</v>
      </c>
      <c r="W218" s="95">
        <f>V218/24</f>
        <v>2912.5</v>
      </c>
      <c r="X218" s="128"/>
      <c r="Y218" s="95">
        <v>129900</v>
      </c>
      <c r="Z218" s="95">
        <v>16000</v>
      </c>
      <c r="AA218" s="95">
        <f>IFERROR(IF(D218="Premium",0.4*Y218,0),"No Disp")</f>
        <v>0</v>
      </c>
      <c r="AB218" s="95">
        <f>IFERROR(IF(4*Y218&gt;AC218,1.5*Y218,4*Y218),"No Disp")</f>
        <v>194850</v>
      </c>
      <c r="AC218" s="95">
        <f>IF(Z218="No Disp","No Disp",(Z218*18)+Y218)</f>
        <v>417900</v>
      </c>
      <c r="AD218" s="95">
        <f>18*Z218-100+Y218</f>
        <v>417800</v>
      </c>
      <c r="AE218" s="95">
        <v>19900</v>
      </c>
      <c r="AF218" s="95">
        <v>4000</v>
      </c>
      <c r="AG218" s="95">
        <f>IF(AF218="No Disp","No Disp",(AF218*18)+AE218)</f>
        <v>91900</v>
      </c>
      <c r="AH218" s="95">
        <f>18*AF218-100+AE218</f>
        <v>91800</v>
      </c>
      <c r="AI218" s="95" t="s">
        <v>4613</v>
      </c>
      <c r="AJ218" s="99"/>
      <c r="AK218" s="100" t="s">
        <v>43</v>
      </c>
      <c r="AL218" s="100" t="s">
        <v>43</v>
      </c>
      <c r="AM218" s="100" t="str">
        <f>IF(AL218&lt;&gt;"No Disp",AK218+12*AL218,"No Disp")</f>
        <v>No Disp</v>
      </c>
      <c r="AN218" s="100" t="s">
        <v>43</v>
      </c>
      <c r="AO218" s="100" t="s">
        <v>43</v>
      </c>
      <c r="AP218" s="100" t="str">
        <f>IF(AO218&lt;&gt;"No Disp",AN218+12*AO218,"No Disp")</f>
        <v>No Disp</v>
      </c>
      <c r="AQ218" s="100" t="s">
        <v>43</v>
      </c>
      <c r="AR218" s="100" t="s">
        <v>43</v>
      </c>
      <c r="AS218" s="100" t="str">
        <f>IF(AR218&lt;&gt;"No Disp",AQ218+12*AR218,"No Disp")</f>
        <v>No Disp</v>
      </c>
    </row>
    <row r="219" spans="1:45" s="101" customFormat="1" x14ac:dyDescent="0.25">
      <c r="A219" s="90" t="s">
        <v>102</v>
      </c>
      <c r="B219" s="90" t="s">
        <v>39</v>
      </c>
      <c r="C219" s="90" t="s">
        <v>40</v>
      </c>
      <c r="D219" s="90" t="s">
        <v>4537</v>
      </c>
      <c r="E219" s="90" t="s">
        <v>4542</v>
      </c>
      <c r="F219" s="91">
        <v>146</v>
      </c>
      <c r="G219" s="92">
        <v>70010189</v>
      </c>
      <c r="H219" s="91">
        <v>70010190</v>
      </c>
      <c r="I219" s="93" t="s">
        <v>87</v>
      </c>
      <c r="J219" s="94" t="s">
        <v>3694</v>
      </c>
      <c r="K219" s="94" t="s">
        <v>869</v>
      </c>
      <c r="L219" s="94" t="s">
        <v>3695</v>
      </c>
      <c r="M219" s="95">
        <v>79900</v>
      </c>
      <c r="N219" s="95">
        <v>2500</v>
      </c>
      <c r="O219" s="95">
        <v>4000</v>
      </c>
      <c r="P219" s="96">
        <v>0</v>
      </c>
      <c r="Q219" s="152"/>
      <c r="R219" s="95">
        <v>79900</v>
      </c>
      <c r="S219" s="95">
        <f>R219/24</f>
        <v>3329.1666666666665</v>
      </c>
      <c r="T219" s="95">
        <v>79900</v>
      </c>
      <c r="U219" s="95">
        <f>T219/24</f>
        <v>3329.1666666666665</v>
      </c>
      <c r="V219" s="95">
        <v>79900</v>
      </c>
      <c r="W219" s="95">
        <f>V219/24</f>
        <v>3329.1666666666665</v>
      </c>
      <c r="X219" s="128"/>
      <c r="Y219" s="95">
        <v>149900</v>
      </c>
      <c r="Z219" s="95">
        <v>18000</v>
      </c>
      <c r="AA219" s="95">
        <f>IFERROR(IF(D219="Premium",0.4*Y219,0),"No Disp")</f>
        <v>0</v>
      </c>
      <c r="AB219" s="95">
        <f>IFERROR(IF(4*Y219&gt;AC219,1.5*Y219,4*Y219),"No Disp")</f>
        <v>224850</v>
      </c>
      <c r="AC219" s="95">
        <f>IF(Z219="No Disp","No Disp",(Z219*18)+Y219)</f>
        <v>473900</v>
      </c>
      <c r="AD219" s="95">
        <f>18*Z219-100+Y219</f>
        <v>473800</v>
      </c>
      <c r="AE219" s="95">
        <v>19900</v>
      </c>
      <c r="AF219" s="95">
        <v>5000</v>
      </c>
      <c r="AG219" s="95">
        <f>IF(AF219="No Disp","No Disp",(AF219*18)+AE219)</f>
        <v>109900</v>
      </c>
      <c r="AH219" s="95">
        <f>18*AF219-100+AE219</f>
        <v>109800</v>
      </c>
      <c r="AI219" s="95" t="s">
        <v>4613</v>
      </c>
      <c r="AJ219" s="99"/>
      <c r="AK219" s="100" t="s">
        <v>43</v>
      </c>
      <c r="AL219" s="100" t="s">
        <v>43</v>
      </c>
      <c r="AM219" s="100" t="str">
        <f>IF(AL219&lt;&gt;"No Disp",AK219+12*AL219,"No Disp")</f>
        <v>No Disp</v>
      </c>
      <c r="AN219" s="100" t="s">
        <v>43</v>
      </c>
      <c r="AO219" s="100" t="s">
        <v>43</v>
      </c>
      <c r="AP219" s="100" t="str">
        <f>IF(AO219&lt;&gt;"No Disp",AN219+12*AO219,"No Disp")</f>
        <v>No Disp</v>
      </c>
      <c r="AQ219" s="100" t="s">
        <v>43</v>
      </c>
      <c r="AR219" s="100" t="s">
        <v>43</v>
      </c>
      <c r="AS219" s="100" t="str">
        <f>IF(AR219&lt;&gt;"No Disp",AQ219+12*AR219,"No Disp")</f>
        <v>No Disp</v>
      </c>
    </row>
    <row r="220" spans="1:45" s="101" customFormat="1" x14ac:dyDescent="0.25">
      <c r="A220" s="90" t="s">
        <v>38</v>
      </c>
      <c r="B220" s="90" t="s">
        <v>39</v>
      </c>
      <c r="C220" s="90" t="s">
        <v>40</v>
      </c>
      <c r="D220" s="90" t="s">
        <v>4537</v>
      </c>
      <c r="E220" s="90" t="s">
        <v>4542</v>
      </c>
      <c r="F220" s="91">
        <v>147</v>
      </c>
      <c r="G220" s="92">
        <v>70010195</v>
      </c>
      <c r="H220" s="91">
        <v>70010196</v>
      </c>
      <c r="I220" s="93" t="s">
        <v>87</v>
      </c>
      <c r="J220" s="94" t="s">
        <v>3696</v>
      </c>
      <c r="K220" s="94" t="s">
        <v>868</v>
      </c>
      <c r="L220" s="94" t="s">
        <v>3697</v>
      </c>
      <c r="M220" s="95">
        <v>99900</v>
      </c>
      <c r="N220" s="95">
        <v>2500</v>
      </c>
      <c r="O220" s="95">
        <v>4000</v>
      </c>
      <c r="P220" s="96">
        <v>0</v>
      </c>
      <c r="Q220" s="152"/>
      <c r="R220" s="95">
        <v>99900</v>
      </c>
      <c r="S220" s="95">
        <f>R220/24</f>
        <v>4162.5</v>
      </c>
      <c r="T220" s="95">
        <v>99900</v>
      </c>
      <c r="U220" s="95">
        <f>T220/24</f>
        <v>4162.5</v>
      </c>
      <c r="V220" s="95">
        <v>99900</v>
      </c>
      <c r="W220" s="95">
        <f>V220/24</f>
        <v>4162.5</v>
      </c>
      <c r="X220" s="128"/>
      <c r="Y220" s="95">
        <v>249900</v>
      </c>
      <c r="Z220" s="95">
        <v>13000</v>
      </c>
      <c r="AA220" s="95">
        <f>IFERROR(IF(D220="Premium",0.4*Y220,0),"No Disp")</f>
        <v>0</v>
      </c>
      <c r="AB220" s="95">
        <f>IFERROR(IF(4*Y220&gt;AC220,1.5*Y220,4*Y220),"No Disp")</f>
        <v>374850</v>
      </c>
      <c r="AC220" s="95">
        <f>IF(Z220="No Disp","No Disp",(Z220*18)+Y220)</f>
        <v>483900</v>
      </c>
      <c r="AD220" s="95">
        <f>18*Z220-100+Y220</f>
        <v>483800</v>
      </c>
      <c r="AE220" s="95">
        <v>19900</v>
      </c>
      <c r="AF220" s="95">
        <v>6500</v>
      </c>
      <c r="AG220" s="95">
        <f>IF(AF220="No Disp","No Disp",(AF220*18)+AE220)</f>
        <v>136900</v>
      </c>
      <c r="AH220" s="95">
        <f>18*AF220-100+AE220</f>
        <v>136800</v>
      </c>
      <c r="AI220" s="95" t="s">
        <v>4613</v>
      </c>
      <c r="AJ220" s="99"/>
      <c r="AK220" s="100" t="s">
        <v>43</v>
      </c>
      <c r="AL220" s="100" t="s">
        <v>43</v>
      </c>
      <c r="AM220" s="100" t="str">
        <f>IF(AL220&lt;&gt;"No Disp",AK220+12*AL220,"No Disp")</f>
        <v>No Disp</v>
      </c>
      <c r="AN220" s="100" t="s">
        <v>43</v>
      </c>
      <c r="AO220" s="100" t="s">
        <v>43</v>
      </c>
      <c r="AP220" s="100" t="str">
        <f>IF(AO220&lt;&gt;"No Disp",AN220+12*AO220,"No Disp")</f>
        <v>No Disp</v>
      </c>
      <c r="AQ220" s="100" t="s">
        <v>43</v>
      </c>
      <c r="AR220" s="100" t="s">
        <v>43</v>
      </c>
      <c r="AS220" s="100" t="str">
        <f>IF(AR220&lt;&gt;"No Disp",AQ220+12*AR220,"No Disp")</f>
        <v>No Disp</v>
      </c>
    </row>
    <row r="221" spans="1:45" s="101" customFormat="1" x14ac:dyDescent="0.25">
      <c r="A221" s="90" t="s">
        <v>38</v>
      </c>
      <c r="B221" s="90" t="s">
        <v>39</v>
      </c>
      <c r="C221" s="90" t="s">
        <v>40</v>
      </c>
      <c r="D221" s="90" t="s">
        <v>4537</v>
      </c>
      <c r="E221" s="90" t="s">
        <v>4542</v>
      </c>
      <c r="F221" s="91">
        <v>148</v>
      </c>
      <c r="G221" s="92">
        <v>70010199</v>
      </c>
      <c r="H221" s="91">
        <v>70010200</v>
      </c>
      <c r="I221" s="93" t="s">
        <v>87</v>
      </c>
      <c r="J221" s="94" t="s">
        <v>3696</v>
      </c>
      <c r="K221" s="94" t="s">
        <v>867</v>
      </c>
      <c r="L221" s="94" t="s">
        <v>3698</v>
      </c>
      <c r="M221" s="95">
        <v>99900</v>
      </c>
      <c r="N221" s="95">
        <v>2500</v>
      </c>
      <c r="O221" s="95">
        <v>4000</v>
      </c>
      <c r="P221" s="96">
        <v>0</v>
      </c>
      <c r="Q221" s="152"/>
      <c r="R221" s="95">
        <v>99900</v>
      </c>
      <c r="S221" s="95">
        <f>R221/24</f>
        <v>4162.5</v>
      </c>
      <c r="T221" s="95">
        <v>99900</v>
      </c>
      <c r="U221" s="95">
        <f>T221/24</f>
        <v>4162.5</v>
      </c>
      <c r="V221" s="95">
        <v>99900</v>
      </c>
      <c r="W221" s="95">
        <f>V221/24</f>
        <v>4162.5</v>
      </c>
      <c r="X221" s="128"/>
      <c r="Y221" s="95">
        <v>249900</v>
      </c>
      <c r="Z221" s="95">
        <v>13000</v>
      </c>
      <c r="AA221" s="95">
        <f>IFERROR(IF(D221="Premium",0.4*Y221,0),"No Disp")</f>
        <v>0</v>
      </c>
      <c r="AB221" s="95">
        <f>IFERROR(IF(4*Y221&gt;AC221,1.5*Y221,4*Y221),"No Disp")</f>
        <v>374850</v>
      </c>
      <c r="AC221" s="95">
        <f>IF(Z221="No Disp","No Disp",(Z221*18)+Y221)</f>
        <v>483900</v>
      </c>
      <c r="AD221" s="95">
        <f>18*Z221-100+Y221</f>
        <v>483800</v>
      </c>
      <c r="AE221" s="95">
        <v>19900</v>
      </c>
      <c r="AF221" s="95">
        <v>6500</v>
      </c>
      <c r="AG221" s="95">
        <f>IF(AF221="No Disp","No Disp",(AF221*18)+AE221)</f>
        <v>136900</v>
      </c>
      <c r="AH221" s="95">
        <f>18*AF221-100+AE221</f>
        <v>136800</v>
      </c>
      <c r="AI221" s="95" t="s">
        <v>4613</v>
      </c>
      <c r="AJ221" s="99"/>
      <c r="AK221" s="100" t="s">
        <v>43</v>
      </c>
      <c r="AL221" s="100" t="s">
        <v>43</v>
      </c>
      <c r="AM221" s="100" t="str">
        <f>IF(AL221&lt;&gt;"No Disp",AK221+12*AL221,"No Disp")</f>
        <v>No Disp</v>
      </c>
      <c r="AN221" s="100" t="s">
        <v>43</v>
      </c>
      <c r="AO221" s="100" t="s">
        <v>43</v>
      </c>
      <c r="AP221" s="100" t="str">
        <f>IF(AO221&lt;&gt;"No Disp",AN221+12*AO221,"No Disp")</f>
        <v>No Disp</v>
      </c>
      <c r="AQ221" s="100" t="s">
        <v>43</v>
      </c>
      <c r="AR221" s="100" t="s">
        <v>43</v>
      </c>
      <c r="AS221" s="100" t="str">
        <f>IF(AR221&lt;&gt;"No Disp",AQ221+12*AR221,"No Disp")</f>
        <v>No Disp</v>
      </c>
    </row>
    <row r="222" spans="1:45" s="101" customFormat="1" x14ac:dyDescent="0.25">
      <c r="A222" s="90" t="s">
        <v>38</v>
      </c>
      <c r="B222" s="90" t="s">
        <v>40</v>
      </c>
      <c r="C222" s="90" t="s">
        <v>40</v>
      </c>
      <c r="D222" s="90" t="s">
        <v>4540</v>
      </c>
      <c r="E222" s="90" t="s">
        <v>4542</v>
      </c>
      <c r="F222" s="91">
        <v>149</v>
      </c>
      <c r="G222" s="92">
        <v>70010201</v>
      </c>
      <c r="H222" s="91">
        <v>70010202</v>
      </c>
      <c r="I222" s="93" t="s">
        <v>87</v>
      </c>
      <c r="J222" s="94" t="s">
        <v>850</v>
      </c>
      <c r="K222" s="94" t="s">
        <v>866</v>
      </c>
      <c r="L222" s="94" t="s">
        <v>3699</v>
      </c>
      <c r="M222" s="95">
        <v>199900</v>
      </c>
      <c r="N222" s="95">
        <v>2500</v>
      </c>
      <c r="O222" s="95">
        <v>4000</v>
      </c>
      <c r="P222" s="96">
        <v>0</v>
      </c>
      <c r="Q222" s="152"/>
      <c r="R222" s="95">
        <v>199900</v>
      </c>
      <c r="S222" s="95">
        <f>R222/24</f>
        <v>8329.1666666666661</v>
      </c>
      <c r="T222" s="95">
        <v>199900</v>
      </c>
      <c r="U222" s="95">
        <f>T222/24</f>
        <v>8329.1666666666661</v>
      </c>
      <c r="V222" s="95">
        <v>199900</v>
      </c>
      <c r="W222" s="95">
        <f>V222/24</f>
        <v>8329.1666666666661</v>
      </c>
      <c r="X222" s="128"/>
      <c r="Y222" s="95">
        <v>799900</v>
      </c>
      <c r="Z222" s="95">
        <v>20500</v>
      </c>
      <c r="AA222" s="95">
        <f>IFERROR(IF(D222="Premium",0.4*Y222,0),"No Disp")</f>
        <v>319960</v>
      </c>
      <c r="AB222" s="95">
        <f>IFERROR(IF(4*Y222&gt;AC222,1.5*Y222,4*Y222),"No Disp")</f>
        <v>1199850</v>
      </c>
      <c r="AC222" s="95">
        <f>IF(Z222="No Disp","No Disp",(Z222*18)+Y222)</f>
        <v>1168900</v>
      </c>
      <c r="AD222" s="95">
        <f>18*Z222-100+Y222</f>
        <v>1168800</v>
      </c>
      <c r="AE222" s="95">
        <v>19900</v>
      </c>
      <c r="AF222" s="95">
        <v>14500</v>
      </c>
      <c r="AG222" s="95">
        <f>IF(AF222="No Disp","No Disp",(AF222*18)+AE222)</f>
        <v>280900</v>
      </c>
      <c r="AH222" s="95">
        <f>18*AF222-100+AE222</f>
        <v>280800</v>
      </c>
      <c r="AI222" s="95" t="s">
        <v>4613</v>
      </c>
      <c r="AJ222" s="99"/>
      <c r="AK222" s="100" t="s">
        <v>43</v>
      </c>
      <c r="AL222" s="100" t="s">
        <v>43</v>
      </c>
      <c r="AM222" s="100" t="str">
        <f>IF(AL222&lt;&gt;"No Disp",AK222+12*AL222,"No Disp")</f>
        <v>No Disp</v>
      </c>
      <c r="AN222" s="100" t="s">
        <v>43</v>
      </c>
      <c r="AO222" s="100" t="s">
        <v>43</v>
      </c>
      <c r="AP222" s="100" t="str">
        <f>IF(AO222&lt;&gt;"No Disp",AN222+12*AO222,"No Disp")</f>
        <v>No Disp</v>
      </c>
      <c r="AQ222" s="100" t="s">
        <v>43</v>
      </c>
      <c r="AR222" s="100" t="s">
        <v>43</v>
      </c>
      <c r="AS222" s="100" t="str">
        <f>IF(AR222&lt;&gt;"No Disp",AQ222+12*AR222,"No Disp")</f>
        <v>No Disp</v>
      </c>
    </row>
    <row r="223" spans="1:45" s="101" customFormat="1" x14ac:dyDescent="0.25">
      <c r="A223" s="90" t="s">
        <v>38</v>
      </c>
      <c r="B223" s="90" t="s">
        <v>40</v>
      </c>
      <c r="C223" s="90" t="s">
        <v>40</v>
      </c>
      <c r="D223" s="90" t="s">
        <v>4541</v>
      </c>
      <c r="E223" s="90" t="s">
        <v>4542</v>
      </c>
      <c r="F223" s="91">
        <v>151</v>
      </c>
      <c r="G223" s="92">
        <v>70010289</v>
      </c>
      <c r="H223" s="91">
        <v>70010271</v>
      </c>
      <c r="I223" s="93" t="s">
        <v>46</v>
      </c>
      <c r="J223" s="94" t="s">
        <v>3700</v>
      </c>
      <c r="K223" s="94" t="s">
        <v>864</v>
      </c>
      <c r="L223" s="94" t="s">
        <v>3701</v>
      </c>
      <c r="M223" s="95">
        <v>499900</v>
      </c>
      <c r="N223" s="95">
        <v>6000</v>
      </c>
      <c r="O223" s="95">
        <v>8500</v>
      </c>
      <c r="P223" s="96">
        <v>0</v>
      </c>
      <c r="Q223" s="152"/>
      <c r="R223" s="95">
        <v>499900</v>
      </c>
      <c r="S223" s="95">
        <f>R223/24</f>
        <v>20829.166666666668</v>
      </c>
      <c r="T223" s="95">
        <v>499900</v>
      </c>
      <c r="U223" s="95">
        <f>T223/24</f>
        <v>20829.166666666668</v>
      </c>
      <c r="V223" s="95">
        <v>499900</v>
      </c>
      <c r="W223" s="95">
        <f>V223/24</f>
        <v>20829.166666666668</v>
      </c>
      <c r="X223" s="128"/>
      <c r="Y223" s="95">
        <v>339900</v>
      </c>
      <c r="Z223" s="95">
        <v>18500</v>
      </c>
      <c r="AA223" s="95">
        <f>IFERROR(IF(D223="Premium",0.4*Y223,0),"No Disp")</f>
        <v>0</v>
      </c>
      <c r="AB223" s="95">
        <f>IFERROR(IF(4*Y223&gt;AC223,1.5*Y223,4*Y223),"No Disp")</f>
        <v>509850</v>
      </c>
      <c r="AC223" s="95">
        <f>IF(Z223="No Disp","No Disp",(Z223*18)+Y223)</f>
        <v>672900</v>
      </c>
      <c r="AD223" s="95">
        <f>18*Z223-100+Y223</f>
        <v>672800</v>
      </c>
      <c r="AE223" s="95">
        <v>99900</v>
      </c>
      <c r="AF223" s="95">
        <v>31000</v>
      </c>
      <c r="AG223" s="95">
        <f>IF(AF223="No Disp","No Disp",(AF223*18)+AE223)</f>
        <v>657900</v>
      </c>
      <c r="AH223" s="95">
        <f>18*AF223-100+AE223</f>
        <v>657800</v>
      </c>
      <c r="AI223" s="95" t="s">
        <v>4613</v>
      </c>
      <c r="AJ223" s="99"/>
      <c r="AK223" s="100" t="s">
        <v>43</v>
      </c>
      <c r="AL223" s="100" t="s">
        <v>43</v>
      </c>
      <c r="AM223" s="100" t="str">
        <f>IF(AL223&lt;&gt;"No Disp",AK223+12*AL223,"No Disp")</f>
        <v>No Disp</v>
      </c>
      <c r="AN223" s="100" t="s">
        <v>43</v>
      </c>
      <c r="AO223" s="100" t="s">
        <v>43</v>
      </c>
      <c r="AP223" s="100" t="str">
        <f>IF(AO223&lt;&gt;"No Disp",AN223+12*AO223,"No Disp")</f>
        <v>No Disp</v>
      </c>
      <c r="AQ223" s="100" t="s">
        <v>43</v>
      </c>
      <c r="AR223" s="100" t="s">
        <v>43</v>
      </c>
      <c r="AS223" s="100" t="str">
        <f>IF(AR223&lt;&gt;"No Disp",AQ223+12*AR223,"No Disp")</f>
        <v>No Disp</v>
      </c>
    </row>
    <row r="224" spans="1:45" s="101" customFormat="1" x14ac:dyDescent="0.25">
      <c r="A224" s="90" t="s">
        <v>38</v>
      </c>
      <c r="B224" s="90" t="s">
        <v>40</v>
      </c>
      <c r="C224" s="90" t="s">
        <v>40</v>
      </c>
      <c r="D224" s="90" t="s">
        <v>4540</v>
      </c>
      <c r="E224" s="90" t="s">
        <v>4542</v>
      </c>
      <c r="F224" s="91">
        <v>150</v>
      </c>
      <c r="G224" s="92">
        <v>70010277</v>
      </c>
      <c r="H224" s="91">
        <v>70010278</v>
      </c>
      <c r="I224" s="93" t="s">
        <v>46</v>
      </c>
      <c r="J224" s="94" t="s">
        <v>3702</v>
      </c>
      <c r="K224" s="94" t="s">
        <v>865</v>
      </c>
      <c r="L224" s="94" t="s">
        <v>3703</v>
      </c>
      <c r="M224" s="95">
        <v>599900</v>
      </c>
      <c r="N224" s="95">
        <v>6000</v>
      </c>
      <c r="O224" s="95">
        <v>8500</v>
      </c>
      <c r="P224" s="96">
        <v>0</v>
      </c>
      <c r="Q224" s="152"/>
      <c r="R224" s="95">
        <v>599900</v>
      </c>
      <c r="S224" s="95">
        <f>R224/24</f>
        <v>24995.833333333332</v>
      </c>
      <c r="T224" s="95">
        <v>599900</v>
      </c>
      <c r="U224" s="95">
        <f>T224/24</f>
        <v>24995.833333333332</v>
      </c>
      <c r="V224" s="95">
        <v>599900</v>
      </c>
      <c r="W224" s="95">
        <f>V224/24</f>
        <v>24995.833333333332</v>
      </c>
      <c r="X224" s="128"/>
      <c r="Y224" s="95">
        <v>574900</v>
      </c>
      <c r="Z224" s="95">
        <v>13000</v>
      </c>
      <c r="AA224" s="95">
        <f>IFERROR(IF(D224="Premium",0.4*Y224,0),"No Disp")</f>
        <v>229960</v>
      </c>
      <c r="AB224" s="95">
        <f>IFERROR(IF(4*Y224&gt;AC224,1.5*Y224,4*Y224),"No Disp")</f>
        <v>862350</v>
      </c>
      <c r="AC224" s="95">
        <f>IF(Z224="No Disp","No Disp",(Z224*18)+Y224)</f>
        <v>808900</v>
      </c>
      <c r="AD224" s="95">
        <f>18*Z224-100+Y224</f>
        <v>808800</v>
      </c>
      <c r="AE224" s="95">
        <v>99900</v>
      </c>
      <c r="AF224" s="95">
        <v>40000</v>
      </c>
      <c r="AG224" s="95">
        <f>IF(AF224="No Disp","No Disp",(AF224*18)+AE224)</f>
        <v>819900</v>
      </c>
      <c r="AH224" s="95">
        <f>18*AF224-100+AE224</f>
        <v>819800</v>
      </c>
      <c r="AI224" s="95" t="s">
        <v>4613</v>
      </c>
      <c r="AJ224" s="99"/>
      <c r="AK224" s="100" t="s">
        <v>43</v>
      </c>
      <c r="AL224" s="100" t="s">
        <v>43</v>
      </c>
      <c r="AM224" s="100" t="str">
        <f>IF(AL224&lt;&gt;"No Disp",AK224+12*AL224,"No Disp")</f>
        <v>No Disp</v>
      </c>
      <c r="AN224" s="100" t="s">
        <v>43</v>
      </c>
      <c r="AO224" s="100" t="s">
        <v>43</v>
      </c>
      <c r="AP224" s="100" t="str">
        <f>IF(AO224&lt;&gt;"No Disp",AN224+12*AO224,"No Disp")</f>
        <v>No Disp</v>
      </c>
      <c r="AQ224" s="100" t="s">
        <v>43</v>
      </c>
      <c r="AR224" s="100" t="s">
        <v>43</v>
      </c>
      <c r="AS224" s="100" t="str">
        <f>IF(AR224&lt;&gt;"No Disp",AQ224+12*AR224,"No Disp")</f>
        <v>No Disp</v>
      </c>
    </row>
    <row r="225" spans="1:45" s="101" customFormat="1" x14ac:dyDescent="0.25">
      <c r="A225" s="90" t="s">
        <v>102</v>
      </c>
      <c r="B225" s="90" t="s">
        <v>39</v>
      </c>
      <c r="C225" s="90" t="s">
        <v>40</v>
      </c>
      <c r="D225" s="90" t="s">
        <v>4541</v>
      </c>
      <c r="E225" s="90" t="s">
        <v>4542</v>
      </c>
      <c r="F225" s="91">
        <v>152</v>
      </c>
      <c r="G225" s="92">
        <v>70010292</v>
      </c>
      <c r="H225" s="91">
        <v>70010293</v>
      </c>
      <c r="I225" s="93" t="s">
        <v>46</v>
      </c>
      <c r="J225" s="94" t="s">
        <v>862</v>
      </c>
      <c r="K225" s="94" t="s">
        <v>863</v>
      </c>
      <c r="L225" s="94" t="s">
        <v>3704</v>
      </c>
      <c r="M225" s="95">
        <v>39900</v>
      </c>
      <c r="N225" s="95">
        <v>2500</v>
      </c>
      <c r="O225" s="95">
        <v>4000</v>
      </c>
      <c r="P225" s="96">
        <v>0</v>
      </c>
      <c r="Q225" s="152"/>
      <c r="R225" s="95">
        <v>39900</v>
      </c>
      <c r="S225" s="95">
        <f>R225/24</f>
        <v>1662.5</v>
      </c>
      <c r="T225" s="95">
        <v>39900</v>
      </c>
      <c r="U225" s="95">
        <f>T225/24</f>
        <v>1662.5</v>
      </c>
      <c r="V225" s="95">
        <v>39900</v>
      </c>
      <c r="W225" s="95">
        <f>V225/24</f>
        <v>1662.5</v>
      </c>
      <c r="X225" s="128"/>
      <c r="Y225" s="95">
        <v>64900</v>
      </c>
      <c r="Z225" s="95">
        <v>8000</v>
      </c>
      <c r="AA225" s="95">
        <f>IFERROR(IF(D225="Premium",0.4*Y225,0),"No Disp")</f>
        <v>0</v>
      </c>
      <c r="AB225" s="95">
        <f>IFERROR(IF(4*Y225&gt;AC225,1.5*Y225,4*Y225),"No Disp")</f>
        <v>97350</v>
      </c>
      <c r="AC225" s="95">
        <f>IF(Z225="No Disp","No Disp",(Z225*18)+Y225)</f>
        <v>208900</v>
      </c>
      <c r="AD225" s="95">
        <f>18*Z225-100+Y225</f>
        <v>208800</v>
      </c>
      <c r="AE225" s="95">
        <v>19900</v>
      </c>
      <c r="AF225" s="95">
        <v>2000</v>
      </c>
      <c r="AG225" s="95">
        <f>IF(AF225="No Disp","No Disp",(AF225*18)+AE225)</f>
        <v>55900</v>
      </c>
      <c r="AH225" s="95">
        <f>18*AF225-100+AE225</f>
        <v>55800</v>
      </c>
      <c r="AI225" s="95" t="s">
        <v>4613</v>
      </c>
      <c r="AJ225" s="99"/>
      <c r="AK225" s="100" t="s">
        <v>43</v>
      </c>
      <c r="AL225" s="100" t="s">
        <v>43</v>
      </c>
      <c r="AM225" s="100" t="str">
        <f>IF(AL225&lt;&gt;"No Disp",AK225+12*AL225,"No Disp")</f>
        <v>No Disp</v>
      </c>
      <c r="AN225" s="100" t="s">
        <v>43</v>
      </c>
      <c r="AO225" s="100" t="s">
        <v>43</v>
      </c>
      <c r="AP225" s="100" t="str">
        <f>IF(AO225&lt;&gt;"No Disp",AN225+12*AO225,"No Disp")</f>
        <v>No Disp</v>
      </c>
      <c r="AQ225" s="100" t="s">
        <v>43</v>
      </c>
      <c r="AR225" s="100" t="s">
        <v>43</v>
      </c>
      <c r="AS225" s="100" t="str">
        <f>IF(AR225&lt;&gt;"No Disp",AQ225+12*AR225,"No Disp")</f>
        <v>No Disp</v>
      </c>
    </row>
    <row r="226" spans="1:45" s="101" customFormat="1" x14ac:dyDescent="0.25">
      <c r="A226" s="90" t="s">
        <v>102</v>
      </c>
      <c r="B226" s="90" t="s">
        <v>39</v>
      </c>
      <c r="C226" s="90" t="s">
        <v>39</v>
      </c>
      <c r="D226" s="90" t="s">
        <v>4541</v>
      </c>
      <c r="E226" s="90" t="s">
        <v>4542</v>
      </c>
      <c r="F226" s="91">
        <v>153</v>
      </c>
      <c r="G226" s="92">
        <v>70010298</v>
      </c>
      <c r="H226" s="91">
        <v>70010299</v>
      </c>
      <c r="I226" s="93" t="s">
        <v>46</v>
      </c>
      <c r="J226" s="94" t="s">
        <v>3705</v>
      </c>
      <c r="K226" s="94" t="s">
        <v>861</v>
      </c>
      <c r="L226" s="94" t="s">
        <v>3706</v>
      </c>
      <c r="M226" s="95">
        <v>109900</v>
      </c>
      <c r="N226" s="95">
        <v>2500</v>
      </c>
      <c r="O226" s="95">
        <v>4000</v>
      </c>
      <c r="P226" s="96">
        <v>0</v>
      </c>
      <c r="Q226" s="152"/>
      <c r="R226" s="95">
        <v>109900</v>
      </c>
      <c r="S226" s="95">
        <f>R226/24</f>
        <v>4579.166666666667</v>
      </c>
      <c r="T226" s="95">
        <v>109900</v>
      </c>
      <c r="U226" s="95">
        <f>T226/24</f>
        <v>4579.166666666667</v>
      </c>
      <c r="V226" s="95">
        <v>109900</v>
      </c>
      <c r="W226" s="95">
        <f>V226/24</f>
        <v>4579.166666666667</v>
      </c>
      <c r="X226" s="128"/>
      <c r="Y226" s="95">
        <v>79900</v>
      </c>
      <c r="Z226" s="95">
        <v>4000</v>
      </c>
      <c r="AA226" s="95">
        <f>IFERROR(IF(D226="Premium",0.4*Y226,0),"No Disp")</f>
        <v>0</v>
      </c>
      <c r="AB226" s="95">
        <f>IFERROR(IF(4*Y226&gt;AC226,1.5*Y226,4*Y226),"No Disp")</f>
        <v>119850</v>
      </c>
      <c r="AC226" s="95">
        <f>IF(Z226="No Disp","No Disp",(Z226*18)+Y226)</f>
        <v>151900</v>
      </c>
      <c r="AD226" s="95">
        <f>18*Z226-100+Y226</f>
        <v>151800</v>
      </c>
      <c r="AE226" s="95">
        <v>19900</v>
      </c>
      <c r="AF226" s="95">
        <v>7000</v>
      </c>
      <c r="AG226" s="95">
        <f>IF(AF226="No Disp","No Disp",(AF226*18)+AE226)</f>
        <v>145900</v>
      </c>
      <c r="AH226" s="95">
        <f>18*AF226-100+AE226</f>
        <v>145800</v>
      </c>
      <c r="AI226" s="95" t="s">
        <v>4613</v>
      </c>
      <c r="AJ226" s="99"/>
      <c r="AK226" s="100" t="s">
        <v>43</v>
      </c>
      <c r="AL226" s="100" t="s">
        <v>43</v>
      </c>
      <c r="AM226" s="100" t="str">
        <f>IF(AL226&lt;&gt;"No Disp",AK226+12*AL226,"No Disp")</f>
        <v>No Disp</v>
      </c>
      <c r="AN226" s="100" t="s">
        <v>43</v>
      </c>
      <c r="AO226" s="100" t="s">
        <v>43</v>
      </c>
      <c r="AP226" s="100" t="str">
        <f>IF(AO226&lt;&gt;"No Disp",AN226+12*AO226,"No Disp")</f>
        <v>No Disp</v>
      </c>
      <c r="AQ226" s="100" t="s">
        <v>43</v>
      </c>
      <c r="AR226" s="100" t="s">
        <v>43</v>
      </c>
      <c r="AS226" s="100" t="str">
        <f>IF(AR226&lt;&gt;"No Disp",AQ226+12*AR226,"No Disp")</f>
        <v>No Disp</v>
      </c>
    </row>
    <row r="227" spans="1:45" s="101" customFormat="1" x14ac:dyDescent="0.25">
      <c r="A227" s="90" t="s">
        <v>102</v>
      </c>
      <c r="B227" s="90" t="s">
        <v>39</v>
      </c>
      <c r="C227" s="90" t="s">
        <v>40</v>
      </c>
      <c r="D227" s="90" t="s">
        <v>4539</v>
      </c>
      <c r="E227" s="90" t="s">
        <v>4542</v>
      </c>
      <c r="F227" s="91">
        <v>154</v>
      </c>
      <c r="G227" s="92">
        <v>70010315</v>
      </c>
      <c r="H227" s="91">
        <v>70010316</v>
      </c>
      <c r="I227" s="93" t="s">
        <v>46</v>
      </c>
      <c r="J227" s="94" t="s">
        <v>3707</v>
      </c>
      <c r="K227" s="94" t="s">
        <v>860</v>
      </c>
      <c r="L227" s="94" t="s">
        <v>3708</v>
      </c>
      <c r="M227" s="95">
        <v>79900</v>
      </c>
      <c r="N227" s="95">
        <v>2500</v>
      </c>
      <c r="O227" s="95">
        <v>4000</v>
      </c>
      <c r="P227" s="96">
        <v>0</v>
      </c>
      <c r="Q227" s="152"/>
      <c r="R227" s="95">
        <v>79900</v>
      </c>
      <c r="S227" s="95">
        <f>R227/24</f>
        <v>3329.1666666666665</v>
      </c>
      <c r="T227" s="95">
        <v>79900</v>
      </c>
      <c r="U227" s="95">
        <f>T227/24</f>
        <v>3329.1666666666665</v>
      </c>
      <c r="V227" s="95">
        <v>79900</v>
      </c>
      <c r="W227" s="95">
        <f>V227/24</f>
        <v>3329.1666666666665</v>
      </c>
      <c r="X227" s="128"/>
      <c r="Y227" s="95">
        <v>74900</v>
      </c>
      <c r="Z227" s="95">
        <v>10000</v>
      </c>
      <c r="AA227" s="95">
        <f>IFERROR(IF(D227="Premium",0.4*Y227,0),"No Disp")</f>
        <v>0</v>
      </c>
      <c r="AB227" s="95">
        <f>IFERROR(IF(4*Y227&gt;AC227,1.5*Y227,4*Y227),"No Disp")</f>
        <v>112350</v>
      </c>
      <c r="AC227" s="95">
        <f>IF(Z227="No Disp","No Disp",(Z227*18)+Y227)</f>
        <v>254900</v>
      </c>
      <c r="AD227" s="95">
        <f>18*Z227-100+Y227</f>
        <v>254800</v>
      </c>
      <c r="AE227" s="95">
        <v>19900</v>
      </c>
      <c r="AF227" s="95">
        <v>5000</v>
      </c>
      <c r="AG227" s="95">
        <f>IF(AF227="No Disp","No Disp",(AF227*18)+AE227)</f>
        <v>109900</v>
      </c>
      <c r="AH227" s="95">
        <f>18*AF227-100+AE227</f>
        <v>109800</v>
      </c>
      <c r="AI227" s="95" t="s">
        <v>4613</v>
      </c>
      <c r="AJ227" s="99"/>
      <c r="AK227" s="100" t="s">
        <v>43</v>
      </c>
      <c r="AL227" s="100" t="s">
        <v>43</v>
      </c>
      <c r="AM227" s="100" t="str">
        <f>IF(AL227&lt;&gt;"No Disp",AK227+12*AL227,"No Disp")</f>
        <v>No Disp</v>
      </c>
      <c r="AN227" s="100" t="s">
        <v>43</v>
      </c>
      <c r="AO227" s="100" t="s">
        <v>43</v>
      </c>
      <c r="AP227" s="100" t="str">
        <f>IF(AO227&lt;&gt;"No Disp",AN227+12*AO227,"No Disp")</f>
        <v>No Disp</v>
      </c>
      <c r="AQ227" s="100" t="s">
        <v>43</v>
      </c>
      <c r="AR227" s="100" t="s">
        <v>43</v>
      </c>
      <c r="AS227" s="100" t="str">
        <f>IF(AR227&lt;&gt;"No Disp",AQ227+12*AR227,"No Disp")</f>
        <v>No Disp</v>
      </c>
    </row>
    <row r="228" spans="1:45" s="101" customFormat="1" x14ac:dyDescent="0.25">
      <c r="A228" s="90" t="s">
        <v>102</v>
      </c>
      <c r="B228" s="90" t="s">
        <v>39</v>
      </c>
      <c r="C228" s="90" t="s">
        <v>40</v>
      </c>
      <c r="D228" s="90" t="s">
        <v>4541</v>
      </c>
      <c r="E228" s="90" t="s">
        <v>4542</v>
      </c>
      <c r="F228" s="91">
        <v>155</v>
      </c>
      <c r="G228" s="92">
        <v>70010317</v>
      </c>
      <c r="H228" s="91">
        <v>70010318</v>
      </c>
      <c r="I228" s="93" t="s">
        <v>87</v>
      </c>
      <c r="J228" s="94" t="s">
        <v>3709</v>
      </c>
      <c r="K228" s="94" t="s">
        <v>859</v>
      </c>
      <c r="L228" s="94" t="s">
        <v>3710</v>
      </c>
      <c r="M228" s="95">
        <v>39900</v>
      </c>
      <c r="N228" s="95">
        <v>2500</v>
      </c>
      <c r="O228" s="95">
        <v>4000</v>
      </c>
      <c r="P228" s="96">
        <v>0</v>
      </c>
      <c r="Q228" s="152"/>
      <c r="R228" s="95">
        <v>39900</v>
      </c>
      <c r="S228" s="95">
        <f>R228/24</f>
        <v>1662.5</v>
      </c>
      <c r="T228" s="95">
        <v>39900</v>
      </c>
      <c r="U228" s="95">
        <f>T228/24</f>
        <v>1662.5</v>
      </c>
      <c r="V228" s="95">
        <v>39900</v>
      </c>
      <c r="W228" s="95">
        <f>V228/24</f>
        <v>1662.5</v>
      </c>
      <c r="X228" s="128"/>
      <c r="Y228" s="95">
        <v>59900</v>
      </c>
      <c r="Z228" s="95">
        <v>8000</v>
      </c>
      <c r="AA228" s="95">
        <f>IFERROR(IF(D228="Premium",0.4*Y228,0),"No Disp")</f>
        <v>0</v>
      </c>
      <c r="AB228" s="95">
        <f>IFERROR(IF(4*Y228&gt;AC228,1.5*Y228,4*Y228),"No Disp")</f>
        <v>89850</v>
      </c>
      <c r="AC228" s="95">
        <f>IF(Z228="No Disp","No Disp",(Z228*18)+Y228)</f>
        <v>203900</v>
      </c>
      <c r="AD228" s="95">
        <f>18*Z228-100+Y228</f>
        <v>203800</v>
      </c>
      <c r="AE228" s="95">
        <v>19900</v>
      </c>
      <c r="AF228" s="95">
        <v>2000</v>
      </c>
      <c r="AG228" s="95">
        <f>IF(AF228="No Disp","No Disp",(AF228*18)+AE228)</f>
        <v>55900</v>
      </c>
      <c r="AH228" s="95">
        <f>18*AF228-100+AE228</f>
        <v>55800</v>
      </c>
      <c r="AI228" s="95" t="s">
        <v>4613</v>
      </c>
      <c r="AJ228" s="99"/>
      <c r="AK228" s="100" t="s">
        <v>43</v>
      </c>
      <c r="AL228" s="100" t="s">
        <v>43</v>
      </c>
      <c r="AM228" s="100" t="str">
        <f>IF(AL228&lt;&gt;"No Disp",AK228+12*AL228,"No Disp")</f>
        <v>No Disp</v>
      </c>
      <c r="AN228" s="100" t="s">
        <v>43</v>
      </c>
      <c r="AO228" s="100" t="s">
        <v>43</v>
      </c>
      <c r="AP228" s="100" t="str">
        <f>IF(AO228&lt;&gt;"No Disp",AN228+12*AO228,"No Disp")</f>
        <v>No Disp</v>
      </c>
      <c r="AQ228" s="100" t="s">
        <v>43</v>
      </c>
      <c r="AR228" s="100" t="s">
        <v>43</v>
      </c>
      <c r="AS228" s="100" t="str">
        <f>IF(AR228&lt;&gt;"No Disp",AQ228+12*AR228,"No Disp")</f>
        <v>No Disp</v>
      </c>
    </row>
    <row r="229" spans="1:45" s="101" customFormat="1" x14ac:dyDescent="0.25">
      <c r="A229" s="90" t="s">
        <v>38</v>
      </c>
      <c r="B229" s="90" t="s">
        <v>40</v>
      </c>
      <c r="C229" s="90" t="s">
        <v>39</v>
      </c>
      <c r="D229" s="90" t="s">
        <v>4537</v>
      </c>
      <c r="E229" s="90" t="s">
        <v>4542</v>
      </c>
      <c r="F229" s="91">
        <v>157</v>
      </c>
      <c r="G229" s="92">
        <v>70010344</v>
      </c>
      <c r="H229" s="91">
        <v>70010345</v>
      </c>
      <c r="I229" s="93" t="s">
        <v>87</v>
      </c>
      <c r="J229" s="94" t="s">
        <v>3711</v>
      </c>
      <c r="K229" s="94" t="s">
        <v>3712</v>
      </c>
      <c r="L229" s="94" t="s">
        <v>3713</v>
      </c>
      <c r="M229" s="95">
        <v>199900</v>
      </c>
      <c r="N229" s="95">
        <v>6000</v>
      </c>
      <c r="O229" s="95">
        <v>8500</v>
      </c>
      <c r="P229" s="96">
        <v>0</v>
      </c>
      <c r="Q229" s="152"/>
      <c r="R229" s="95">
        <v>199900</v>
      </c>
      <c r="S229" s="95">
        <f>R229/24</f>
        <v>8329.1666666666661</v>
      </c>
      <c r="T229" s="95">
        <v>199900</v>
      </c>
      <c r="U229" s="95">
        <f>T229/24</f>
        <v>8329.1666666666661</v>
      </c>
      <c r="V229" s="95">
        <v>199900</v>
      </c>
      <c r="W229" s="95">
        <f>V229/24</f>
        <v>8329.1666666666661</v>
      </c>
      <c r="X229" s="128"/>
      <c r="Y229" s="95">
        <v>599900</v>
      </c>
      <c r="Z229" s="95">
        <v>19500</v>
      </c>
      <c r="AA229" s="95">
        <f>IFERROR(IF(D229="Premium",0.4*Y229,0),"No Disp")</f>
        <v>0</v>
      </c>
      <c r="AB229" s="95">
        <f>IFERROR(IF(4*Y229&gt;AC229,1.5*Y229,4*Y229),"No Disp")</f>
        <v>899850</v>
      </c>
      <c r="AC229" s="95">
        <f>IF(Z229="No Disp","No Disp",(Z229*18)+Y229)</f>
        <v>950900</v>
      </c>
      <c r="AD229" s="95">
        <f>18*Z229-100+Y229</f>
        <v>950800</v>
      </c>
      <c r="AE229" s="95">
        <v>19900</v>
      </c>
      <c r="AF229" s="95">
        <v>15000</v>
      </c>
      <c r="AG229" s="95">
        <f>IF(AF229="No Disp","No Disp",(AF229*18)+AE229)</f>
        <v>289900</v>
      </c>
      <c r="AH229" s="95">
        <f>18*AF229-100+AE229</f>
        <v>289800</v>
      </c>
      <c r="AI229" s="95" t="s">
        <v>4613</v>
      </c>
      <c r="AJ229" s="99"/>
      <c r="AK229" s="100" t="s">
        <v>43</v>
      </c>
      <c r="AL229" s="100" t="s">
        <v>43</v>
      </c>
      <c r="AM229" s="100" t="str">
        <f>IF(AL229&lt;&gt;"No Disp",AK229+12*AL229,"No Disp")</f>
        <v>No Disp</v>
      </c>
      <c r="AN229" s="100" t="s">
        <v>43</v>
      </c>
      <c r="AO229" s="100" t="s">
        <v>43</v>
      </c>
      <c r="AP229" s="100" t="str">
        <f>IF(AO229&lt;&gt;"No Disp",AN229+12*AO229,"No Disp")</f>
        <v>No Disp</v>
      </c>
      <c r="AQ229" s="100" t="s">
        <v>43</v>
      </c>
      <c r="AR229" s="100" t="s">
        <v>43</v>
      </c>
      <c r="AS229" s="100" t="str">
        <f>IF(AR229&lt;&gt;"No Disp",AQ229+12*AR229,"No Disp")</f>
        <v>No Disp</v>
      </c>
    </row>
    <row r="230" spans="1:45" s="101" customFormat="1" x14ac:dyDescent="0.25">
      <c r="A230" s="90" t="s">
        <v>38</v>
      </c>
      <c r="B230" s="90" t="s">
        <v>39</v>
      </c>
      <c r="C230" s="90" t="s">
        <v>40</v>
      </c>
      <c r="D230" s="90" t="s">
        <v>4540</v>
      </c>
      <c r="E230" s="90" t="s">
        <v>4542</v>
      </c>
      <c r="F230" s="91">
        <v>161</v>
      </c>
      <c r="G230" s="92">
        <v>70010362</v>
      </c>
      <c r="H230" s="91">
        <v>70010363</v>
      </c>
      <c r="I230" s="93" t="s">
        <v>46</v>
      </c>
      <c r="J230" s="94" t="s">
        <v>853</v>
      </c>
      <c r="K230" s="94" t="s">
        <v>854</v>
      </c>
      <c r="L230" s="94" t="s">
        <v>3714</v>
      </c>
      <c r="M230" s="95">
        <v>199900</v>
      </c>
      <c r="N230" s="95">
        <v>6000</v>
      </c>
      <c r="O230" s="95">
        <v>8500</v>
      </c>
      <c r="P230" s="96">
        <v>0</v>
      </c>
      <c r="Q230" s="152"/>
      <c r="R230" s="95">
        <v>209900</v>
      </c>
      <c r="S230" s="95">
        <f>R230/24</f>
        <v>8745.8333333333339</v>
      </c>
      <c r="T230" s="95">
        <v>199900</v>
      </c>
      <c r="U230" s="95">
        <f>T230/24</f>
        <v>8329.1666666666661</v>
      </c>
      <c r="V230" s="95">
        <v>199900</v>
      </c>
      <c r="W230" s="95">
        <f>V230/24</f>
        <v>8329.1666666666661</v>
      </c>
      <c r="X230" s="128"/>
      <c r="Y230" s="95">
        <v>289900</v>
      </c>
      <c r="Z230" s="95">
        <v>18000</v>
      </c>
      <c r="AA230" s="95">
        <f>IFERROR(IF(D230="Premium",0.4*Y230,0),"No Disp")</f>
        <v>115960</v>
      </c>
      <c r="AB230" s="95">
        <f>IFERROR(IF(4*Y230&gt;AC230,1.5*Y230,4*Y230),"No Disp")</f>
        <v>434850</v>
      </c>
      <c r="AC230" s="95">
        <f>IF(Z230="No Disp","No Disp",(Z230*18)+Y230)</f>
        <v>613900</v>
      </c>
      <c r="AD230" s="95">
        <f>18*Z230-100+Y230</f>
        <v>613800</v>
      </c>
      <c r="AE230" s="95">
        <v>79900</v>
      </c>
      <c r="AF230" s="95">
        <v>29000</v>
      </c>
      <c r="AG230" s="95">
        <f>IF(AF230="No Disp","No Disp",(AF230*18)+AE230)</f>
        <v>601900</v>
      </c>
      <c r="AH230" s="95">
        <f>18*AF230-100+AE230</f>
        <v>601800</v>
      </c>
      <c r="AI230" s="95" t="s">
        <v>4613</v>
      </c>
      <c r="AJ230" s="99"/>
      <c r="AK230" s="100" t="s">
        <v>43</v>
      </c>
      <c r="AL230" s="100" t="s">
        <v>43</v>
      </c>
      <c r="AM230" s="100" t="str">
        <f>IF(AL230&lt;&gt;"No Disp",AK230+12*AL230,"No Disp")</f>
        <v>No Disp</v>
      </c>
      <c r="AN230" s="100" t="s">
        <v>43</v>
      </c>
      <c r="AO230" s="100" t="s">
        <v>43</v>
      </c>
      <c r="AP230" s="100" t="str">
        <f>IF(AO230&lt;&gt;"No Disp",AN230+12*AO230,"No Disp")</f>
        <v>No Disp</v>
      </c>
      <c r="AQ230" s="100" t="s">
        <v>43</v>
      </c>
      <c r="AR230" s="100" t="s">
        <v>43</v>
      </c>
      <c r="AS230" s="100" t="str">
        <f>IF(AR230&lt;&gt;"No Disp",AQ230+12*AR230,"No Disp")</f>
        <v>No Disp</v>
      </c>
    </row>
    <row r="231" spans="1:45" s="101" customFormat="1" x14ac:dyDescent="0.25">
      <c r="A231" s="90" t="s">
        <v>102</v>
      </c>
      <c r="B231" s="90" t="s">
        <v>39</v>
      </c>
      <c r="C231" s="90" t="s">
        <v>40</v>
      </c>
      <c r="D231" s="90" t="s">
        <v>4541</v>
      </c>
      <c r="E231" s="90" t="s">
        <v>4542</v>
      </c>
      <c r="F231" s="91">
        <v>165</v>
      </c>
      <c r="G231" s="92">
        <v>70010388</v>
      </c>
      <c r="H231" s="91">
        <v>70010371</v>
      </c>
      <c r="I231" s="93" t="s">
        <v>87</v>
      </c>
      <c r="J231" s="94" t="s">
        <v>847</v>
      </c>
      <c r="K231" s="94" t="s">
        <v>848</v>
      </c>
      <c r="L231" s="94" t="s">
        <v>3715</v>
      </c>
      <c r="M231" s="95">
        <v>39900</v>
      </c>
      <c r="N231" s="95">
        <v>2500</v>
      </c>
      <c r="O231" s="95">
        <v>4000</v>
      </c>
      <c r="P231" s="96">
        <v>0</v>
      </c>
      <c r="Q231" s="152"/>
      <c r="R231" s="95">
        <v>39900</v>
      </c>
      <c r="S231" s="95">
        <f>R231/24</f>
        <v>1662.5</v>
      </c>
      <c r="T231" s="95">
        <v>39900</v>
      </c>
      <c r="U231" s="95">
        <f>T231/24</f>
        <v>1662.5</v>
      </c>
      <c r="V231" s="95">
        <v>39900</v>
      </c>
      <c r="W231" s="95">
        <f>V231/24</f>
        <v>1662.5</v>
      </c>
      <c r="X231" s="128"/>
      <c r="Y231" s="95">
        <v>99900</v>
      </c>
      <c r="Z231" s="95">
        <v>10000</v>
      </c>
      <c r="AA231" s="95">
        <f>IFERROR(IF(D231="Premium",0.4*Y231,0),"No Disp")</f>
        <v>0</v>
      </c>
      <c r="AB231" s="95">
        <f>IFERROR(IF(4*Y231&gt;AC231,1.5*Y231,4*Y231),"No Disp")</f>
        <v>149850</v>
      </c>
      <c r="AC231" s="95">
        <f>IF(Z231="No Disp","No Disp",(Z231*18)+Y231)</f>
        <v>279900</v>
      </c>
      <c r="AD231" s="95">
        <f>18*Z231-100+Y231</f>
        <v>279800</v>
      </c>
      <c r="AE231" s="95">
        <v>19900</v>
      </c>
      <c r="AF231" s="95">
        <v>2000</v>
      </c>
      <c r="AG231" s="95">
        <f>IF(AF231="No Disp","No Disp",(AF231*18)+AE231)</f>
        <v>55900</v>
      </c>
      <c r="AH231" s="95">
        <f>18*AF231-100+AE231</f>
        <v>55800</v>
      </c>
      <c r="AI231" s="95" t="s">
        <v>4613</v>
      </c>
      <c r="AJ231" s="99"/>
      <c r="AK231" s="100" t="s">
        <v>43</v>
      </c>
      <c r="AL231" s="100" t="s">
        <v>43</v>
      </c>
      <c r="AM231" s="100" t="str">
        <f>IF(AL231&lt;&gt;"No Disp",AK231+12*AL231,"No Disp")</f>
        <v>No Disp</v>
      </c>
      <c r="AN231" s="100" t="s">
        <v>43</v>
      </c>
      <c r="AO231" s="100" t="s">
        <v>43</v>
      </c>
      <c r="AP231" s="100" t="str">
        <f>IF(AO231&lt;&gt;"No Disp",AN231+12*AO231,"No Disp")</f>
        <v>No Disp</v>
      </c>
      <c r="AQ231" s="100" t="s">
        <v>43</v>
      </c>
      <c r="AR231" s="100" t="s">
        <v>43</v>
      </c>
      <c r="AS231" s="100" t="str">
        <f>IF(AR231&lt;&gt;"No Disp",AQ231+12*AR231,"No Disp")</f>
        <v>No Disp</v>
      </c>
    </row>
    <row r="232" spans="1:45" s="101" customFormat="1" x14ac:dyDescent="0.25">
      <c r="A232" s="90" t="s">
        <v>102</v>
      </c>
      <c r="B232" s="90" t="s">
        <v>39</v>
      </c>
      <c r="C232" s="90" t="s">
        <v>40</v>
      </c>
      <c r="D232" s="90" t="s">
        <v>4541</v>
      </c>
      <c r="E232" s="90" t="s">
        <v>4542</v>
      </c>
      <c r="F232" s="91">
        <v>162</v>
      </c>
      <c r="G232" s="92">
        <v>70010372</v>
      </c>
      <c r="H232" s="91">
        <v>70010373</v>
      </c>
      <c r="I232" s="93" t="s">
        <v>87</v>
      </c>
      <c r="J232" s="94" t="s">
        <v>847</v>
      </c>
      <c r="K232" s="94" t="s">
        <v>852</v>
      </c>
      <c r="L232" s="94" t="s">
        <v>3716</v>
      </c>
      <c r="M232" s="95">
        <v>39900</v>
      </c>
      <c r="N232" s="95">
        <v>2500</v>
      </c>
      <c r="O232" s="95">
        <v>4000</v>
      </c>
      <c r="P232" s="96">
        <v>0</v>
      </c>
      <c r="Q232" s="152"/>
      <c r="R232" s="95">
        <v>39900</v>
      </c>
      <c r="S232" s="95">
        <f>R232/24</f>
        <v>1662.5</v>
      </c>
      <c r="T232" s="95">
        <v>39900</v>
      </c>
      <c r="U232" s="95">
        <f>T232/24</f>
        <v>1662.5</v>
      </c>
      <c r="V232" s="95">
        <v>39900</v>
      </c>
      <c r="W232" s="95">
        <f>V232/24</f>
        <v>1662.5</v>
      </c>
      <c r="X232" s="128"/>
      <c r="Y232" s="95">
        <v>99900</v>
      </c>
      <c r="Z232" s="95">
        <v>10000</v>
      </c>
      <c r="AA232" s="95">
        <f>IFERROR(IF(D232="Premium",0.4*Y232,0),"No Disp")</f>
        <v>0</v>
      </c>
      <c r="AB232" s="95">
        <f>IFERROR(IF(4*Y232&gt;AC232,1.5*Y232,4*Y232),"No Disp")</f>
        <v>149850</v>
      </c>
      <c r="AC232" s="95">
        <f>IF(Z232="No Disp","No Disp",(Z232*18)+Y232)</f>
        <v>279900</v>
      </c>
      <c r="AD232" s="95">
        <f>18*Z232-100+Y232</f>
        <v>279800</v>
      </c>
      <c r="AE232" s="95">
        <v>19900</v>
      </c>
      <c r="AF232" s="95">
        <v>2000</v>
      </c>
      <c r="AG232" s="95">
        <f>IF(AF232="No Disp","No Disp",(AF232*18)+AE232)</f>
        <v>55900</v>
      </c>
      <c r="AH232" s="95">
        <f>18*AF232-100+AE232</f>
        <v>55800</v>
      </c>
      <c r="AI232" s="95" t="s">
        <v>4613</v>
      </c>
      <c r="AJ232" s="99"/>
      <c r="AK232" s="100" t="s">
        <v>43</v>
      </c>
      <c r="AL232" s="100" t="s">
        <v>43</v>
      </c>
      <c r="AM232" s="100" t="str">
        <f>IF(AL232&lt;&gt;"No Disp",AK232+12*AL232,"No Disp")</f>
        <v>No Disp</v>
      </c>
      <c r="AN232" s="100" t="s">
        <v>43</v>
      </c>
      <c r="AO232" s="100" t="s">
        <v>43</v>
      </c>
      <c r="AP232" s="100" t="str">
        <f>IF(AO232&lt;&gt;"No Disp",AN232+12*AO232,"No Disp")</f>
        <v>No Disp</v>
      </c>
      <c r="AQ232" s="100" t="s">
        <v>43</v>
      </c>
      <c r="AR232" s="100" t="s">
        <v>43</v>
      </c>
      <c r="AS232" s="100" t="str">
        <f>IF(AR232&lt;&gt;"No Disp",AQ232+12*AR232,"No Disp")</f>
        <v>No Disp</v>
      </c>
    </row>
    <row r="233" spans="1:45" s="101" customFormat="1" x14ac:dyDescent="0.25">
      <c r="A233" s="90" t="s">
        <v>102</v>
      </c>
      <c r="B233" s="90" t="s">
        <v>39</v>
      </c>
      <c r="C233" s="90" t="s">
        <v>40</v>
      </c>
      <c r="D233" s="90" t="s">
        <v>4541</v>
      </c>
      <c r="E233" s="90" t="s">
        <v>4542</v>
      </c>
      <c r="F233" s="91">
        <v>164</v>
      </c>
      <c r="G233" s="92">
        <v>70010380</v>
      </c>
      <c r="H233" s="91">
        <v>70010381</v>
      </c>
      <c r="I233" s="93" t="s">
        <v>131</v>
      </c>
      <c r="J233" s="94" t="s">
        <v>3717</v>
      </c>
      <c r="K233" s="94" t="s">
        <v>849</v>
      </c>
      <c r="L233" s="94" t="s">
        <v>3718</v>
      </c>
      <c r="M233" s="95">
        <v>89900</v>
      </c>
      <c r="N233" s="95">
        <v>2500</v>
      </c>
      <c r="O233" s="95">
        <v>4000</v>
      </c>
      <c r="P233" s="96">
        <v>0</v>
      </c>
      <c r="Q233" s="152"/>
      <c r="R233" s="95">
        <v>89900</v>
      </c>
      <c r="S233" s="95">
        <f>R233/24</f>
        <v>3745.8333333333335</v>
      </c>
      <c r="T233" s="95">
        <v>89900</v>
      </c>
      <c r="U233" s="95">
        <f>T233/24</f>
        <v>3745.8333333333335</v>
      </c>
      <c r="V233" s="95">
        <v>89900</v>
      </c>
      <c r="W233" s="95">
        <f>V233/24</f>
        <v>3745.8333333333335</v>
      </c>
      <c r="X233" s="128"/>
      <c r="Y233" s="95">
        <v>74900</v>
      </c>
      <c r="Z233" s="95">
        <v>7500</v>
      </c>
      <c r="AA233" s="95">
        <f>IFERROR(IF(D233="Premium",0.4*Y233,0),"No Disp")</f>
        <v>0</v>
      </c>
      <c r="AB233" s="95">
        <f>IFERROR(IF(4*Y233&gt;AC233,1.5*Y233,4*Y233),"No Disp")</f>
        <v>112350</v>
      </c>
      <c r="AC233" s="95">
        <f>IF(Z233="No Disp","No Disp",(Z233*18)+Y233)</f>
        <v>209900</v>
      </c>
      <c r="AD233" s="95">
        <f>18*Z233-100+Y233</f>
        <v>209800</v>
      </c>
      <c r="AE233" s="95">
        <v>19900</v>
      </c>
      <c r="AF233" s="95">
        <v>5000</v>
      </c>
      <c r="AG233" s="95">
        <f>IF(AF233="No Disp","No Disp",(AF233*18)+AE233)</f>
        <v>109900</v>
      </c>
      <c r="AH233" s="95">
        <f>18*AF233-100+AE233</f>
        <v>109800</v>
      </c>
      <c r="AI233" s="95" t="s">
        <v>4613</v>
      </c>
      <c r="AJ233" s="99"/>
      <c r="AK233" s="100" t="s">
        <v>43</v>
      </c>
      <c r="AL233" s="100" t="s">
        <v>43</v>
      </c>
      <c r="AM233" s="100" t="str">
        <f>IF(AL233&lt;&gt;"No Disp",AK233+12*AL233,"No Disp")</f>
        <v>No Disp</v>
      </c>
      <c r="AN233" s="100" t="s">
        <v>43</v>
      </c>
      <c r="AO233" s="100" t="s">
        <v>43</v>
      </c>
      <c r="AP233" s="100" t="str">
        <f>IF(AO233&lt;&gt;"No Disp",AN233+12*AO233,"No Disp")</f>
        <v>No Disp</v>
      </c>
      <c r="AQ233" s="100" t="s">
        <v>43</v>
      </c>
      <c r="AR233" s="100" t="s">
        <v>43</v>
      </c>
      <c r="AS233" s="100" t="str">
        <f>IF(AR233&lt;&gt;"No Disp",AQ233+12*AR233,"No Disp")</f>
        <v>No Disp</v>
      </c>
    </row>
    <row r="234" spans="1:45" s="101" customFormat="1" x14ac:dyDescent="0.25">
      <c r="A234" s="90" t="s">
        <v>102</v>
      </c>
      <c r="B234" s="90" t="s">
        <v>39</v>
      </c>
      <c r="C234" s="90" t="s">
        <v>40</v>
      </c>
      <c r="D234" s="90" t="s">
        <v>4541</v>
      </c>
      <c r="E234" s="90" t="s">
        <v>4542</v>
      </c>
      <c r="F234" s="91">
        <v>166</v>
      </c>
      <c r="G234" s="92">
        <v>70010397</v>
      </c>
      <c r="H234" s="91">
        <v>70010398</v>
      </c>
      <c r="I234" s="93" t="s">
        <v>87</v>
      </c>
      <c r="J234" s="94" t="s">
        <v>3498</v>
      </c>
      <c r="K234" s="94" t="s">
        <v>846</v>
      </c>
      <c r="L234" s="94" t="s">
        <v>3719</v>
      </c>
      <c r="M234" s="95">
        <v>34900</v>
      </c>
      <c r="N234" s="95">
        <v>2500</v>
      </c>
      <c r="O234" s="95">
        <v>4000</v>
      </c>
      <c r="P234" s="96">
        <v>0</v>
      </c>
      <c r="Q234" s="152"/>
      <c r="R234" s="95">
        <v>34900</v>
      </c>
      <c r="S234" s="95">
        <f>R234/24</f>
        <v>1454.1666666666667</v>
      </c>
      <c r="T234" s="95">
        <v>34900</v>
      </c>
      <c r="U234" s="95">
        <f>T234/24</f>
        <v>1454.1666666666667</v>
      </c>
      <c r="V234" s="95">
        <v>34900</v>
      </c>
      <c r="W234" s="95">
        <f>V234/24</f>
        <v>1454.1666666666667</v>
      </c>
      <c r="X234" s="128"/>
      <c r="Y234" s="95">
        <v>89900</v>
      </c>
      <c r="Z234" s="95">
        <v>6000</v>
      </c>
      <c r="AA234" s="95">
        <f>IFERROR(IF(D234="Premium",0.4*Y234,0),"No Disp")</f>
        <v>0</v>
      </c>
      <c r="AB234" s="95">
        <f>IFERROR(IF(4*Y234&gt;AC234,1.5*Y234,4*Y234),"No Disp")</f>
        <v>134850</v>
      </c>
      <c r="AC234" s="95">
        <f>IF(Z234="No Disp","No Disp",(Z234*18)+Y234)</f>
        <v>197900</v>
      </c>
      <c r="AD234" s="95">
        <f>18*Z234-100+Y234</f>
        <v>197800</v>
      </c>
      <c r="AE234" s="95">
        <v>19900</v>
      </c>
      <c r="AF234" s="95">
        <v>2000</v>
      </c>
      <c r="AG234" s="95">
        <f>IF(AF234="No Disp","No Disp",(AF234*18)+AE234)</f>
        <v>55900</v>
      </c>
      <c r="AH234" s="95">
        <f>18*AF234-100+AE234</f>
        <v>55800</v>
      </c>
      <c r="AI234" s="95" t="s">
        <v>4613</v>
      </c>
      <c r="AJ234" s="99"/>
      <c r="AK234" s="100" t="s">
        <v>43</v>
      </c>
      <c r="AL234" s="100" t="s">
        <v>43</v>
      </c>
      <c r="AM234" s="100" t="str">
        <f>IF(AL234&lt;&gt;"No Disp",AK234+12*AL234,"No Disp")</f>
        <v>No Disp</v>
      </c>
      <c r="AN234" s="100" t="s">
        <v>43</v>
      </c>
      <c r="AO234" s="100" t="s">
        <v>43</v>
      </c>
      <c r="AP234" s="100" t="str">
        <f>IF(AO234&lt;&gt;"No Disp",AN234+12*AO234,"No Disp")</f>
        <v>No Disp</v>
      </c>
      <c r="AQ234" s="100" t="s">
        <v>43</v>
      </c>
      <c r="AR234" s="100" t="s">
        <v>43</v>
      </c>
      <c r="AS234" s="100" t="str">
        <f>IF(AR234&lt;&gt;"No Disp",AQ234+12*AR234,"No Disp")</f>
        <v>No Disp</v>
      </c>
    </row>
    <row r="235" spans="1:45" s="101" customFormat="1" x14ac:dyDescent="0.25">
      <c r="A235" s="90" t="s">
        <v>38</v>
      </c>
      <c r="B235" s="90" t="s">
        <v>39</v>
      </c>
      <c r="C235" s="90" t="s">
        <v>40</v>
      </c>
      <c r="D235" s="90" t="s">
        <v>4539</v>
      </c>
      <c r="E235" s="90" t="s">
        <v>4542</v>
      </c>
      <c r="F235" s="91">
        <v>208</v>
      </c>
      <c r="G235" s="92">
        <v>70010403</v>
      </c>
      <c r="H235" s="91">
        <v>70010404</v>
      </c>
      <c r="I235" s="93" t="s">
        <v>87</v>
      </c>
      <c r="J235" s="94" t="s">
        <v>791</v>
      </c>
      <c r="K235" s="94" t="s">
        <v>792</v>
      </c>
      <c r="L235" s="94" t="s">
        <v>793</v>
      </c>
      <c r="M235" s="95">
        <v>89900</v>
      </c>
      <c r="N235" s="95">
        <v>2500</v>
      </c>
      <c r="O235" s="95">
        <v>4000</v>
      </c>
      <c r="P235" s="96">
        <v>0</v>
      </c>
      <c r="Q235" s="152"/>
      <c r="R235" s="95">
        <v>89900</v>
      </c>
      <c r="S235" s="95">
        <f>R235/24</f>
        <v>3745.8333333333335</v>
      </c>
      <c r="T235" s="95">
        <v>89900</v>
      </c>
      <c r="U235" s="95">
        <f>T235/24</f>
        <v>3745.8333333333335</v>
      </c>
      <c r="V235" s="95">
        <v>89900</v>
      </c>
      <c r="W235" s="95">
        <f>V235/24</f>
        <v>3745.8333333333335</v>
      </c>
      <c r="X235" s="128"/>
      <c r="Y235" s="95">
        <v>59900</v>
      </c>
      <c r="Z235" s="95">
        <v>6500</v>
      </c>
      <c r="AA235" s="95">
        <f>IFERROR(IF(D235="Premium",0.4*Y235,0),"No Disp")</f>
        <v>0</v>
      </c>
      <c r="AB235" s="95">
        <f>IFERROR(IF(4*Y235&gt;AC235,1.5*Y235,4*Y235),"No Disp")</f>
        <v>89850</v>
      </c>
      <c r="AC235" s="95">
        <f>IF(Z235="No Disp","No Disp",(Z235*18)+Y235)</f>
        <v>176900</v>
      </c>
      <c r="AD235" s="95">
        <f>18*Z235-100+Y235</f>
        <v>176800</v>
      </c>
      <c r="AE235" s="95">
        <v>19900</v>
      </c>
      <c r="AF235" s="95">
        <v>6000</v>
      </c>
      <c r="AG235" s="95">
        <f>IF(AF235="No Disp","No Disp",(AF235*18)+AE235)</f>
        <v>127900</v>
      </c>
      <c r="AH235" s="95">
        <f>18*AF235-100+AE235</f>
        <v>127800</v>
      </c>
      <c r="AI235" s="95" t="s">
        <v>4613</v>
      </c>
      <c r="AJ235" s="99"/>
      <c r="AK235" s="100" t="s">
        <v>43</v>
      </c>
      <c r="AL235" s="100" t="s">
        <v>43</v>
      </c>
      <c r="AM235" s="100" t="str">
        <f>IF(AL235&lt;&gt;"No Disp",AK235+12*AL235,"No Disp")</f>
        <v>No Disp</v>
      </c>
      <c r="AN235" s="100" t="s">
        <v>43</v>
      </c>
      <c r="AO235" s="100" t="s">
        <v>43</v>
      </c>
      <c r="AP235" s="100" t="str">
        <f>IF(AO235&lt;&gt;"No Disp",AN235+12*AO235,"No Disp")</f>
        <v>No Disp</v>
      </c>
      <c r="AQ235" s="100" t="s">
        <v>43</v>
      </c>
      <c r="AR235" s="100" t="s">
        <v>43</v>
      </c>
      <c r="AS235" s="100" t="str">
        <f>IF(AR235&lt;&gt;"No Disp",AQ235+12*AR235,"No Disp")</f>
        <v>No Disp</v>
      </c>
    </row>
    <row r="236" spans="1:45" s="101" customFormat="1" x14ac:dyDescent="0.25">
      <c r="A236" s="90" t="s">
        <v>102</v>
      </c>
      <c r="B236" s="90" t="s">
        <v>39</v>
      </c>
      <c r="C236" s="90" t="s">
        <v>40</v>
      </c>
      <c r="D236" s="90" t="s">
        <v>4541</v>
      </c>
      <c r="E236" s="90" t="s">
        <v>4542</v>
      </c>
      <c r="F236" s="91">
        <v>167</v>
      </c>
      <c r="G236" s="92">
        <v>70010406</v>
      </c>
      <c r="H236" s="91">
        <v>70010407</v>
      </c>
      <c r="I236" s="93" t="s">
        <v>87</v>
      </c>
      <c r="J236" s="94" t="s">
        <v>844</v>
      </c>
      <c r="K236" s="94" t="s">
        <v>845</v>
      </c>
      <c r="L236" s="94" t="s">
        <v>3720</v>
      </c>
      <c r="M236" s="95">
        <v>59900</v>
      </c>
      <c r="N236" s="95">
        <v>2500</v>
      </c>
      <c r="O236" s="95">
        <v>4000</v>
      </c>
      <c r="P236" s="96">
        <v>0</v>
      </c>
      <c r="Q236" s="152"/>
      <c r="R236" s="95">
        <v>59900</v>
      </c>
      <c r="S236" s="95">
        <f>R236/24</f>
        <v>2495.8333333333335</v>
      </c>
      <c r="T236" s="95">
        <v>59900</v>
      </c>
      <c r="U236" s="95">
        <f>T236/24</f>
        <v>2495.8333333333335</v>
      </c>
      <c r="V236" s="95">
        <v>59900</v>
      </c>
      <c r="W236" s="95">
        <f>V236/24</f>
        <v>2495.8333333333335</v>
      </c>
      <c r="X236" s="128"/>
      <c r="Y236" s="95">
        <v>29900</v>
      </c>
      <c r="Z236" s="95">
        <v>3000</v>
      </c>
      <c r="AA236" s="95">
        <f>IFERROR(IF(D236="Premium",0.4*Y236,0),"No Disp")</f>
        <v>0</v>
      </c>
      <c r="AB236" s="95">
        <f>IFERROR(IF(4*Y236&gt;AC236,1.5*Y236,4*Y236),"No Disp")</f>
        <v>44850</v>
      </c>
      <c r="AC236" s="95">
        <f>IF(Z236="No Disp","No Disp",(Z236*18)+Y236)</f>
        <v>83900</v>
      </c>
      <c r="AD236" s="95">
        <f>18*Z236-100+Y236</f>
        <v>83800</v>
      </c>
      <c r="AE236" s="95">
        <v>19900</v>
      </c>
      <c r="AF236" s="95">
        <v>3500</v>
      </c>
      <c r="AG236" s="95">
        <f>IF(AF236="No Disp","No Disp",(AF236*18)+AE236)</f>
        <v>82900</v>
      </c>
      <c r="AH236" s="95">
        <f>18*AF236-100+AE236</f>
        <v>82800</v>
      </c>
      <c r="AI236" s="95" t="s">
        <v>4613</v>
      </c>
      <c r="AJ236" s="99"/>
      <c r="AK236" s="100" t="s">
        <v>43</v>
      </c>
      <c r="AL236" s="100" t="s">
        <v>43</v>
      </c>
      <c r="AM236" s="100" t="str">
        <f>IF(AL236&lt;&gt;"No Disp",AK236+12*AL236,"No Disp")</f>
        <v>No Disp</v>
      </c>
      <c r="AN236" s="100" t="s">
        <v>43</v>
      </c>
      <c r="AO236" s="100" t="s">
        <v>43</v>
      </c>
      <c r="AP236" s="100" t="str">
        <f>IF(AO236&lt;&gt;"No Disp",AN236+12*AO236,"No Disp")</f>
        <v>No Disp</v>
      </c>
      <c r="AQ236" s="100" t="s">
        <v>43</v>
      </c>
      <c r="AR236" s="100" t="s">
        <v>43</v>
      </c>
      <c r="AS236" s="100" t="str">
        <f>IF(AR236&lt;&gt;"No Disp",AQ236+12*AR236,"No Disp")</f>
        <v>No Disp</v>
      </c>
    </row>
    <row r="237" spans="1:45" s="101" customFormat="1" x14ac:dyDescent="0.25">
      <c r="A237" s="90" t="s">
        <v>38</v>
      </c>
      <c r="B237" s="90" t="s">
        <v>40</v>
      </c>
      <c r="C237" s="90" t="s">
        <v>40</v>
      </c>
      <c r="D237" s="90" t="s">
        <v>4539</v>
      </c>
      <c r="E237" s="90" t="s">
        <v>4542</v>
      </c>
      <c r="F237" s="91">
        <v>168</v>
      </c>
      <c r="G237" s="92">
        <v>70010414</v>
      </c>
      <c r="H237" s="91">
        <v>70010409</v>
      </c>
      <c r="I237" s="93" t="s">
        <v>87</v>
      </c>
      <c r="J237" s="94" t="s">
        <v>842</v>
      </c>
      <c r="K237" s="94" t="s">
        <v>843</v>
      </c>
      <c r="L237" s="94" t="s">
        <v>3721</v>
      </c>
      <c r="M237" s="95">
        <v>99900</v>
      </c>
      <c r="N237" s="95">
        <v>2500</v>
      </c>
      <c r="O237" s="95">
        <v>4000</v>
      </c>
      <c r="P237" s="96">
        <v>0</v>
      </c>
      <c r="Q237" s="152"/>
      <c r="R237" s="95">
        <v>99900</v>
      </c>
      <c r="S237" s="95">
        <f>R237/24</f>
        <v>4162.5</v>
      </c>
      <c r="T237" s="95">
        <v>99900</v>
      </c>
      <c r="U237" s="95">
        <f>T237/24</f>
        <v>4162.5</v>
      </c>
      <c r="V237" s="95">
        <v>99900</v>
      </c>
      <c r="W237" s="95">
        <f>V237/24</f>
        <v>4162.5</v>
      </c>
      <c r="X237" s="128"/>
      <c r="Y237" s="95">
        <v>499900</v>
      </c>
      <c r="Z237" s="95">
        <v>16000</v>
      </c>
      <c r="AA237" s="95">
        <f>IFERROR(IF(D237="Premium",0.4*Y237,0),"No Disp")</f>
        <v>0</v>
      </c>
      <c r="AB237" s="95">
        <f>IFERROR(IF(4*Y237&gt;AC237,1.5*Y237,4*Y237),"No Disp")</f>
        <v>749850</v>
      </c>
      <c r="AC237" s="95">
        <f>IF(Z237="No Disp","No Disp",(Z237*18)+Y237)</f>
        <v>787900</v>
      </c>
      <c r="AD237" s="95">
        <f>18*Z237-100+Y237</f>
        <v>787800</v>
      </c>
      <c r="AE237" s="95">
        <v>19900</v>
      </c>
      <c r="AF237" s="95">
        <v>9000</v>
      </c>
      <c r="AG237" s="95">
        <f>IF(AF237="No Disp","No Disp",(AF237*18)+AE237)</f>
        <v>181900</v>
      </c>
      <c r="AH237" s="95">
        <f>18*AF237-100+AE237</f>
        <v>181800</v>
      </c>
      <c r="AI237" s="95" t="s">
        <v>4613</v>
      </c>
      <c r="AJ237" s="99"/>
      <c r="AK237" s="100" t="s">
        <v>43</v>
      </c>
      <c r="AL237" s="100" t="s">
        <v>43</v>
      </c>
      <c r="AM237" s="100" t="str">
        <f>IF(AL237&lt;&gt;"No Disp",AK237+12*AL237,"No Disp")</f>
        <v>No Disp</v>
      </c>
      <c r="AN237" s="100" t="s">
        <v>43</v>
      </c>
      <c r="AO237" s="100" t="s">
        <v>43</v>
      </c>
      <c r="AP237" s="100" t="str">
        <f>IF(AO237&lt;&gt;"No Disp",AN237+12*AO237,"No Disp")</f>
        <v>No Disp</v>
      </c>
      <c r="AQ237" s="100" t="s">
        <v>43</v>
      </c>
      <c r="AR237" s="100" t="s">
        <v>43</v>
      </c>
      <c r="AS237" s="100" t="str">
        <f>IF(AR237&lt;&gt;"No Disp",AQ237+12*AR237,"No Disp")</f>
        <v>No Disp</v>
      </c>
    </row>
    <row r="238" spans="1:45" s="101" customFormat="1" x14ac:dyDescent="0.25">
      <c r="A238" s="90" t="s">
        <v>38</v>
      </c>
      <c r="B238" s="90" t="s">
        <v>40</v>
      </c>
      <c r="C238" s="90" t="s">
        <v>40</v>
      </c>
      <c r="D238" s="90" t="s">
        <v>4539</v>
      </c>
      <c r="E238" s="90" t="s">
        <v>4542</v>
      </c>
      <c r="F238" s="91">
        <v>171</v>
      </c>
      <c r="G238" s="92">
        <v>70010431</v>
      </c>
      <c r="H238" s="91">
        <v>70010415</v>
      </c>
      <c r="I238" s="93" t="s">
        <v>229</v>
      </c>
      <c r="J238" s="94" t="s">
        <v>3722</v>
      </c>
      <c r="K238" s="94" t="s">
        <v>839</v>
      </c>
      <c r="L238" s="94" t="s">
        <v>3723</v>
      </c>
      <c r="M238" s="95">
        <v>299900</v>
      </c>
      <c r="N238" s="95">
        <v>6000</v>
      </c>
      <c r="O238" s="95">
        <v>8500</v>
      </c>
      <c r="P238" s="96">
        <v>0</v>
      </c>
      <c r="Q238" s="152"/>
      <c r="R238" s="95">
        <v>299900</v>
      </c>
      <c r="S238" s="95">
        <f>R238/24</f>
        <v>12495.833333333334</v>
      </c>
      <c r="T238" s="95">
        <v>299900</v>
      </c>
      <c r="U238" s="95">
        <f>T238/24</f>
        <v>12495.833333333334</v>
      </c>
      <c r="V238" s="95">
        <v>299900</v>
      </c>
      <c r="W238" s="95">
        <f>V238/24</f>
        <v>12495.833333333334</v>
      </c>
      <c r="X238" s="128"/>
      <c r="Y238" s="95">
        <v>184900</v>
      </c>
      <c r="Z238" s="95">
        <v>20500</v>
      </c>
      <c r="AA238" s="95">
        <f>IFERROR(IF(D238="Premium",0.4*Y238,0),"No Disp")</f>
        <v>0</v>
      </c>
      <c r="AB238" s="95">
        <f>IFERROR(IF(4*Y238&gt;AC238,1.5*Y238,4*Y238),"No Disp")</f>
        <v>277350</v>
      </c>
      <c r="AC238" s="95">
        <f>IF(Z238="No Disp","No Disp",(Z238*18)+Y238)</f>
        <v>553900</v>
      </c>
      <c r="AD238" s="95">
        <f>18*Z238-100+Y238</f>
        <v>553800</v>
      </c>
      <c r="AE238" s="95">
        <v>19900</v>
      </c>
      <c r="AF238" s="95">
        <v>22000</v>
      </c>
      <c r="AG238" s="95">
        <f>IF(AF238="No Disp","No Disp",(AF238*18)+AE238)</f>
        <v>415900</v>
      </c>
      <c r="AH238" s="95">
        <f>18*AF238-100+AE238</f>
        <v>415800</v>
      </c>
      <c r="AI238" s="95" t="s">
        <v>4613</v>
      </c>
      <c r="AJ238" s="99"/>
      <c r="AK238" s="100" t="s">
        <v>43</v>
      </c>
      <c r="AL238" s="100" t="s">
        <v>43</v>
      </c>
      <c r="AM238" s="100" t="str">
        <f>IF(AL238&lt;&gt;"No Disp",AK238+12*AL238,"No Disp")</f>
        <v>No Disp</v>
      </c>
      <c r="AN238" s="100" t="s">
        <v>43</v>
      </c>
      <c r="AO238" s="100" t="s">
        <v>43</v>
      </c>
      <c r="AP238" s="100" t="str">
        <f>IF(AO238&lt;&gt;"No Disp",AN238+12*AO238,"No Disp")</f>
        <v>No Disp</v>
      </c>
      <c r="AQ238" s="100" t="s">
        <v>43</v>
      </c>
      <c r="AR238" s="100" t="s">
        <v>43</v>
      </c>
      <c r="AS238" s="100" t="str">
        <f>IF(AR238&lt;&gt;"No Disp",AQ238+12*AR238,"No Disp")</f>
        <v>No Disp</v>
      </c>
    </row>
    <row r="239" spans="1:45" s="101" customFormat="1" x14ac:dyDescent="0.25">
      <c r="A239" s="90" t="s">
        <v>102</v>
      </c>
      <c r="B239" s="90" t="s">
        <v>39</v>
      </c>
      <c r="C239" s="90" t="s">
        <v>40</v>
      </c>
      <c r="D239" s="90" t="s">
        <v>4539</v>
      </c>
      <c r="E239" s="90" t="s">
        <v>4542</v>
      </c>
      <c r="F239" s="91">
        <v>169</v>
      </c>
      <c r="G239" s="92">
        <v>70010427</v>
      </c>
      <c r="H239" s="91">
        <v>70010428</v>
      </c>
      <c r="I239" s="93" t="s">
        <v>229</v>
      </c>
      <c r="J239" s="94" t="s">
        <v>3724</v>
      </c>
      <c r="K239" s="94" t="s">
        <v>841</v>
      </c>
      <c r="L239" s="94" t="s">
        <v>3725</v>
      </c>
      <c r="M239" s="95">
        <v>69900</v>
      </c>
      <c r="N239" s="95">
        <v>2500</v>
      </c>
      <c r="O239" s="95">
        <v>4000</v>
      </c>
      <c r="P239" s="96">
        <v>0</v>
      </c>
      <c r="Q239" s="152"/>
      <c r="R239" s="95">
        <v>69900</v>
      </c>
      <c r="S239" s="95">
        <f>R239/24</f>
        <v>2912.5</v>
      </c>
      <c r="T239" s="95">
        <v>69900</v>
      </c>
      <c r="U239" s="95">
        <f>T239/24</f>
        <v>2912.5</v>
      </c>
      <c r="V239" s="95">
        <v>69900</v>
      </c>
      <c r="W239" s="95">
        <f>V239/24</f>
        <v>2912.5</v>
      </c>
      <c r="X239" s="128"/>
      <c r="Y239" s="95">
        <v>30900</v>
      </c>
      <c r="Z239" s="95">
        <v>4000</v>
      </c>
      <c r="AA239" s="95">
        <f>IFERROR(IF(D239="Premium",0.4*Y239,0),"No Disp")</f>
        <v>0</v>
      </c>
      <c r="AB239" s="95">
        <f>IFERROR(IF(4*Y239&gt;AC239,1.5*Y239,4*Y239),"No Disp")</f>
        <v>46350</v>
      </c>
      <c r="AC239" s="95">
        <f>IF(Z239="No Disp","No Disp",(Z239*18)+Y239)</f>
        <v>102900</v>
      </c>
      <c r="AD239" s="95">
        <f>18*Z239-100+Y239</f>
        <v>102800</v>
      </c>
      <c r="AE239" s="95">
        <v>19900</v>
      </c>
      <c r="AF239" s="95">
        <v>4500</v>
      </c>
      <c r="AG239" s="95">
        <f>IF(AF239="No Disp","No Disp",(AF239*18)+AE239)</f>
        <v>100900</v>
      </c>
      <c r="AH239" s="95">
        <f>18*AF239-100+AE239</f>
        <v>100800</v>
      </c>
      <c r="AI239" s="95" t="s">
        <v>4613</v>
      </c>
      <c r="AJ239" s="99"/>
      <c r="AK239" s="100" t="s">
        <v>43</v>
      </c>
      <c r="AL239" s="100" t="s">
        <v>43</v>
      </c>
      <c r="AM239" s="100" t="str">
        <f>IF(AL239&lt;&gt;"No Disp",AK239+12*AL239,"No Disp")</f>
        <v>No Disp</v>
      </c>
      <c r="AN239" s="100" t="s">
        <v>43</v>
      </c>
      <c r="AO239" s="100" t="s">
        <v>43</v>
      </c>
      <c r="AP239" s="100" t="str">
        <f>IF(AO239&lt;&gt;"No Disp",AN239+12*AO239,"No Disp")</f>
        <v>No Disp</v>
      </c>
      <c r="AQ239" s="100" t="s">
        <v>43</v>
      </c>
      <c r="AR239" s="100" t="s">
        <v>43</v>
      </c>
      <c r="AS239" s="100" t="str">
        <f>IF(AR239&lt;&gt;"No Disp",AQ239+12*AR239,"No Disp")</f>
        <v>No Disp</v>
      </c>
    </row>
    <row r="240" spans="1:45" s="101" customFormat="1" x14ac:dyDescent="0.25">
      <c r="A240" s="90" t="s">
        <v>102</v>
      </c>
      <c r="B240" s="90" t="s">
        <v>39</v>
      </c>
      <c r="C240" s="90" t="s">
        <v>40</v>
      </c>
      <c r="D240" s="90" t="s">
        <v>4539</v>
      </c>
      <c r="E240" s="90" t="s">
        <v>4542</v>
      </c>
      <c r="F240" s="91">
        <v>170</v>
      </c>
      <c r="G240" s="92">
        <v>70010429</v>
      </c>
      <c r="H240" s="91">
        <v>70010430</v>
      </c>
      <c r="I240" s="93" t="s">
        <v>229</v>
      </c>
      <c r="J240" s="94" t="s">
        <v>3724</v>
      </c>
      <c r="K240" s="94" t="s">
        <v>840</v>
      </c>
      <c r="L240" s="94" t="s">
        <v>3726</v>
      </c>
      <c r="M240" s="95">
        <v>69900</v>
      </c>
      <c r="N240" s="95">
        <v>2500</v>
      </c>
      <c r="O240" s="95">
        <v>4000</v>
      </c>
      <c r="P240" s="96">
        <v>0</v>
      </c>
      <c r="Q240" s="152"/>
      <c r="R240" s="95">
        <v>69900</v>
      </c>
      <c r="S240" s="95">
        <f>R240/24</f>
        <v>2912.5</v>
      </c>
      <c r="T240" s="95">
        <v>69900</v>
      </c>
      <c r="U240" s="95">
        <f>T240/24</f>
        <v>2912.5</v>
      </c>
      <c r="V240" s="95">
        <v>69900</v>
      </c>
      <c r="W240" s="95">
        <f>V240/24</f>
        <v>2912.5</v>
      </c>
      <c r="X240" s="128"/>
      <c r="Y240" s="95">
        <v>30900</v>
      </c>
      <c r="Z240" s="95">
        <v>4000</v>
      </c>
      <c r="AA240" s="95">
        <f>IFERROR(IF(D240="Premium",0.4*Y240,0),"No Disp")</f>
        <v>0</v>
      </c>
      <c r="AB240" s="95">
        <f>IFERROR(IF(4*Y240&gt;AC240,1.5*Y240,4*Y240),"No Disp")</f>
        <v>46350</v>
      </c>
      <c r="AC240" s="95">
        <f>IF(Z240="No Disp","No Disp",(Z240*18)+Y240)</f>
        <v>102900</v>
      </c>
      <c r="AD240" s="95">
        <f>18*Z240-100+Y240</f>
        <v>102800</v>
      </c>
      <c r="AE240" s="95">
        <v>19900</v>
      </c>
      <c r="AF240" s="95">
        <v>4500</v>
      </c>
      <c r="AG240" s="95">
        <f>IF(AF240="No Disp","No Disp",(AF240*18)+AE240)</f>
        <v>100900</v>
      </c>
      <c r="AH240" s="95">
        <f>18*AF240-100+AE240</f>
        <v>100800</v>
      </c>
      <c r="AI240" s="95" t="s">
        <v>4613</v>
      </c>
      <c r="AJ240" s="99"/>
      <c r="AK240" s="100" t="s">
        <v>43</v>
      </c>
      <c r="AL240" s="100" t="s">
        <v>43</v>
      </c>
      <c r="AM240" s="100" t="str">
        <f>IF(AL240&lt;&gt;"No Disp",AK240+12*AL240,"No Disp")</f>
        <v>No Disp</v>
      </c>
      <c r="AN240" s="100" t="s">
        <v>43</v>
      </c>
      <c r="AO240" s="100" t="s">
        <v>43</v>
      </c>
      <c r="AP240" s="100" t="str">
        <f>IF(AO240&lt;&gt;"No Disp",AN240+12*AO240,"No Disp")</f>
        <v>No Disp</v>
      </c>
      <c r="AQ240" s="100" t="s">
        <v>43</v>
      </c>
      <c r="AR240" s="100" t="s">
        <v>43</v>
      </c>
      <c r="AS240" s="100" t="str">
        <f>IF(AR240&lt;&gt;"No Disp",AQ240+12*AR240,"No Disp")</f>
        <v>No Disp</v>
      </c>
    </row>
    <row r="241" spans="1:45" s="101" customFormat="1" x14ac:dyDescent="0.25">
      <c r="A241" s="90" t="s">
        <v>102</v>
      </c>
      <c r="B241" s="90" t="s">
        <v>39</v>
      </c>
      <c r="C241" s="90" t="s">
        <v>40</v>
      </c>
      <c r="D241" s="90" t="s">
        <v>4541</v>
      </c>
      <c r="E241" s="90" t="s">
        <v>4542</v>
      </c>
      <c r="F241" s="91">
        <v>175</v>
      </c>
      <c r="G241" s="92">
        <v>70010453</v>
      </c>
      <c r="H241" s="91">
        <v>70010436</v>
      </c>
      <c r="I241" s="93" t="s">
        <v>41</v>
      </c>
      <c r="J241" s="94" t="s">
        <v>3727</v>
      </c>
      <c r="K241" s="94" t="s">
        <v>835</v>
      </c>
      <c r="L241" s="94" t="s">
        <v>3728</v>
      </c>
      <c r="M241" s="95">
        <v>129900</v>
      </c>
      <c r="N241" s="95">
        <v>2500</v>
      </c>
      <c r="O241" s="95">
        <v>4000</v>
      </c>
      <c r="P241" s="96">
        <v>0</v>
      </c>
      <c r="Q241" s="152"/>
      <c r="R241" s="95">
        <v>129900</v>
      </c>
      <c r="S241" s="95">
        <f>R241/24</f>
        <v>5412.5</v>
      </c>
      <c r="T241" s="95">
        <v>129900</v>
      </c>
      <c r="U241" s="95">
        <f>T241/24</f>
        <v>5412.5</v>
      </c>
      <c r="V241" s="95">
        <v>129900</v>
      </c>
      <c r="W241" s="95">
        <f>V241/24</f>
        <v>5412.5</v>
      </c>
      <c r="X241" s="128"/>
      <c r="Y241" s="95">
        <v>59900</v>
      </c>
      <c r="Z241" s="95">
        <v>6500</v>
      </c>
      <c r="AA241" s="95">
        <f>IFERROR(IF(D241="Premium",0.4*Y241,0),"No Disp")</f>
        <v>0</v>
      </c>
      <c r="AB241" s="95">
        <f>IFERROR(IF(4*Y241&gt;AC241,1.5*Y241,4*Y241),"No Disp")</f>
        <v>89850</v>
      </c>
      <c r="AC241" s="95">
        <f>IF(Z241="No Disp","No Disp",(Z241*18)+Y241)</f>
        <v>176900</v>
      </c>
      <c r="AD241" s="95">
        <f>18*Z241-100+Y241</f>
        <v>176800</v>
      </c>
      <c r="AE241" s="95">
        <v>19900</v>
      </c>
      <c r="AF241" s="95">
        <v>8500</v>
      </c>
      <c r="AG241" s="95">
        <f>IF(AF241="No Disp","No Disp",(AF241*18)+AE241)</f>
        <v>172900</v>
      </c>
      <c r="AH241" s="95">
        <f>18*AF241-100+AE241</f>
        <v>172800</v>
      </c>
      <c r="AI241" s="95" t="s">
        <v>4613</v>
      </c>
      <c r="AJ241" s="99"/>
      <c r="AK241" s="100" t="s">
        <v>43</v>
      </c>
      <c r="AL241" s="100" t="s">
        <v>43</v>
      </c>
      <c r="AM241" s="100" t="str">
        <f>IF(AL241&lt;&gt;"No Disp",AK241+12*AL241,"No Disp")</f>
        <v>No Disp</v>
      </c>
      <c r="AN241" s="100" t="s">
        <v>43</v>
      </c>
      <c r="AO241" s="100" t="s">
        <v>43</v>
      </c>
      <c r="AP241" s="100" t="str">
        <f>IF(AO241&lt;&gt;"No Disp",AN241+12*AO241,"No Disp")</f>
        <v>No Disp</v>
      </c>
      <c r="AQ241" s="100" t="s">
        <v>43</v>
      </c>
      <c r="AR241" s="100" t="s">
        <v>43</v>
      </c>
      <c r="AS241" s="100" t="str">
        <f>IF(AR241&lt;&gt;"No Disp",AQ241+12*AR241,"No Disp")</f>
        <v>No Disp</v>
      </c>
    </row>
    <row r="242" spans="1:45" s="101" customFormat="1" x14ac:dyDescent="0.25">
      <c r="A242" s="90" t="s">
        <v>102</v>
      </c>
      <c r="B242" s="90" t="s">
        <v>39</v>
      </c>
      <c r="C242" s="90" t="s">
        <v>40</v>
      </c>
      <c r="D242" s="90" t="s">
        <v>4541</v>
      </c>
      <c r="E242" s="90" t="s">
        <v>4542</v>
      </c>
      <c r="F242" s="91">
        <v>173</v>
      </c>
      <c r="G242" s="92">
        <v>70010444</v>
      </c>
      <c r="H242" s="91">
        <v>70010445</v>
      </c>
      <c r="I242" s="93" t="s">
        <v>41</v>
      </c>
      <c r="J242" s="94" t="s">
        <v>3729</v>
      </c>
      <c r="K242" s="94" t="s">
        <v>837</v>
      </c>
      <c r="L242" s="94" t="s">
        <v>3730</v>
      </c>
      <c r="M242" s="95">
        <v>69900</v>
      </c>
      <c r="N242" s="95">
        <v>2500</v>
      </c>
      <c r="O242" s="95">
        <v>4000</v>
      </c>
      <c r="P242" s="96">
        <v>0</v>
      </c>
      <c r="Q242" s="152"/>
      <c r="R242" s="95">
        <v>69900</v>
      </c>
      <c r="S242" s="95">
        <f>R242/24</f>
        <v>2912.5</v>
      </c>
      <c r="T242" s="95">
        <v>69900</v>
      </c>
      <c r="U242" s="95">
        <f>T242/24</f>
        <v>2912.5</v>
      </c>
      <c r="V242" s="95">
        <v>69900</v>
      </c>
      <c r="W242" s="95">
        <f>V242/24</f>
        <v>2912.5</v>
      </c>
      <c r="X242" s="128"/>
      <c r="Y242" s="95">
        <v>29900</v>
      </c>
      <c r="Z242" s="95">
        <v>4500</v>
      </c>
      <c r="AA242" s="95">
        <f>IFERROR(IF(D242="Premium",0.4*Y242,0),"No Disp")</f>
        <v>0</v>
      </c>
      <c r="AB242" s="95">
        <f>IFERROR(IF(4*Y242&gt;AC242,1.5*Y242,4*Y242),"No Disp")</f>
        <v>44850</v>
      </c>
      <c r="AC242" s="95">
        <f>IF(Z242="No Disp","No Disp",(Z242*18)+Y242)</f>
        <v>110900</v>
      </c>
      <c r="AD242" s="95">
        <f>18*Z242-100+Y242</f>
        <v>110800</v>
      </c>
      <c r="AE242" s="95">
        <v>0</v>
      </c>
      <c r="AF242" s="95">
        <v>6000</v>
      </c>
      <c r="AG242" s="95">
        <f>IF(AF242="No Disp","No Disp",(AF242*18)+AE242)</f>
        <v>108000</v>
      </c>
      <c r="AH242" s="95">
        <f>18*AF242-100+AE242</f>
        <v>107900</v>
      </c>
      <c r="AI242" s="95" t="s">
        <v>4613</v>
      </c>
      <c r="AJ242" s="99"/>
      <c r="AK242" s="100" t="s">
        <v>43</v>
      </c>
      <c r="AL242" s="100" t="s">
        <v>43</v>
      </c>
      <c r="AM242" s="100" t="str">
        <f>IF(AL242&lt;&gt;"No Disp",AK242+12*AL242,"No Disp")</f>
        <v>No Disp</v>
      </c>
      <c r="AN242" s="100" t="s">
        <v>43</v>
      </c>
      <c r="AO242" s="100" t="s">
        <v>43</v>
      </c>
      <c r="AP242" s="100" t="str">
        <f>IF(AO242&lt;&gt;"No Disp",AN242+12*AO242,"No Disp")</f>
        <v>No Disp</v>
      </c>
      <c r="AQ242" s="100" t="s">
        <v>43</v>
      </c>
      <c r="AR242" s="100" t="s">
        <v>43</v>
      </c>
      <c r="AS242" s="100" t="str">
        <f>IF(AR242&lt;&gt;"No Disp",AQ242+12*AR242,"No Disp")</f>
        <v>No Disp</v>
      </c>
    </row>
    <row r="243" spans="1:45" s="101" customFormat="1" x14ac:dyDescent="0.25">
      <c r="A243" s="90" t="s">
        <v>102</v>
      </c>
      <c r="B243" s="90" t="s">
        <v>39</v>
      </c>
      <c r="C243" s="90" t="s">
        <v>40</v>
      </c>
      <c r="D243" s="90" t="s">
        <v>4541</v>
      </c>
      <c r="E243" s="90" t="s">
        <v>4542</v>
      </c>
      <c r="F243" s="91">
        <v>174</v>
      </c>
      <c r="G243" s="92">
        <v>70010447</v>
      </c>
      <c r="H243" s="91">
        <v>70010448</v>
      </c>
      <c r="I243" s="93" t="s">
        <v>41</v>
      </c>
      <c r="J243" s="94" t="s">
        <v>3731</v>
      </c>
      <c r="K243" s="94" t="s">
        <v>836</v>
      </c>
      <c r="L243" s="94" t="s">
        <v>3732</v>
      </c>
      <c r="M243" s="95">
        <v>89900</v>
      </c>
      <c r="N243" s="95">
        <v>2500</v>
      </c>
      <c r="O243" s="95">
        <v>4000</v>
      </c>
      <c r="P243" s="96">
        <v>0</v>
      </c>
      <c r="Q243" s="152"/>
      <c r="R243" s="95">
        <v>89900</v>
      </c>
      <c r="S243" s="95">
        <f>R243/24</f>
        <v>3745.8333333333335</v>
      </c>
      <c r="T243" s="95">
        <v>89900</v>
      </c>
      <c r="U243" s="95">
        <f>T243/24</f>
        <v>3745.8333333333335</v>
      </c>
      <c r="V243" s="95">
        <v>89900</v>
      </c>
      <c r="W243" s="95">
        <f>V243/24</f>
        <v>3745.8333333333335</v>
      </c>
      <c r="X243" s="128"/>
      <c r="Y243" s="95">
        <v>89900</v>
      </c>
      <c r="Z243" s="95">
        <v>12000</v>
      </c>
      <c r="AA243" s="95">
        <f>IFERROR(IF(D243="Premium",0.4*Y243,0),"No Disp")</f>
        <v>0</v>
      </c>
      <c r="AB243" s="95">
        <f>IFERROR(IF(4*Y243&gt;AC243,1.5*Y243,4*Y243),"No Disp")</f>
        <v>134850</v>
      </c>
      <c r="AC243" s="95">
        <f>IF(Z243="No Disp","No Disp",(Z243*18)+Y243)</f>
        <v>305900</v>
      </c>
      <c r="AD243" s="95">
        <f>18*Z243-100+Y243</f>
        <v>305800</v>
      </c>
      <c r="AE243" s="95">
        <v>19900</v>
      </c>
      <c r="AF243" s="95">
        <v>5500</v>
      </c>
      <c r="AG243" s="95">
        <f>IF(AF243="No Disp","No Disp",(AF243*18)+AE243)</f>
        <v>118900</v>
      </c>
      <c r="AH243" s="95">
        <f>18*AF243-100+AE243</f>
        <v>118800</v>
      </c>
      <c r="AI243" s="95" t="s">
        <v>4613</v>
      </c>
      <c r="AJ243" s="99"/>
      <c r="AK243" s="100" t="s">
        <v>43</v>
      </c>
      <c r="AL243" s="100" t="s">
        <v>43</v>
      </c>
      <c r="AM243" s="100" t="str">
        <f>IF(AL243&lt;&gt;"No Disp",AK243+12*AL243,"No Disp")</f>
        <v>No Disp</v>
      </c>
      <c r="AN243" s="100" t="s">
        <v>43</v>
      </c>
      <c r="AO243" s="100" t="s">
        <v>43</v>
      </c>
      <c r="AP243" s="100" t="str">
        <f>IF(AO243&lt;&gt;"No Disp",AN243+12*AO243,"No Disp")</f>
        <v>No Disp</v>
      </c>
      <c r="AQ243" s="100" t="s">
        <v>43</v>
      </c>
      <c r="AR243" s="100" t="s">
        <v>43</v>
      </c>
      <c r="AS243" s="100" t="str">
        <f>IF(AR243&lt;&gt;"No Disp",AQ243+12*AR243,"No Disp")</f>
        <v>No Disp</v>
      </c>
    </row>
    <row r="244" spans="1:45" s="101" customFormat="1" x14ac:dyDescent="0.25">
      <c r="A244" s="90" t="s">
        <v>102</v>
      </c>
      <c r="B244" s="90" t="s">
        <v>39</v>
      </c>
      <c r="C244" s="90" t="s">
        <v>39</v>
      </c>
      <c r="D244" s="90" t="s">
        <v>4541</v>
      </c>
      <c r="E244" s="90" t="s">
        <v>4542</v>
      </c>
      <c r="F244" s="91">
        <v>178</v>
      </c>
      <c r="G244" s="92">
        <v>70010506</v>
      </c>
      <c r="H244" s="91">
        <v>70010507</v>
      </c>
      <c r="I244" s="93" t="s">
        <v>46</v>
      </c>
      <c r="J244" s="94" t="s">
        <v>3685</v>
      </c>
      <c r="K244" s="94" t="s">
        <v>832</v>
      </c>
      <c r="L244" s="94" t="s">
        <v>3733</v>
      </c>
      <c r="M244" s="95">
        <v>99900</v>
      </c>
      <c r="N244" s="95">
        <v>2500</v>
      </c>
      <c r="O244" s="95">
        <v>4000</v>
      </c>
      <c r="P244" s="96">
        <v>0</v>
      </c>
      <c r="Q244" s="152"/>
      <c r="R244" s="95">
        <v>99900</v>
      </c>
      <c r="S244" s="95">
        <f>R244/24</f>
        <v>4162.5</v>
      </c>
      <c r="T244" s="95">
        <v>99900</v>
      </c>
      <c r="U244" s="95">
        <f>T244/24</f>
        <v>4162.5</v>
      </c>
      <c r="V244" s="95">
        <v>99900</v>
      </c>
      <c r="W244" s="95">
        <f>V244/24</f>
        <v>4162.5</v>
      </c>
      <c r="X244" s="128"/>
      <c r="Y244" s="95">
        <v>39900</v>
      </c>
      <c r="Z244" s="95">
        <v>6000</v>
      </c>
      <c r="AA244" s="95">
        <f>IFERROR(IF(D244="Premium",0.4*Y244,0),"No Disp")</f>
        <v>0</v>
      </c>
      <c r="AB244" s="95">
        <f>IFERROR(IF(4*Y244&gt;AC244,1.5*Y244,4*Y244),"No Disp")</f>
        <v>59850</v>
      </c>
      <c r="AC244" s="95">
        <f>IF(Z244="No Disp","No Disp",(Z244*18)+Y244)</f>
        <v>147900</v>
      </c>
      <c r="AD244" s="95">
        <f>18*Z244-100+Y244</f>
        <v>147800</v>
      </c>
      <c r="AE244" s="95">
        <v>19900</v>
      </c>
      <c r="AF244" s="95">
        <v>6500</v>
      </c>
      <c r="AG244" s="95">
        <f>IF(AF244="No Disp","No Disp",(AF244*18)+AE244)</f>
        <v>136900</v>
      </c>
      <c r="AH244" s="95">
        <f>18*AF244-100+AE244</f>
        <v>136800</v>
      </c>
      <c r="AI244" s="95" t="s">
        <v>4613</v>
      </c>
      <c r="AJ244" s="99"/>
      <c r="AK244" s="100" t="s">
        <v>43</v>
      </c>
      <c r="AL244" s="100" t="s">
        <v>43</v>
      </c>
      <c r="AM244" s="100" t="str">
        <f>IF(AL244&lt;&gt;"No Disp",AK244+12*AL244,"No Disp")</f>
        <v>No Disp</v>
      </c>
      <c r="AN244" s="100" t="s">
        <v>43</v>
      </c>
      <c r="AO244" s="100" t="s">
        <v>43</v>
      </c>
      <c r="AP244" s="100" t="str">
        <f>IF(AO244&lt;&gt;"No Disp",AN244+12*AO244,"No Disp")</f>
        <v>No Disp</v>
      </c>
      <c r="AQ244" s="100" t="s">
        <v>43</v>
      </c>
      <c r="AR244" s="100" t="s">
        <v>43</v>
      </c>
      <c r="AS244" s="100" t="str">
        <f>IF(AR244&lt;&gt;"No Disp",AQ244+12*AR244,"No Disp")</f>
        <v>No Disp</v>
      </c>
    </row>
    <row r="245" spans="1:45" s="101" customFormat="1" x14ac:dyDescent="0.25">
      <c r="A245" s="90" t="s">
        <v>102</v>
      </c>
      <c r="B245" s="90" t="s">
        <v>39</v>
      </c>
      <c r="C245" s="90" t="s">
        <v>40</v>
      </c>
      <c r="D245" s="90" t="s">
        <v>4541</v>
      </c>
      <c r="E245" s="90" t="s">
        <v>4542</v>
      </c>
      <c r="F245" s="91">
        <v>179</v>
      </c>
      <c r="G245" s="92">
        <v>70010541</v>
      </c>
      <c r="H245" s="91">
        <v>70010542</v>
      </c>
      <c r="I245" s="93" t="s">
        <v>131</v>
      </c>
      <c r="J245" s="94" t="s">
        <v>3717</v>
      </c>
      <c r="K245" s="94" t="s">
        <v>831</v>
      </c>
      <c r="L245" s="94" t="s">
        <v>3734</v>
      </c>
      <c r="M245" s="95">
        <v>89900</v>
      </c>
      <c r="N245" s="95">
        <v>2500</v>
      </c>
      <c r="O245" s="95">
        <v>4000</v>
      </c>
      <c r="P245" s="96">
        <v>0</v>
      </c>
      <c r="Q245" s="152"/>
      <c r="R245" s="95">
        <v>89900</v>
      </c>
      <c r="S245" s="95">
        <f>R245/24</f>
        <v>3745.8333333333335</v>
      </c>
      <c r="T245" s="95">
        <v>89900</v>
      </c>
      <c r="U245" s="95">
        <f>T245/24</f>
        <v>3745.8333333333335</v>
      </c>
      <c r="V245" s="95">
        <v>89900</v>
      </c>
      <c r="W245" s="95">
        <f>V245/24</f>
        <v>3745.8333333333335</v>
      </c>
      <c r="X245" s="128"/>
      <c r="Y245" s="95">
        <v>74900</v>
      </c>
      <c r="Z245" s="95">
        <v>7500</v>
      </c>
      <c r="AA245" s="95">
        <f>IFERROR(IF(D245="Premium",0.4*Y245,0),"No Disp")</f>
        <v>0</v>
      </c>
      <c r="AB245" s="95">
        <f>IFERROR(IF(4*Y245&gt;AC245,1.5*Y245,4*Y245),"No Disp")</f>
        <v>112350</v>
      </c>
      <c r="AC245" s="95">
        <f>IF(Z245="No Disp","No Disp",(Z245*18)+Y245)</f>
        <v>209900</v>
      </c>
      <c r="AD245" s="95">
        <f>18*Z245-100+Y245</f>
        <v>209800</v>
      </c>
      <c r="AE245" s="95">
        <v>19900</v>
      </c>
      <c r="AF245" s="95">
        <v>5000</v>
      </c>
      <c r="AG245" s="95">
        <f>IF(AF245="No Disp","No Disp",(AF245*18)+AE245)</f>
        <v>109900</v>
      </c>
      <c r="AH245" s="95">
        <f>18*AF245-100+AE245</f>
        <v>109800</v>
      </c>
      <c r="AI245" s="95" t="s">
        <v>4613</v>
      </c>
      <c r="AJ245" s="99"/>
      <c r="AK245" s="100" t="s">
        <v>43</v>
      </c>
      <c r="AL245" s="100" t="s">
        <v>43</v>
      </c>
      <c r="AM245" s="100" t="str">
        <f>IF(AL245&lt;&gt;"No Disp",AK245+12*AL245,"No Disp")</f>
        <v>No Disp</v>
      </c>
      <c r="AN245" s="100" t="s">
        <v>43</v>
      </c>
      <c r="AO245" s="100" t="s">
        <v>43</v>
      </c>
      <c r="AP245" s="100" t="str">
        <f>IF(AO245&lt;&gt;"No Disp",AN245+12*AO245,"No Disp")</f>
        <v>No Disp</v>
      </c>
      <c r="AQ245" s="100" t="s">
        <v>43</v>
      </c>
      <c r="AR245" s="100" t="s">
        <v>43</v>
      </c>
      <c r="AS245" s="100" t="str">
        <f>IF(AR245&lt;&gt;"No Disp",AQ245+12*AR245,"No Disp")</f>
        <v>No Disp</v>
      </c>
    </row>
    <row r="246" spans="1:45" s="101" customFormat="1" x14ac:dyDescent="0.25">
      <c r="A246" s="90" t="s">
        <v>38</v>
      </c>
      <c r="B246" s="90" t="s">
        <v>40</v>
      </c>
      <c r="C246" s="90" t="s">
        <v>39</v>
      </c>
      <c r="D246" s="90" t="s">
        <v>4540</v>
      </c>
      <c r="E246" s="90" t="s">
        <v>4542</v>
      </c>
      <c r="F246" s="91">
        <v>180</v>
      </c>
      <c r="G246" s="92">
        <v>70010596</v>
      </c>
      <c r="H246" s="91">
        <v>70010597</v>
      </c>
      <c r="I246" s="93" t="s">
        <v>46</v>
      </c>
      <c r="J246" s="94" t="s">
        <v>3735</v>
      </c>
      <c r="K246" s="94" t="s">
        <v>830</v>
      </c>
      <c r="L246" s="94" t="s">
        <v>3736</v>
      </c>
      <c r="M246" s="95">
        <v>349900</v>
      </c>
      <c r="N246" s="95">
        <v>4000</v>
      </c>
      <c r="O246" s="95">
        <v>6000</v>
      </c>
      <c r="P246" s="96">
        <v>0</v>
      </c>
      <c r="Q246" s="152"/>
      <c r="R246" s="95">
        <v>349900</v>
      </c>
      <c r="S246" s="95">
        <f>R246/24</f>
        <v>14579.166666666666</v>
      </c>
      <c r="T246" s="95">
        <v>349900</v>
      </c>
      <c r="U246" s="95">
        <f>T246/24</f>
        <v>14579.166666666666</v>
      </c>
      <c r="V246" s="95">
        <v>349900</v>
      </c>
      <c r="W246" s="95">
        <f>V246/24</f>
        <v>14579.166666666666</v>
      </c>
      <c r="X246" s="128"/>
      <c r="Y246" s="95">
        <v>1199900</v>
      </c>
      <c r="Z246" s="95">
        <v>25000</v>
      </c>
      <c r="AA246" s="95">
        <f>IFERROR(IF(D246="Premium",0.4*Y246,0),"No Disp")</f>
        <v>479960</v>
      </c>
      <c r="AB246" s="95">
        <f>IFERROR(IF(4*Y246&gt;AC246,1.5*Y246,4*Y246),"No Disp")</f>
        <v>1799850</v>
      </c>
      <c r="AC246" s="95">
        <f>IF(Z246="No Disp","No Disp",(Z246*18)+Y246)</f>
        <v>1649900</v>
      </c>
      <c r="AD246" s="95">
        <f>18*Z246-100+Y246</f>
        <v>1649800</v>
      </c>
      <c r="AE246" s="95">
        <v>49900</v>
      </c>
      <c r="AF246" s="95">
        <v>23500</v>
      </c>
      <c r="AG246" s="95">
        <f>IF(AF246="No Disp","No Disp",(AF246*18)+AE246)</f>
        <v>472900</v>
      </c>
      <c r="AH246" s="95">
        <f>18*AF246-100+AE246</f>
        <v>472800</v>
      </c>
      <c r="AI246" s="95" t="s">
        <v>4613</v>
      </c>
      <c r="AJ246" s="99"/>
      <c r="AK246" s="100" t="s">
        <v>43</v>
      </c>
      <c r="AL246" s="100" t="s">
        <v>43</v>
      </c>
      <c r="AM246" s="100" t="str">
        <f>IF(AL246&lt;&gt;"No Disp",AK246+12*AL246,"No Disp")</f>
        <v>No Disp</v>
      </c>
      <c r="AN246" s="100" t="s">
        <v>43</v>
      </c>
      <c r="AO246" s="100" t="s">
        <v>43</v>
      </c>
      <c r="AP246" s="100" t="str">
        <f>IF(AO246&lt;&gt;"No Disp",AN246+12*AO246,"No Disp")</f>
        <v>No Disp</v>
      </c>
      <c r="AQ246" s="100" t="s">
        <v>43</v>
      </c>
      <c r="AR246" s="100" t="s">
        <v>43</v>
      </c>
      <c r="AS246" s="100" t="str">
        <f>IF(AR246&lt;&gt;"No Disp",AQ246+12*AR246,"No Disp")</f>
        <v>No Disp</v>
      </c>
    </row>
    <row r="247" spans="1:45" s="101" customFormat="1" x14ac:dyDescent="0.25">
      <c r="A247" s="90" t="s">
        <v>38</v>
      </c>
      <c r="B247" s="90" t="s">
        <v>40</v>
      </c>
      <c r="C247" s="90" t="s">
        <v>40</v>
      </c>
      <c r="D247" s="90" t="s">
        <v>4539</v>
      </c>
      <c r="E247" s="90" t="s">
        <v>4542</v>
      </c>
      <c r="F247" s="91">
        <v>227</v>
      </c>
      <c r="G247" s="92">
        <v>70010639</v>
      </c>
      <c r="H247" s="91">
        <v>70010640</v>
      </c>
      <c r="I247" s="93" t="s">
        <v>131</v>
      </c>
      <c r="J247" s="94" t="s">
        <v>3737</v>
      </c>
      <c r="K247" s="94" t="s">
        <v>757</v>
      </c>
      <c r="L247" s="94" t="s">
        <v>3738</v>
      </c>
      <c r="M247" s="95">
        <v>299900</v>
      </c>
      <c r="N247" s="95">
        <v>4000</v>
      </c>
      <c r="O247" s="95">
        <v>6000</v>
      </c>
      <c r="P247" s="96">
        <v>0</v>
      </c>
      <c r="Q247" s="152"/>
      <c r="R247" s="95">
        <v>299900</v>
      </c>
      <c r="S247" s="95">
        <f>R247/24</f>
        <v>12495.833333333334</v>
      </c>
      <c r="T247" s="95">
        <v>299900</v>
      </c>
      <c r="U247" s="95">
        <f>T247/24</f>
        <v>12495.833333333334</v>
      </c>
      <c r="V247" s="95">
        <v>299900</v>
      </c>
      <c r="W247" s="95">
        <f>V247/24</f>
        <v>12495.833333333334</v>
      </c>
      <c r="X247" s="128"/>
      <c r="Y247" s="95">
        <v>549900</v>
      </c>
      <c r="Z247" s="95">
        <v>11000</v>
      </c>
      <c r="AA247" s="95">
        <f>IFERROR(IF(D247="Premium",0.4*Y247,0),"No Disp")</f>
        <v>0</v>
      </c>
      <c r="AB247" s="95">
        <f>IFERROR(IF(4*Y247&gt;AC247,1.5*Y247,4*Y247),"No Disp")</f>
        <v>824850</v>
      </c>
      <c r="AC247" s="95">
        <f>IF(Z247="No Disp","No Disp",(Z247*18)+Y247)</f>
        <v>747900</v>
      </c>
      <c r="AD247" s="95">
        <f>18*Z247-100+Y247</f>
        <v>747800</v>
      </c>
      <c r="AE247" s="95">
        <v>19900</v>
      </c>
      <c r="AF247" s="95">
        <v>22500</v>
      </c>
      <c r="AG247" s="95">
        <f>IF(AF247="No Disp","No Disp",(AF247*18)+AE247)</f>
        <v>424900</v>
      </c>
      <c r="AH247" s="95">
        <f>18*AF247-100+AE247</f>
        <v>424800</v>
      </c>
      <c r="AI247" s="95" t="s">
        <v>4613</v>
      </c>
      <c r="AJ247" s="99"/>
      <c r="AK247" s="100" t="s">
        <v>43</v>
      </c>
      <c r="AL247" s="100" t="s">
        <v>43</v>
      </c>
      <c r="AM247" s="100" t="str">
        <f>IF(AL247&lt;&gt;"No Disp",AK247+12*AL247,"No Disp")</f>
        <v>No Disp</v>
      </c>
      <c r="AN247" s="100" t="s">
        <v>43</v>
      </c>
      <c r="AO247" s="100" t="s">
        <v>43</v>
      </c>
      <c r="AP247" s="100" t="str">
        <f>IF(AO247&lt;&gt;"No Disp",AN247+12*AO247,"No Disp")</f>
        <v>No Disp</v>
      </c>
      <c r="AQ247" s="100" t="s">
        <v>43</v>
      </c>
      <c r="AR247" s="100" t="s">
        <v>43</v>
      </c>
      <c r="AS247" s="100" t="str">
        <f>IF(AR247&lt;&gt;"No Disp",AQ247+12*AR247,"No Disp")</f>
        <v>No Disp</v>
      </c>
    </row>
    <row r="248" spans="1:45" s="101" customFormat="1" x14ac:dyDescent="0.25">
      <c r="A248" s="90" t="s">
        <v>38</v>
      </c>
      <c r="B248" s="90" t="s">
        <v>39</v>
      </c>
      <c r="C248" s="90" t="s">
        <v>40</v>
      </c>
      <c r="D248" s="90" t="s">
        <v>4539</v>
      </c>
      <c r="E248" s="90" t="s">
        <v>4542</v>
      </c>
      <c r="F248" s="91">
        <v>267</v>
      </c>
      <c r="G248" s="92">
        <v>70010643</v>
      </c>
      <c r="H248" s="91">
        <v>70010648</v>
      </c>
      <c r="I248" s="93" t="s">
        <v>171</v>
      </c>
      <c r="J248" s="94" t="s">
        <v>3739</v>
      </c>
      <c r="K248" s="94" t="s">
        <v>676</v>
      </c>
      <c r="L248" s="94" t="s">
        <v>677</v>
      </c>
      <c r="M248" s="95">
        <v>129900</v>
      </c>
      <c r="N248" s="95">
        <v>4000</v>
      </c>
      <c r="O248" s="95">
        <v>6000</v>
      </c>
      <c r="P248" s="96">
        <v>0</v>
      </c>
      <c r="Q248" s="152"/>
      <c r="R248" s="95">
        <v>129900</v>
      </c>
      <c r="S248" s="95">
        <f>R248/24</f>
        <v>5412.5</v>
      </c>
      <c r="T248" s="95">
        <v>129900</v>
      </c>
      <c r="U248" s="95">
        <f>T248/24</f>
        <v>5412.5</v>
      </c>
      <c r="V248" s="95">
        <v>129900</v>
      </c>
      <c r="W248" s="95">
        <f>V248/24</f>
        <v>5412.5</v>
      </c>
      <c r="X248" s="128"/>
      <c r="Y248" s="95">
        <v>59900</v>
      </c>
      <c r="Z248" s="95">
        <v>8500</v>
      </c>
      <c r="AA248" s="95">
        <f>IFERROR(IF(D248="Premium",0.4*Y248,0),"No Disp")</f>
        <v>0</v>
      </c>
      <c r="AB248" s="95">
        <f>IFERROR(IF(4*Y248&gt;AC248,1.5*Y248,4*Y248),"No Disp")</f>
        <v>89850</v>
      </c>
      <c r="AC248" s="95">
        <f>IF(Z248="No Disp","No Disp",(Z248*18)+Y248)</f>
        <v>212900</v>
      </c>
      <c r="AD248" s="95">
        <f>18*Z248-100+Y248</f>
        <v>212800</v>
      </c>
      <c r="AE248" s="95">
        <v>19900</v>
      </c>
      <c r="AF248" s="95">
        <v>10000</v>
      </c>
      <c r="AG248" s="95">
        <f>IF(AF248="No Disp","No Disp",(AF248*18)+AE248)</f>
        <v>199900</v>
      </c>
      <c r="AH248" s="95">
        <f>18*AF248-100+AE248</f>
        <v>199800</v>
      </c>
      <c r="AI248" s="95" t="s">
        <v>4613</v>
      </c>
      <c r="AJ248" s="99"/>
      <c r="AK248" s="100" t="s">
        <v>43</v>
      </c>
      <c r="AL248" s="100" t="s">
        <v>43</v>
      </c>
      <c r="AM248" s="100" t="str">
        <f>IF(AL248&lt;&gt;"No Disp",AK248+12*AL248,"No Disp")</f>
        <v>No Disp</v>
      </c>
      <c r="AN248" s="100" t="s">
        <v>43</v>
      </c>
      <c r="AO248" s="100" t="s">
        <v>43</v>
      </c>
      <c r="AP248" s="100" t="str">
        <f>IF(AO248&lt;&gt;"No Disp",AN248+12*AO248,"No Disp")</f>
        <v>No Disp</v>
      </c>
      <c r="AQ248" s="100" t="s">
        <v>43</v>
      </c>
      <c r="AR248" s="100" t="s">
        <v>43</v>
      </c>
      <c r="AS248" s="100" t="str">
        <f>IF(AR248&lt;&gt;"No Disp",AQ248+12*AR248,"No Disp")</f>
        <v>No Disp</v>
      </c>
    </row>
    <row r="249" spans="1:45" s="101" customFormat="1" x14ac:dyDescent="0.25">
      <c r="A249" s="90" t="s">
        <v>38</v>
      </c>
      <c r="B249" s="90" t="s">
        <v>40</v>
      </c>
      <c r="C249" s="90" t="s">
        <v>39</v>
      </c>
      <c r="D249" s="90" t="s">
        <v>4540</v>
      </c>
      <c r="E249" s="90" t="s">
        <v>4542</v>
      </c>
      <c r="F249" s="91">
        <v>181</v>
      </c>
      <c r="G249" s="92">
        <v>70010662</v>
      </c>
      <c r="H249" s="91">
        <v>70010663</v>
      </c>
      <c r="I249" s="93" t="s">
        <v>46</v>
      </c>
      <c r="J249" s="94" t="s">
        <v>828</v>
      </c>
      <c r="K249" s="94" t="s">
        <v>829</v>
      </c>
      <c r="L249" s="94" t="s">
        <v>3740</v>
      </c>
      <c r="M249" s="95">
        <v>249900</v>
      </c>
      <c r="N249" s="95">
        <v>4000</v>
      </c>
      <c r="O249" s="95">
        <v>6000</v>
      </c>
      <c r="P249" s="96">
        <v>0</v>
      </c>
      <c r="Q249" s="152"/>
      <c r="R249" s="95">
        <v>249900</v>
      </c>
      <c r="S249" s="95">
        <f>R249/24</f>
        <v>10412.5</v>
      </c>
      <c r="T249" s="95">
        <v>249900</v>
      </c>
      <c r="U249" s="95">
        <f>T249/24</f>
        <v>10412.5</v>
      </c>
      <c r="V249" s="95">
        <v>249900</v>
      </c>
      <c r="W249" s="95">
        <f>V249/24</f>
        <v>10412.5</v>
      </c>
      <c r="X249" s="128"/>
      <c r="Y249" s="95">
        <v>539900</v>
      </c>
      <c r="Z249" s="95">
        <v>12000</v>
      </c>
      <c r="AA249" s="95">
        <f>IFERROR(IF(D249="Premium",0.4*Y249,0),"No Disp")</f>
        <v>215960</v>
      </c>
      <c r="AB249" s="95">
        <f>IFERROR(IF(4*Y249&gt;AC249,1.5*Y249,4*Y249),"No Disp")</f>
        <v>809850</v>
      </c>
      <c r="AC249" s="95">
        <f>IF(Z249="No Disp","No Disp",(Z249*18)+Y249)</f>
        <v>755900</v>
      </c>
      <c r="AD249" s="95">
        <f>18*Z249-100+Y249</f>
        <v>755800</v>
      </c>
      <c r="AE249" s="95">
        <v>19900</v>
      </c>
      <c r="AF249" s="95">
        <v>19000</v>
      </c>
      <c r="AG249" s="95">
        <f>IF(AF249="No Disp","No Disp",(AF249*18)+AE249)</f>
        <v>361900</v>
      </c>
      <c r="AH249" s="95">
        <f>18*AF249-100+AE249</f>
        <v>361800</v>
      </c>
      <c r="AI249" s="95" t="s">
        <v>4613</v>
      </c>
      <c r="AJ249" s="99"/>
      <c r="AK249" s="100" t="s">
        <v>43</v>
      </c>
      <c r="AL249" s="100" t="s">
        <v>43</v>
      </c>
      <c r="AM249" s="100" t="str">
        <f>IF(AL249&lt;&gt;"No Disp",AK249+12*AL249,"No Disp")</f>
        <v>No Disp</v>
      </c>
      <c r="AN249" s="100" t="s">
        <v>43</v>
      </c>
      <c r="AO249" s="100" t="s">
        <v>43</v>
      </c>
      <c r="AP249" s="100" t="str">
        <f>IF(AO249&lt;&gt;"No Disp",AN249+12*AO249,"No Disp")</f>
        <v>No Disp</v>
      </c>
      <c r="AQ249" s="100" t="s">
        <v>43</v>
      </c>
      <c r="AR249" s="100" t="s">
        <v>43</v>
      </c>
      <c r="AS249" s="100" t="str">
        <f>IF(AR249&lt;&gt;"No Disp",AQ249+12*AR249,"No Disp")</f>
        <v>No Disp</v>
      </c>
    </row>
    <row r="250" spans="1:45" s="101" customFormat="1" x14ac:dyDescent="0.25">
      <c r="A250" s="90" t="s">
        <v>38</v>
      </c>
      <c r="B250" s="90" t="s">
        <v>39</v>
      </c>
      <c r="C250" s="90" t="s">
        <v>40</v>
      </c>
      <c r="D250" s="90" t="s">
        <v>4539</v>
      </c>
      <c r="E250" s="90" t="s">
        <v>4542</v>
      </c>
      <c r="F250" s="91">
        <v>182</v>
      </c>
      <c r="G250" s="92">
        <v>70010666</v>
      </c>
      <c r="H250" s="91">
        <v>70010667</v>
      </c>
      <c r="I250" s="93" t="s">
        <v>87</v>
      </c>
      <c r="J250" s="94" t="s">
        <v>3692</v>
      </c>
      <c r="K250" s="94" t="s">
        <v>827</v>
      </c>
      <c r="L250" s="94" t="s">
        <v>3741</v>
      </c>
      <c r="M250" s="95">
        <v>69900</v>
      </c>
      <c r="N250" s="95">
        <v>2500</v>
      </c>
      <c r="O250" s="95">
        <v>4000</v>
      </c>
      <c r="P250" s="96">
        <v>0</v>
      </c>
      <c r="Q250" s="152"/>
      <c r="R250" s="95">
        <v>69900</v>
      </c>
      <c r="S250" s="95">
        <f>R250/24</f>
        <v>2912.5</v>
      </c>
      <c r="T250" s="95">
        <v>69900</v>
      </c>
      <c r="U250" s="95">
        <f>T250/24</f>
        <v>2912.5</v>
      </c>
      <c r="V250" s="95">
        <v>69900</v>
      </c>
      <c r="W250" s="95">
        <f>V250/24</f>
        <v>2912.5</v>
      </c>
      <c r="X250" s="128"/>
      <c r="Y250" s="95">
        <v>129900</v>
      </c>
      <c r="Z250" s="95">
        <v>16000</v>
      </c>
      <c r="AA250" s="95">
        <f>IFERROR(IF(D250="Premium",0.4*Y250,0),"No Disp")</f>
        <v>0</v>
      </c>
      <c r="AB250" s="95">
        <f>IFERROR(IF(4*Y250&gt;AC250,1.5*Y250,4*Y250),"No Disp")</f>
        <v>194850</v>
      </c>
      <c r="AC250" s="95">
        <f>IF(Z250="No Disp","No Disp",(Z250*18)+Y250)</f>
        <v>417900</v>
      </c>
      <c r="AD250" s="95">
        <f>18*Z250-100+Y250</f>
        <v>417800</v>
      </c>
      <c r="AE250" s="95">
        <v>19900</v>
      </c>
      <c r="AF250" s="95">
        <v>4000</v>
      </c>
      <c r="AG250" s="95">
        <f>IF(AF250="No Disp","No Disp",(AF250*18)+AE250)</f>
        <v>91900</v>
      </c>
      <c r="AH250" s="95">
        <f>18*AF250-100+AE250</f>
        <v>91800</v>
      </c>
      <c r="AI250" s="95" t="s">
        <v>4613</v>
      </c>
      <c r="AJ250" s="99"/>
      <c r="AK250" s="100" t="s">
        <v>43</v>
      </c>
      <c r="AL250" s="100" t="s">
        <v>43</v>
      </c>
      <c r="AM250" s="100" t="str">
        <f>IF(AL250&lt;&gt;"No Disp",AK250+12*AL250,"No Disp")</f>
        <v>No Disp</v>
      </c>
      <c r="AN250" s="100" t="s">
        <v>43</v>
      </c>
      <c r="AO250" s="100" t="s">
        <v>43</v>
      </c>
      <c r="AP250" s="100" t="str">
        <f>IF(AO250&lt;&gt;"No Disp",AN250+12*AO250,"No Disp")</f>
        <v>No Disp</v>
      </c>
      <c r="AQ250" s="100" t="s">
        <v>43</v>
      </c>
      <c r="AR250" s="100" t="s">
        <v>43</v>
      </c>
      <c r="AS250" s="100" t="str">
        <f>IF(AR250&lt;&gt;"No Disp",AQ250+12*AR250,"No Disp")</f>
        <v>No Disp</v>
      </c>
    </row>
    <row r="251" spans="1:45" s="101" customFormat="1" x14ac:dyDescent="0.25">
      <c r="A251" s="90" t="s">
        <v>102</v>
      </c>
      <c r="B251" s="90" t="s">
        <v>39</v>
      </c>
      <c r="C251" s="90" t="s">
        <v>40</v>
      </c>
      <c r="D251" s="90" t="s">
        <v>4539</v>
      </c>
      <c r="E251" s="90" t="s">
        <v>4542</v>
      </c>
      <c r="F251" s="91">
        <v>199</v>
      </c>
      <c r="G251" s="92">
        <v>70010800</v>
      </c>
      <c r="H251" s="91">
        <v>70010801</v>
      </c>
      <c r="I251" s="93" t="s">
        <v>41</v>
      </c>
      <c r="J251" s="94" t="s">
        <v>3742</v>
      </c>
      <c r="K251" s="94" t="s">
        <v>809</v>
      </c>
      <c r="L251" s="94" t="s">
        <v>3743</v>
      </c>
      <c r="M251" s="95">
        <v>59900</v>
      </c>
      <c r="N251" s="95">
        <v>2500</v>
      </c>
      <c r="O251" s="95">
        <v>4000</v>
      </c>
      <c r="P251" s="96">
        <v>209990</v>
      </c>
      <c r="Q251" s="152"/>
      <c r="R251" s="95">
        <v>59990</v>
      </c>
      <c r="S251" s="95">
        <f>R251/24</f>
        <v>2499.5833333333335</v>
      </c>
      <c r="T251" s="95">
        <v>59900</v>
      </c>
      <c r="U251" s="95">
        <f>T251/24</f>
        <v>2495.8333333333335</v>
      </c>
      <c r="V251" s="95">
        <v>59900</v>
      </c>
      <c r="W251" s="95">
        <f>V251/24</f>
        <v>2495.8333333333335</v>
      </c>
      <c r="X251" s="128"/>
      <c r="Y251" s="95">
        <v>0</v>
      </c>
      <c r="Z251" s="95">
        <v>6000</v>
      </c>
      <c r="AA251" s="95">
        <f>IFERROR(IF(D251="Premium",0.4*Y251,0),"No Disp")</f>
        <v>0</v>
      </c>
      <c r="AB251" s="95">
        <f>IFERROR(IF(4*Y251&gt;AC251,1.5*Y251,4*Y251),"No Disp")</f>
        <v>0</v>
      </c>
      <c r="AC251" s="95">
        <f>IF(Z251="No Disp","No Disp",(Z251*18)+Y251)</f>
        <v>108000</v>
      </c>
      <c r="AD251" s="95">
        <f>18*Z251-100+Y251</f>
        <v>107900</v>
      </c>
      <c r="AE251" s="95">
        <v>0</v>
      </c>
      <c r="AF251" s="95">
        <v>5500</v>
      </c>
      <c r="AG251" s="95">
        <f>IF(AF251="No Disp","No Disp",(AF251*18)+AE251)</f>
        <v>99000</v>
      </c>
      <c r="AH251" s="95">
        <f>18*AF251-100+AE251</f>
        <v>98900</v>
      </c>
      <c r="AI251" s="95" t="s">
        <v>4613</v>
      </c>
      <c r="AJ251" s="99"/>
      <c r="AK251" s="100" t="s">
        <v>43</v>
      </c>
      <c r="AL251" s="100" t="s">
        <v>43</v>
      </c>
      <c r="AM251" s="100" t="str">
        <f>IF(AL251&lt;&gt;"No Disp",AK251+12*AL251,"No Disp")</f>
        <v>No Disp</v>
      </c>
      <c r="AN251" s="100" t="s">
        <v>43</v>
      </c>
      <c r="AO251" s="100" t="s">
        <v>43</v>
      </c>
      <c r="AP251" s="100" t="str">
        <f>IF(AO251&lt;&gt;"No Disp",AN251+12*AO251,"No Disp")</f>
        <v>No Disp</v>
      </c>
      <c r="AQ251" s="100" t="s">
        <v>43</v>
      </c>
      <c r="AR251" s="100" t="s">
        <v>43</v>
      </c>
      <c r="AS251" s="100" t="str">
        <f>IF(AR251&lt;&gt;"No Disp",AQ251+12*AR251,"No Disp")</f>
        <v>No Disp</v>
      </c>
    </row>
    <row r="252" spans="1:45" s="101" customFormat="1" x14ac:dyDescent="0.25">
      <c r="A252" s="90" t="s">
        <v>102</v>
      </c>
      <c r="B252" s="90" t="s">
        <v>39</v>
      </c>
      <c r="C252" s="90" t="s">
        <v>40</v>
      </c>
      <c r="D252" s="90" t="s">
        <v>4541</v>
      </c>
      <c r="E252" s="90" t="s">
        <v>4542</v>
      </c>
      <c r="F252" s="91">
        <v>224</v>
      </c>
      <c r="G252" s="92">
        <v>70010804</v>
      </c>
      <c r="H252" s="91">
        <v>70010805</v>
      </c>
      <c r="I252" s="93" t="s">
        <v>131</v>
      </c>
      <c r="J252" s="94" t="s">
        <v>3744</v>
      </c>
      <c r="K252" s="94" t="s">
        <v>762</v>
      </c>
      <c r="L252" s="94" t="s">
        <v>763</v>
      </c>
      <c r="M252" s="95">
        <v>164900</v>
      </c>
      <c r="N252" s="95">
        <v>2500</v>
      </c>
      <c r="O252" s="95">
        <v>4000</v>
      </c>
      <c r="P252" s="96">
        <v>0</v>
      </c>
      <c r="Q252" s="152"/>
      <c r="R252" s="95">
        <v>164900</v>
      </c>
      <c r="S252" s="95">
        <f>R252/24</f>
        <v>6870.833333333333</v>
      </c>
      <c r="T252" s="95">
        <v>164900</v>
      </c>
      <c r="U252" s="95">
        <f>T252/24</f>
        <v>6870.833333333333</v>
      </c>
      <c r="V252" s="95">
        <v>164900</v>
      </c>
      <c r="W252" s="95">
        <f>V252/24</f>
        <v>6870.833333333333</v>
      </c>
      <c r="X252" s="128"/>
      <c r="Y252" s="95">
        <v>69900</v>
      </c>
      <c r="Z252" s="95">
        <v>9000</v>
      </c>
      <c r="AA252" s="95">
        <f>IFERROR(IF(D252="Premium",0.4*Y252,0),"No Disp")</f>
        <v>0</v>
      </c>
      <c r="AB252" s="95">
        <f>IFERROR(IF(4*Y252&gt;AC252,1.5*Y252,4*Y252),"No Disp")</f>
        <v>104850</v>
      </c>
      <c r="AC252" s="95">
        <f>IF(Z252="No Disp","No Disp",(Z252*18)+Y252)</f>
        <v>231900</v>
      </c>
      <c r="AD252" s="95">
        <f>18*Z252-100+Y252</f>
        <v>231800</v>
      </c>
      <c r="AE252" s="95">
        <v>19900</v>
      </c>
      <c r="AF252" s="95">
        <v>11500</v>
      </c>
      <c r="AG252" s="95">
        <f>IF(AF252="No Disp","No Disp",(AF252*18)+AE252)</f>
        <v>226900</v>
      </c>
      <c r="AH252" s="95">
        <f>18*AF252-100+AE252</f>
        <v>226800</v>
      </c>
      <c r="AI252" s="95" t="s">
        <v>4613</v>
      </c>
      <c r="AJ252" s="99"/>
      <c r="AK252" s="100" t="s">
        <v>43</v>
      </c>
      <c r="AL252" s="100" t="s">
        <v>43</v>
      </c>
      <c r="AM252" s="100" t="str">
        <f>IF(AL252&lt;&gt;"No Disp",AK252+12*AL252,"No Disp")</f>
        <v>No Disp</v>
      </c>
      <c r="AN252" s="100" t="s">
        <v>43</v>
      </c>
      <c r="AO252" s="100" t="s">
        <v>43</v>
      </c>
      <c r="AP252" s="100" t="str">
        <f>IF(AO252&lt;&gt;"No Disp",AN252+12*AO252,"No Disp")</f>
        <v>No Disp</v>
      </c>
      <c r="AQ252" s="100" t="s">
        <v>43</v>
      </c>
      <c r="AR252" s="100" t="s">
        <v>43</v>
      </c>
      <c r="AS252" s="100" t="str">
        <f>IF(AR252&lt;&gt;"No Disp",AQ252+12*AR252,"No Disp")</f>
        <v>No Disp</v>
      </c>
    </row>
    <row r="253" spans="1:45" s="101" customFormat="1" x14ac:dyDescent="0.25">
      <c r="A253" s="90" t="s">
        <v>38</v>
      </c>
      <c r="B253" s="90" t="s">
        <v>40</v>
      </c>
      <c r="C253" s="90" t="s">
        <v>39</v>
      </c>
      <c r="D253" s="90" t="s">
        <v>4540</v>
      </c>
      <c r="E253" s="90" t="s">
        <v>4542</v>
      </c>
      <c r="F253" s="91">
        <v>183</v>
      </c>
      <c r="G253" s="92">
        <v>70010836</v>
      </c>
      <c r="H253" s="91">
        <v>70010837</v>
      </c>
      <c r="I253" s="93" t="s">
        <v>63</v>
      </c>
      <c r="J253" s="94" t="s">
        <v>777</v>
      </c>
      <c r="K253" s="94" t="s">
        <v>826</v>
      </c>
      <c r="L253" s="94" t="s">
        <v>3745</v>
      </c>
      <c r="M253" s="95">
        <v>659900</v>
      </c>
      <c r="N253" s="95">
        <v>6000</v>
      </c>
      <c r="O253" s="95">
        <v>8500</v>
      </c>
      <c r="P253" s="96">
        <v>1029990</v>
      </c>
      <c r="Q253" s="152"/>
      <c r="R253" s="95">
        <v>739990</v>
      </c>
      <c r="S253" s="95">
        <f>R253/24</f>
        <v>30832.916666666668</v>
      </c>
      <c r="T253" s="95">
        <v>659900</v>
      </c>
      <c r="U253" s="95">
        <f>T253/24</f>
        <v>27495.833333333332</v>
      </c>
      <c r="V253" s="95">
        <v>659900</v>
      </c>
      <c r="W253" s="95">
        <f>V253/24</f>
        <v>27495.833333333332</v>
      </c>
      <c r="X253" s="128"/>
      <c r="Y253" s="95">
        <v>229900</v>
      </c>
      <c r="Z253" s="95">
        <v>40000</v>
      </c>
      <c r="AA253" s="95">
        <f>IFERROR(IF(D253="Premium",0.4*Y253,0),"No Disp")</f>
        <v>91960</v>
      </c>
      <c r="AB253" s="95">
        <f>IFERROR(IF(4*Y253&gt;AC253,1.5*Y253,4*Y253),"No Disp")</f>
        <v>919600</v>
      </c>
      <c r="AC253" s="95">
        <f>IF(Z253="No Disp","No Disp",(Z253*18)+Y253)</f>
        <v>949900</v>
      </c>
      <c r="AD253" s="95">
        <f>18*Z253-100+Y253</f>
        <v>949800</v>
      </c>
      <c r="AE253" s="95">
        <v>129900</v>
      </c>
      <c r="AF253" s="95">
        <v>45500</v>
      </c>
      <c r="AG253" s="95">
        <f>IF(AF253="No Disp","No Disp",(AF253*18)+AE253)</f>
        <v>948900</v>
      </c>
      <c r="AH253" s="95">
        <f>18*AF253-100+AE253</f>
        <v>948800</v>
      </c>
      <c r="AI253" s="95" t="s">
        <v>4613</v>
      </c>
      <c r="AJ253" s="99"/>
      <c r="AK253" s="100">
        <v>0</v>
      </c>
      <c r="AL253" s="100">
        <v>30000</v>
      </c>
      <c r="AM253" s="100">
        <f>IF(AL253&lt;&gt;"No Disp",AK253+12*AL253,"No Disp")</f>
        <v>360000</v>
      </c>
      <c r="AN253" s="100">
        <v>0</v>
      </c>
      <c r="AO253" s="100">
        <v>30000</v>
      </c>
      <c r="AP253" s="100">
        <f>IF(AO253&lt;&gt;"No Disp",AN253+12*AO253,"No Disp")</f>
        <v>360000</v>
      </c>
      <c r="AQ253" s="100">
        <v>0</v>
      </c>
      <c r="AR253" s="100">
        <v>30000</v>
      </c>
      <c r="AS253" s="100">
        <f>IF(AR253&lt;&gt;"No Disp",AQ253+12*AR253,"No Disp")</f>
        <v>360000</v>
      </c>
    </row>
    <row r="254" spans="1:45" s="101" customFormat="1" x14ac:dyDescent="0.25">
      <c r="A254" s="90" t="s">
        <v>38</v>
      </c>
      <c r="B254" s="90" t="s">
        <v>40</v>
      </c>
      <c r="C254" s="90" t="s">
        <v>39</v>
      </c>
      <c r="D254" s="90" t="s">
        <v>4540</v>
      </c>
      <c r="E254" s="90" t="s">
        <v>4542</v>
      </c>
      <c r="F254" s="91">
        <v>184</v>
      </c>
      <c r="G254" s="92">
        <v>70010858</v>
      </c>
      <c r="H254" s="91">
        <v>70010859</v>
      </c>
      <c r="I254" s="93" t="s">
        <v>63</v>
      </c>
      <c r="J254" s="94" t="s">
        <v>777</v>
      </c>
      <c r="K254" s="94" t="s">
        <v>825</v>
      </c>
      <c r="L254" s="94" t="s">
        <v>3746</v>
      </c>
      <c r="M254" s="95">
        <v>659900</v>
      </c>
      <c r="N254" s="95">
        <v>6000</v>
      </c>
      <c r="O254" s="95">
        <v>8500</v>
      </c>
      <c r="P254" s="96">
        <v>1029990</v>
      </c>
      <c r="Q254" s="152"/>
      <c r="R254" s="95">
        <v>739990</v>
      </c>
      <c r="S254" s="95">
        <f>R254/24</f>
        <v>30832.916666666668</v>
      </c>
      <c r="T254" s="95">
        <v>659900</v>
      </c>
      <c r="U254" s="95">
        <f>T254/24</f>
        <v>27495.833333333332</v>
      </c>
      <c r="V254" s="95">
        <v>659900</v>
      </c>
      <c r="W254" s="95">
        <f>V254/24</f>
        <v>27495.833333333332</v>
      </c>
      <c r="X254" s="128"/>
      <c r="Y254" s="95">
        <v>229900</v>
      </c>
      <c r="Z254" s="95">
        <v>40000</v>
      </c>
      <c r="AA254" s="95">
        <f>IFERROR(IF(D254="Premium",0.4*Y254,0),"No Disp")</f>
        <v>91960</v>
      </c>
      <c r="AB254" s="95">
        <f>IFERROR(IF(4*Y254&gt;AC254,1.5*Y254,4*Y254),"No Disp")</f>
        <v>919600</v>
      </c>
      <c r="AC254" s="95">
        <f>IF(Z254="No Disp","No Disp",(Z254*18)+Y254)</f>
        <v>949900</v>
      </c>
      <c r="AD254" s="95">
        <f>18*Z254-100+Y254</f>
        <v>949800</v>
      </c>
      <c r="AE254" s="95">
        <v>129900</v>
      </c>
      <c r="AF254" s="95">
        <v>45500</v>
      </c>
      <c r="AG254" s="95">
        <f>IF(AF254="No Disp","No Disp",(AF254*18)+AE254)</f>
        <v>948900</v>
      </c>
      <c r="AH254" s="95">
        <f>18*AF254-100+AE254</f>
        <v>948800</v>
      </c>
      <c r="AI254" s="95" t="s">
        <v>4613</v>
      </c>
      <c r="AJ254" s="99"/>
      <c r="AK254" s="100">
        <v>0</v>
      </c>
      <c r="AL254" s="100">
        <v>30000</v>
      </c>
      <c r="AM254" s="100">
        <f>IF(AL254&lt;&gt;"No Disp",AK254+12*AL254,"No Disp")</f>
        <v>360000</v>
      </c>
      <c r="AN254" s="100">
        <v>0</v>
      </c>
      <c r="AO254" s="100">
        <v>30000</v>
      </c>
      <c r="AP254" s="100">
        <f>IF(AO254&lt;&gt;"No Disp",AN254+12*AO254,"No Disp")</f>
        <v>360000</v>
      </c>
      <c r="AQ254" s="100">
        <v>0</v>
      </c>
      <c r="AR254" s="100">
        <v>30000</v>
      </c>
      <c r="AS254" s="100">
        <f>IF(AR254&lt;&gt;"No Disp",AQ254+12*AR254,"No Disp")</f>
        <v>360000</v>
      </c>
    </row>
    <row r="255" spans="1:45" s="101" customFormat="1" x14ac:dyDescent="0.25">
      <c r="A255" s="90" t="s">
        <v>38</v>
      </c>
      <c r="B255" s="90" t="s">
        <v>40</v>
      </c>
      <c r="C255" s="90" t="s">
        <v>39</v>
      </c>
      <c r="D255" s="90" t="s">
        <v>4540</v>
      </c>
      <c r="E255" s="90" t="s">
        <v>4542</v>
      </c>
      <c r="F255" s="91">
        <v>185</v>
      </c>
      <c r="G255" s="92">
        <v>70010860</v>
      </c>
      <c r="H255" s="91">
        <v>70010861</v>
      </c>
      <c r="I255" s="93" t="s">
        <v>63</v>
      </c>
      <c r="J255" s="94" t="s">
        <v>3747</v>
      </c>
      <c r="K255" s="94" t="s">
        <v>824</v>
      </c>
      <c r="L255" s="94" t="s">
        <v>3748</v>
      </c>
      <c r="M255" s="95">
        <v>939900</v>
      </c>
      <c r="N255" s="95">
        <v>7000</v>
      </c>
      <c r="O255" s="95">
        <v>10000</v>
      </c>
      <c r="P255" s="96">
        <v>0</v>
      </c>
      <c r="Q255" s="152"/>
      <c r="R255" s="95">
        <v>939900</v>
      </c>
      <c r="S255" s="95">
        <f>R255/24</f>
        <v>39162.5</v>
      </c>
      <c r="T255" s="95">
        <v>939900</v>
      </c>
      <c r="U255" s="95">
        <f>T255/24</f>
        <v>39162.5</v>
      </c>
      <c r="V255" s="95">
        <v>939900</v>
      </c>
      <c r="W255" s="95">
        <f>V255/24</f>
        <v>39162.5</v>
      </c>
      <c r="X255" s="128"/>
      <c r="Y255" s="95">
        <v>879900</v>
      </c>
      <c r="Z255" s="95">
        <v>17500</v>
      </c>
      <c r="AA255" s="95">
        <f>IFERROR(IF(D255="Premium",0.4*Y255,0),"No Disp")</f>
        <v>351960</v>
      </c>
      <c r="AB255" s="95">
        <f>IFERROR(IF(4*Y255&gt;AC255,1.5*Y255,4*Y255),"No Disp")</f>
        <v>1319850</v>
      </c>
      <c r="AC255" s="95">
        <f>IF(Z255="No Disp","No Disp",(Z255*18)+Y255)</f>
        <v>1194900</v>
      </c>
      <c r="AD255" s="95">
        <f>18*Z255-100+Y255</f>
        <v>1194800</v>
      </c>
      <c r="AE255" s="95">
        <v>399900</v>
      </c>
      <c r="AF255" s="95">
        <v>44000</v>
      </c>
      <c r="AG255" s="95">
        <f>IF(AF255="No Disp","No Disp",(AF255*18)+AE255)</f>
        <v>1191900</v>
      </c>
      <c r="AH255" s="95">
        <f>18*AF255-100+AE255</f>
        <v>1191800</v>
      </c>
      <c r="AI255" s="95" t="s">
        <v>4613</v>
      </c>
      <c r="AJ255" s="99"/>
      <c r="AK255" s="100" t="s">
        <v>43</v>
      </c>
      <c r="AL255" s="100" t="s">
        <v>43</v>
      </c>
      <c r="AM255" s="100" t="str">
        <f>IF(AL255&lt;&gt;"No Disp",AK255+12*AL255,"No Disp")</f>
        <v>No Disp</v>
      </c>
      <c r="AN255" s="100" t="s">
        <v>43</v>
      </c>
      <c r="AO255" s="100" t="s">
        <v>43</v>
      </c>
      <c r="AP255" s="100" t="str">
        <f>IF(AO255&lt;&gt;"No Disp",AN255+12*AO255,"No Disp")</f>
        <v>No Disp</v>
      </c>
      <c r="AQ255" s="100" t="s">
        <v>43</v>
      </c>
      <c r="AR255" s="100" t="s">
        <v>43</v>
      </c>
      <c r="AS255" s="100" t="str">
        <f>IF(AR255&lt;&gt;"No Disp",AQ255+12*AR255,"No Disp")</f>
        <v>No Disp</v>
      </c>
    </row>
    <row r="256" spans="1:45" s="101" customFormat="1" x14ac:dyDescent="0.25">
      <c r="A256" s="90" t="s">
        <v>38</v>
      </c>
      <c r="B256" s="90" t="s">
        <v>40</v>
      </c>
      <c r="C256" s="90" t="s">
        <v>39</v>
      </c>
      <c r="D256" s="90" t="s">
        <v>4540</v>
      </c>
      <c r="E256" s="90" t="s">
        <v>4542</v>
      </c>
      <c r="F256" s="91">
        <v>186</v>
      </c>
      <c r="G256" s="92">
        <v>70010862</v>
      </c>
      <c r="H256" s="91">
        <v>70010863</v>
      </c>
      <c r="I256" s="93" t="s">
        <v>63</v>
      </c>
      <c r="J256" s="94" t="s">
        <v>3749</v>
      </c>
      <c r="K256" s="94" t="s">
        <v>823</v>
      </c>
      <c r="L256" s="94" t="s">
        <v>3750</v>
      </c>
      <c r="M256" s="95">
        <v>949900</v>
      </c>
      <c r="N256" s="95">
        <v>7000</v>
      </c>
      <c r="O256" s="95">
        <v>10000</v>
      </c>
      <c r="P256" s="96">
        <v>0</v>
      </c>
      <c r="Q256" s="152"/>
      <c r="R256" s="95">
        <v>949900</v>
      </c>
      <c r="S256" s="95">
        <f>R256/24</f>
        <v>39579.166666666664</v>
      </c>
      <c r="T256" s="95">
        <v>949900</v>
      </c>
      <c r="U256" s="95">
        <f>T256/24</f>
        <v>39579.166666666664</v>
      </c>
      <c r="V256" s="95">
        <v>949900</v>
      </c>
      <c r="W256" s="95">
        <f>V256/24</f>
        <v>39579.166666666664</v>
      </c>
      <c r="X256" s="128"/>
      <c r="Y256" s="95">
        <v>959900</v>
      </c>
      <c r="Z256" s="95">
        <v>22000</v>
      </c>
      <c r="AA256" s="95">
        <f>IFERROR(IF(D256="Premium",0.4*Y256,0),"No Disp")</f>
        <v>383960</v>
      </c>
      <c r="AB256" s="95">
        <f>IFERROR(IF(4*Y256&gt;AC256,1.5*Y256,4*Y256),"No Disp")</f>
        <v>1439850</v>
      </c>
      <c r="AC256" s="95">
        <f>IF(Z256="No Disp","No Disp",(Z256*18)+Y256)</f>
        <v>1355900</v>
      </c>
      <c r="AD256" s="95">
        <f>18*Z256-100+Y256</f>
        <v>1355800</v>
      </c>
      <c r="AE256" s="95">
        <v>249900</v>
      </c>
      <c r="AF256" s="95">
        <v>55000</v>
      </c>
      <c r="AG256" s="95">
        <f>IF(AF256="No Disp","No Disp",(AF256*18)+AE256)</f>
        <v>1239900</v>
      </c>
      <c r="AH256" s="95">
        <f>18*AF256-100+AE256</f>
        <v>1239800</v>
      </c>
      <c r="AI256" s="95" t="s">
        <v>4613</v>
      </c>
      <c r="AJ256" s="99"/>
      <c r="AK256" s="100" t="s">
        <v>43</v>
      </c>
      <c r="AL256" s="100" t="s">
        <v>43</v>
      </c>
      <c r="AM256" s="100" t="str">
        <f>IF(AL256&lt;&gt;"No Disp",AK256+12*AL256,"No Disp")</f>
        <v>No Disp</v>
      </c>
      <c r="AN256" s="100" t="s">
        <v>43</v>
      </c>
      <c r="AO256" s="100" t="s">
        <v>43</v>
      </c>
      <c r="AP256" s="100" t="str">
        <f>IF(AO256&lt;&gt;"No Disp",AN256+12*AO256,"No Disp")</f>
        <v>No Disp</v>
      </c>
      <c r="AQ256" s="100" t="s">
        <v>43</v>
      </c>
      <c r="AR256" s="100" t="s">
        <v>43</v>
      </c>
      <c r="AS256" s="100" t="str">
        <f>IF(AR256&lt;&gt;"No Disp",AQ256+12*AR256,"No Disp")</f>
        <v>No Disp</v>
      </c>
    </row>
    <row r="257" spans="1:45" s="101" customFormat="1" x14ac:dyDescent="0.25">
      <c r="A257" s="90" t="s">
        <v>38</v>
      </c>
      <c r="B257" s="90" t="s">
        <v>40</v>
      </c>
      <c r="C257" s="90" t="s">
        <v>39</v>
      </c>
      <c r="D257" s="90" t="s">
        <v>4540</v>
      </c>
      <c r="E257" s="90" t="s">
        <v>4542</v>
      </c>
      <c r="F257" s="91">
        <v>187</v>
      </c>
      <c r="G257" s="92">
        <v>70010864</v>
      </c>
      <c r="H257" s="91">
        <v>70010865</v>
      </c>
      <c r="I257" s="93" t="s">
        <v>63</v>
      </c>
      <c r="J257" s="94" t="s">
        <v>3749</v>
      </c>
      <c r="K257" s="94" t="s">
        <v>822</v>
      </c>
      <c r="L257" s="94" t="s">
        <v>3751</v>
      </c>
      <c r="M257" s="95">
        <v>949900</v>
      </c>
      <c r="N257" s="95">
        <v>7000</v>
      </c>
      <c r="O257" s="95">
        <v>10000</v>
      </c>
      <c r="P257" s="96">
        <v>0</v>
      </c>
      <c r="Q257" s="152"/>
      <c r="R257" s="95">
        <v>949900</v>
      </c>
      <c r="S257" s="95">
        <f>R257/24</f>
        <v>39579.166666666664</v>
      </c>
      <c r="T257" s="95">
        <v>949900</v>
      </c>
      <c r="U257" s="95">
        <f>T257/24</f>
        <v>39579.166666666664</v>
      </c>
      <c r="V257" s="95">
        <v>949900</v>
      </c>
      <c r="W257" s="95">
        <f>V257/24</f>
        <v>39579.166666666664</v>
      </c>
      <c r="X257" s="128"/>
      <c r="Y257" s="95">
        <v>959900</v>
      </c>
      <c r="Z257" s="95">
        <v>22000</v>
      </c>
      <c r="AA257" s="95">
        <f>IFERROR(IF(D257="Premium",0.4*Y257,0),"No Disp")</f>
        <v>383960</v>
      </c>
      <c r="AB257" s="95">
        <f>IFERROR(IF(4*Y257&gt;AC257,1.5*Y257,4*Y257),"No Disp")</f>
        <v>1439850</v>
      </c>
      <c r="AC257" s="95">
        <f>IF(Z257="No Disp","No Disp",(Z257*18)+Y257)</f>
        <v>1355900</v>
      </c>
      <c r="AD257" s="95">
        <f>18*Z257-100+Y257</f>
        <v>1355800</v>
      </c>
      <c r="AE257" s="95">
        <v>249900</v>
      </c>
      <c r="AF257" s="95">
        <v>55000</v>
      </c>
      <c r="AG257" s="95">
        <f>IF(AF257="No Disp","No Disp",(AF257*18)+AE257)</f>
        <v>1239900</v>
      </c>
      <c r="AH257" s="95">
        <f>18*AF257-100+AE257</f>
        <v>1239800</v>
      </c>
      <c r="AI257" s="95" t="s">
        <v>4613</v>
      </c>
      <c r="AJ257" s="99"/>
      <c r="AK257" s="100" t="s">
        <v>43</v>
      </c>
      <c r="AL257" s="100" t="s">
        <v>43</v>
      </c>
      <c r="AM257" s="100" t="str">
        <f>IF(AL257&lt;&gt;"No Disp",AK257+12*AL257,"No Disp")</f>
        <v>No Disp</v>
      </c>
      <c r="AN257" s="100" t="s">
        <v>43</v>
      </c>
      <c r="AO257" s="100" t="s">
        <v>43</v>
      </c>
      <c r="AP257" s="100" t="str">
        <f>IF(AO257&lt;&gt;"No Disp",AN257+12*AO257,"No Disp")</f>
        <v>No Disp</v>
      </c>
      <c r="AQ257" s="100" t="s">
        <v>43</v>
      </c>
      <c r="AR257" s="100" t="s">
        <v>43</v>
      </c>
      <c r="AS257" s="100" t="str">
        <f>IF(AR257&lt;&gt;"No Disp",AQ257+12*AR257,"No Disp")</f>
        <v>No Disp</v>
      </c>
    </row>
    <row r="258" spans="1:45" s="101" customFormat="1" x14ac:dyDescent="0.25">
      <c r="A258" s="90" t="s">
        <v>38</v>
      </c>
      <c r="B258" s="90" t="s">
        <v>40</v>
      </c>
      <c r="C258" s="90" t="s">
        <v>39</v>
      </c>
      <c r="D258" s="90" t="s">
        <v>4540</v>
      </c>
      <c r="E258" s="90" t="s">
        <v>4542</v>
      </c>
      <c r="F258" s="91">
        <v>188</v>
      </c>
      <c r="G258" s="92">
        <v>70010866</v>
      </c>
      <c r="H258" s="91">
        <v>70010867</v>
      </c>
      <c r="I258" s="93" t="s">
        <v>63</v>
      </c>
      <c r="J258" s="94" t="s">
        <v>3749</v>
      </c>
      <c r="K258" s="94" t="s">
        <v>821</v>
      </c>
      <c r="L258" s="94" t="s">
        <v>3752</v>
      </c>
      <c r="M258" s="95">
        <v>949900</v>
      </c>
      <c r="N258" s="95">
        <v>7000</v>
      </c>
      <c r="O258" s="95">
        <v>10000</v>
      </c>
      <c r="P258" s="96">
        <v>0</v>
      </c>
      <c r="Q258" s="152"/>
      <c r="R258" s="95">
        <v>949900</v>
      </c>
      <c r="S258" s="95">
        <f>R258/24</f>
        <v>39579.166666666664</v>
      </c>
      <c r="T258" s="95">
        <v>949900</v>
      </c>
      <c r="U258" s="95">
        <f>T258/24</f>
        <v>39579.166666666664</v>
      </c>
      <c r="V258" s="95">
        <v>949900</v>
      </c>
      <c r="W258" s="95">
        <f>V258/24</f>
        <v>39579.166666666664</v>
      </c>
      <c r="X258" s="128"/>
      <c r="Y258" s="95">
        <v>959900</v>
      </c>
      <c r="Z258" s="95">
        <v>22000</v>
      </c>
      <c r="AA258" s="95">
        <f>IFERROR(IF(D258="Premium",0.4*Y258,0),"No Disp")</f>
        <v>383960</v>
      </c>
      <c r="AB258" s="95">
        <f>IFERROR(IF(4*Y258&gt;AC258,1.5*Y258,4*Y258),"No Disp")</f>
        <v>1439850</v>
      </c>
      <c r="AC258" s="95">
        <f>IF(Z258="No Disp","No Disp",(Z258*18)+Y258)</f>
        <v>1355900</v>
      </c>
      <c r="AD258" s="95">
        <f>18*Z258-100+Y258</f>
        <v>1355800</v>
      </c>
      <c r="AE258" s="95">
        <v>249900</v>
      </c>
      <c r="AF258" s="95">
        <v>55000</v>
      </c>
      <c r="AG258" s="95">
        <f>IF(AF258="No Disp","No Disp",(AF258*18)+AE258)</f>
        <v>1239900</v>
      </c>
      <c r="AH258" s="95">
        <f>18*AF258-100+AE258</f>
        <v>1239800</v>
      </c>
      <c r="AI258" s="95" t="s">
        <v>4613</v>
      </c>
      <c r="AJ258" s="99"/>
      <c r="AK258" s="100" t="s">
        <v>43</v>
      </c>
      <c r="AL258" s="100" t="s">
        <v>43</v>
      </c>
      <c r="AM258" s="100" t="str">
        <f>IF(AL258&lt;&gt;"No Disp",AK258+12*AL258,"No Disp")</f>
        <v>No Disp</v>
      </c>
      <c r="AN258" s="100" t="s">
        <v>43</v>
      </c>
      <c r="AO258" s="100" t="s">
        <v>43</v>
      </c>
      <c r="AP258" s="100" t="str">
        <f>IF(AO258&lt;&gt;"No Disp",AN258+12*AO258,"No Disp")</f>
        <v>No Disp</v>
      </c>
      <c r="AQ258" s="100" t="s">
        <v>43</v>
      </c>
      <c r="AR258" s="100" t="s">
        <v>43</v>
      </c>
      <c r="AS258" s="100" t="str">
        <f>IF(AR258&lt;&gt;"No Disp",AQ258+12*AR258,"No Disp")</f>
        <v>No Disp</v>
      </c>
    </row>
    <row r="259" spans="1:45" s="101" customFormat="1" x14ac:dyDescent="0.25">
      <c r="A259" s="90" t="s">
        <v>38</v>
      </c>
      <c r="B259" s="90" t="s">
        <v>40</v>
      </c>
      <c r="C259" s="90" t="s">
        <v>39</v>
      </c>
      <c r="D259" s="90" t="s">
        <v>4540</v>
      </c>
      <c r="E259" s="90" t="s">
        <v>4542</v>
      </c>
      <c r="F259" s="91">
        <v>189</v>
      </c>
      <c r="G259" s="92">
        <v>70010868</v>
      </c>
      <c r="H259" s="91">
        <v>70010869</v>
      </c>
      <c r="I259" s="93" t="s">
        <v>63</v>
      </c>
      <c r="J259" s="94" t="s">
        <v>3753</v>
      </c>
      <c r="K259" s="94" t="s">
        <v>820</v>
      </c>
      <c r="L259" s="94" t="s">
        <v>3754</v>
      </c>
      <c r="M259" s="95">
        <v>1059900</v>
      </c>
      <c r="N259" s="95">
        <v>7000</v>
      </c>
      <c r="O259" s="95">
        <v>10000</v>
      </c>
      <c r="P259" s="96">
        <v>0</v>
      </c>
      <c r="Q259" s="152"/>
      <c r="R259" s="95">
        <v>1059900</v>
      </c>
      <c r="S259" s="95">
        <f>R259/24</f>
        <v>44162.5</v>
      </c>
      <c r="T259" s="95">
        <v>1059900</v>
      </c>
      <c r="U259" s="95">
        <f>T259/24</f>
        <v>44162.5</v>
      </c>
      <c r="V259" s="95">
        <v>1059900</v>
      </c>
      <c r="W259" s="95">
        <f>V259/24</f>
        <v>44162.5</v>
      </c>
      <c r="X259" s="128"/>
      <c r="Y259" s="95">
        <v>1009900</v>
      </c>
      <c r="Z259" s="95">
        <v>22500</v>
      </c>
      <c r="AA259" s="95">
        <f>IFERROR(IF(D259="Premium",0.4*Y259,0),"No Disp")</f>
        <v>403960</v>
      </c>
      <c r="AB259" s="95">
        <f>IFERROR(IF(4*Y259&gt;AC259,1.5*Y259,4*Y259),"No Disp")</f>
        <v>1514850</v>
      </c>
      <c r="AC259" s="95">
        <f>IF(Z259="No Disp","No Disp",(Z259*18)+Y259)</f>
        <v>1414900</v>
      </c>
      <c r="AD259" s="95">
        <f>18*Z259-100+Y259</f>
        <v>1414800</v>
      </c>
      <c r="AE259" s="95">
        <v>349900</v>
      </c>
      <c r="AF259" s="95">
        <v>55500</v>
      </c>
      <c r="AG259" s="95">
        <f>IF(AF259="No Disp","No Disp",(AF259*18)+AE259)</f>
        <v>1348900</v>
      </c>
      <c r="AH259" s="95">
        <f>18*AF259-100+AE259</f>
        <v>1348800</v>
      </c>
      <c r="AI259" s="95" t="s">
        <v>4613</v>
      </c>
      <c r="AJ259" s="99"/>
      <c r="AK259" s="100" t="s">
        <v>43</v>
      </c>
      <c r="AL259" s="100" t="s">
        <v>43</v>
      </c>
      <c r="AM259" s="100" t="str">
        <f>IF(AL259&lt;&gt;"No Disp",AK259+12*AL259,"No Disp")</f>
        <v>No Disp</v>
      </c>
      <c r="AN259" s="100" t="s">
        <v>43</v>
      </c>
      <c r="AO259" s="100" t="s">
        <v>43</v>
      </c>
      <c r="AP259" s="100" t="str">
        <f>IF(AO259&lt;&gt;"No Disp",AN259+12*AO259,"No Disp")</f>
        <v>No Disp</v>
      </c>
      <c r="AQ259" s="100" t="s">
        <v>43</v>
      </c>
      <c r="AR259" s="100" t="s">
        <v>43</v>
      </c>
      <c r="AS259" s="100" t="str">
        <f>IF(AR259&lt;&gt;"No Disp",AQ259+12*AR259,"No Disp")</f>
        <v>No Disp</v>
      </c>
    </row>
    <row r="260" spans="1:45" s="101" customFormat="1" x14ac:dyDescent="0.25">
      <c r="A260" s="90" t="s">
        <v>38</v>
      </c>
      <c r="B260" s="90" t="s">
        <v>40</v>
      </c>
      <c r="C260" s="90" t="s">
        <v>39</v>
      </c>
      <c r="D260" s="90" t="s">
        <v>4540</v>
      </c>
      <c r="E260" s="90" t="s">
        <v>4542</v>
      </c>
      <c r="F260" s="91">
        <v>190</v>
      </c>
      <c r="G260" s="92">
        <v>70010870</v>
      </c>
      <c r="H260" s="91">
        <v>70010871</v>
      </c>
      <c r="I260" s="93" t="s">
        <v>63</v>
      </c>
      <c r="J260" s="94" t="s">
        <v>3755</v>
      </c>
      <c r="K260" s="94" t="s">
        <v>819</v>
      </c>
      <c r="L260" s="94" t="s">
        <v>3756</v>
      </c>
      <c r="M260" s="95">
        <v>499990</v>
      </c>
      <c r="N260" s="95">
        <v>6000</v>
      </c>
      <c r="O260" s="95">
        <v>8500</v>
      </c>
      <c r="P260" s="96">
        <v>0</v>
      </c>
      <c r="Q260" s="152"/>
      <c r="R260" s="95">
        <v>499990</v>
      </c>
      <c r="S260" s="95">
        <f>R260/24</f>
        <v>20832.916666666668</v>
      </c>
      <c r="T260" s="95">
        <v>499990</v>
      </c>
      <c r="U260" s="95">
        <f>T260/24</f>
        <v>20832.916666666668</v>
      </c>
      <c r="V260" s="95">
        <v>499990</v>
      </c>
      <c r="W260" s="95">
        <f>V260/24</f>
        <v>20832.916666666668</v>
      </c>
      <c r="X260" s="128"/>
      <c r="Y260" s="95">
        <v>1319900</v>
      </c>
      <c r="Z260" s="95">
        <v>32500</v>
      </c>
      <c r="AA260" s="95">
        <f>IFERROR(IF(D260="Premium",0.4*Y260,0),"No Disp")</f>
        <v>527960</v>
      </c>
      <c r="AB260" s="95">
        <f>IFERROR(IF(4*Y260&gt;AC260,1.5*Y260,4*Y260),"No Disp")</f>
        <v>1979850</v>
      </c>
      <c r="AC260" s="95">
        <f>IF(Z260="No Disp","No Disp",(Z260*18)+Y260)</f>
        <v>1904900</v>
      </c>
      <c r="AD260" s="95">
        <f>18*Z260-100+Y260</f>
        <v>1904800</v>
      </c>
      <c r="AE260" s="95">
        <v>99990</v>
      </c>
      <c r="AF260" s="95">
        <v>31500</v>
      </c>
      <c r="AG260" s="95">
        <f>IF(AF260="No Disp","No Disp",(AF260*18)+AE260)</f>
        <v>666990</v>
      </c>
      <c r="AH260" s="95">
        <f>18*AF260-100+AE260</f>
        <v>666890</v>
      </c>
      <c r="AI260" s="95" t="s">
        <v>4613</v>
      </c>
      <c r="AJ260" s="99"/>
      <c r="AK260" s="100" t="s">
        <v>43</v>
      </c>
      <c r="AL260" s="100" t="s">
        <v>43</v>
      </c>
      <c r="AM260" s="100" t="str">
        <f>IF(AL260&lt;&gt;"No Disp",AK260+12*AL260,"No Disp")</f>
        <v>No Disp</v>
      </c>
      <c r="AN260" s="100" t="s">
        <v>43</v>
      </c>
      <c r="AO260" s="100" t="s">
        <v>43</v>
      </c>
      <c r="AP260" s="100" t="str">
        <f>IF(AO260&lt;&gt;"No Disp",AN260+12*AO260,"No Disp")</f>
        <v>No Disp</v>
      </c>
      <c r="AQ260" s="100" t="s">
        <v>43</v>
      </c>
      <c r="AR260" s="100" t="s">
        <v>43</v>
      </c>
      <c r="AS260" s="100" t="str">
        <f>IF(AR260&lt;&gt;"No Disp",AQ260+12*AR260,"No Disp")</f>
        <v>No Disp</v>
      </c>
    </row>
    <row r="261" spans="1:45" s="101" customFormat="1" x14ac:dyDescent="0.25">
      <c r="A261" s="90" t="s">
        <v>38</v>
      </c>
      <c r="B261" s="90" t="s">
        <v>40</v>
      </c>
      <c r="C261" s="90" t="s">
        <v>39</v>
      </c>
      <c r="D261" s="90" t="s">
        <v>4540</v>
      </c>
      <c r="E261" s="90" t="s">
        <v>4542</v>
      </c>
      <c r="F261" s="91">
        <v>191</v>
      </c>
      <c r="G261" s="92">
        <v>70010872</v>
      </c>
      <c r="H261" s="91">
        <v>70010873</v>
      </c>
      <c r="I261" s="93" t="s">
        <v>63</v>
      </c>
      <c r="J261" s="94" t="s">
        <v>3755</v>
      </c>
      <c r="K261" s="94" t="s">
        <v>818</v>
      </c>
      <c r="L261" s="94" t="s">
        <v>3757</v>
      </c>
      <c r="M261" s="95">
        <v>499990</v>
      </c>
      <c r="N261" s="95">
        <v>6000</v>
      </c>
      <c r="O261" s="95">
        <v>8500</v>
      </c>
      <c r="P261" s="96">
        <v>0</v>
      </c>
      <c r="Q261" s="152"/>
      <c r="R261" s="95">
        <v>499990</v>
      </c>
      <c r="S261" s="95">
        <f>R261/24</f>
        <v>20832.916666666668</v>
      </c>
      <c r="T261" s="95">
        <v>499990</v>
      </c>
      <c r="U261" s="95">
        <f>T261/24</f>
        <v>20832.916666666668</v>
      </c>
      <c r="V261" s="95">
        <v>499990</v>
      </c>
      <c r="W261" s="95">
        <f>V261/24</f>
        <v>20832.916666666668</v>
      </c>
      <c r="X261" s="128"/>
      <c r="Y261" s="95">
        <v>1319900</v>
      </c>
      <c r="Z261" s="95">
        <v>32500</v>
      </c>
      <c r="AA261" s="95">
        <f>IFERROR(IF(D261="Premium",0.4*Y261,0),"No Disp")</f>
        <v>527960</v>
      </c>
      <c r="AB261" s="95">
        <f>IFERROR(IF(4*Y261&gt;AC261,1.5*Y261,4*Y261),"No Disp")</f>
        <v>1979850</v>
      </c>
      <c r="AC261" s="95">
        <f>IF(Z261="No Disp","No Disp",(Z261*18)+Y261)</f>
        <v>1904900</v>
      </c>
      <c r="AD261" s="95">
        <f>18*Z261-100+Y261</f>
        <v>1904800</v>
      </c>
      <c r="AE261" s="95">
        <v>99990</v>
      </c>
      <c r="AF261" s="95">
        <v>31500</v>
      </c>
      <c r="AG261" s="95">
        <f>IF(AF261="No Disp","No Disp",(AF261*18)+AE261)</f>
        <v>666990</v>
      </c>
      <c r="AH261" s="95">
        <f>18*AF261-100+AE261</f>
        <v>666890</v>
      </c>
      <c r="AI261" s="95" t="s">
        <v>4613</v>
      </c>
      <c r="AJ261" s="99"/>
      <c r="AK261" s="100" t="s">
        <v>43</v>
      </c>
      <c r="AL261" s="100" t="s">
        <v>43</v>
      </c>
      <c r="AM261" s="100" t="str">
        <f>IF(AL261&lt;&gt;"No Disp",AK261+12*AL261,"No Disp")</f>
        <v>No Disp</v>
      </c>
      <c r="AN261" s="100" t="s">
        <v>43</v>
      </c>
      <c r="AO261" s="100" t="s">
        <v>43</v>
      </c>
      <c r="AP261" s="100" t="str">
        <f>IF(AO261&lt;&gt;"No Disp",AN261+12*AO261,"No Disp")</f>
        <v>No Disp</v>
      </c>
      <c r="AQ261" s="100" t="s">
        <v>43</v>
      </c>
      <c r="AR261" s="100" t="s">
        <v>43</v>
      </c>
      <c r="AS261" s="100" t="str">
        <f>IF(AR261&lt;&gt;"No Disp",AQ261+12*AR261,"No Disp")</f>
        <v>No Disp</v>
      </c>
    </row>
    <row r="262" spans="1:45" s="101" customFormat="1" x14ac:dyDescent="0.25">
      <c r="A262" s="90" t="s">
        <v>38</v>
      </c>
      <c r="B262" s="90" t="s">
        <v>40</v>
      </c>
      <c r="C262" s="90" t="s">
        <v>39</v>
      </c>
      <c r="D262" s="90" t="s">
        <v>4540</v>
      </c>
      <c r="E262" s="90" t="s">
        <v>4542</v>
      </c>
      <c r="F262" s="91">
        <v>192</v>
      </c>
      <c r="G262" s="92">
        <v>70010874</v>
      </c>
      <c r="H262" s="91">
        <v>70010875</v>
      </c>
      <c r="I262" s="93" t="s">
        <v>63</v>
      </c>
      <c r="J262" s="94" t="s">
        <v>3755</v>
      </c>
      <c r="K262" s="94" t="s">
        <v>817</v>
      </c>
      <c r="L262" s="94" t="s">
        <v>3758</v>
      </c>
      <c r="M262" s="95">
        <v>499990</v>
      </c>
      <c r="N262" s="95">
        <v>6000</v>
      </c>
      <c r="O262" s="95">
        <v>8500</v>
      </c>
      <c r="P262" s="96">
        <v>0</v>
      </c>
      <c r="Q262" s="152"/>
      <c r="R262" s="95">
        <v>499990</v>
      </c>
      <c r="S262" s="95">
        <f>R262/24</f>
        <v>20832.916666666668</v>
      </c>
      <c r="T262" s="95">
        <v>499990</v>
      </c>
      <c r="U262" s="95">
        <f>T262/24</f>
        <v>20832.916666666668</v>
      </c>
      <c r="V262" s="95">
        <v>499990</v>
      </c>
      <c r="W262" s="95">
        <f>V262/24</f>
        <v>20832.916666666668</v>
      </c>
      <c r="X262" s="128"/>
      <c r="Y262" s="95">
        <v>1319900</v>
      </c>
      <c r="Z262" s="95">
        <v>32500</v>
      </c>
      <c r="AA262" s="95">
        <f>IFERROR(IF(D262="Premium",0.4*Y262,0),"No Disp")</f>
        <v>527960</v>
      </c>
      <c r="AB262" s="95">
        <f>IFERROR(IF(4*Y262&gt;AC262,1.5*Y262,4*Y262),"No Disp")</f>
        <v>1979850</v>
      </c>
      <c r="AC262" s="95">
        <f>IF(Z262="No Disp","No Disp",(Z262*18)+Y262)</f>
        <v>1904900</v>
      </c>
      <c r="AD262" s="95">
        <f>18*Z262-100+Y262</f>
        <v>1904800</v>
      </c>
      <c r="AE262" s="95">
        <v>99990</v>
      </c>
      <c r="AF262" s="95">
        <v>31500</v>
      </c>
      <c r="AG262" s="95">
        <f>IF(AF262="No Disp","No Disp",(AF262*18)+AE262)</f>
        <v>666990</v>
      </c>
      <c r="AH262" s="95">
        <f>18*AF262-100+AE262</f>
        <v>666890</v>
      </c>
      <c r="AI262" s="95" t="s">
        <v>4613</v>
      </c>
      <c r="AJ262" s="99"/>
      <c r="AK262" s="100" t="s">
        <v>43</v>
      </c>
      <c r="AL262" s="100" t="s">
        <v>43</v>
      </c>
      <c r="AM262" s="100" t="str">
        <f>IF(AL262&lt;&gt;"No Disp",AK262+12*AL262,"No Disp")</f>
        <v>No Disp</v>
      </c>
      <c r="AN262" s="100" t="s">
        <v>43</v>
      </c>
      <c r="AO262" s="100" t="s">
        <v>43</v>
      </c>
      <c r="AP262" s="100" t="str">
        <f>IF(AO262&lt;&gt;"No Disp",AN262+12*AO262,"No Disp")</f>
        <v>No Disp</v>
      </c>
      <c r="AQ262" s="100" t="s">
        <v>43</v>
      </c>
      <c r="AR262" s="100" t="s">
        <v>43</v>
      </c>
      <c r="AS262" s="100" t="str">
        <f>IF(AR262&lt;&gt;"No Disp",AQ262+12*AR262,"No Disp")</f>
        <v>No Disp</v>
      </c>
    </row>
    <row r="263" spans="1:45" s="101" customFormat="1" x14ac:dyDescent="0.25">
      <c r="A263" s="90" t="s">
        <v>38</v>
      </c>
      <c r="B263" s="90" t="s">
        <v>40</v>
      </c>
      <c r="C263" s="90" t="s">
        <v>39</v>
      </c>
      <c r="D263" s="90" t="s">
        <v>4540</v>
      </c>
      <c r="E263" s="90" t="s">
        <v>4542</v>
      </c>
      <c r="F263" s="91">
        <v>193</v>
      </c>
      <c r="G263" s="92">
        <v>70010876</v>
      </c>
      <c r="H263" s="91">
        <v>70010877</v>
      </c>
      <c r="I263" s="93" t="s">
        <v>63</v>
      </c>
      <c r="J263" s="94" t="s">
        <v>3759</v>
      </c>
      <c r="K263" s="94" t="s">
        <v>816</v>
      </c>
      <c r="L263" s="94" t="s">
        <v>3760</v>
      </c>
      <c r="M263" s="95">
        <v>789900</v>
      </c>
      <c r="N263" s="95">
        <v>6000</v>
      </c>
      <c r="O263" s="95">
        <v>8500</v>
      </c>
      <c r="P263" s="96">
        <v>0</v>
      </c>
      <c r="Q263" s="152"/>
      <c r="R263" s="95">
        <v>789900</v>
      </c>
      <c r="S263" s="95">
        <f>R263/24</f>
        <v>32912.5</v>
      </c>
      <c r="T263" s="95">
        <v>789900</v>
      </c>
      <c r="U263" s="95">
        <f>T263/24</f>
        <v>32912.5</v>
      </c>
      <c r="V263" s="95">
        <v>789900</v>
      </c>
      <c r="W263" s="95">
        <f>V263/24</f>
        <v>32912.5</v>
      </c>
      <c r="X263" s="128"/>
      <c r="Y263" s="95">
        <v>1099900</v>
      </c>
      <c r="Z263" s="95">
        <v>27000</v>
      </c>
      <c r="AA263" s="95">
        <f>IFERROR(IF(D263="Premium",0.4*Y263,0),"No Disp")</f>
        <v>439960</v>
      </c>
      <c r="AB263" s="95">
        <f>IFERROR(IF(4*Y263&gt;AC263,1.5*Y263,4*Y263),"No Disp")</f>
        <v>1649850</v>
      </c>
      <c r="AC263" s="95">
        <f>IF(Z263="No Disp","No Disp",(Z263*18)+Y263)</f>
        <v>1585900</v>
      </c>
      <c r="AD263" s="95">
        <f>18*Z263-100+Y263</f>
        <v>1585800</v>
      </c>
      <c r="AE263" s="95">
        <v>299900</v>
      </c>
      <c r="AF263" s="95">
        <v>41000</v>
      </c>
      <c r="AG263" s="95">
        <f>IF(AF263="No Disp","No Disp",(AF263*18)+AE263)</f>
        <v>1037900</v>
      </c>
      <c r="AH263" s="95">
        <f>18*AF263-100+AE263</f>
        <v>1037800</v>
      </c>
      <c r="AI263" s="95" t="s">
        <v>4613</v>
      </c>
      <c r="AJ263" s="99"/>
      <c r="AK263" s="100" t="s">
        <v>43</v>
      </c>
      <c r="AL263" s="100" t="s">
        <v>43</v>
      </c>
      <c r="AM263" s="100" t="str">
        <f>IF(AL263&lt;&gt;"No Disp",AK263+12*AL263,"No Disp")</f>
        <v>No Disp</v>
      </c>
      <c r="AN263" s="100" t="s">
        <v>43</v>
      </c>
      <c r="AO263" s="100" t="s">
        <v>43</v>
      </c>
      <c r="AP263" s="100" t="str">
        <f>IF(AO263&lt;&gt;"No Disp",AN263+12*AO263,"No Disp")</f>
        <v>No Disp</v>
      </c>
      <c r="AQ263" s="100" t="s">
        <v>43</v>
      </c>
      <c r="AR263" s="100" t="s">
        <v>43</v>
      </c>
      <c r="AS263" s="100" t="str">
        <f>IF(AR263&lt;&gt;"No Disp",AQ263+12*AR263,"No Disp")</f>
        <v>No Disp</v>
      </c>
    </row>
    <row r="264" spans="1:45" s="101" customFormat="1" x14ac:dyDescent="0.25">
      <c r="A264" s="90" t="s">
        <v>38</v>
      </c>
      <c r="B264" s="90" t="s">
        <v>40</v>
      </c>
      <c r="C264" s="90" t="s">
        <v>39</v>
      </c>
      <c r="D264" s="90" t="s">
        <v>4540</v>
      </c>
      <c r="E264" s="90" t="s">
        <v>4542</v>
      </c>
      <c r="F264" s="91">
        <v>194</v>
      </c>
      <c r="G264" s="92">
        <v>70010878</v>
      </c>
      <c r="H264" s="91">
        <v>70010879</v>
      </c>
      <c r="I264" s="93" t="s">
        <v>63</v>
      </c>
      <c r="J264" s="94" t="s">
        <v>3761</v>
      </c>
      <c r="K264" s="94" t="s">
        <v>815</v>
      </c>
      <c r="L264" s="94" t="s">
        <v>3762</v>
      </c>
      <c r="M264" s="95">
        <v>1549900</v>
      </c>
      <c r="N264" s="95">
        <v>9500</v>
      </c>
      <c r="O264" s="95">
        <v>13500</v>
      </c>
      <c r="P264" s="96">
        <v>0</v>
      </c>
      <c r="Q264" s="152"/>
      <c r="R264" s="95">
        <v>1549900</v>
      </c>
      <c r="S264" s="95">
        <f>R264/24</f>
        <v>64579.166666666664</v>
      </c>
      <c r="T264" s="95">
        <v>1549900</v>
      </c>
      <c r="U264" s="95">
        <f>T264/24</f>
        <v>64579.166666666664</v>
      </c>
      <c r="V264" s="95">
        <v>1549900</v>
      </c>
      <c r="W264" s="95">
        <f>V264/24</f>
        <v>64579.166666666664</v>
      </c>
      <c r="X264" s="128"/>
      <c r="Y264" s="95">
        <v>1319900</v>
      </c>
      <c r="Z264" s="95">
        <v>32500</v>
      </c>
      <c r="AA264" s="95">
        <f>IFERROR(IF(D264="Premium",0.4*Y264,0),"No Disp")</f>
        <v>527960</v>
      </c>
      <c r="AB264" s="95">
        <f>IFERROR(IF(4*Y264&gt;AC264,1.5*Y264,4*Y264),"No Disp")</f>
        <v>1979850</v>
      </c>
      <c r="AC264" s="95">
        <f>IF(Z264="No Disp","No Disp",(Z264*18)+Y264)</f>
        <v>1904900</v>
      </c>
      <c r="AD264" s="95">
        <f>18*Z264-100+Y264</f>
        <v>1904800</v>
      </c>
      <c r="AE264" s="95">
        <v>729900</v>
      </c>
      <c r="AF264" s="95">
        <v>65000</v>
      </c>
      <c r="AG264" s="95">
        <f>IF(AF264="No Disp","No Disp",(AF264*18)+AE264)</f>
        <v>1899900</v>
      </c>
      <c r="AH264" s="95">
        <f>18*AF264-100+AE264</f>
        <v>1899800</v>
      </c>
      <c r="AI264" s="95" t="s">
        <v>4613</v>
      </c>
      <c r="AJ264" s="99"/>
      <c r="AK264" s="100" t="s">
        <v>43</v>
      </c>
      <c r="AL264" s="100" t="s">
        <v>43</v>
      </c>
      <c r="AM264" s="100" t="str">
        <f>IF(AL264&lt;&gt;"No Disp",AK264+12*AL264,"No Disp")</f>
        <v>No Disp</v>
      </c>
      <c r="AN264" s="100" t="s">
        <v>43</v>
      </c>
      <c r="AO264" s="100" t="s">
        <v>43</v>
      </c>
      <c r="AP264" s="100" t="str">
        <f>IF(AO264&lt;&gt;"No Disp",AN264+12*AO264,"No Disp")</f>
        <v>No Disp</v>
      </c>
      <c r="AQ264" s="100" t="s">
        <v>43</v>
      </c>
      <c r="AR264" s="100" t="s">
        <v>43</v>
      </c>
      <c r="AS264" s="100" t="str">
        <f>IF(AR264&lt;&gt;"No Disp",AQ264+12*AR264,"No Disp")</f>
        <v>No Disp</v>
      </c>
    </row>
    <row r="265" spans="1:45" s="101" customFormat="1" x14ac:dyDescent="0.25">
      <c r="A265" s="90" t="s">
        <v>38</v>
      </c>
      <c r="B265" s="90" t="s">
        <v>40</v>
      </c>
      <c r="C265" s="90" t="s">
        <v>39</v>
      </c>
      <c r="D265" s="90" t="s">
        <v>4540</v>
      </c>
      <c r="E265" s="90" t="s">
        <v>4542</v>
      </c>
      <c r="F265" s="91">
        <v>195</v>
      </c>
      <c r="G265" s="92">
        <v>70010880</v>
      </c>
      <c r="H265" s="91">
        <v>70010881</v>
      </c>
      <c r="I265" s="93" t="s">
        <v>63</v>
      </c>
      <c r="J265" s="94" t="s">
        <v>811</v>
      </c>
      <c r="K265" s="94" t="s">
        <v>814</v>
      </c>
      <c r="L265" s="94" t="s">
        <v>3763</v>
      </c>
      <c r="M265" s="95">
        <v>499900</v>
      </c>
      <c r="N265" s="95">
        <v>9500</v>
      </c>
      <c r="O265" s="95">
        <v>13500</v>
      </c>
      <c r="P265" s="96">
        <v>0</v>
      </c>
      <c r="Q265" s="152"/>
      <c r="R265" s="95">
        <v>499900</v>
      </c>
      <c r="S265" s="95">
        <f>R265/24</f>
        <v>20829.166666666668</v>
      </c>
      <c r="T265" s="95">
        <v>499900</v>
      </c>
      <c r="U265" s="95">
        <f>T265/24</f>
        <v>20829.166666666668</v>
      </c>
      <c r="V265" s="95">
        <v>499900</v>
      </c>
      <c r="W265" s="95">
        <f>V265/24</f>
        <v>20829.166666666668</v>
      </c>
      <c r="X265" s="128"/>
      <c r="Y265" s="95">
        <v>1129900</v>
      </c>
      <c r="Z265" s="95">
        <v>41000</v>
      </c>
      <c r="AA265" s="95">
        <f>IFERROR(IF(D265="Premium",0.4*Y265,0),"No Disp")</f>
        <v>451960</v>
      </c>
      <c r="AB265" s="95">
        <f>IFERROR(IF(4*Y265&gt;AC265,1.5*Y265,4*Y265),"No Disp")</f>
        <v>1694850</v>
      </c>
      <c r="AC265" s="95">
        <f>IF(Z265="No Disp","No Disp",(Z265*18)+Y265)</f>
        <v>1867900</v>
      </c>
      <c r="AD265" s="95">
        <f>18*Z265-100+Y265</f>
        <v>1867800</v>
      </c>
      <c r="AE265" s="95">
        <v>529900</v>
      </c>
      <c r="AF265" s="95">
        <v>74000</v>
      </c>
      <c r="AG265" s="95">
        <f>IF(AF265="No Disp","No Disp",(AF265*18)+AE265)</f>
        <v>1861900</v>
      </c>
      <c r="AH265" s="95">
        <f>18*AF265-100+AE265</f>
        <v>1861800</v>
      </c>
      <c r="AI265" s="95" t="s">
        <v>4613</v>
      </c>
      <c r="AJ265" s="99"/>
      <c r="AK265" s="100" t="s">
        <v>43</v>
      </c>
      <c r="AL265" s="100" t="s">
        <v>43</v>
      </c>
      <c r="AM265" s="100" t="str">
        <f>IF(AL265&lt;&gt;"No Disp",AK265+12*AL265,"No Disp")</f>
        <v>No Disp</v>
      </c>
      <c r="AN265" s="100" t="s">
        <v>43</v>
      </c>
      <c r="AO265" s="100" t="s">
        <v>43</v>
      </c>
      <c r="AP265" s="100" t="str">
        <f>IF(AO265&lt;&gt;"No Disp",AN265+12*AO265,"No Disp")</f>
        <v>No Disp</v>
      </c>
      <c r="AQ265" s="100" t="s">
        <v>43</v>
      </c>
      <c r="AR265" s="100" t="s">
        <v>43</v>
      </c>
      <c r="AS265" s="100" t="str">
        <f>IF(AR265&lt;&gt;"No Disp",AQ265+12*AR265,"No Disp")</f>
        <v>No Disp</v>
      </c>
    </row>
    <row r="266" spans="1:45" s="101" customFormat="1" x14ac:dyDescent="0.25">
      <c r="A266" s="90" t="s">
        <v>38</v>
      </c>
      <c r="B266" s="90" t="s">
        <v>40</v>
      </c>
      <c r="C266" s="90" t="s">
        <v>39</v>
      </c>
      <c r="D266" s="90" t="s">
        <v>4540</v>
      </c>
      <c r="E266" s="90" t="s">
        <v>4542</v>
      </c>
      <c r="F266" s="91">
        <v>196</v>
      </c>
      <c r="G266" s="92">
        <v>70010882</v>
      </c>
      <c r="H266" s="91">
        <v>70010883</v>
      </c>
      <c r="I266" s="93" t="s">
        <v>63</v>
      </c>
      <c r="J266" s="94" t="s">
        <v>811</v>
      </c>
      <c r="K266" s="94" t="s">
        <v>813</v>
      </c>
      <c r="L266" s="94" t="s">
        <v>3764</v>
      </c>
      <c r="M266" s="95">
        <v>499900</v>
      </c>
      <c r="N266" s="95">
        <v>9500</v>
      </c>
      <c r="O266" s="95">
        <v>13500</v>
      </c>
      <c r="P266" s="96">
        <v>0</v>
      </c>
      <c r="Q266" s="152"/>
      <c r="R266" s="95">
        <v>499900</v>
      </c>
      <c r="S266" s="95">
        <f>R266/24</f>
        <v>20829.166666666668</v>
      </c>
      <c r="T266" s="95">
        <v>499900</v>
      </c>
      <c r="U266" s="95">
        <f>T266/24</f>
        <v>20829.166666666668</v>
      </c>
      <c r="V266" s="95">
        <v>499900</v>
      </c>
      <c r="W266" s="95">
        <f>V266/24</f>
        <v>20829.166666666668</v>
      </c>
      <c r="X266" s="128"/>
      <c r="Y266" s="95">
        <v>1129900</v>
      </c>
      <c r="Z266" s="95">
        <v>41000</v>
      </c>
      <c r="AA266" s="95">
        <f>IFERROR(IF(D266="Premium",0.4*Y266,0),"No Disp")</f>
        <v>451960</v>
      </c>
      <c r="AB266" s="95">
        <f>IFERROR(IF(4*Y266&gt;AC266,1.5*Y266,4*Y266),"No Disp")</f>
        <v>1694850</v>
      </c>
      <c r="AC266" s="95">
        <f>IF(Z266="No Disp","No Disp",(Z266*18)+Y266)</f>
        <v>1867900</v>
      </c>
      <c r="AD266" s="95">
        <f>18*Z266-100+Y266</f>
        <v>1867800</v>
      </c>
      <c r="AE266" s="95">
        <v>529900</v>
      </c>
      <c r="AF266" s="95">
        <v>74000</v>
      </c>
      <c r="AG266" s="95">
        <f>IF(AF266="No Disp","No Disp",(AF266*18)+AE266)</f>
        <v>1861900</v>
      </c>
      <c r="AH266" s="95">
        <f>18*AF266-100+AE266</f>
        <v>1861800</v>
      </c>
      <c r="AI266" s="95" t="s">
        <v>4613</v>
      </c>
      <c r="AJ266" s="99"/>
      <c r="AK266" s="100" t="s">
        <v>43</v>
      </c>
      <c r="AL266" s="100" t="s">
        <v>43</v>
      </c>
      <c r="AM266" s="100" t="str">
        <f>IF(AL266&lt;&gt;"No Disp",AK266+12*AL266,"No Disp")</f>
        <v>No Disp</v>
      </c>
      <c r="AN266" s="100" t="s">
        <v>43</v>
      </c>
      <c r="AO266" s="100" t="s">
        <v>43</v>
      </c>
      <c r="AP266" s="100" t="str">
        <f>IF(AO266&lt;&gt;"No Disp",AN266+12*AO266,"No Disp")</f>
        <v>No Disp</v>
      </c>
      <c r="AQ266" s="100" t="s">
        <v>43</v>
      </c>
      <c r="AR266" s="100" t="s">
        <v>43</v>
      </c>
      <c r="AS266" s="100" t="str">
        <f>IF(AR266&lt;&gt;"No Disp",AQ266+12*AR266,"No Disp")</f>
        <v>No Disp</v>
      </c>
    </row>
    <row r="267" spans="1:45" s="101" customFormat="1" x14ac:dyDescent="0.25">
      <c r="A267" s="90" t="s">
        <v>38</v>
      </c>
      <c r="B267" s="90" t="s">
        <v>40</v>
      </c>
      <c r="C267" s="90" t="s">
        <v>39</v>
      </c>
      <c r="D267" s="90" t="s">
        <v>4540</v>
      </c>
      <c r="E267" s="90" t="s">
        <v>4542</v>
      </c>
      <c r="F267" s="91">
        <v>197</v>
      </c>
      <c r="G267" s="92">
        <v>70010884</v>
      </c>
      <c r="H267" s="91">
        <v>70010885</v>
      </c>
      <c r="I267" s="93" t="s">
        <v>63</v>
      </c>
      <c r="J267" s="94" t="s">
        <v>811</v>
      </c>
      <c r="K267" s="94" t="s">
        <v>812</v>
      </c>
      <c r="L267" s="94" t="s">
        <v>3765</v>
      </c>
      <c r="M267" s="95">
        <v>499900</v>
      </c>
      <c r="N267" s="95">
        <v>9500</v>
      </c>
      <c r="O267" s="95">
        <v>13500</v>
      </c>
      <c r="P267" s="96">
        <v>0</v>
      </c>
      <c r="Q267" s="152"/>
      <c r="R267" s="95">
        <v>499900</v>
      </c>
      <c r="S267" s="95">
        <f>R267/24</f>
        <v>20829.166666666668</v>
      </c>
      <c r="T267" s="95">
        <v>499900</v>
      </c>
      <c r="U267" s="95">
        <f>T267/24</f>
        <v>20829.166666666668</v>
      </c>
      <c r="V267" s="95">
        <v>499900</v>
      </c>
      <c r="W267" s="95">
        <f>V267/24</f>
        <v>20829.166666666668</v>
      </c>
      <c r="X267" s="128"/>
      <c r="Y267" s="95">
        <v>1129900</v>
      </c>
      <c r="Z267" s="95">
        <v>41000</v>
      </c>
      <c r="AA267" s="95">
        <f>IFERROR(IF(D267="Premium",0.4*Y267,0),"No Disp")</f>
        <v>451960</v>
      </c>
      <c r="AB267" s="95">
        <f>IFERROR(IF(4*Y267&gt;AC267,1.5*Y267,4*Y267),"No Disp")</f>
        <v>1694850</v>
      </c>
      <c r="AC267" s="95">
        <f>IF(Z267="No Disp","No Disp",(Z267*18)+Y267)</f>
        <v>1867900</v>
      </c>
      <c r="AD267" s="95">
        <f>18*Z267-100+Y267</f>
        <v>1867800</v>
      </c>
      <c r="AE267" s="95">
        <v>529900</v>
      </c>
      <c r="AF267" s="95">
        <v>74000</v>
      </c>
      <c r="AG267" s="95">
        <f>IF(AF267="No Disp","No Disp",(AF267*18)+AE267)</f>
        <v>1861900</v>
      </c>
      <c r="AH267" s="95">
        <f>18*AF267-100+AE267</f>
        <v>1861800</v>
      </c>
      <c r="AI267" s="95" t="s">
        <v>4613</v>
      </c>
      <c r="AJ267" s="99"/>
      <c r="AK267" s="100" t="s">
        <v>43</v>
      </c>
      <c r="AL267" s="100" t="s">
        <v>43</v>
      </c>
      <c r="AM267" s="100" t="str">
        <f>IF(AL267&lt;&gt;"No Disp",AK267+12*AL267,"No Disp")</f>
        <v>No Disp</v>
      </c>
      <c r="AN267" s="100" t="s">
        <v>43</v>
      </c>
      <c r="AO267" s="100" t="s">
        <v>43</v>
      </c>
      <c r="AP267" s="100" t="str">
        <f>IF(AO267&lt;&gt;"No Disp",AN267+12*AO267,"No Disp")</f>
        <v>No Disp</v>
      </c>
      <c r="AQ267" s="100" t="s">
        <v>43</v>
      </c>
      <c r="AR267" s="100" t="s">
        <v>43</v>
      </c>
      <c r="AS267" s="100" t="str">
        <f>IF(AR267&lt;&gt;"No Disp",AQ267+12*AR267,"No Disp")</f>
        <v>No Disp</v>
      </c>
    </row>
    <row r="268" spans="1:45" s="101" customFormat="1" x14ac:dyDescent="0.25">
      <c r="A268" s="90" t="s">
        <v>38</v>
      </c>
      <c r="B268" s="90" t="s">
        <v>40</v>
      </c>
      <c r="C268" s="90" t="s">
        <v>39</v>
      </c>
      <c r="D268" s="90" t="s">
        <v>4540</v>
      </c>
      <c r="E268" s="90" t="s">
        <v>4542</v>
      </c>
      <c r="F268" s="91">
        <v>198</v>
      </c>
      <c r="G268" s="92">
        <v>70010886</v>
      </c>
      <c r="H268" s="91">
        <v>70010887</v>
      </c>
      <c r="I268" s="93" t="s">
        <v>63</v>
      </c>
      <c r="J268" s="94" t="s">
        <v>3766</v>
      </c>
      <c r="K268" s="94" t="s">
        <v>810</v>
      </c>
      <c r="L268" s="94" t="s">
        <v>3767</v>
      </c>
      <c r="M268" s="95">
        <v>1669900</v>
      </c>
      <c r="N268" s="95">
        <v>9500</v>
      </c>
      <c r="O268" s="95">
        <v>13500</v>
      </c>
      <c r="P268" s="96">
        <v>0</v>
      </c>
      <c r="Q268" s="152"/>
      <c r="R268" s="95">
        <v>1669900</v>
      </c>
      <c r="S268" s="95">
        <f>R268/24</f>
        <v>69579.166666666672</v>
      </c>
      <c r="T268" s="95">
        <v>1669900</v>
      </c>
      <c r="U268" s="95">
        <f>T268/24</f>
        <v>69579.166666666672</v>
      </c>
      <c r="V268" s="95">
        <v>1669900</v>
      </c>
      <c r="W268" s="95">
        <f>V268/24</f>
        <v>69579.166666666672</v>
      </c>
      <c r="X268" s="128"/>
      <c r="Y268" s="95">
        <v>1469900</v>
      </c>
      <c r="Z268" s="95">
        <v>33000</v>
      </c>
      <c r="AA268" s="95">
        <f>IFERROR(IF(D268="Premium",0.4*Y268,0),"No Disp")</f>
        <v>587960</v>
      </c>
      <c r="AB268" s="95">
        <f>IFERROR(IF(4*Y268&gt;AC268,1.5*Y268,4*Y268),"No Disp")</f>
        <v>2204850</v>
      </c>
      <c r="AC268" s="95">
        <f>IF(Z268="No Disp","No Disp",(Z268*18)+Y268)</f>
        <v>2063900</v>
      </c>
      <c r="AD268" s="95">
        <f>18*Z268-100+Y268</f>
        <v>2063800</v>
      </c>
      <c r="AE268" s="95">
        <v>729900</v>
      </c>
      <c r="AF268" s="95">
        <v>74000</v>
      </c>
      <c r="AG268" s="95">
        <f>IF(AF268="No Disp","No Disp",(AF268*18)+AE268)</f>
        <v>2061900</v>
      </c>
      <c r="AH268" s="95">
        <f>18*AF268-100+AE268</f>
        <v>2061800</v>
      </c>
      <c r="AI268" s="95" t="s">
        <v>4613</v>
      </c>
      <c r="AJ268" s="99"/>
      <c r="AK268" s="100" t="s">
        <v>43</v>
      </c>
      <c r="AL268" s="100" t="s">
        <v>43</v>
      </c>
      <c r="AM268" s="100" t="str">
        <f>IF(AL268&lt;&gt;"No Disp",AK268+12*AL268,"No Disp")</f>
        <v>No Disp</v>
      </c>
      <c r="AN268" s="100" t="s">
        <v>43</v>
      </c>
      <c r="AO268" s="100" t="s">
        <v>43</v>
      </c>
      <c r="AP268" s="100" t="str">
        <f>IF(AO268&lt;&gt;"No Disp",AN268+12*AO268,"No Disp")</f>
        <v>No Disp</v>
      </c>
      <c r="AQ268" s="100" t="s">
        <v>43</v>
      </c>
      <c r="AR268" s="100" t="s">
        <v>43</v>
      </c>
      <c r="AS268" s="100" t="str">
        <f>IF(AR268&lt;&gt;"No Disp",AQ268+12*AR268,"No Disp")</f>
        <v>No Disp</v>
      </c>
    </row>
    <row r="269" spans="1:45" s="101" customFormat="1" x14ac:dyDescent="0.25">
      <c r="A269" s="90" t="s">
        <v>102</v>
      </c>
      <c r="B269" s="90" t="s">
        <v>39</v>
      </c>
      <c r="C269" s="90" t="s">
        <v>40</v>
      </c>
      <c r="D269" s="90" t="s">
        <v>4541</v>
      </c>
      <c r="E269" s="90" t="s">
        <v>4542</v>
      </c>
      <c r="F269" s="91">
        <v>204</v>
      </c>
      <c r="G269" s="92">
        <v>70010909</v>
      </c>
      <c r="H269" s="91">
        <v>70010910</v>
      </c>
      <c r="I269" s="93" t="s">
        <v>46</v>
      </c>
      <c r="J269" s="94" t="s">
        <v>615</v>
      </c>
      <c r="K269" s="94" t="s">
        <v>798</v>
      </c>
      <c r="L269" s="94" t="s">
        <v>799</v>
      </c>
      <c r="M269" s="95">
        <v>59900</v>
      </c>
      <c r="N269" s="95">
        <v>2500</v>
      </c>
      <c r="O269" s="95">
        <v>4000</v>
      </c>
      <c r="P269" s="96">
        <v>129990</v>
      </c>
      <c r="Q269" s="152"/>
      <c r="R269" s="95">
        <v>59990</v>
      </c>
      <c r="S269" s="95">
        <f>R269/24</f>
        <v>2499.5833333333335</v>
      </c>
      <c r="T269" s="95">
        <v>59900</v>
      </c>
      <c r="U269" s="95">
        <f>T269/24</f>
        <v>2495.8333333333335</v>
      </c>
      <c r="V269" s="95">
        <v>59900</v>
      </c>
      <c r="W269" s="95">
        <f>V269/24</f>
        <v>2495.8333333333335</v>
      </c>
      <c r="X269" s="128"/>
      <c r="Y269" s="95">
        <v>0</v>
      </c>
      <c r="Z269" s="95">
        <v>11000</v>
      </c>
      <c r="AA269" s="95">
        <f>IFERROR(IF(D269="Premium",0.4*Y269,0),"No Disp")</f>
        <v>0</v>
      </c>
      <c r="AB269" s="95">
        <f>IFERROR(IF(4*Y269&gt;AC269,1.5*Y269,4*Y269),"No Disp")</f>
        <v>0</v>
      </c>
      <c r="AC269" s="95">
        <f>IF(Z269="No Disp","No Disp",(Z269*18)+Y269)</f>
        <v>198000</v>
      </c>
      <c r="AD269" s="95">
        <f>18*Z269-100+Y269</f>
        <v>197900</v>
      </c>
      <c r="AE269" s="95">
        <v>0</v>
      </c>
      <c r="AF269" s="95">
        <v>8500</v>
      </c>
      <c r="AG269" s="95">
        <f>IF(AF269="No Disp","No Disp",(AF269*18)+AE269)</f>
        <v>153000</v>
      </c>
      <c r="AH269" s="95">
        <f>18*AF269-100+AE269</f>
        <v>152900</v>
      </c>
      <c r="AI269" s="95" t="s">
        <v>4613</v>
      </c>
      <c r="AJ269" s="99"/>
      <c r="AK269" s="100" t="s">
        <v>43</v>
      </c>
      <c r="AL269" s="100" t="s">
        <v>43</v>
      </c>
      <c r="AM269" s="100" t="str">
        <f>IF(AL269&lt;&gt;"No Disp",AK269+12*AL269,"No Disp")</f>
        <v>No Disp</v>
      </c>
      <c r="AN269" s="100" t="s">
        <v>43</v>
      </c>
      <c r="AO269" s="100" t="s">
        <v>43</v>
      </c>
      <c r="AP269" s="100" t="str">
        <f>IF(AO269&lt;&gt;"No Disp",AN269+12*AO269,"No Disp")</f>
        <v>No Disp</v>
      </c>
      <c r="AQ269" s="100" t="s">
        <v>43</v>
      </c>
      <c r="AR269" s="100" t="s">
        <v>43</v>
      </c>
      <c r="AS269" s="100" t="str">
        <f>IF(AR269&lt;&gt;"No Disp",AQ269+12*AR269,"No Disp")</f>
        <v>No Disp</v>
      </c>
    </row>
    <row r="270" spans="1:45" s="101" customFormat="1" x14ac:dyDescent="0.25">
      <c r="A270" s="90" t="s">
        <v>102</v>
      </c>
      <c r="B270" s="90" t="s">
        <v>39</v>
      </c>
      <c r="C270" s="90" t="s">
        <v>40</v>
      </c>
      <c r="D270" s="90" t="s">
        <v>4541</v>
      </c>
      <c r="E270" s="90" t="s">
        <v>4542</v>
      </c>
      <c r="F270" s="91">
        <v>202</v>
      </c>
      <c r="G270" s="92">
        <v>70010911</v>
      </c>
      <c r="H270" s="91">
        <v>70010912</v>
      </c>
      <c r="I270" s="93" t="s">
        <v>46</v>
      </c>
      <c r="J270" s="94" t="s">
        <v>3768</v>
      </c>
      <c r="K270" s="94" t="s">
        <v>803</v>
      </c>
      <c r="L270" s="94" t="s">
        <v>804</v>
      </c>
      <c r="M270" s="95">
        <v>154900</v>
      </c>
      <c r="N270" s="95">
        <v>2500</v>
      </c>
      <c r="O270" s="95">
        <v>4000</v>
      </c>
      <c r="P270" s="96">
        <v>0</v>
      </c>
      <c r="Q270" s="152"/>
      <c r="R270" s="95">
        <v>154900</v>
      </c>
      <c r="S270" s="95">
        <f>R270/24</f>
        <v>6454.166666666667</v>
      </c>
      <c r="T270" s="95">
        <v>154900</v>
      </c>
      <c r="U270" s="95">
        <f>T270/24</f>
        <v>6454.166666666667</v>
      </c>
      <c r="V270" s="95">
        <v>154900</v>
      </c>
      <c r="W270" s="95">
        <f>V270/24</f>
        <v>6454.166666666667</v>
      </c>
      <c r="X270" s="128"/>
      <c r="Y270" s="95">
        <v>59900</v>
      </c>
      <c r="Z270" s="95">
        <v>8000</v>
      </c>
      <c r="AA270" s="95">
        <f>IFERROR(IF(D270="Premium",0.4*Y270,0),"No Disp")</f>
        <v>0</v>
      </c>
      <c r="AB270" s="95">
        <f>IFERROR(IF(4*Y270&gt;AC270,1.5*Y270,4*Y270),"No Disp")</f>
        <v>89850</v>
      </c>
      <c r="AC270" s="95">
        <f>IF(Z270="No Disp","No Disp",(Z270*18)+Y270)</f>
        <v>203900</v>
      </c>
      <c r="AD270" s="95">
        <f>18*Z270-100+Y270</f>
        <v>203800</v>
      </c>
      <c r="AE270" s="95">
        <v>19900</v>
      </c>
      <c r="AF270" s="95">
        <v>10000</v>
      </c>
      <c r="AG270" s="95">
        <f>IF(AF270="No Disp","No Disp",(AF270*18)+AE270)</f>
        <v>199900</v>
      </c>
      <c r="AH270" s="95">
        <f>18*AF270-100+AE270</f>
        <v>199800</v>
      </c>
      <c r="AI270" s="95" t="s">
        <v>4613</v>
      </c>
      <c r="AJ270" s="99"/>
      <c r="AK270" s="100" t="s">
        <v>43</v>
      </c>
      <c r="AL270" s="100" t="s">
        <v>43</v>
      </c>
      <c r="AM270" s="100" t="str">
        <f>IF(AL270&lt;&gt;"No Disp",AK270+12*AL270,"No Disp")</f>
        <v>No Disp</v>
      </c>
      <c r="AN270" s="100" t="s">
        <v>43</v>
      </c>
      <c r="AO270" s="100" t="s">
        <v>43</v>
      </c>
      <c r="AP270" s="100" t="str">
        <f>IF(AO270&lt;&gt;"No Disp",AN270+12*AO270,"No Disp")</f>
        <v>No Disp</v>
      </c>
      <c r="AQ270" s="100" t="s">
        <v>43</v>
      </c>
      <c r="AR270" s="100" t="s">
        <v>43</v>
      </c>
      <c r="AS270" s="100" t="str">
        <f>IF(AR270&lt;&gt;"No Disp",AQ270+12*AR270,"No Disp")</f>
        <v>No Disp</v>
      </c>
    </row>
    <row r="271" spans="1:45" s="101" customFormat="1" x14ac:dyDescent="0.25">
      <c r="A271" s="90" t="s">
        <v>102</v>
      </c>
      <c r="B271" s="90" t="s">
        <v>39</v>
      </c>
      <c r="C271" s="90" t="s">
        <v>40</v>
      </c>
      <c r="D271" s="90" t="s">
        <v>4541</v>
      </c>
      <c r="E271" s="90" t="s">
        <v>4542</v>
      </c>
      <c r="F271" s="91">
        <v>201</v>
      </c>
      <c r="G271" s="92">
        <v>70010913</v>
      </c>
      <c r="H271" s="91">
        <v>70010914</v>
      </c>
      <c r="I271" s="93" t="s">
        <v>46</v>
      </c>
      <c r="J271" s="94" t="s">
        <v>3768</v>
      </c>
      <c r="K271" s="94" t="s">
        <v>805</v>
      </c>
      <c r="L271" s="94" t="s">
        <v>806</v>
      </c>
      <c r="M271" s="95">
        <v>154900</v>
      </c>
      <c r="N271" s="95">
        <v>2500</v>
      </c>
      <c r="O271" s="95">
        <v>4000</v>
      </c>
      <c r="P271" s="96">
        <v>0</v>
      </c>
      <c r="Q271" s="152"/>
      <c r="R271" s="95">
        <v>154900</v>
      </c>
      <c r="S271" s="95">
        <f>R271/24</f>
        <v>6454.166666666667</v>
      </c>
      <c r="T271" s="95">
        <v>154900</v>
      </c>
      <c r="U271" s="95">
        <f>T271/24</f>
        <v>6454.166666666667</v>
      </c>
      <c r="V271" s="95">
        <v>154900</v>
      </c>
      <c r="W271" s="95">
        <f>V271/24</f>
        <v>6454.166666666667</v>
      </c>
      <c r="X271" s="128"/>
      <c r="Y271" s="95">
        <v>59900</v>
      </c>
      <c r="Z271" s="95">
        <v>8000</v>
      </c>
      <c r="AA271" s="95">
        <f>IFERROR(IF(D271="Premium",0.4*Y271,0),"No Disp")</f>
        <v>0</v>
      </c>
      <c r="AB271" s="95">
        <f>IFERROR(IF(4*Y271&gt;AC271,1.5*Y271,4*Y271),"No Disp")</f>
        <v>89850</v>
      </c>
      <c r="AC271" s="95">
        <f>IF(Z271="No Disp","No Disp",(Z271*18)+Y271)</f>
        <v>203900</v>
      </c>
      <c r="AD271" s="95">
        <f>18*Z271-100+Y271</f>
        <v>203800</v>
      </c>
      <c r="AE271" s="95">
        <v>19900</v>
      </c>
      <c r="AF271" s="95">
        <v>10000</v>
      </c>
      <c r="AG271" s="95">
        <f>IF(AF271="No Disp","No Disp",(AF271*18)+AE271)</f>
        <v>199900</v>
      </c>
      <c r="AH271" s="95">
        <f>18*AF271-100+AE271</f>
        <v>199800</v>
      </c>
      <c r="AI271" s="95" t="s">
        <v>4613</v>
      </c>
      <c r="AJ271" s="99"/>
      <c r="AK271" s="100" t="s">
        <v>43</v>
      </c>
      <c r="AL271" s="100" t="s">
        <v>43</v>
      </c>
      <c r="AM271" s="100" t="str">
        <f>IF(AL271&lt;&gt;"No Disp",AK271+12*AL271,"No Disp")</f>
        <v>No Disp</v>
      </c>
      <c r="AN271" s="100" t="s">
        <v>43</v>
      </c>
      <c r="AO271" s="100" t="s">
        <v>43</v>
      </c>
      <c r="AP271" s="100" t="str">
        <f>IF(AO271&lt;&gt;"No Disp",AN271+12*AO271,"No Disp")</f>
        <v>No Disp</v>
      </c>
      <c r="AQ271" s="100" t="s">
        <v>43</v>
      </c>
      <c r="AR271" s="100" t="s">
        <v>43</v>
      </c>
      <c r="AS271" s="100" t="str">
        <f>IF(AR271&lt;&gt;"No Disp",AQ271+12*AR271,"No Disp")</f>
        <v>No Disp</v>
      </c>
    </row>
    <row r="272" spans="1:45" s="101" customFormat="1" x14ac:dyDescent="0.25">
      <c r="A272" s="90" t="s">
        <v>102</v>
      </c>
      <c r="B272" s="90" t="s">
        <v>39</v>
      </c>
      <c r="C272" s="90" t="s">
        <v>40</v>
      </c>
      <c r="D272" s="90" t="s">
        <v>4541</v>
      </c>
      <c r="E272" s="90" t="s">
        <v>4542</v>
      </c>
      <c r="F272" s="91">
        <v>205</v>
      </c>
      <c r="G272" s="92">
        <v>70010917</v>
      </c>
      <c r="H272" s="91">
        <v>70010918</v>
      </c>
      <c r="I272" s="93" t="s">
        <v>46</v>
      </c>
      <c r="J272" s="94" t="s">
        <v>620</v>
      </c>
      <c r="K272" s="94" t="s">
        <v>796</v>
      </c>
      <c r="L272" s="94" t="s">
        <v>797</v>
      </c>
      <c r="M272" s="95">
        <v>159900</v>
      </c>
      <c r="N272" s="95">
        <v>2500</v>
      </c>
      <c r="O272" s="95">
        <v>4000</v>
      </c>
      <c r="P272" s="96">
        <v>0</v>
      </c>
      <c r="Q272" s="152"/>
      <c r="R272" s="95">
        <v>159900</v>
      </c>
      <c r="S272" s="95">
        <f>R272/24</f>
        <v>6662.5</v>
      </c>
      <c r="T272" s="95">
        <v>159900</v>
      </c>
      <c r="U272" s="95">
        <f>T272/24</f>
        <v>6662.5</v>
      </c>
      <c r="V272" s="95">
        <v>159900</v>
      </c>
      <c r="W272" s="95">
        <f>V272/24</f>
        <v>6662.5</v>
      </c>
      <c r="X272" s="128"/>
      <c r="Y272" s="95">
        <v>54900</v>
      </c>
      <c r="Z272" s="95">
        <v>10000</v>
      </c>
      <c r="AA272" s="95">
        <f>IFERROR(IF(D272="Premium",0.4*Y272,0),"No Disp")</f>
        <v>0</v>
      </c>
      <c r="AB272" s="95">
        <f>IFERROR(IF(4*Y272&gt;AC272,1.5*Y272,4*Y272),"No Disp")</f>
        <v>219600</v>
      </c>
      <c r="AC272" s="95">
        <f>IF(Z272="No Disp","No Disp",(Z272*18)+Y272)</f>
        <v>234900</v>
      </c>
      <c r="AD272" s="95">
        <f>18*Z272-100+Y272</f>
        <v>234800</v>
      </c>
      <c r="AE272" s="95">
        <v>19900</v>
      </c>
      <c r="AF272" s="95">
        <v>11500</v>
      </c>
      <c r="AG272" s="95">
        <f>IF(AF272="No Disp","No Disp",(AF272*18)+AE272)</f>
        <v>226900</v>
      </c>
      <c r="AH272" s="95">
        <f>18*AF272-100+AE272</f>
        <v>226800</v>
      </c>
      <c r="AI272" s="95" t="s">
        <v>4613</v>
      </c>
      <c r="AJ272" s="99"/>
      <c r="AK272" s="100" t="s">
        <v>43</v>
      </c>
      <c r="AL272" s="100" t="s">
        <v>43</v>
      </c>
      <c r="AM272" s="100" t="str">
        <f>IF(AL272&lt;&gt;"No Disp",AK272+12*AL272,"No Disp")</f>
        <v>No Disp</v>
      </c>
      <c r="AN272" s="100" t="s">
        <v>43</v>
      </c>
      <c r="AO272" s="100" t="s">
        <v>43</v>
      </c>
      <c r="AP272" s="100" t="str">
        <f>IF(AO272&lt;&gt;"No Disp",AN272+12*AO272,"No Disp")</f>
        <v>No Disp</v>
      </c>
      <c r="AQ272" s="100" t="s">
        <v>43</v>
      </c>
      <c r="AR272" s="100" t="s">
        <v>43</v>
      </c>
      <c r="AS272" s="100" t="str">
        <f>IF(AR272&lt;&gt;"No Disp",AQ272+12*AR272,"No Disp")</f>
        <v>No Disp</v>
      </c>
    </row>
    <row r="273" spans="1:45" s="101" customFormat="1" x14ac:dyDescent="0.25">
      <c r="A273" s="90" t="s">
        <v>38</v>
      </c>
      <c r="B273" s="90" t="s">
        <v>39</v>
      </c>
      <c r="C273" s="90" t="s">
        <v>40</v>
      </c>
      <c r="D273" s="90" t="s">
        <v>4539</v>
      </c>
      <c r="E273" s="90" t="s">
        <v>4542</v>
      </c>
      <c r="F273" s="91">
        <v>203</v>
      </c>
      <c r="G273" s="92">
        <v>70010919</v>
      </c>
      <c r="H273" s="91">
        <v>70010920</v>
      </c>
      <c r="I273" s="93" t="s">
        <v>46</v>
      </c>
      <c r="J273" s="94" t="s">
        <v>800</v>
      </c>
      <c r="K273" s="94" t="s">
        <v>801</v>
      </c>
      <c r="L273" s="94" t="s">
        <v>802</v>
      </c>
      <c r="M273" s="95">
        <v>249900</v>
      </c>
      <c r="N273" s="95">
        <v>4000</v>
      </c>
      <c r="O273" s="95">
        <v>6000</v>
      </c>
      <c r="P273" s="96">
        <v>0</v>
      </c>
      <c r="Q273" s="152"/>
      <c r="R273" s="95">
        <v>249900</v>
      </c>
      <c r="S273" s="95">
        <f>R273/24</f>
        <v>10412.5</v>
      </c>
      <c r="T273" s="95">
        <v>249900</v>
      </c>
      <c r="U273" s="95">
        <f>T273/24</f>
        <v>10412.5</v>
      </c>
      <c r="V273" s="95">
        <v>249900</v>
      </c>
      <c r="W273" s="95">
        <f>V273/24</f>
        <v>10412.5</v>
      </c>
      <c r="X273" s="128"/>
      <c r="Y273" s="95">
        <v>99900</v>
      </c>
      <c r="Z273" s="95">
        <v>18000</v>
      </c>
      <c r="AA273" s="95">
        <f>IFERROR(IF(D273="Premium",0.4*Y273,0),"No Disp")</f>
        <v>0</v>
      </c>
      <c r="AB273" s="95">
        <f>IFERROR(IF(4*Y273&gt;AC273,1.5*Y273,4*Y273),"No Disp")</f>
        <v>399600</v>
      </c>
      <c r="AC273" s="95">
        <f>IF(Z273="No Disp","No Disp",(Z273*18)+Y273)</f>
        <v>423900</v>
      </c>
      <c r="AD273" s="95">
        <f>18*Z273-100+Y273</f>
        <v>423800</v>
      </c>
      <c r="AE273" s="95">
        <v>19900</v>
      </c>
      <c r="AF273" s="95">
        <v>21000</v>
      </c>
      <c r="AG273" s="95">
        <f>IF(AF273="No Disp","No Disp",(AF273*18)+AE273)</f>
        <v>397900</v>
      </c>
      <c r="AH273" s="95">
        <f>18*AF273-100+AE273</f>
        <v>397800</v>
      </c>
      <c r="AI273" s="95" t="s">
        <v>4613</v>
      </c>
      <c r="AJ273" s="99"/>
      <c r="AK273" s="100" t="s">
        <v>43</v>
      </c>
      <c r="AL273" s="100" t="s">
        <v>43</v>
      </c>
      <c r="AM273" s="100" t="str">
        <f>IF(AL273&lt;&gt;"No Disp",AK273+12*AL273,"No Disp")</f>
        <v>No Disp</v>
      </c>
      <c r="AN273" s="100" t="s">
        <v>43</v>
      </c>
      <c r="AO273" s="100" t="s">
        <v>43</v>
      </c>
      <c r="AP273" s="100" t="str">
        <f>IF(AO273&lt;&gt;"No Disp",AN273+12*AO273,"No Disp")</f>
        <v>No Disp</v>
      </c>
      <c r="AQ273" s="100" t="s">
        <v>43</v>
      </c>
      <c r="AR273" s="100" t="s">
        <v>43</v>
      </c>
      <c r="AS273" s="100" t="str">
        <f>IF(AR273&lt;&gt;"No Disp",AQ273+12*AR273,"No Disp")</f>
        <v>No Disp</v>
      </c>
    </row>
    <row r="274" spans="1:45" s="101" customFormat="1" x14ac:dyDescent="0.25">
      <c r="A274" s="90" t="s">
        <v>38</v>
      </c>
      <c r="B274" s="90" t="s">
        <v>40</v>
      </c>
      <c r="C274" s="90" t="s">
        <v>40</v>
      </c>
      <c r="D274" s="90" t="s">
        <v>4537</v>
      </c>
      <c r="E274" s="90" t="s">
        <v>4542</v>
      </c>
      <c r="F274" s="91">
        <v>206</v>
      </c>
      <c r="G274" s="92">
        <v>70010929</v>
      </c>
      <c r="H274" s="91">
        <v>70010930</v>
      </c>
      <c r="I274" s="93" t="s">
        <v>87</v>
      </c>
      <c r="J274" s="94" t="s">
        <v>3769</v>
      </c>
      <c r="K274" s="94" t="s">
        <v>795</v>
      </c>
      <c r="L274" s="94" t="s">
        <v>785</v>
      </c>
      <c r="M274" s="95">
        <v>299900</v>
      </c>
      <c r="N274" s="95">
        <v>6000</v>
      </c>
      <c r="O274" s="95">
        <v>8500</v>
      </c>
      <c r="P274" s="96">
        <v>0</v>
      </c>
      <c r="Q274" s="152"/>
      <c r="R274" s="95">
        <v>299900</v>
      </c>
      <c r="S274" s="95">
        <f>R274/24</f>
        <v>12495.833333333334</v>
      </c>
      <c r="T274" s="95">
        <v>299900</v>
      </c>
      <c r="U274" s="95">
        <f>T274/24</f>
        <v>12495.833333333334</v>
      </c>
      <c r="V274" s="95">
        <v>299900</v>
      </c>
      <c r="W274" s="95">
        <f>V274/24</f>
        <v>12495.833333333334</v>
      </c>
      <c r="X274" s="128"/>
      <c r="Y274" s="95">
        <v>699900</v>
      </c>
      <c r="Z274" s="95">
        <v>15000</v>
      </c>
      <c r="AA274" s="95">
        <f>IFERROR(IF(D274="Premium",0.4*Y274,0),"No Disp")</f>
        <v>0</v>
      </c>
      <c r="AB274" s="95">
        <f>IFERROR(IF(4*Y274&gt;AC274,1.5*Y274,4*Y274),"No Disp")</f>
        <v>1049850</v>
      </c>
      <c r="AC274" s="95">
        <f>IF(Z274="No Disp","No Disp",(Z274*18)+Y274)</f>
        <v>969900</v>
      </c>
      <c r="AD274" s="95">
        <f>18*Z274-100+Y274</f>
        <v>969800</v>
      </c>
      <c r="AE274" s="95">
        <v>99900</v>
      </c>
      <c r="AF274" s="95">
        <v>16500</v>
      </c>
      <c r="AG274" s="95">
        <f>IF(AF274="No Disp","No Disp",(AF274*18)+AE274)</f>
        <v>396900</v>
      </c>
      <c r="AH274" s="95">
        <f>18*AF274-100+AE274</f>
        <v>396800</v>
      </c>
      <c r="AI274" s="95" t="s">
        <v>4613</v>
      </c>
      <c r="AJ274" s="99"/>
      <c r="AK274" s="100" t="s">
        <v>43</v>
      </c>
      <c r="AL274" s="100" t="s">
        <v>43</v>
      </c>
      <c r="AM274" s="100" t="str">
        <f>IF(AL274&lt;&gt;"No Disp",AK274+12*AL274,"No Disp")</f>
        <v>No Disp</v>
      </c>
      <c r="AN274" s="100" t="s">
        <v>43</v>
      </c>
      <c r="AO274" s="100" t="s">
        <v>43</v>
      </c>
      <c r="AP274" s="100" t="str">
        <f>IF(AO274&lt;&gt;"No Disp",AN274+12*AO274,"No Disp")</f>
        <v>No Disp</v>
      </c>
      <c r="AQ274" s="100" t="s">
        <v>43</v>
      </c>
      <c r="AR274" s="100" t="s">
        <v>43</v>
      </c>
      <c r="AS274" s="100" t="str">
        <f>IF(AR274&lt;&gt;"No Disp",AQ274+12*AR274,"No Disp")</f>
        <v>No Disp</v>
      </c>
    </row>
    <row r="275" spans="1:45" s="101" customFormat="1" x14ac:dyDescent="0.25">
      <c r="A275" s="90" t="s">
        <v>38</v>
      </c>
      <c r="B275" s="90" t="s">
        <v>40</v>
      </c>
      <c r="C275" s="90" t="s">
        <v>40</v>
      </c>
      <c r="D275" s="90" t="s">
        <v>4537</v>
      </c>
      <c r="E275" s="90" t="s">
        <v>4542</v>
      </c>
      <c r="F275" s="91">
        <v>207</v>
      </c>
      <c r="G275" s="92">
        <v>70010935</v>
      </c>
      <c r="H275" s="91">
        <v>70010936</v>
      </c>
      <c r="I275" s="93" t="s">
        <v>87</v>
      </c>
      <c r="J275" s="94" t="s">
        <v>3770</v>
      </c>
      <c r="K275" s="94" t="s">
        <v>794</v>
      </c>
      <c r="L275" s="94" t="s">
        <v>783</v>
      </c>
      <c r="M275" s="95">
        <v>399900</v>
      </c>
      <c r="N275" s="95">
        <v>4000</v>
      </c>
      <c r="O275" s="95">
        <v>6000</v>
      </c>
      <c r="P275" s="96">
        <v>0</v>
      </c>
      <c r="Q275" s="152"/>
      <c r="R275" s="95">
        <v>399900</v>
      </c>
      <c r="S275" s="95">
        <f>R275/24</f>
        <v>16662.5</v>
      </c>
      <c r="T275" s="95">
        <v>399900</v>
      </c>
      <c r="U275" s="95">
        <f>T275/24</f>
        <v>16662.5</v>
      </c>
      <c r="V275" s="95">
        <v>399900</v>
      </c>
      <c r="W275" s="95">
        <f>V275/24</f>
        <v>16662.5</v>
      </c>
      <c r="X275" s="128"/>
      <c r="Y275" s="95">
        <v>849900</v>
      </c>
      <c r="Z275" s="95">
        <v>18000</v>
      </c>
      <c r="AA275" s="95">
        <f>IFERROR(IF(D275="Premium",0.4*Y275,0),"No Disp")</f>
        <v>0</v>
      </c>
      <c r="AB275" s="95">
        <f>IFERROR(IF(4*Y275&gt;AC275,1.5*Y275,4*Y275),"No Disp")</f>
        <v>1274850</v>
      </c>
      <c r="AC275" s="95">
        <f>IF(Z275="No Disp","No Disp",(Z275*18)+Y275)</f>
        <v>1173900</v>
      </c>
      <c r="AD275" s="95">
        <f>18*Z275-100+Y275</f>
        <v>1173800</v>
      </c>
      <c r="AE275" s="95">
        <v>159900</v>
      </c>
      <c r="AF275" s="95">
        <v>20000</v>
      </c>
      <c r="AG275" s="95">
        <f>IF(AF275="No Disp","No Disp",(AF275*18)+AE275)</f>
        <v>519900</v>
      </c>
      <c r="AH275" s="95">
        <f>18*AF275-100+AE275</f>
        <v>519800</v>
      </c>
      <c r="AI275" s="95" t="s">
        <v>4613</v>
      </c>
      <c r="AJ275" s="99"/>
      <c r="AK275" s="100" t="s">
        <v>43</v>
      </c>
      <c r="AL275" s="100" t="s">
        <v>43</v>
      </c>
      <c r="AM275" s="100" t="str">
        <f>IF(AL275&lt;&gt;"No Disp",AK275+12*AL275,"No Disp")</f>
        <v>No Disp</v>
      </c>
      <c r="AN275" s="100" t="s">
        <v>43</v>
      </c>
      <c r="AO275" s="100" t="s">
        <v>43</v>
      </c>
      <c r="AP275" s="100" t="str">
        <f>IF(AO275&lt;&gt;"No Disp",AN275+12*AO275,"No Disp")</f>
        <v>No Disp</v>
      </c>
      <c r="AQ275" s="100" t="s">
        <v>43</v>
      </c>
      <c r="AR275" s="100" t="s">
        <v>43</v>
      </c>
      <c r="AS275" s="100" t="str">
        <f>IF(AR275&lt;&gt;"No Disp",AQ275+12*AR275,"No Disp")</f>
        <v>No Disp</v>
      </c>
    </row>
    <row r="276" spans="1:45" s="101" customFormat="1" x14ac:dyDescent="0.25">
      <c r="A276" s="90" t="s">
        <v>38</v>
      </c>
      <c r="B276" s="90" t="s">
        <v>40</v>
      </c>
      <c r="C276" s="90" t="s">
        <v>40</v>
      </c>
      <c r="D276" s="90" t="s">
        <v>4540</v>
      </c>
      <c r="E276" s="90" t="s">
        <v>4542</v>
      </c>
      <c r="F276" s="91">
        <v>200</v>
      </c>
      <c r="G276" s="92">
        <v>70010937</v>
      </c>
      <c r="H276" s="91">
        <v>70010938</v>
      </c>
      <c r="I276" s="93" t="s">
        <v>41</v>
      </c>
      <c r="J276" s="94" t="s">
        <v>3771</v>
      </c>
      <c r="K276" s="94" t="s">
        <v>807</v>
      </c>
      <c r="L276" s="94" t="s">
        <v>808</v>
      </c>
      <c r="M276" s="95">
        <v>379900</v>
      </c>
      <c r="N276" s="95">
        <v>6000</v>
      </c>
      <c r="O276" s="95">
        <v>8500</v>
      </c>
      <c r="P276" s="96">
        <v>0</v>
      </c>
      <c r="Q276" s="152"/>
      <c r="R276" s="95">
        <v>379900</v>
      </c>
      <c r="S276" s="95">
        <f>R276/24</f>
        <v>15829.166666666666</v>
      </c>
      <c r="T276" s="95">
        <v>379900</v>
      </c>
      <c r="U276" s="95">
        <f>T276/24</f>
        <v>15829.166666666666</v>
      </c>
      <c r="V276" s="95">
        <v>379900</v>
      </c>
      <c r="W276" s="95">
        <f>V276/24</f>
        <v>15829.166666666666</v>
      </c>
      <c r="X276" s="128"/>
      <c r="Y276" s="95">
        <v>259900</v>
      </c>
      <c r="Z276" s="95">
        <v>14000</v>
      </c>
      <c r="AA276" s="95">
        <f>IFERROR(IF(D276="Premium",0.4*Y276,0),"No Disp")</f>
        <v>103960</v>
      </c>
      <c r="AB276" s="95">
        <f>IFERROR(IF(4*Y276&gt;AC276,1.5*Y276,4*Y276),"No Disp")</f>
        <v>389850</v>
      </c>
      <c r="AC276" s="95">
        <f>IF(Z276="No Disp","No Disp",(Z276*18)+Y276)</f>
        <v>511900</v>
      </c>
      <c r="AD276" s="95">
        <f>18*Z276-100+Y276</f>
        <v>511800</v>
      </c>
      <c r="AE276" s="95">
        <v>49900</v>
      </c>
      <c r="AF276" s="95">
        <v>25500</v>
      </c>
      <c r="AG276" s="95">
        <f>IF(AF276="No Disp","No Disp",(AF276*18)+AE276)</f>
        <v>508900</v>
      </c>
      <c r="AH276" s="95">
        <f>18*AF276-100+AE276</f>
        <v>508800</v>
      </c>
      <c r="AI276" s="95" t="s">
        <v>4613</v>
      </c>
      <c r="AJ276" s="99"/>
      <c r="AK276" s="100" t="s">
        <v>43</v>
      </c>
      <c r="AL276" s="100" t="s">
        <v>43</v>
      </c>
      <c r="AM276" s="100" t="str">
        <f>IF(AL276&lt;&gt;"No Disp",AK276+12*AL276,"No Disp")</f>
        <v>No Disp</v>
      </c>
      <c r="AN276" s="100" t="s">
        <v>43</v>
      </c>
      <c r="AO276" s="100" t="s">
        <v>43</v>
      </c>
      <c r="AP276" s="100" t="str">
        <f>IF(AO276&lt;&gt;"No Disp",AN276+12*AO276,"No Disp")</f>
        <v>No Disp</v>
      </c>
      <c r="AQ276" s="100" t="s">
        <v>43</v>
      </c>
      <c r="AR276" s="100" t="s">
        <v>43</v>
      </c>
      <c r="AS276" s="100" t="str">
        <f>IF(AR276&lt;&gt;"No Disp",AQ276+12*AR276,"No Disp")</f>
        <v>No Disp</v>
      </c>
    </row>
    <row r="277" spans="1:45" s="101" customFormat="1" x14ac:dyDescent="0.25">
      <c r="A277" s="90" t="s">
        <v>38</v>
      </c>
      <c r="B277" s="90" t="s">
        <v>40</v>
      </c>
      <c r="C277" s="90" t="s">
        <v>39</v>
      </c>
      <c r="D277" s="90" t="s">
        <v>4540</v>
      </c>
      <c r="E277" s="90" t="s">
        <v>4542</v>
      </c>
      <c r="F277" s="91">
        <v>213</v>
      </c>
      <c r="G277" s="92">
        <v>70010945</v>
      </c>
      <c r="H277" s="91">
        <v>70010946</v>
      </c>
      <c r="I277" s="93" t="s">
        <v>63</v>
      </c>
      <c r="J277" s="94" t="s">
        <v>3772</v>
      </c>
      <c r="K277" s="94" t="s">
        <v>786</v>
      </c>
      <c r="L277" s="94" t="s">
        <v>3773</v>
      </c>
      <c r="M277" s="95">
        <v>1279900</v>
      </c>
      <c r="N277" s="95">
        <v>9500</v>
      </c>
      <c r="O277" s="95">
        <v>13500</v>
      </c>
      <c r="P277" s="96">
        <v>0</v>
      </c>
      <c r="Q277" s="152"/>
      <c r="R277" s="95">
        <v>1279900</v>
      </c>
      <c r="S277" s="95">
        <f>R277/24</f>
        <v>53329.166666666664</v>
      </c>
      <c r="T277" s="95">
        <v>1279900</v>
      </c>
      <c r="U277" s="95">
        <f>T277/24</f>
        <v>53329.166666666664</v>
      </c>
      <c r="V277" s="95">
        <v>1279900</v>
      </c>
      <c r="W277" s="95">
        <f>V277/24</f>
        <v>53329.166666666664</v>
      </c>
      <c r="X277" s="128"/>
      <c r="Y277" s="95">
        <v>1219900</v>
      </c>
      <c r="Z277" s="95">
        <v>28000</v>
      </c>
      <c r="AA277" s="95">
        <f>IFERROR(IF(D277="Premium",0.4*Y277,0),"No Disp")</f>
        <v>487960</v>
      </c>
      <c r="AB277" s="95">
        <f>IFERROR(IF(4*Y277&gt;AC277,1.5*Y277,4*Y277),"No Disp")</f>
        <v>1829850</v>
      </c>
      <c r="AC277" s="95">
        <f>IF(Z277="No Disp","No Disp",(Z277*18)+Y277)</f>
        <v>1723900</v>
      </c>
      <c r="AD277" s="95">
        <f>18*Z277-100+Y277</f>
        <v>1723800</v>
      </c>
      <c r="AE277" s="95">
        <v>449900</v>
      </c>
      <c r="AF277" s="95">
        <v>66000</v>
      </c>
      <c r="AG277" s="95">
        <f>IF(AF277="No Disp","No Disp",(AF277*18)+AE277)</f>
        <v>1637900</v>
      </c>
      <c r="AH277" s="95">
        <f>18*AF277-100+AE277</f>
        <v>1637800</v>
      </c>
      <c r="AI277" s="95" t="s">
        <v>4613</v>
      </c>
      <c r="AJ277" s="99"/>
      <c r="AK277" s="100" t="s">
        <v>43</v>
      </c>
      <c r="AL277" s="100" t="s">
        <v>43</v>
      </c>
      <c r="AM277" s="100" t="str">
        <f>IF(AL277&lt;&gt;"No Disp",AK277+12*AL277,"No Disp")</f>
        <v>No Disp</v>
      </c>
      <c r="AN277" s="100" t="s">
        <v>43</v>
      </c>
      <c r="AO277" s="100" t="s">
        <v>43</v>
      </c>
      <c r="AP277" s="100" t="str">
        <f>IF(AO277&lt;&gt;"No Disp",AN277+12*AO277,"No Disp")</f>
        <v>No Disp</v>
      </c>
      <c r="AQ277" s="100" t="s">
        <v>43</v>
      </c>
      <c r="AR277" s="100" t="s">
        <v>43</v>
      </c>
      <c r="AS277" s="100" t="str">
        <f>IF(AR277&lt;&gt;"No Disp",AQ277+12*AR277,"No Disp")</f>
        <v>No Disp</v>
      </c>
    </row>
    <row r="278" spans="1:45" s="101" customFormat="1" x14ac:dyDescent="0.25">
      <c r="A278" s="90" t="s">
        <v>38</v>
      </c>
      <c r="B278" s="90" t="s">
        <v>40</v>
      </c>
      <c r="C278" s="90" t="s">
        <v>39</v>
      </c>
      <c r="D278" s="90" t="s">
        <v>4540</v>
      </c>
      <c r="E278" s="90" t="s">
        <v>4542</v>
      </c>
      <c r="F278" s="91">
        <v>212</v>
      </c>
      <c r="G278" s="92">
        <v>70010947</v>
      </c>
      <c r="H278" s="91">
        <v>70010948</v>
      </c>
      <c r="I278" s="93" t="s">
        <v>63</v>
      </c>
      <c r="J278" s="94" t="s">
        <v>777</v>
      </c>
      <c r="K278" s="94" t="s">
        <v>787</v>
      </c>
      <c r="L278" s="94" t="s">
        <v>3774</v>
      </c>
      <c r="M278" s="95">
        <v>659900</v>
      </c>
      <c r="N278" s="95">
        <v>6000</v>
      </c>
      <c r="O278" s="95">
        <v>8500</v>
      </c>
      <c r="P278" s="96">
        <v>1029990</v>
      </c>
      <c r="Q278" s="152"/>
      <c r="R278" s="95">
        <v>739990</v>
      </c>
      <c r="S278" s="95">
        <f>R278/24</f>
        <v>30832.916666666668</v>
      </c>
      <c r="T278" s="95">
        <v>659900</v>
      </c>
      <c r="U278" s="95">
        <f>T278/24</f>
        <v>27495.833333333332</v>
      </c>
      <c r="V278" s="95">
        <v>659900</v>
      </c>
      <c r="W278" s="95">
        <f>V278/24</f>
        <v>27495.833333333332</v>
      </c>
      <c r="X278" s="128"/>
      <c r="Y278" s="95">
        <v>229900</v>
      </c>
      <c r="Z278" s="95">
        <v>40000</v>
      </c>
      <c r="AA278" s="95">
        <f>IFERROR(IF(D278="Premium",0.4*Y278,0),"No Disp")</f>
        <v>91960</v>
      </c>
      <c r="AB278" s="95">
        <f>IFERROR(IF(4*Y278&gt;AC278,1.5*Y278,4*Y278),"No Disp")</f>
        <v>919600</v>
      </c>
      <c r="AC278" s="95">
        <f>IF(Z278="No Disp","No Disp",(Z278*18)+Y278)</f>
        <v>949900</v>
      </c>
      <c r="AD278" s="95">
        <f>18*Z278-100+Y278</f>
        <v>949800</v>
      </c>
      <c r="AE278" s="95">
        <v>129900</v>
      </c>
      <c r="AF278" s="95">
        <v>45500</v>
      </c>
      <c r="AG278" s="95">
        <f>IF(AF278="No Disp","No Disp",(AF278*18)+AE278)</f>
        <v>948900</v>
      </c>
      <c r="AH278" s="95">
        <f>18*AF278-100+AE278</f>
        <v>948800</v>
      </c>
      <c r="AI278" s="95" t="s">
        <v>4613</v>
      </c>
      <c r="AJ278" s="99"/>
      <c r="AK278" s="100">
        <v>0</v>
      </c>
      <c r="AL278" s="100">
        <v>30000</v>
      </c>
      <c r="AM278" s="100">
        <f>IF(AL278&lt;&gt;"No Disp",AK278+12*AL278,"No Disp")</f>
        <v>360000</v>
      </c>
      <c r="AN278" s="100">
        <v>0</v>
      </c>
      <c r="AO278" s="100">
        <v>30000</v>
      </c>
      <c r="AP278" s="100">
        <f>IF(AO278&lt;&gt;"No Disp",AN278+12*AO278,"No Disp")</f>
        <v>360000</v>
      </c>
      <c r="AQ278" s="100">
        <v>0</v>
      </c>
      <c r="AR278" s="100">
        <v>30000</v>
      </c>
      <c r="AS278" s="100">
        <f>IF(AR278&lt;&gt;"No Disp",AQ278+12*AR278,"No Disp")</f>
        <v>360000</v>
      </c>
    </row>
    <row r="279" spans="1:45" s="101" customFormat="1" x14ac:dyDescent="0.25">
      <c r="A279" s="90" t="s">
        <v>38</v>
      </c>
      <c r="B279" s="90" t="s">
        <v>40</v>
      </c>
      <c r="C279" s="90" t="s">
        <v>39</v>
      </c>
      <c r="D279" s="90" t="s">
        <v>4540</v>
      </c>
      <c r="E279" s="90" t="s">
        <v>4542</v>
      </c>
      <c r="F279" s="91">
        <v>210</v>
      </c>
      <c r="G279" s="92">
        <v>70010949</v>
      </c>
      <c r="H279" s="91">
        <v>70010950</v>
      </c>
      <c r="I279" s="93" t="s">
        <v>63</v>
      </c>
      <c r="J279" s="94" t="s">
        <v>3775</v>
      </c>
      <c r="K279" s="94" t="s">
        <v>789</v>
      </c>
      <c r="L279" s="94" t="s">
        <v>3776</v>
      </c>
      <c r="M279" s="95">
        <v>939900</v>
      </c>
      <c r="N279" s="95">
        <v>7000</v>
      </c>
      <c r="O279" s="95">
        <v>10000</v>
      </c>
      <c r="P279" s="96">
        <v>0</v>
      </c>
      <c r="Q279" s="152"/>
      <c r="R279" s="95">
        <v>939900</v>
      </c>
      <c r="S279" s="95">
        <f>R279/24</f>
        <v>39162.5</v>
      </c>
      <c r="T279" s="95">
        <v>939900</v>
      </c>
      <c r="U279" s="95">
        <f>T279/24</f>
        <v>39162.5</v>
      </c>
      <c r="V279" s="95">
        <v>939900</v>
      </c>
      <c r="W279" s="95">
        <f>V279/24</f>
        <v>39162.5</v>
      </c>
      <c r="X279" s="128"/>
      <c r="Y279" s="95">
        <v>879900</v>
      </c>
      <c r="Z279" s="95">
        <v>17500</v>
      </c>
      <c r="AA279" s="95">
        <f>IFERROR(IF(D279="Premium",0.4*Y279,0),"No Disp")</f>
        <v>351960</v>
      </c>
      <c r="AB279" s="95">
        <f>IFERROR(IF(4*Y279&gt;AC279,1.5*Y279,4*Y279),"No Disp")</f>
        <v>1319850</v>
      </c>
      <c r="AC279" s="95">
        <f>IF(Z279="No Disp","No Disp",(Z279*18)+Y279)</f>
        <v>1194900</v>
      </c>
      <c r="AD279" s="95">
        <f>18*Z279-100+Y279</f>
        <v>1194800</v>
      </c>
      <c r="AE279" s="95">
        <v>399900</v>
      </c>
      <c r="AF279" s="95">
        <v>44000</v>
      </c>
      <c r="AG279" s="95">
        <f>IF(AF279="No Disp","No Disp",(AF279*18)+AE279)</f>
        <v>1191900</v>
      </c>
      <c r="AH279" s="95">
        <f>18*AF279-100+AE279</f>
        <v>1191800</v>
      </c>
      <c r="AI279" s="95" t="s">
        <v>4613</v>
      </c>
      <c r="AJ279" s="99"/>
      <c r="AK279" s="100" t="s">
        <v>43</v>
      </c>
      <c r="AL279" s="100" t="s">
        <v>43</v>
      </c>
      <c r="AM279" s="100" t="str">
        <f>IF(AL279&lt;&gt;"No Disp",AK279+12*AL279,"No Disp")</f>
        <v>No Disp</v>
      </c>
      <c r="AN279" s="100" t="s">
        <v>43</v>
      </c>
      <c r="AO279" s="100" t="s">
        <v>43</v>
      </c>
      <c r="AP279" s="100" t="str">
        <f>IF(AO279&lt;&gt;"No Disp",AN279+12*AO279,"No Disp")</f>
        <v>No Disp</v>
      </c>
      <c r="AQ279" s="100" t="s">
        <v>43</v>
      </c>
      <c r="AR279" s="100" t="s">
        <v>43</v>
      </c>
      <c r="AS279" s="100" t="str">
        <f>IF(AR279&lt;&gt;"No Disp",AQ279+12*AR279,"No Disp")</f>
        <v>No Disp</v>
      </c>
    </row>
    <row r="280" spans="1:45" s="101" customFormat="1" x14ac:dyDescent="0.25">
      <c r="A280" s="90" t="s">
        <v>38</v>
      </c>
      <c r="B280" s="90" t="s">
        <v>40</v>
      </c>
      <c r="C280" s="90" t="s">
        <v>39</v>
      </c>
      <c r="D280" s="90" t="s">
        <v>4540</v>
      </c>
      <c r="E280" s="90" t="s">
        <v>4542</v>
      </c>
      <c r="F280" s="91">
        <v>211</v>
      </c>
      <c r="G280" s="92">
        <v>70010951</v>
      </c>
      <c r="H280" s="91">
        <v>70010952</v>
      </c>
      <c r="I280" s="93" t="s">
        <v>63</v>
      </c>
      <c r="J280" s="94" t="s">
        <v>3759</v>
      </c>
      <c r="K280" s="94" t="s">
        <v>788</v>
      </c>
      <c r="L280" s="94" t="s">
        <v>3777</v>
      </c>
      <c r="M280" s="95">
        <v>789900</v>
      </c>
      <c r="N280" s="95">
        <v>6000</v>
      </c>
      <c r="O280" s="95">
        <v>8500</v>
      </c>
      <c r="P280" s="96">
        <v>0</v>
      </c>
      <c r="Q280" s="152"/>
      <c r="R280" s="95">
        <v>789900</v>
      </c>
      <c r="S280" s="95">
        <f>R280/24</f>
        <v>32912.5</v>
      </c>
      <c r="T280" s="95">
        <v>789900</v>
      </c>
      <c r="U280" s="95">
        <f>T280/24</f>
        <v>32912.5</v>
      </c>
      <c r="V280" s="95">
        <v>789900</v>
      </c>
      <c r="W280" s="95">
        <f>V280/24</f>
        <v>32912.5</v>
      </c>
      <c r="X280" s="128"/>
      <c r="Y280" s="95">
        <v>1099900</v>
      </c>
      <c r="Z280" s="95">
        <v>27000</v>
      </c>
      <c r="AA280" s="95">
        <f>IFERROR(IF(D280="Premium",0.4*Y280,0),"No Disp")</f>
        <v>439960</v>
      </c>
      <c r="AB280" s="95">
        <f>IFERROR(IF(4*Y280&gt;AC280,1.5*Y280,4*Y280),"No Disp")</f>
        <v>1649850</v>
      </c>
      <c r="AC280" s="95">
        <f>IF(Z280="No Disp","No Disp",(Z280*18)+Y280)</f>
        <v>1585900</v>
      </c>
      <c r="AD280" s="95">
        <f>18*Z280-100+Y280</f>
        <v>1585800</v>
      </c>
      <c r="AE280" s="95">
        <v>299900</v>
      </c>
      <c r="AF280" s="95">
        <v>41000</v>
      </c>
      <c r="AG280" s="95">
        <f>IF(AF280="No Disp","No Disp",(AF280*18)+AE280)</f>
        <v>1037900</v>
      </c>
      <c r="AH280" s="95">
        <f>18*AF280-100+AE280</f>
        <v>1037800</v>
      </c>
      <c r="AI280" s="95" t="s">
        <v>4613</v>
      </c>
      <c r="AJ280" s="99"/>
      <c r="AK280" s="100" t="s">
        <v>43</v>
      </c>
      <c r="AL280" s="100" t="s">
        <v>43</v>
      </c>
      <c r="AM280" s="100" t="str">
        <f>IF(AL280&lt;&gt;"No Disp",AK280+12*AL280,"No Disp")</f>
        <v>No Disp</v>
      </c>
      <c r="AN280" s="100" t="s">
        <v>43</v>
      </c>
      <c r="AO280" s="100" t="s">
        <v>43</v>
      </c>
      <c r="AP280" s="100" t="str">
        <f>IF(AO280&lt;&gt;"No Disp",AN280+12*AO280,"No Disp")</f>
        <v>No Disp</v>
      </c>
      <c r="AQ280" s="100" t="s">
        <v>43</v>
      </c>
      <c r="AR280" s="100" t="s">
        <v>43</v>
      </c>
      <c r="AS280" s="100" t="str">
        <f>IF(AR280&lt;&gt;"No Disp",AQ280+12*AR280,"No Disp")</f>
        <v>No Disp</v>
      </c>
    </row>
    <row r="281" spans="1:45" s="101" customFormat="1" x14ac:dyDescent="0.25">
      <c r="A281" s="90" t="s">
        <v>38</v>
      </c>
      <c r="B281" s="90" t="s">
        <v>40</v>
      </c>
      <c r="C281" s="90" t="s">
        <v>39</v>
      </c>
      <c r="D281" s="90" t="s">
        <v>4540</v>
      </c>
      <c r="E281" s="90" t="s">
        <v>4542</v>
      </c>
      <c r="F281" s="91">
        <v>209</v>
      </c>
      <c r="G281" s="130">
        <v>70010953</v>
      </c>
      <c r="H281" s="91">
        <v>70010954</v>
      </c>
      <c r="I281" s="93" t="s">
        <v>63</v>
      </c>
      <c r="J281" s="94" t="s">
        <v>754</v>
      </c>
      <c r="K281" s="94" t="s">
        <v>790</v>
      </c>
      <c r="L281" s="94" t="s">
        <v>3778</v>
      </c>
      <c r="M281" s="95">
        <v>1419900</v>
      </c>
      <c r="N281" s="95">
        <v>9500</v>
      </c>
      <c r="O281" s="95">
        <v>13500</v>
      </c>
      <c r="P281" s="96">
        <v>0</v>
      </c>
      <c r="Q281" s="152"/>
      <c r="R281" s="95">
        <v>1419900</v>
      </c>
      <c r="S281" s="95">
        <f>R281/24</f>
        <v>59162.5</v>
      </c>
      <c r="T281" s="95">
        <v>1419900</v>
      </c>
      <c r="U281" s="95">
        <f>T281/24</f>
        <v>59162.5</v>
      </c>
      <c r="V281" s="95">
        <v>1419900</v>
      </c>
      <c r="W281" s="95">
        <f>V281/24</f>
        <v>59162.5</v>
      </c>
      <c r="X281" s="128"/>
      <c r="Y281" s="95">
        <v>1249900</v>
      </c>
      <c r="Z281" s="95">
        <v>28000</v>
      </c>
      <c r="AA281" s="95">
        <f>IFERROR(IF(D281="Premium",0.4*Y281,0),"No Disp")</f>
        <v>499960</v>
      </c>
      <c r="AB281" s="95">
        <f>IFERROR(IF(4*Y281&gt;AC281,1.5*Y281,4*Y281),"No Disp")</f>
        <v>1874850</v>
      </c>
      <c r="AC281" s="95">
        <f>IF(Z281="No Disp","No Disp",(Z281*18)+Y281)</f>
        <v>1753900</v>
      </c>
      <c r="AD281" s="95">
        <f>18*Z281-100+Y281</f>
        <v>1753800</v>
      </c>
      <c r="AE281" s="95">
        <v>809900</v>
      </c>
      <c r="AF281" s="95">
        <v>51000</v>
      </c>
      <c r="AG281" s="95">
        <f>IF(AF281="No Disp","No Disp",(AF281*18)+AE281)</f>
        <v>1727900</v>
      </c>
      <c r="AH281" s="95">
        <f>18*AF281-100+AE281</f>
        <v>1727800</v>
      </c>
      <c r="AI281" s="95" t="s">
        <v>4613</v>
      </c>
      <c r="AJ281" s="99"/>
      <c r="AK281" s="100" t="s">
        <v>43</v>
      </c>
      <c r="AL281" s="100" t="s">
        <v>43</v>
      </c>
      <c r="AM281" s="100" t="str">
        <f>IF(AL281&lt;&gt;"No Disp",AK281+12*AL281,"No Disp")</f>
        <v>No Disp</v>
      </c>
      <c r="AN281" s="100" t="s">
        <v>43</v>
      </c>
      <c r="AO281" s="100" t="s">
        <v>43</v>
      </c>
      <c r="AP281" s="100" t="str">
        <f>IF(AO281&lt;&gt;"No Disp",AN281+12*AO281,"No Disp")</f>
        <v>No Disp</v>
      </c>
      <c r="AQ281" s="100" t="s">
        <v>43</v>
      </c>
      <c r="AR281" s="100" t="s">
        <v>43</v>
      </c>
      <c r="AS281" s="100" t="str">
        <f>IF(AR281&lt;&gt;"No Disp",AQ281+12*AR281,"No Disp")</f>
        <v>No Disp</v>
      </c>
    </row>
    <row r="282" spans="1:45" s="101" customFormat="1" x14ac:dyDescent="0.25">
      <c r="A282" s="90" t="s">
        <v>38</v>
      </c>
      <c r="B282" s="90" t="s">
        <v>40</v>
      </c>
      <c r="C282" s="90" t="s">
        <v>40</v>
      </c>
      <c r="D282" s="90" t="s">
        <v>4537</v>
      </c>
      <c r="E282" s="90" t="s">
        <v>4542</v>
      </c>
      <c r="F282" s="91">
        <v>214</v>
      </c>
      <c r="G282" s="92">
        <v>70010970</v>
      </c>
      <c r="H282" s="91">
        <v>70010970</v>
      </c>
      <c r="I282" s="93" t="s">
        <v>87</v>
      </c>
      <c r="J282" s="94" t="s">
        <v>3769</v>
      </c>
      <c r="K282" s="94" t="s">
        <v>784</v>
      </c>
      <c r="L282" s="94" t="s">
        <v>785</v>
      </c>
      <c r="M282" s="95">
        <v>299900</v>
      </c>
      <c r="N282" s="95">
        <v>4000</v>
      </c>
      <c r="O282" s="95">
        <v>6000</v>
      </c>
      <c r="P282" s="96">
        <v>0</v>
      </c>
      <c r="Q282" s="152"/>
      <c r="R282" s="95">
        <v>299900</v>
      </c>
      <c r="S282" s="95">
        <f>R282/24</f>
        <v>12495.833333333334</v>
      </c>
      <c r="T282" s="95">
        <v>299900</v>
      </c>
      <c r="U282" s="95">
        <f>T282/24</f>
        <v>12495.833333333334</v>
      </c>
      <c r="V282" s="95">
        <v>299900</v>
      </c>
      <c r="W282" s="95">
        <f>V282/24</f>
        <v>12495.833333333334</v>
      </c>
      <c r="X282" s="128"/>
      <c r="Y282" s="95">
        <v>699900</v>
      </c>
      <c r="Z282" s="95">
        <v>15000</v>
      </c>
      <c r="AA282" s="95">
        <f>IFERROR(IF(D282="Premium",0.4*Y282,0),"No Disp")</f>
        <v>0</v>
      </c>
      <c r="AB282" s="95">
        <f>IFERROR(IF(4*Y282&gt;AC282,1.5*Y282,4*Y282),"No Disp")</f>
        <v>1049850</v>
      </c>
      <c r="AC282" s="95">
        <f>IF(Z282="No Disp","No Disp",(Z282*18)+Y282)</f>
        <v>969900</v>
      </c>
      <c r="AD282" s="95">
        <f>18*Z282-100+Y282</f>
        <v>969800</v>
      </c>
      <c r="AE282" s="95">
        <v>99900</v>
      </c>
      <c r="AF282" s="95">
        <v>16500</v>
      </c>
      <c r="AG282" s="95">
        <f>IF(AF282="No Disp","No Disp",(AF282*18)+AE282)</f>
        <v>396900</v>
      </c>
      <c r="AH282" s="95">
        <f>18*AF282-100+AE282</f>
        <v>396800</v>
      </c>
      <c r="AI282" s="95" t="s">
        <v>4613</v>
      </c>
      <c r="AJ282" s="99"/>
      <c r="AK282" s="100" t="s">
        <v>43</v>
      </c>
      <c r="AL282" s="100" t="s">
        <v>43</v>
      </c>
      <c r="AM282" s="100" t="str">
        <f>IF(AL282&lt;&gt;"No Disp",AK282+12*AL282,"No Disp")</f>
        <v>No Disp</v>
      </c>
      <c r="AN282" s="100" t="s">
        <v>43</v>
      </c>
      <c r="AO282" s="100" t="s">
        <v>43</v>
      </c>
      <c r="AP282" s="100" t="str">
        <f>IF(AO282&lt;&gt;"No Disp",AN282+12*AO282,"No Disp")</f>
        <v>No Disp</v>
      </c>
      <c r="AQ282" s="100" t="s">
        <v>43</v>
      </c>
      <c r="AR282" s="100" t="s">
        <v>43</v>
      </c>
      <c r="AS282" s="100" t="str">
        <f>IF(AR282&lt;&gt;"No Disp",AQ282+12*AR282,"No Disp")</f>
        <v>No Disp</v>
      </c>
    </row>
    <row r="283" spans="1:45" s="101" customFormat="1" x14ac:dyDescent="0.25">
      <c r="A283" s="90" t="s">
        <v>38</v>
      </c>
      <c r="B283" s="90" t="s">
        <v>40</v>
      </c>
      <c r="C283" s="90" t="s">
        <v>40</v>
      </c>
      <c r="D283" s="90" t="s">
        <v>4537</v>
      </c>
      <c r="E283" s="90" t="s">
        <v>4542</v>
      </c>
      <c r="F283" s="91">
        <v>215</v>
      </c>
      <c r="G283" s="92">
        <v>70010971</v>
      </c>
      <c r="H283" s="91">
        <v>70010971</v>
      </c>
      <c r="I283" s="93" t="s">
        <v>87</v>
      </c>
      <c r="J283" s="94" t="s">
        <v>3770</v>
      </c>
      <c r="K283" s="94" t="s">
        <v>782</v>
      </c>
      <c r="L283" s="94" t="s">
        <v>783</v>
      </c>
      <c r="M283" s="95">
        <v>399900</v>
      </c>
      <c r="N283" s="95">
        <v>6000</v>
      </c>
      <c r="O283" s="95">
        <v>8500</v>
      </c>
      <c r="P283" s="96">
        <v>0</v>
      </c>
      <c r="Q283" s="152"/>
      <c r="R283" s="95">
        <v>399900</v>
      </c>
      <c r="S283" s="95">
        <f>R283/24</f>
        <v>16662.5</v>
      </c>
      <c r="T283" s="95">
        <v>399900</v>
      </c>
      <c r="U283" s="95">
        <f>T283/24</f>
        <v>16662.5</v>
      </c>
      <c r="V283" s="95">
        <v>399900</v>
      </c>
      <c r="W283" s="95">
        <f>V283/24</f>
        <v>16662.5</v>
      </c>
      <c r="X283" s="128"/>
      <c r="Y283" s="95">
        <v>849900</v>
      </c>
      <c r="Z283" s="95">
        <v>18000</v>
      </c>
      <c r="AA283" s="95">
        <f>IFERROR(IF(D283="Premium",0.4*Y283,0),"No Disp")</f>
        <v>0</v>
      </c>
      <c r="AB283" s="95">
        <f>IFERROR(IF(4*Y283&gt;AC283,1.5*Y283,4*Y283),"No Disp")</f>
        <v>1274850</v>
      </c>
      <c r="AC283" s="95">
        <f>IF(Z283="No Disp","No Disp",(Z283*18)+Y283)</f>
        <v>1173900</v>
      </c>
      <c r="AD283" s="95">
        <f>18*Z283-100+Y283</f>
        <v>1173800</v>
      </c>
      <c r="AE283" s="95">
        <v>159900</v>
      </c>
      <c r="AF283" s="95">
        <v>20000</v>
      </c>
      <c r="AG283" s="95">
        <f>IF(AF283="No Disp","No Disp",(AF283*18)+AE283)</f>
        <v>519900</v>
      </c>
      <c r="AH283" s="95">
        <f>18*AF283-100+AE283</f>
        <v>519800</v>
      </c>
      <c r="AI283" s="95" t="s">
        <v>4613</v>
      </c>
      <c r="AJ283" s="99"/>
      <c r="AK283" s="100" t="s">
        <v>43</v>
      </c>
      <c r="AL283" s="100" t="s">
        <v>43</v>
      </c>
      <c r="AM283" s="100" t="str">
        <f>IF(AL283&lt;&gt;"No Disp",AK283+12*AL283,"No Disp")</f>
        <v>No Disp</v>
      </c>
      <c r="AN283" s="100" t="s">
        <v>43</v>
      </c>
      <c r="AO283" s="100" t="s">
        <v>43</v>
      </c>
      <c r="AP283" s="100" t="str">
        <f>IF(AO283&lt;&gt;"No Disp",AN283+12*AO283,"No Disp")</f>
        <v>No Disp</v>
      </c>
      <c r="AQ283" s="100" t="s">
        <v>43</v>
      </c>
      <c r="AR283" s="100" t="s">
        <v>43</v>
      </c>
      <c r="AS283" s="100" t="str">
        <f>IF(AR283&lt;&gt;"No Disp",AQ283+12*AR283,"No Disp")</f>
        <v>No Disp</v>
      </c>
    </row>
    <row r="284" spans="1:45" s="101" customFormat="1" x14ac:dyDescent="0.25">
      <c r="A284" s="90" t="s">
        <v>38</v>
      </c>
      <c r="B284" s="90" t="s">
        <v>40</v>
      </c>
      <c r="C284" s="90" t="s">
        <v>39</v>
      </c>
      <c r="D284" s="90" t="s">
        <v>4540</v>
      </c>
      <c r="E284" s="90" t="s">
        <v>4542</v>
      </c>
      <c r="F284" s="91">
        <v>216</v>
      </c>
      <c r="G284" s="92">
        <v>70010982</v>
      </c>
      <c r="H284" s="91">
        <v>70010983</v>
      </c>
      <c r="I284" s="93" t="s">
        <v>63</v>
      </c>
      <c r="J284" s="94" t="s">
        <v>3779</v>
      </c>
      <c r="K284" s="94" t="s">
        <v>780</v>
      </c>
      <c r="L284" s="94" t="s">
        <v>781</v>
      </c>
      <c r="M284" s="95">
        <v>1059900</v>
      </c>
      <c r="N284" s="95">
        <v>7000</v>
      </c>
      <c r="O284" s="95">
        <v>10000</v>
      </c>
      <c r="P284" s="96">
        <v>0</v>
      </c>
      <c r="Q284" s="152"/>
      <c r="R284" s="95">
        <v>1059900</v>
      </c>
      <c r="S284" s="95">
        <f>R284/24</f>
        <v>44162.5</v>
      </c>
      <c r="T284" s="95">
        <v>1059900</v>
      </c>
      <c r="U284" s="95">
        <f>T284/24</f>
        <v>44162.5</v>
      </c>
      <c r="V284" s="95">
        <v>1059900</v>
      </c>
      <c r="W284" s="95">
        <f>V284/24</f>
        <v>44162.5</v>
      </c>
      <c r="X284" s="128"/>
      <c r="Y284" s="95">
        <v>1009900</v>
      </c>
      <c r="Z284" s="95">
        <v>22500</v>
      </c>
      <c r="AA284" s="95">
        <f>IFERROR(IF(D284="Premium",0.4*Y284,0),"No Disp")</f>
        <v>403960</v>
      </c>
      <c r="AB284" s="95">
        <f>IFERROR(IF(4*Y284&gt;AC284,1.5*Y284,4*Y284),"No Disp")</f>
        <v>1514850</v>
      </c>
      <c r="AC284" s="95">
        <f>IF(Z284="No Disp","No Disp",(Z284*18)+Y284)</f>
        <v>1414900</v>
      </c>
      <c r="AD284" s="95">
        <f>18*Z284-100+Y284</f>
        <v>1414800</v>
      </c>
      <c r="AE284" s="95">
        <v>349900</v>
      </c>
      <c r="AF284" s="95">
        <v>55500</v>
      </c>
      <c r="AG284" s="95">
        <f>IF(AF284="No Disp","No Disp",(AF284*18)+AE284)</f>
        <v>1348900</v>
      </c>
      <c r="AH284" s="95">
        <f>18*AF284-100+AE284</f>
        <v>1348800</v>
      </c>
      <c r="AI284" s="95" t="s">
        <v>4613</v>
      </c>
      <c r="AJ284" s="99"/>
      <c r="AK284" s="100" t="s">
        <v>43</v>
      </c>
      <c r="AL284" s="100" t="s">
        <v>43</v>
      </c>
      <c r="AM284" s="100" t="str">
        <f>IF(AL284&lt;&gt;"No Disp",AK284+12*AL284,"No Disp")</f>
        <v>No Disp</v>
      </c>
      <c r="AN284" s="100" t="s">
        <v>43</v>
      </c>
      <c r="AO284" s="100" t="s">
        <v>43</v>
      </c>
      <c r="AP284" s="100" t="str">
        <f>IF(AO284&lt;&gt;"No Disp",AN284+12*AO284,"No Disp")</f>
        <v>No Disp</v>
      </c>
      <c r="AQ284" s="100" t="s">
        <v>43</v>
      </c>
      <c r="AR284" s="100" t="s">
        <v>43</v>
      </c>
      <c r="AS284" s="100" t="str">
        <f>IF(AR284&lt;&gt;"No Disp",AQ284+12*AR284,"No Disp")</f>
        <v>No Disp</v>
      </c>
    </row>
    <row r="285" spans="1:45" s="101" customFormat="1" x14ac:dyDescent="0.25">
      <c r="A285" s="90" t="s">
        <v>38</v>
      </c>
      <c r="B285" s="90" t="s">
        <v>40</v>
      </c>
      <c r="C285" s="90" t="s">
        <v>39</v>
      </c>
      <c r="D285" s="90" t="s">
        <v>4540</v>
      </c>
      <c r="E285" s="90" t="s">
        <v>4542</v>
      </c>
      <c r="F285" s="91">
        <v>217</v>
      </c>
      <c r="G285" s="92">
        <v>70010984</v>
      </c>
      <c r="H285" s="91">
        <v>70010985</v>
      </c>
      <c r="I285" s="93" t="s">
        <v>63</v>
      </c>
      <c r="J285" s="94" t="s">
        <v>777</v>
      </c>
      <c r="K285" s="94" t="s">
        <v>778</v>
      </c>
      <c r="L285" s="94" t="s">
        <v>779</v>
      </c>
      <c r="M285" s="95">
        <v>659900</v>
      </c>
      <c r="N285" s="95">
        <v>6000</v>
      </c>
      <c r="O285" s="95">
        <v>8500</v>
      </c>
      <c r="P285" s="96">
        <v>1029990</v>
      </c>
      <c r="Q285" s="152"/>
      <c r="R285" s="95">
        <v>739990</v>
      </c>
      <c r="S285" s="95">
        <f>R285/24</f>
        <v>30832.916666666668</v>
      </c>
      <c r="T285" s="95">
        <v>659900</v>
      </c>
      <c r="U285" s="95">
        <f>T285/24</f>
        <v>27495.833333333332</v>
      </c>
      <c r="V285" s="95">
        <v>659900</v>
      </c>
      <c r="W285" s="95">
        <f>V285/24</f>
        <v>27495.833333333332</v>
      </c>
      <c r="X285" s="128"/>
      <c r="Y285" s="95">
        <v>229900</v>
      </c>
      <c r="Z285" s="95">
        <v>40000</v>
      </c>
      <c r="AA285" s="95">
        <f>IFERROR(IF(D285="Premium",0.4*Y285,0),"No Disp")</f>
        <v>91960</v>
      </c>
      <c r="AB285" s="95">
        <f>IFERROR(IF(4*Y285&gt;AC285,1.5*Y285,4*Y285),"No Disp")</f>
        <v>919600</v>
      </c>
      <c r="AC285" s="95">
        <f>IF(Z285="No Disp","No Disp",(Z285*18)+Y285)</f>
        <v>949900</v>
      </c>
      <c r="AD285" s="95">
        <f>18*Z285-100+Y285</f>
        <v>949800</v>
      </c>
      <c r="AE285" s="95">
        <v>129900</v>
      </c>
      <c r="AF285" s="95">
        <v>45500</v>
      </c>
      <c r="AG285" s="95">
        <f>IF(AF285="No Disp","No Disp",(AF285*18)+AE285)</f>
        <v>948900</v>
      </c>
      <c r="AH285" s="95">
        <f>18*AF285-100+AE285</f>
        <v>948800</v>
      </c>
      <c r="AI285" s="95" t="s">
        <v>4613</v>
      </c>
      <c r="AJ285" s="99"/>
      <c r="AK285" s="100">
        <v>0</v>
      </c>
      <c r="AL285" s="100">
        <v>30000</v>
      </c>
      <c r="AM285" s="100">
        <f>IF(AL285&lt;&gt;"No Disp",AK285+12*AL285,"No Disp")</f>
        <v>360000</v>
      </c>
      <c r="AN285" s="100">
        <v>0</v>
      </c>
      <c r="AO285" s="100">
        <v>30000</v>
      </c>
      <c r="AP285" s="100">
        <f>IF(AO285&lt;&gt;"No Disp",AN285+12*AO285,"No Disp")</f>
        <v>360000</v>
      </c>
      <c r="AQ285" s="100">
        <v>0</v>
      </c>
      <c r="AR285" s="100">
        <v>30000</v>
      </c>
      <c r="AS285" s="100">
        <f>IF(AR285&lt;&gt;"No Disp",AQ285+12*AR285,"No Disp")</f>
        <v>360000</v>
      </c>
    </row>
    <row r="286" spans="1:45" s="101" customFormat="1" x14ac:dyDescent="0.25">
      <c r="A286" s="90" t="s">
        <v>38</v>
      </c>
      <c r="B286" s="90" t="s">
        <v>40</v>
      </c>
      <c r="C286" s="90" t="s">
        <v>39</v>
      </c>
      <c r="D286" s="90" t="s">
        <v>4540</v>
      </c>
      <c r="E286" s="90" t="s">
        <v>4542</v>
      </c>
      <c r="F286" s="91">
        <v>218</v>
      </c>
      <c r="G286" s="92">
        <v>70011011</v>
      </c>
      <c r="H286" s="91">
        <v>70011012</v>
      </c>
      <c r="I286" s="93" t="s">
        <v>63</v>
      </c>
      <c r="J286" s="94" t="s">
        <v>3780</v>
      </c>
      <c r="K286" s="94" t="s">
        <v>775</v>
      </c>
      <c r="L286" s="94" t="s">
        <v>776</v>
      </c>
      <c r="M286" s="95">
        <v>149900</v>
      </c>
      <c r="N286" s="95">
        <v>6000</v>
      </c>
      <c r="O286" s="95">
        <v>8500</v>
      </c>
      <c r="P286" s="96">
        <v>0</v>
      </c>
      <c r="Q286" s="152"/>
      <c r="R286" s="95">
        <v>149900</v>
      </c>
      <c r="S286" s="95">
        <f>R286/24</f>
        <v>6245.833333333333</v>
      </c>
      <c r="T286" s="95">
        <v>149900</v>
      </c>
      <c r="U286" s="95">
        <f>T286/24</f>
        <v>6245.833333333333</v>
      </c>
      <c r="V286" s="95">
        <v>149900</v>
      </c>
      <c r="W286" s="95">
        <f>V286/24</f>
        <v>6245.833333333333</v>
      </c>
      <c r="X286" s="128"/>
      <c r="Y286" s="95">
        <v>499900</v>
      </c>
      <c r="Z286" s="95">
        <v>29000</v>
      </c>
      <c r="AA286" s="95">
        <f>IFERROR(IF(D286="Premium",0.4*Y286,0),"No Disp")</f>
        <v>199960</v>
      </c>
      <c r="AB286" s="95">
        <f>IFERROR(IF(4*Y286&gt;AC286,1.5*Y286,4*Y286),"No Disp")</f>
        <v>749850</v>
      </c>
      <c r="AC286" s="95">
        <f>IF(Z286="No Disp","No Disp",(Z286*18)+Y286)</f>
        <v>1021900</v>
      </c>
      <c r="AD286" s="95">
        <f>18*Z286-100+Y286</f>
        <v>1021800</v>
      </c>
      <c r="AE286" s="95">
        <v>19900</v>
      </c>
      <c r="AF286" s="95">
        <v>10000</v>
      </c>
      <c r="AG286" s="95">
        <f>IF(AF286="No Disp","No Disp",(AF286*18)+AE286)</f>
        <v>199900</v>
      </c>
      <c r="AH286" s="95">
        <f>18*AF286-100+AE286</f>
        <v>199800</v>
      </c>
      <c r="AI286" s="95" t="s">
        <v>4613</v>
      </c>
      <c r="AJ286" s="99"/>
      <c r="AK286" s="100" t="s">
        <v>43</v>
      </c>
      <c r="AL286" s="100" t="s">
        <v>43</v>
      </c>
      <c r="AM286" s="100" t="str">
        <f>IF(AL286&lt;&gt;"No Disp",AK286+12*AL286,"No Disp")</f>
        <v>No Disp</v>
      </c>
      <c r="AN286" s="100" t="s">
        <v>43</v>
      </c>
      <c r="AO286" s="100" t="s">
        <v>43</v>
      </c>
      <c r="AP286" s="100" t="str">
        <f>IF(AO286&lt;&gt;"No Disp",AN286+12*AO286,"No Disp")</f>
        <v>No Disp</v>
      </c>
      <c r="AQ286" s="100" t="s">
        <v>43</v>
      </c>
      <c r="AR286" s="100" t="s">
        <v>43</v>
      </c>
      <c r="AS286" s="100" t="str">
        <f>IF(AR286&lt;&gt;"No Disp",AQ286+12*AR286,"No Disp")</f>
        <v>No Disp</v>
      </c>
    </row>
    <row r="287" spans="1:45" s="101" customFormat="1" x14ac:dyDescent="0.25">
      <c r="A287" s="90" t="s">
        <v>38</v>
      </c>
      <c r="B287" s="90" t="s">
        <v>40</v>
      </c>
      <c r="C287" s="90" t="s">
        <v>39</v>
      </c>
      <c r="D287" s="90" t="s">
        <v>4540</v>
      </c>
      <c r="E287" s="90" t="s">
        <v>4542</v>
      </c>
      <c r="F287" s="91">
        <v>219</v>
      </c>
      <c r="G287" s="92">
        <v>70011015</v>
      </c>
      <c r="H287" s="91">
        <v>70011016</v>
      </c>
      <c r="I287" s="93" t="s">
        <v>63</v>
      </c>
      <c r="J287" s="94" t="s">
        <v>3780</v>
      </c>
      <c r="K287" s="94" t="s">
        <v>773</v>
      </c>
      <c r="L287" s="94" t="s">
        <v>774</v>
      </c>
      <c r="M287" s="95">
        <v>149900</v>
      </c>
      <c r="N287" s="95">
        <v>6000</v>
      </c>
      <c r="O287" s="95">
        <v>8500</v>
      </c>
      <c r="P287" s="96">
        <v>0</v>
      </c>
      <c r="Q287" s="152"/>
      <c r="R287" s="95">
        <v>149900</v>
      </c>
      <c r="S287" s="95">
        <f>R287/24</f>
        <v>6245.833333333333</v>
      </c>
      <c r="T287" s="95">
        <v>149900</v>
      </c>
      <c r="U287" s="95">
        <f>T287/24</f>
        <v>6245.833333333333</v>
      </c>
      <c r="V287" s="95">
        <v>149900</v>
      </c>
      <c r="W287" s="95">
        <f>V287/24</f>
        <v>6245.833333333333</v>
      </c>
      <c r="X287" s="128"/>
      <c r="Y287" s="95">
        <v>499900</v>
      </c>
      <c r="Z287" s="95">
        <v>29000</v>
      </c>
      <c r="AA287" s="95">
        <f>IFERROR(IF(D287="Premium",0.4*Y287,0),"No Disp")</f>
        <v>199960</v>
      </c>
      <c r="AB287" s="95">
        <f>IFERROR(IF(4*Y287&gt;AC287,1.5*Y287,4*Y287),"No Disp")</f>
        <v>749850</v>
      </c>
      <c r="AC287" s="95">
        <f>IF(Z287="No Disp","No Disp",(Z287*18)+Y287)</f>
        <v>1021900</v>
      </c>
      <c r="AD287" s="95">
        <f>18*Z287-100+Y287</f>
        <v>1021800</v>
      </c>
      <c r="AE287" s="95">
        <v>19900</v>
      </c>
      <c r="AF287" s="95">
        <v>10000</v>
      </c>
      <c r="AG287" s="95">
        <f>IF(AF287="No Disp","No Disp",(AF287*18)+AE287)</f>
        <v>199900</v>
      </c>
      <c r="AH287" s="95">
        <f>18*AF287-100+AE287</f>
        <v>199800</v>
      </c>
      <c r="AI287" s="95" t="s">
        <v>4613</v>
      </c>
      <c r="AJ287" s="99"/>
      <c r="AK287" s="100" t="s">
        <v>43</v>
      </c>
      <c r="AL287" s="100" t="s">
        <v>43</v>
      </c>
      <c r="AM287" s="100" t="str">
        <f>IF(AL287&lt;&gt;"No Disp",AK287+12*AL287,"No Disp")</f>
        <v>No Disp</v>
      </c>
      <c r="AN287" s="100" t="s">
        <v>43</v>
      </c>
      <c r="AO287" s="100" t="s">
        <v>43</v>
      </c>
      <c r="AP287" s="100" t="str">
        <f>IF(AO287&lt;&gt;"No Disp",AN287+12*AO287,"No Disp")</f>
        <v>No Disp</v>
      </c>
      <c r="AQ287" s="100" t="s">
        <v>43</v>
      </c>
      <c r="AR287" s="100" t="s">
        <v>43</v>
      </c>
      <c r="AS287" s="100" t="str">
        <f>IF(AR287&lt;&gt;"No Disp",AQ287+12*AR287,"No Disp")</f>
        <v>No Disp</v>
      </c>
    </row>
    <row r="288" spans="1:45" s="101" customFormat="1" x14ac:dyDescent="0.25">
      <c r="A288" s="90" t="s">
        <v>38</v>
      </c>
      <c r="B288" s="90" t="s">
        <v>40</v>
      </c>
      <c r="C288" s="90" t="s">
        <v>39</v>
      </c>
      <c r="D288" s="90" t="s">
        <v>4540</v>
      </c>
      <c r="E288" s="90" t="s">
        <v>4542</v>
      </c>
      <c r="F288" s="91">
        <v>220</v>
      </c>
      <c r="G288" s="92">
        <v>70011017</v>
      </c>
      <c r="H288" s="91">
        <v>70011018</v>
      </c>
      <c r="I288" s="93" t="s">
        <v>63</v>
      </c>
      <c r="J288" s="94" t="s">
        <v>3780</v>
      </c>
      <c r="K288" s="94" t="s">
        <v>771</v>
      </c>
      <c r="L288" s="94" t="s">
        <v>772</v>
      </c>
      <c r="M288" s="95">
        <v>149900</v>
      </c>
      <c r="N288" s="95">
        <v>6000</v>
      </c>
      <c r="O288" s="95">
        <v>8500</v>
      </c>
      <c r="P288" s="96">
        <v>0</v>
      </c>
      <c r="Q288" s="152"/>
      <c r="R288" s="95">
        <v>149900</v>
      </c>
      <c r="S288" s="95">
        <f>R288/24</f>
        <v>6245.833333333333</v>
      </c>
      <c r="T288" s="95">
        <v>149900</v>
      </c>
      <c r="U288" s="95">
        <f>T288/24</f>
        <v>6245.833333333333</v>
      </c>
      <c r="V288" s="95">
        <v>149900</v>
      </c>
      <c r="W288" s="95">
        <f>V288/24</f>
        <v>6245.833333333333</v>
      </c>
      <c r="X288" s="128"/>
      <c r="Y288" s="95">
        <v>499900</v>
      </c>
      <c r="Z288" s="95">
        <v>29000</v>
      </c>
      <c r="AA288" s="95">
        <f>IFERROR(IF(D288="Premium",0.4*Y288,0),"No Disp")</f>
        <v>199960</v>
      </c>
      <c r="AB288" s="95">
        <f>IFERROR(IF(4*Y288&gt;AC288,1.5*Y288,4*Y288),"No Disp")</f>
        <v>749850</v>
      </c>
      <c r="AC288" s="95">
        <f>IF(Z288="No Disp","No Disp",(Z288*18)+Y288)</f>
        <v>1021900</v>
      </c>
      <c r="AD288" s="95">
        <f>18*Z288-100+Y288</f>
        <v>1021800</v>
      </c>
      <c r="AE288" s="95">
        <v>19900</v>
      </c>
      <c r="AF288" s="95">
        <v>10000</v>
      </c>
      <c r="AG288" s="95">
        <f>IF(AF288="No Disp","No Disp",(AF288*18)+AE288)</f>
        <v>199900</v>
      </c>
      <c r="AH288" s="95">
        <f>18*AF288-100+AE288</f>
        <v>199800</v>
      </c>
      <c r="AI288" s="95" t="s">
        <v>4613</v>
      </c>
      <c r="AJ288" s="99"/>
      <c r="AK288" s="100" t="s">
        <v>43</v>
      </c>
      <c r="AL288" s="100" t="s">
        <v>43</v>
      </c>
      <c r="AM288" s="100" t="str">
        <f>IF(AL288&lt;&gt;"No Disp",AK288+12*AL288,"No Disp")</f>
        <v>No Disp</v>
      </c>
      <c r="AN288" s="100" t="s">
        <v>43</v>
      </c>
      <c r="AO288" s="100" t="s">
        <v>43</v>
      </c>
      <c r="AP288" s="100" t="str">
        <f>IF(AO288&lt;&gt;"No Disp",AN288+12*AO288,"No Disp")</f>
        <v>No Disp</v>
      </c>
      <c r="AQ288" s="100" t="s">
        <v>43</v>
      </c>
      <c r="AR288" s="100" t="s">
        <v>43</v>
      </c>
      <c r="AS288" s="100" t="str">
        <f>IF(AR288&lt;&gt;"No Disp",AQ288+12*AR288,"No Disp")</f>
        <v>No Disp</v>
      </c>
    </row>
    <row r="289" spans="1:45" s="101" customFormat="1" x14ac:dyDescent="0.25">
      <c r="A289" s="90" t="s">
        <v>38</v>
      </c>
      <c r="B289" s="90" t="s">
        <v>40</v>
      </c>
      <c r="C289" s="90" t="s">
        <v>39</v>
      </c>
      <c r="D289" s="90" t="s">
        <v>4540</v>
      </c>
      <c r="E289" s="90" t="s">
        <v>4542</v>
      </c>
      <c r="F289" s="91">
        <v>221</v>
      </c>
      <c r="G289" s="92">
        <v>70011019</v>
      </c>
      <c r="H289" s="91">
        <v>70011020</v>
      </c>
      <c r="I289" s="93" t="s">
        <v>63</v>
      </c>
      <c r="J289" s="94" t="s">
        <v>3780</v>
      </c>
      <c r="K289" s="94" t="s">
        <v>769</v>
      </c>
      <c r="L289" s="94" t="s">
        <v>770</v>
      </c>
      <c r="M289" s="95">
        <v>149900</v>
      </c>
      <c r="N289" s="95">
        <v>6000</v>
      </c>
      <c r="O289" s="95">
        <v>8500</v>
      </c>
      <c r="P289" s="96">
        <v>0</v>
      </c>
      <c r="Q289" s="152"/>
      <c r="R289" s="95">
        <v>149900</v>
      </c>
      <c r="S289" s="95">
        <f>R289/24</f>
        <v>6245.833333333333</v>
      </c>
      <c r="T289" s="95">
        <v>149900</v>
      </c>
      <c r="U289" s="95">
        <f>T289/24</f>
        <v>6245.833333333333</v>
      </c>
      <c r="V289" s="95">
        <v>149900</v>
      </c>
      <c r="W289" s="95">
        <f>V289/24</f>
        <v>6245.833333333333</v>
      </c>
      <c r="X289" s="128"/>
      <c r="Y289" s="95">
        <v>499900</v>
      </c>
      <c r="Z289" s="95">
        <v>29000</v>
      </c>
      <c r="AA289" s="95">
        <f>IFERROR(IF(D289="Premium",0.4*Y289,0),"No Disp")</f>
        <v>199960</v>
      </c>
      <c r="AB289" s="95">
        <f>IFERROR(IF(4*Y289&gt;AC289,1.5*Y289,4*Y289),"No Disp")</f>
        <v>749850</v>
      </c>
      <c r="AC289" s="95">
        <f>IF(Z289="No Disp","No Disp",(Z289*18)+Y289)</f>
        <v>1021900</v>
      </c>
      <c r="AD289" s="95">
        <f>18*Z289-100+Y289</f>
        <v>1021800</v>
      </c>
      <c r="AE289" s="95">
        <v>19900</v>
      </c>
      <c r="AF289" s="95">
        <v>10000</v>
      </c>
      <c r="AG289" s="95">
        <f>IF(AF289="No Disp","No Disp",(AF289*18)+AE289)</f>
        <v>199900</v>
      </c>
      <c r="AH289" s="95">
        <f>18*AF289-100+AE289</f>
        <v>199800</v>
      </c>
      <c r="AI289" s="95" t="s">
        <v>4613</v>
      </c>
      <c r="AJ289" s="99"/>
      <c r="AK289" s="100" t="s">
        <v>43</v>
      </c>
      <c r="AL289" s="100" t="s">
        <v>43</v>
      </c>
      <c r="AM289" s="100" t="str">
        <f>IF(AL289&lt;&gt;"No Disp",AK289+12*AL289,"No Disp")</f>
        <v>No Disp</v>
      </c>
      <c r="AN289" s="100" t="s">
        <v>43</v>
      </c>
      <c r="AO289" s="100" t="s">
        <v>43</v>
      </c>
      <c r="AP289" s="100" t="str">
        <f>IF(AO289&lt;&gt;"No Disp",AN289+12*AO289,"No Disp")</f>
        <v>No Disp</v>
      </c>
      <c r="AQ289" s="100" t="s">
        <v>43</v>
      </c>
      <c r="AR289" s="100" t="s">
        <v>43</v>
      </c>
      <c r="AS289" s="100" t="str">
        <f>IF(AR289&lt;&gt;"No Disp",AQ289+12*AR289,"No Disp")</f>
        <v>No Disp</v>
      </c>
    </row>
    <row r="290" spans="1:45" s="101" customFormat="1" x14ac:dyDescent="0.25">
      <c r="A290" s="90" t="s">
        <v>38</v>
      </c>
      <c r="B290" s="90" t="s">
        <v>40</v>
      </c>
      <c r="C290" s="90" t="s">
        <v>39</v>
      </c>
      <c r="D290" s="90" t="s">
        <v>4540</v>
      </c>
      <c r="E290" s="90" t="s">
        <v>4542</v>
      </c>
      <c r="F290" s="91">
        <v>222</v>
      </c>
      <c r="G290" s="92">
        <v>70011027</v>
      </c>
      <c r="H290" s="91">
        <v>70011028</v>
      </c>
      <c r="I290" s="93" t="s">
        <v>63</v>
      </c>
      <c r="J290" s="94" t="s">
        <v>3781</v>
      </c>
      <c r="K290" s="94" t="s">
        <v>767</v>
      </c>
      <c r="L290" s="94" t="s">
        <v>768</v>
      </c>
      <c r="M290" s="95">
        <v>199900</v>
      </c>
      <c r="N290" s="95">
        <v>2500</v>
      </c>
      <c r="O290" s="95">
        <v>4000</v>
      </c>
      <c r="P290" s="96">
        <v>0</v>
      </c>
      <c r="Q290" s="152"/>
      <c r="R290" s="95">
        <v>199900</v>
      </c>
      <c r="S290" s="95">
        <f>R290/24</f>
        <v>8329.1666666666661</v>
      </c>
      <c r="T290" s="95">
        <v>199900</v>
      </c>
      <c r="U290" s="95">
        <f>T290/24</f>
        <v>8329.1666666666661</v>
      </c>
      <c r="V290" s="95">
        <v>199900</v>
      </c>
      <c r="W290" s="95">
        <f>V290/24</f>
        <v>8329.1666666666661</v>
      </c>
      <c r="X290" s="128"/>
      <c r="Y290" s="95">
        <v>499900</v>
      </c>
      <c r="Z290" s="95">
        <v>29000</v>
      </c>
      <c r="AA290" s="95">
        <f>IFERROR(IF(D290="Premium",0.4*Y290,0),"No Disp")</f>
        <v>199960</v>
      </c>
      <c r="AB290" s="95">
        <f>IFERROR(IF(4*Y290&gt;AC290,1.5*Y290,4*Y290),"No Disp")</f>
        <v>749850</v>
      </c>
      <c r="AC290" s="95">
        <f>IF(Z290="No Disp","No Disp",(Z290*18)+Y290)</f>
        <v>1021900</v>
      </c>
      <c r="AD290" s="95">
        <f>18*Z290-100+Y290</f>
        <v>1021800</v>
      </c>
      <c r="AE290" s="95">
        <v>19900</v>
      </c>
      <c r="AF290" s="95">
        <v>15000</v>
      </c>
      <c r="AG290" s="95">
        <f>IF(AF290="No Disp","No Disp",(AF290*18)+AE290)</f>
        <v>289900</v>
      </c>
      <c r="AH290" s="95">
        <f>18*AF290-100+AE290</f>
        <v>289800</v>
      </c>
      <c r="AI290" s="95" t="s">
        <v>4613</v>
      </c>
      <c r="AJ290" s="99"/>
      <c r="AK290" s="100" t="s">
        <v>43</v>
      </c>
      <c r="AL290" s="100" t="s">
        <v>43</v>
      </c>
      <c r="AM290" s="100" t="str">
        <f>IF(AL290&lt;&gt;"No Disp",AK290+12*AL290,"No Disp")</f>
        <v>No Disp</v>
      </c>
      <c r="AN290" s="100" t="s">
        <v>43</v>
      </c>
      <c r="AO290" s="100" t="s">
        <v>43</v>
      </c>
      <c r="AP290" s="100" t="str">
        <f>IF(AO290&lt;&gt;"No Disp",AN290+12*AO290,"No Disp")</f>
        <v>No Disp</v>
      </c>
      <c r="AQ290" s="100" t="s">
        <v>43</v>
      </c>
      <c r="AR290" s="100" t="s">
        <v>43</v>
      </c>
      <c r="AS290" s="100" t="str">
        <f>IF(AR290&lt;&gt;"No Disp",AQ290+12*AR290,"No Disp")</f>
        <v>No Disp</v>
      </c>
    </row>
    <row r="291" spans="1:45" s="101" customFormat="1" x14ac:dyDescent="0.25">
      <c r="A291" s="90" t="s">
        <v>102</v>
      </c>
      <c r="B291" s="90" t="s">
        <v>39</v>
      </c>
      <c r="C291" s="90" t="s">
        <v>40</v>
      </c>
      <c r="D291" s="90" t="s">
        <v>4541</v>
      </c>
      <c r="E291" s="90" t="s">
        <v>4542</v>
      </c>
      <c r="F291" s="91">
        <v>223</v>
      </c>
      <c r="G291" s="92">
        <v>70011041</v>
      </c>
      <c r="H291" s="91">
        <v>70011042</v>
      </c>
      <c r="I291" s="93" t="s">
        <v>46</v>
      </c>
      <c r="J291" s="94" t="s">
        <v>764</v>
      </c>
      <c r="K291" s="94" t="s">
        <v>765</v>
      </c>
      <c r="L291" s="94" t="s">
        <v>766</v>
      </c>
      <c r="M291" s="95">
        <v>104900</v>
      </c>
      <c r="N291" s="95">
        <v>2500</v>
      </c>
      <c r="O291" s="95">
        <v>4000</v>
      </c>
      <c r="P291" s="96">
        <v>0</v>
      </c>
      <c r="Q291" s="152"/>
      <c r="R291" s="95">
        <v>104900</v>
      </c>
      <c r="S291" s="95">
        <f>R291/24</f>
        <v>4370.833333333333</v>
      </c>
      <c r="T291" s="95">
        <v>104900</v>
      </c>
      <c r="U291" s="95">
        <f>T291/24</f>
        <v>4370.833333333333</v>
      </c>
      <c r="V291" s="95">
        <v>104900</v>
      </c>
      <c r="W291" s="95">
        <f>V291/24</f>
        <v>4370.833333333333</v>
      </c>
      <c r="X291" s="128"/>
      <c r="Y291" s="95">
        <v>29900</v>
      </c>
      <c r="Z291" s="95">
        <v>7000</v>
      </c>
      <c r="AA291" s="95">
        <f>IFERROR(IF(D291="Premium",0.4*Y291,0),"No Disp")</f>
        <v>0</v>
      </c>
      <c r="AB291" s="95">
        <f>IFERROR(IF(4*Y291&gt;AC291,1.5*Y291,4*Y291),"No Disp")</f>
        <v>119600</v>
      </c>
      <c r="AC291" s="95">
        <f>IF(Z291="No Disp","No Disp",(Z291*18)+Y291)</f>
        <v>155900</v>
      </c>
      <c r="AD291" s="95">
        <f>18*Z291-100+Y291</f>
        <v>155800</v>
      </c>
      <c r="AE291" s="95">
        <v>19900</v>
      </c>
      <c r="AF291" s="95">
        <v>7000</v>
      </c>
      <c r="AG291" s="95">
        <f>IF(AF291="No Disp","No Disp",(AF291*18)+AE291)</f>
        <v>145900</v>
      </c>
      <c r="AH291" s="95">
        <f>18*AF291-100+AE291</f>
        <v>145800</v>
      </c>
      <c r="AI291" s="95" t="s">
        <v>4613</v>
      </c>
      <c r="AJ291" s="99"/>
      <c r="AK291" s="100" t="s">
        <v>43</v>
      </c>
      <c r="AL291" s="100" t="s">
        <v>43</v>
      </c>
      <c r="AM291" s="100" t="str">
        <f>IF(AL291&lt;&gt;"No Disp",AK291+12*AL291,"No Disp")</f>
        <v>No Disp</v>
      </c>
      <c r="AN291" s="100" t="s">
        <v>43</v>
      </c>
      <c r="AO291" s="100" t="s">
        <v>43</v>
      </c>
      <c r="AP291" s="100" t="str">
        <f>IF(AO291&lt;&gt;"No Disp",AN291+12*AO291,"No Disp")</f>
        <v>No Disp</v>
      </c>
      <c r="AQ291" s="100" t="s">
        <v>43</v>
      </c>
      <c r="AR291" s="100" t="s">
        <v>43</v>
      </c>
      <c r="AS291" s="100" t="str">
        <f>IF(AR291&lt;&gt;"No Disp",AQ291+12*AR291,"No Disp")</f>
        <v>No Disp</v>
      </c>
    </row>
    <row r="292" spans="1:45" s="101" customFormat="1" x14ac:dyDescent="0.25">
      <c r="A292" s="90" t="s">
        <v>38</v>
      </c>
      <c r="B292" s="90" t="s">
        <v>40</v>
      </c>
      <c r="C292" s="90" t="s">
        <v>39</v>
      </c>
      <c r="D292" s="90" t="s">
        <v>4540</v>
      </c>
      <c r="E292" s="90" t="s">
        <v>4542</v>
      </c>
      <c r="F292" s="91">
        <v>225</v>
      </c>
      <c r="G292" s="92">
        <v>70011059</v>
      </c>
      <c r="H292" s="91">
        <v>70011060</v>
      </c>
      <c r="I292" s="93" t="s">
        <v>63</v>
      </c>
      <c r="J292" s="94" t="s">
        <v>3782</v>
      </c>
      <c r="K292" s="94" t="s">
        <v>760</v>
      </c>
      <c r="L292" s="94" t="s">
        <v>761</v>
      </c>
      <c r="M292" s="95">
        <v>1159900</v>
      </c>
      <c r="N292" s="95">
        <v>7000</v>
      </c>
      <c r="O292" s="95">
        <v>10000</v>
      </c>
      <c r="P292" s="96">
        <v>0</v>
      </c>
      <c r="Q292" s="152"/>
      <c r="R292" s="95">
        <v>1159900</v>
      </c>
      <c r="S292" s="95">
        <f>R292/24</f>
        <v>48329.166666666664</v>
      </c>
      <c r="T292" s="95">
        <v>1159900</v>
      </c>
      <c r="U292" s="95">
        <f>T292/24</f>
        <v>48329.166666666664</v>
      </c>
      <c r="V292" s="95">
        <v>1159900</v>
      </c>
      <c r="W292" s="95">
        <f>V292/24</f>
        <v>48329.166666666664</v>
      </c>
      <c r="X292" s="128"/>
      <c r="Y292" s="95">
        <v>1119900</v>
      </c>
      <c r="Z292" s="95">
        <v>27000</v>
      </c>
      <c r="AA292" s="95">
        <f>IFERROR(IF(D292="Premium",0.4*Y292,0),"No Disp")</f>
        <v>447960</v>
      </c>
      <c r="AB292" s="95">
        <f>IFERROR(IF(4*Y292&gt;AC292,1.5*Y292,4*Y292),"No Disp")</f>
        <v>1679850</v>
      </c>
      <c r="AC292" s="95">
        <f>IF(Z292="No Disp","No Disp",(Z292*18)+Y292)</f>
        <v>1605900</v>
      </c>
      <c r="AD292" s="95">
        <f>18*Z292-100+Y292</f>
        <v>1605800</v>
      </c>
      <c r="AE292" s="95">
        <v>499900</v>
      </c>
      <c r="AF292" s="95">
        <v>54000</v>
      </c>
      <c r="AG292" s="95">
        <f>IF(AF292="No Disp","No Disp",(AF292*18)+AE292)</f>
        <v>1471900</v>
      </c>
      <c r="AH292" s="95">
        <f>18*AF292-100+AE292</f>
        <v>1471800</v>
      </c>
      <c r="AI292" s="95" t="s">
        <v>4613</v>
      </c>
      <c r="AJ292" s="99"/>
      <c r="AK292" s="100" t="s">
        <v>43</v>
      </c>
      <c r="AL292" s="100" t="s">
        <v>43</v>
      </c>
      <c r="AM292" s="100" t="str">
        <f>IF(AL292&lt;&gt;"No Disp",AK292+12*AL292,"No Disp")</f>
        <v>No Disp</v>
      </c>
      <c r="AN292" s="100" t="s">
        <v>43</v>
      </c>
      <c r="AO292" s="100" t="s">
        <v>43</v>
      </c>
      <c r="AP292" s="100" t="str">
        <f>IF(AO292&lt;&gt;"No Disp",AN292+12*AO292,"No Disp")</f>
        <v>No Disp</v>
      </c>
      <c r="AQ292" s="100" t="s">
        <v>43</v>
      </c>
      <c r="AR292" s="100" t="s">
        <v>43</v>
      </c>
      <c r="AS292" s="100" t="str">
        <f>IF(AR292&lt;&gt;"No Disp",AQ292+12*AR292,"No Disp")</f>
        <v>No Disp</v>
      </c>
    </row>
    <row r="293" spans="1:45" s="101" customFormat="1" x14ac:dyDescent="0.25">
      <c r="A293" s="90" t="s">
        <v>38</v>
      </c>
      <c r="B293" s="90" t="s">
        <v>40</v>
      </c>
      <c r="C293" s="90" t="s">
        <v>39</v>
      </c>
      <c r="D293" s="90" t="s">
        <v>4540</v>
      </c>
      <c r="E293" s="90" t="s">
        <v>4542</v>
      </c>
      <c r="F293" s="91">
        <v>226</v>
      </c>
      <c r="G293" s="92">
        <v>70011061</v>
      </c>
      <c r="H293" s="91">
        <v>70011062</v>
      </c>
      <c r="I293" s="93" t="s">
        <v>63</v>
      </c>
      <c r="J293" s="94" t="s">
        <v>3749</v>
      </c>
      <c r="K293" s="94" t="s">
        <v>758</v>
      </c>
      <c r="L293" s="94" t="s">
        <v>759</v>
      </c>
      <c r="M293" s="95">
        <v>949900</v>
      </c>
      <c r="N293" s="95">
        <v>7000</v>
      </c>
      <c r="O293" s="95">
        <v>10000</v>
      </c>
      <c r="P293" s="96">
        <v>0</v>
      </c>
      <c r="Q293" s="152"/>
      <c r="R293" s="95">
        <v>949900</v>
      </c>
      <c r="S293" s="95">
        <f>R293/24</f>
        <v>39579.166666666664</v>
      </c>
      <c r="T293" s="95">
        <v>949900</v>
      </c>
      <c r="U293" s="95">
        <f>T293/24</f>
        <v>39579.166666666664</v>
      </c>
      <c r="V293" s="95">
        <v>949900</v>
      </c>
      <c r="W293" s="95">
        <f>V293/24</f>
        <v>39579.166666666664</v>
      </c>
      <c r="X293" s="128"/>
      <c r="Y293" s="95">
        <v>959900</v>
      </c>
      <c r="Z293" s="95">
        <v>22000</v>
      </c>
      <c r="AA293" s="95">
        <f>IFERROR(IF(D293="Premium",0.4*Y293,0),"No Disp")</f>
        <v>383960</v>
      </c>
      <c r="AB293" s="95">
        <f>IFERROR(IF(4*Y293&gt;AC293,1.5*Y293,4*Y293),"No Disp")</f>
        <v>1439850</v>
      </c>
      <c r="AC293" s="95">
        <f>IF(Z293="No Disp","No Disp",(Z293*18)+Y293)</f>
        <v>1355900</v>
      </c>
      <c r="AD293" s="95">
        <f>18*Z293-100+Y293</f>
        <v>1355800</v>
      </c>
      <c r="AE293" s="95">
        <v>249900</v>
      </c>
      <c r="AF293" s="95">
        <v>55000</v>
      </c>
      <c r="AG293" s="95">
        <f>IF(AF293="No Disp","No Disp",(AF293*18)+AE293)</f>
        <v>1239900</v>
      </c>
      <c r="AH293" s="95">
        <f>18*AF293-100+AE293</f>
        <v>1239800</v>
      </c>
      <c r="AI293" s="95" t="s">
        <v>4613</v>
      </c>
      <c r="AJ293" s="99"/>
      <c r="AK293" s="100" t="s">
        <v>43</v>
      </c>
      <c r="AL293" s="100" t="s">
        <v>43</v>
      </c>
      <c r="AM293" s="100" t="str">
        <f>IF(AL293&lt;&gt;"No Disp",AK293+12*AL293,"No Disp")</f>
        <v>No Disp</v>
      </c>
      <c r="AN293" s="100" t="s">
        <v>43</v>
      </c>
      <c r="AO293" s="100" t="s">
        <v>43</v>
      </c>
      <c r="AP293" s="100" t="str">
        <f>IF(AO293&lt;&gt;"No Disp",AN293+12*AO293,"No Disp")</f>
        <v>No Disp</v>
      </c>
      <c r="AQ293" s="100" t="s">
        <v>43</v>
      </c>
      <c r="AR293" s="100" t="s">
        <v>43</v>
      </c>
      <c r="AS293" s="100" t="str">
        <f>IF(AR293&lt;&gt;"No Disp",AQ293+12*AR293,"No Disp")</f>
        <v>No Disp</v>
      </c>
    </row>
    <row r="294" spans="1:45" s="101" customFormat="1" x14ac:dyDescent="0.25">
      <c r="A294" s="90" t="s">
        <v>38</v>
      </c>
      <c r="B294" s="90" t="s">
        <v>40</v>
      </c>
      <c r="C294" s="90" t="s">
        <v>40</v>
      </c>
      <c r="D294" s="90" t="s">
        <v>4540</v>
      </c>
      <c r="E294" s="90" t="s">
        <v>4542</v>
      </c>
      <c r="F294" s="91">
        <v>246</v>
      </c>
      <c r="G294" s="92">
        <v>70011114</v>
      </c>
      <c r="H294" s="91">
        <v>70011115</v>
      </c>
      <c r="I294" s="93" t="s">
        <v>46</v>
      </c>
      <c r="J294" s="94" t="s">
        <v>3702</v>
      </c>
      <c r="K294" s="94" t="s">
        <v>717</v>
      </c>
      <c r="L294" s="94" t="s">
        <v>718</v>
      </c>
      <c r="M294" s="95">
        <v>599900</v>
      </c>
      <c r="N294" s="95">
        <v>6000</v>
      </c>
      <c r="O294" s="95">
        <v>8500</v>
      </c>
      <c r="P294" s="96">
        <v>0</v>
      </c>
      <c r="Q294" s="152"/>
      <c r="R294" s="95">
        <v>599900</v>
      </c>
      <c r="S294" s="95">
        <f>R294/24</f>
        <v>24995.833333333332</v>
      </c>
      <c r="T294" s="95">
        <v>599900</v>
      </c>
      <c r="U294" s="95">
        <f>T294/24</f>
        <v>24995.833333333332</v>
      </c>
      <c r="V294" s="95">
        <v>599900</v>
      </c>
      <c r="W294" s="95">
        <f>V294/24</f>
        <v>24995.833333333332</v>
      </c>
      <c r="X294" s="128"/>
      <c r="Y294" s="95">
        <v>574900</v>
      </c>
      <c r="Z294" s="95">
        <v>13000</v>
      </c>
      <c r="AA294" s="95">
        <f>IFERROR(IF(D294="Premium",0.4*Y294,0),"No Disp")</f>
        <v>229960</v>
      </c>
      <c r="AB294" s="95">
        <f>IFERROR(IF(4*Y294&gt;AC294,1.5*Y294,4*Y294),"No Disp")</f>
        <v>862350</v>
      </c>
      <c r="AC294" s="95">
        <f>IF(Z294="No Disp","No Disp",(Z294*18)+Y294)</f>
        <v>808900</v>
      </c>
      <c r="AD294" s="95">
        <f>18*Z294-100+Y294</f>
        <v>808800</v>
      </c>
      <c r="AE294" s="95">
        <v>99900</v>
      </c>
      <c r="AF294" s="95">
        <v>40000</v>
      </c>
      <c r="AG294" s="95">
        <f>IF(AF294="No Disp","No Disp",(AF294*18)+AE294)</f>
        <v>819900</v>
      </c>
      <c r="AH294" s="95">
        <f>18*AF294-100+AE294</f>
        <v>819800</v>
      </c>
      <c r="AI294" s="95" t="s">
        <v>4613</v>
      </c>
      <c r="AJ294" s="99"/>
      <c r="AK294" s="100" t="s">
        <v>43</v>
      </c>
      <c r="AL294" s="100" t="s">
        <v>43</v>
      </c>
      <c r="AM294" s="100" t="str">
        <f>IF(AL294&lt;&gt;"No Disp",AK294+12*AL294,"No Disp")</f>
        <v>No Disp</v>
      </c>
      <c r="AN294" s="100" t="s">
        <v>43</v>
      </c>
      <c r="AO294" s="100" t="s">
        <v>43</v>
      </c>
      <c r="AP294" s="100" t="str">
        <f>IF(AO294&lt;&gt;"No Disp",AN294+12*AO294,"No Disp")</f>
        <v>No Disp</v>
      </c>
      <c r="AQ294" s="100" t="s">
        <v>43</v>
      </c>
      <c r="AR294" s="100" t="s">
        <v>43</v>
      </c>
      <c r="AS294" s="100" t="str">
        <f>IF(AR294&lt;&gt;"No Disp",AQ294+12*AR294,"No Disp")</f>
        <v>No Disp</v>
      </c>
    </row>
    <row r="295" spans="1:45" s="101" customFormat="1" x14ac:dyDescent="0.25">
      <c r="A295" s="90" t="s">
        <v>102</v>
      </c>
      <c r="B295" s="90" t="s">
        <v>39</v>
      </c>
      <c r="C295" s="90" t="s">
        <v>40</v>
      </c>
      <c r="D295" s="90" t="s">
        <v>4539</v>
      </c>
      <c r="E295" s="90" t="s">
        <v>4542</v>
      </c>
      <c r="F295" s="91">
        <v>229</v>
      </c>
      <c r="G295" s="92">
        <v>70011119</v>
      </c>
      <c r="H295" s="91">
        <v>70011120</v>
      </c>
      <c r="I295" s="93" t="s">
        <v>41</v>
      </c>
      <c r="J295" s="94" t="s">
        <v>3783</v>
      </c>
      <c r="K295" s="94" t="s">
        <v>752</v>
      </c>
      <c r="L295" s="94" t="s">
        <v>753</v>
      </c>
      <c r="M295" s="95">
        <v>54900</v>
      </c>
      <c r="N295" s="95">
        <v>2500</v>
      </c>
      <c r="O295" s="95">
        <v>4000</v>
      </c>
      <c r="P295" s="96">
        <v>249990</v>
      </c>
      <c r="Q295" s="152"/>
      <c r="R295" s="95">
        <v>54990</v>
      </c>
      <c r="S295" s="95">
        <f>R295/24</f>
        <v>2291.25</v>
      </c>
      <c r="T295" s="95">
        <v>54900</v>
      </c>
      <c r="U295" s="95">
        <f>T295/24</f>
        <v>2287.5</v>
      </c>
      <c r="V295" s="95">
        <v>54900</v>
      </c>
      <c r="W295" s="95">
        <f>V295/24</f>
        <v>2287.5</v>
      </c>
      <c r="X295" s="128"/>
      <c r="Y295" s="95">
        <v>0</v>
      </c>
      <c r="Z295" s="95">
        <v>5500</v>
      </c>
      <c r="AA295" s="95">
        <f>IFERROR(IF(D295="Premium",0.4*Y295,0),"No Disp")</f>
        <v>0</v>
      </c>
      <c r="AB295" s="95">
        <f>IFERROR(IF(4*Y295&gt;AC295,1.5*Y295,4*Y295),"No Disp")</f>
        <v>0</v>
      </c>
      <c r="AC295" s="95">
        <f>IF(Z295="No Disp","No Disp",(Z295*18)+Y295)</f>
        <v>99000</v>
      </c>
      <c r="AD295" s="95">
        <f>18*Z295-100+Y295</f>
        <v>98900</v>
      </c>
      <c r="AE295" s="95">
        <v>0</v>
      </c>
      <c r="AF295" s="95">
        <v>5000</v>
      </c>
      <c r="AG295" s="95">
        <f>IF(AF295="No Disp","No Disp",(AF295*18)+AE295)</f>
        <v>90000</v>
      </c>
      <c r="AH295" s="95">
        <f>18*AF295-100+AE295</f>
        <v>89900</v>
      </c>
      <c r="AI295" s="95" t="s">
        <v>4613</v>
      </c>
      <c r="AJ295" s="99"/>
      <c r="AK295" s="100" t="s">
        <v>43</v>
      </c>
      <c r="AL295" s="100" t="s">
        <v>43</v>
      </c>
      <c r="AM295" s="100" t="str">
        <f>IF(AL295&lt;&gt;"No Disp",AK295+12*AL295,"No Disp")</f>
        <v>No Disp</v>
      </c>
      <c r="AN295" s="100" t="s">
        <v>43</v>
      </c>
      <c r="AO295" s="100" t="s">
        <v>43</v>
      </c>
      <c r="AP295" s="100" t="str">
        <f>IF(AO295&lt;&gt;"No Disp",AN295+12*AO295,"No Disp")</f>
        <v>No Disp</v>
      </c>
      <c r="AQ295" s="100" t="s">
        <v>43</v>
      </c>
      <c r="AR295" s="100" t="s">
        <v>43</v>
      </c>
      <c r="AS295" s="100" t="str">
        <f>IF(AR295&lt;&gt;"No Disp",AQ295+12*AR295,"No Disp")</f>
        <v>No Disp</v>
      </c>
    </row>
    <row r="296" spans="1:45" s="101" customFormat="1" x14ac:dyDescent="0.25">
      <c r="A296" s="90" t="s">
        <v>38</v>
      </c>
      <c r="B296" s="90" t="s">
        <v>39</v>
      </c>
      <c r="C296" s="90" t="s">
        <v>40</v>
      </c>
      <c r="D296" s="90" t="s">
        <v>4539</v>
      </c>
      <c r="E296" s="90" t="s">
        <v>4542</v>
      </c>
      <c r="F296" s="91">
        <v>253</v>
      </c>
      <c r="G296" s="92">
        <v>70011122</v>
      </c>
      <c r="H296" s="91">
        <v>70011123</v>
      </c>
      <c r="I296" s="93" t="s">
        <v>41</v>
      </c>
      <c r="J296" s="94" t="s">
        <v>3784</v>
      </c>
      <c r="K296" s="94" t="s">
        <v>702</v>
      </c>
      <c r="L296" s="94" t="s">
        <v>703</v>
      </c>
      <c r="M296" s="95">
        <v>149900</v>
      </c>
      <c r="N296" s="95">
        <v>4000</v>
      </c>
      <c r="O296" s="95">
        <v>6000</v>
      </c>
      <c r="P296" s="96">
        <v>399990</v>
      </c>
      <c r="Q296" s="152"/>
      <c r="R296" s="95">
        <v>169990</v>
      </c>
      <c r="S296" s="95">
        <f>R296/24</f>
        <v>7082.916666666667</v>
      </c>
      <c r="T296" s="95">
        <v>149900</v>
      </c>
      <c r="U296" s="95">
        <f>T296/24</f>
        <v>6245.833333333333</v>
      </c>
      <c r="V296" s="95">
        <v>149900</v>
      </c>
      <c r="W296" s="95">
        <f>V296/24</f>
        <v>6245.833333333333</v>
      </c>
      <c r="X296" s="128"/>
      <c r="Y296" s="95">
        <v>59900</v>
      </c>
      <c r="Z296" s="95">
        <v>10000</v>
      </c>
      <c r="AA296" s="95">
        <f>IFERROR(IF(D296="Premium",0.4*Y296,0),"No Disp")</f>
        <v>0</v>
      </c>
      <c r="AB296" s="95">
        <f>IFERROR(IF(4*Y296&gt;AC296,1.5*Y296,4*Y296),"No Disp")</f>
        <v>239600</v>
      </c>
      <c r="AC296" s="95">
        <f>IF(Z296="No Disp","No Disp",(Z296*18)+Y296)</f>
        <v>239900</v>
      </c>
      <c r="AD296" s="95">
        <f>18*Z296-100+Y296</f>
        <v>239800</v>
      </c>
      <c r="AE296" s="95">
        <v>0</v>
      </c>
      <c r="AF296" s="95">
        <v>13000</v>
      </c>
      <c r="AG296" s="95">
        <f>IF(AF296="No Disp","No Disp",(AF296*18)+AE296)</f>
        <v>234000</v>
      </c>
      <c r="AH296" s="95">
        <f>18*AF296-100+AE296</f>
        <v>233900</v>
      </c>
      <c r="AI296" s="95" t="s">
        <v>4613</v>
      </c>
      <c r="AJ296" s="99"/>
      <c r="AK296" s="100" t="s">
        <v>43</v>
      </c>
      <c r="AL296" s="100" t="s">
        <v>43</v>
      </c>
      <c r="AM296" s="100" t="str">
        <f>IF(AL296&lt;&gt;"No Disp",AK296+12*AL296,"No Disp")</f>
        <v>No Disp</v>
      </c>
      <c r="AN296" s="100" t="s">
        <v>43</v>
      </c>
      <c r="AO296" s="100" t="s">
        <v>43</v>
      </c>
      <c r="AP296" s="100" t="str">
        <f>IF(AO296&lt;&gt;"No Disp",AN296+12*AO296,"No Disp")</f>
        <v>No Disp</v>
      </c>
      <c r="AQ296" s="100" t="s">
        <v>43</v>
      </c>
      <c r="AR296" s="100" t="s">
        <v>43</v>
      </c>
      <c r="AS296" s="100" t="str">
        <f>IF(AR296&lt;&gt;"No Disp",AQ296+12*AR296,"No Disp")</f>
        <v>No Disp</v>
      </c>
    </row>
    <row r="297" spans="1:45" s="101" customFormat="1" x14ac:dyDescent="0.25">
      <c r="A297" s="90" t="s">
        <v>38</v>
      </c>
      <c r="B297" s="90" t="s">
        <v>39</v>
      </c>
      <c r="C297" s="90" t="s">
        <v>40</v>
      </c>
      <c r="D297" s="90" t="s">
        <v>4539</v>
      </c>
      <c r="E297" s="90" t="s">
        <v>4542</v>
      </c>
      <c r="F297" s="91">
        <v>251</v>
      </c>
      <c r="G297" s="92">
        <v>70011172</v>
      </c>
      <c r="H297" s="91">
        <v>70011173</v>
      </c>
      <c r="I297" s="93" t="s">
        <v>229</v>
      </c>
      <c r="J297" s="94" t="s">
        <v>3785</v>
      </c>
      <c r="K297" s="94" t="s">
        <v>706</v>
      </c>
      <c r="L297" s="94" t="s">
        <v>707</v>
      </c>
      <c r="M297" s="95">
        <v>99900</v>
      </c>
      <c r="N297" s="95">
        <v>4000</v>
      </c>
      <c r="O297" s="95">
        <v>6000</v>
      </c>
      <c r="P297" s="96">
        <v>279990</v>
      </c>
      <c r="Q297" s="152"/>
      <c r="R297" s="95">
        <v>109990</v>
      </c>
      <c r="S297" s="95">
        <f>R297/24</f>
        <v>4582.916666666667</v>
      </c>
      <c r="T297" s="95">
        <v>99900</v>
      </c>
      <c r="U297" s="95">
        <f>T297/24</f>
        <v>4162.5</v>
      </c>
      <c r="V297" s="95">
        <v>99900</v>
      </c>
      <c r="W297" s="95">
        <f>V297/24</f>
        <v>4162.5</v>
      </c>
      <c r="X297" s="128"/>
      <c r="Y297" s="95">
        <v>0</v>
      </c>
      <c r="Z297" s="95">
        <v>14000</v>
      </c>
      <c r="AA297" s="95">
        <f>IFERROR(IF(D297="Premium",0.4*Y297,0),"No Disp")</f>
        <v>0</v>
      </c>
      <c r="AB297" s="95">
        <f>IFERROR(IF(4*Y297&gt;AC297,1.5*Y297,4*Y297),"No Disp")</f>
        <v>0</v>
      </c>
      <c r="AC297" s="95">
        <f>IF(Z297="No Disp","No Disp",(Z297*18)+Y297)</f>
        <v>252000</v>
      </c>
      <c r="AD297" s="95">
        <f>18*Z297-100+Y297</f>
        <v>251900</v>
      </c>
      <c r="AE297" s="95">
        <v>0</v>
      </c>
      <c r="AF297" s="95">
        <v>12000</v>
      </c>
      <c r="AG297" s="95">
        <f>IF(AF297="No Disp","No Disp",(AF297*18)+AE297)</f>
        <v>216000</v>
      </c>
      <c r="AH297" s="95">
        <f>18*AF297-100+AE297</f>
        <v>215900</v>
      </c>
      <c r="AI297" s="95" t="s">
        <v>4613</v>
      </c>
      <c r="AJ297" s="99"/>
      <c r="AK297" s="100" t="s">
        <v>43</v>
      </c>
      <c r="AL297" s="100" t="s">
        <v>43</v>
      </c>
      <c r="AM297" s="100" t="str">
        <f>IF(AL297&lt;&gt;"No Disp",AK297+12*AL297,"No Disp")</f>
        <v>No Disp</v>
      </c>
      <c r="AN297" s="100" t="s">
        <v>43</v>
      </c>
      <c r="AO297" s="100" t="s">
        <v>43</v>
      </c>
      <c r="AP297" s="100" t="str">
        <f>IF(AO297&lt;&gt;"No Disp",AN297+12*AO297,"No Disp")</f>
        <v>No Disp</v>
      </c>
      <c r="AQ297" s="100" t="s">
        <v>43</v>
      </c>
      <c r="AR297" s="100" t="s">
        <v>43</v>
      </c>
      <c r="AS297" s="100" t="str">
        <f>IF(AR297&lt;&gt;"No Disp",AQ297+12*AR297,"No Disp")</f>
        <v>No Disp</v>
      </c>
    </row>
    <row r="298" spans="1:45" s="101" customFormat="1" x14ac:dyDescent="0.25">
      <c r="A298" s="90" t="s">
        <v>38</v>
      </c>
      <c r="B298" s="90" t="s">
        <v>39</v>
      </c>
      <c r="C298" s="90" t="s">
        <v>40</v>
      </c>
      <c r="D298" s="90" t="s">
        <v>4539</v>
      </c>
      <c r="E298" s="90" t="s">
        <v>4542</v>
      </c>
      <c r="F298" s="91">
        <v>252</v>
      </c>
      <c r="G298" s="92">
        <v>70011174</v>
      </c>
      <c r="H298" s="91">
        <v>70011175</v>
      </c>
      <c r="I298" s="93" t="s">
        <v>229</v>
      </c>
      <c r="J298" s="94" t="s">
        <v>3785</v>
      </c>
      <c r="K298" s="94" t="s">
        <v>704</v>
      </c>
      <c r="L298" s="94" t="s">
        <v>705</v>
      </c>
      <c r="M298" s="95">
        <v>99900</v>
      </c>
      <c r="N298" s="95">
        <v>4000</v>
      </c>
      <c r="O298" s="95">
        <v>6000</v>
      </c>
      <c r="P298" s="96">
        <v>279990</v>
      </c>
      <c r="Q298" s="152"/>
      <c r="R298" s="95">
        <v>109990</v>
      </c>
      <c r="S298" s="95">
        <f>R298/24</f>
        <v>4582.916666666667</v>
      </c>
      <c r="T298" s="95">
        <v>99900</v>
      </c>
      <c r="U298" s="95">
        <f>T298/24</f>
        <v>4162.5</v>
      </c>
      <c r="V298" s="95">
        <v>99900</v>
      </c>
      <c r="W298" s="95">
        <f>V298/24</f>
        <v>4162.5</v>
      </c>
      <c r="X298" s="128"/>
      <c r="Y298" s="95">
        <v>0</v>
      </c>
      <c r="Z298" s="95">
        <v>14000</v>
      </c>
      <c r="AA298" s="95">
        <f>IFERROR(IF(D298="Premium",0.4*Y298,0),"No Disp")</f>
        <v>0</v>
      </c>
      <c r="AB298" s="95">
        <f>IFERROR(IF(4*Y298&gt;AC298,1.5*Y298,4*Y298),"No Disp")</f>
        <v>0</v>
      </c>
      <c r="AC298" s="95">
        <f>IF(Z298="No Disp","No Disp",(Z298*18)+Y298)</f>
        <v>252000</v>
      </c>
      <c r="AD298" s="95">
        <f>18*Z298-100+Y298</f>
        <v>251900</v>
      </c>
      <c r="AE298" s="95">
        <v>0</v>
      </c>
      <c r="AF298" s="95">
        <v>12000</v>
      </c>
      <c r="AG298" s="95">
        <f>IF(AF298="No Disp","No Disp",(AF298*18)+AE298)</f>
        <v>216000</v>
      </c>
      <c r="AH298" s="95">
        <f>18*AF298-100+AE298</f>
        <v>215900</v>
      </c>
      <c r="AI298" s="95" t="s">
        <v>4613</v>
      </c>
      <c r="AJ298" s="99"/>
      <c r="AK298" s="100" t="s">
        <v>43</v>
      </c>
      <c r="AL298" s="100" t="s">
        <v>43</v>
      </c>
      <c r="AM298" s="100" t="str">
        <f>IF(AL298&lt;&gt;"No Disp",AK298+12*AL298,"No Disp")</f>
        <v>No Disp</v>
      </c>
      <c r="AN298" s="100" t="s">
        <v>43</v>
      </c>
      <c r="AO298" s="100" t="s">
        <v>43</v>
      </c>
      <c r="AP298" s="100" t="str">
        <f>IF(AO298&lt;&gt;"No Disp",AN298+12*AO298,"No Disp")</f>
        <v>No Disp</v>
      </c>
      <c r="AQ298" s="100" t="s">
        <v>43</v>
      </c>
      <c r="AR298" s="100" t="s">
        <v>43</v>
      </c>
      <c r="AS298" s="100" t="str">
        <f>IF(AR298&lt;&gt;"No Disp",AQ298+12*AR298,"No Disp")</f>
        <v>No Disp</v>
      </c>
    </row>
    <row r="299" spans="1:45" s="101" customFormat="1" x14ac:dyDescent="0.25">
      <c r="A299" s="90" t="s">
        <v>102</v>
      </c>
      <c r="B299" s="90" t="s">
        <v>39</v>
      </c>
      <c r="C299" s="90" t="s">
        <v>40</v>
      </c>
      <c r="D299" s="90" t="s">
        <v>4539</v>
      </c>
      <c r="E299" s="90" t="s">
        <v>4542</v>
      </c>
      <c r="F299" s="91">
        <v>260</v>
      </c>
      <c r="G299" s="92">
        <v>70011176</v>
      </c>
      <c r="H299" s="91">
        <v>70011177</v>
      </c>
      <c r="I299" s="93" t="s">
        <v>229</v>
      </c>
      <c r="J299" s="94" t="s">
        <v>3786</v>
      </c>
      <c r="K299" s="94" t="s">
        <v>690</v>
      </c>
      <c r="L299" s="94" t="s">
        <v>691</v>
      </c>
      <c r="M299" s="95">
        <v>89900</v>
      </c>
      <c r="N299" s="95">
        <v>4000</v>
      </c>
      <c r="O299" s="95">
        <v>6000</v>
      </c>
      <c r="P299" s="96">
        <v>0</v>
      </c>
      <c r="Q299" s="152"/>
      <c r="R299" s="95">
        <v>89900</v>
      </c>
      <c r="S299" s="95">
        <f>R299/24</f>
        <v>3745.8333333333335</v>
      </c>
      <c r="T299" s="95">
        <v>89900</v>
      </c>
      <c r="U299" s="95">
        <f>T299/24</f>
        <v>3745.8333333333335</v>
      </c>
      <c r="V299" s="95">
        <v>89900</v>
      </c>
      <c r="W299" s="95">
        <f>V299/24</f>
        <v>3745.8333333333335</v>
      </c>
      <c r="X299" s="128"/>
      <c r="Y299" s="95">
        <v>139900</v>
      </c>
      <c r="Z299" s="95">
        <v>17000</v>
      </c>
      <c r="AA299" s="95">
        <f>IFERROR(IF(D299="Premium",0.4*Y299,0),"No Disp")</f>
        <v>0</v>
      </c>
      <c r="AB299" s="95">
        <f>IFERROR(IF(4*Y299&gt;AC299,1.5*Y299,4*Y299),"No Disp")</f>
        <v>209850</v>
      </c>
      <c r="AC299" s="95">
        <f>IF(Z299="No Disp","No Disp",(Z299*18)+Y299)</f>
        <v>445900</v>
      </c>
      <c r="AD299" s="95">
        <f>18*Z299-100+Y299</f>
        <v>445800</v>
      </c>
      <c r="AE299" s="95">
        <v>19900</v>
      </c>
      <c r="AF299" s="95">
        <v>20500</v>
      </c>
      <c r="AG299" s="95">
        <f>IF(AF299="No Disp","No Disp",(AF299*18)+AE299)</f>
        <v>388900</v>
      </c>
      <c r="AH299" s="95">
        <f>18*AF299-100+AE299</f>
        <v>388800</v>
      </c>
      <c r="AI299" s="95" t="s">
        <v>4613</v>
      </c>
      <c r="AJ299" s="99"/>
      <c r="AK299" s="100" t="s">
        <v>43</v>
      </c>
      <c r="AL299" s="100" t="s">
        <v>43</v>
      </c>
      <c r="AM299" s="100" t="str">
        <f>IF(AL299&lt;&gt;"No Disp",AK299+12*AL299,"No Disp")</f>
        <v>No Disp</v>
      </c>
      <c r="AN299" s="100" t="s">
        <v>43</v>
      </c>
      <c r="AO299" s="100" t="s">
        <v>43</v>
      </c>
      <c r="AP299" s="100" t="str">
        <f>IF(AO299&lt;&gt;"No Disp",AN299+12*AO299,"No Disp")</f>
        <v>No Disp</v>
      </c>
      <c r="AQ299" s="100" t="s">
        <v>43</v>
      </c>
      <c r="AR299" s="100" t="s">
        <v>43</v>
      </c>
      <c r="AS299" s="100" t="str">
        <f>IF(AR299&lt;&gt;"No Disp",AQ299+12*AR299,"No Disp")</f>
        <v>No Disp</v>
      </c>
    </row>
    <row r="300" spans="1:45" s="101" customFormat="1" x14ac:dyDescent="0.25">
      <c r="A300" s="90" t="s">
        <v>102</v>
      </c>
      <c r="B300" s="90" t="s">
        <v>39</v>
      </c>
      <c r="C300" s="90" t="s">
        <v>40</v>
      </c>
      <c r="D300" s="90" t="s">
        <v>4539</v>
      </c>
      <c r="E300" s="90" t="s">
        <v>4542</v>
      </c>
      <c r="F300" s="91">
        <v>261</v>
      </c>
      <c r="G300" s="92">
        <v>70011189</v>
      </c>
      <c r="H300" s="91">
        <v>70011190</v>
      </c>
      <c r="I300" s="93" t="s">
        <v>229</v>
      </c>
      <c r="J300" s="94" t="s">
        <v>3786</v>
      </c>
      <c r="K300" s="94" t="s">
        <v>688</v>
      </c>
      <c r="L300" s="94" t="s">
        <v>689</v>
      </c>
      <c r="M300" s="95">
        <v>89900</v>
      </c>
      <c r="N300" s="95">
        <v>4000</v>
      </c>
      <c r="O300" s="95">
        <v>6000</v>
      </c>
      <c r="P300" s="96">
        <v>0</v>
      </c>
      <c r="Q300" s="152"/>
      <c r="R300" s="95">
        <v>89900</v>
      </c>
      <c r="S300" s="95">
        <f>R300/24</f>
        <v>3745.8333333333335</v>
      </c>
      <c r="T300" s="95">
        <v>89900</v>
      </c>
      <c r="U300" s="95">
        <f>T300/24</f>
        <v>3745.8333333333335</v>
      </c>
      <c r="V300" s="95">
        <v>89900</v>
      </c>
      <c r="W300" s="95">
        <f>V300/24</f>
        <v>3745.8333333333335</v>
      </c>
      <c r="X300" s="128"/>
      <c r="Y300" s="95">
        <v>139900</v>
      </c>
      <c r="Z300" s="95">
        <v>17000</v>
      </c>
      <c r="AA300" s="95">
        <f>IFERROR(IF(D300="Premium",0.4*Y300,0),"No Disp")</f>
        <v>0</v>
      </c>
      <c r="AB300" s="95">
        <f>IFERROR(IF(4*Y300&gt;AC300,1.5*Y300,4*Y300),"No Disp")</f>
        <v>209850</v>
      </c>
      <c r="AC300" s="95">
        <f>IF(Z300="No Disp","No Disp",(Z300*18)+Y300)</f>
        <v>445900</v>
      </c>
      <c r="AD300" s="95">
        <f>18*Z300-100+Y300</f>
        <v>445800</v>
      </c>
      <c r="AE300" s="95">
        <v>19900</v>
      </c>
      <c r="AF300" s="95">
        <v>20500</v>
      </c>
      <c r="AG300" s="95">
        <f>IF(AF300="No Disp","No Disp",(AF300*18)+AE300)</f>
        <v>388900</v>
      </c>
      <c r="AH300" s="95">
        <f>18*AF300-100+AE300</f>
        <v>388800</v>
      </c>
      <c r="AI300" s="95" t="s">
        <v>4613</v>
      </c>
      <c r="AJ300" s="99"/>
      <c r="AK300" s="100" t="s">
        <v>43</v>
      </c>
      <c r="AL300" s="100" t="s">
        <v>43</v>
      </c>
      <c r="AM300" s="100" t="str">
        <f>IF(AL300&lt;&gt;"No Disp",AK300+12*AL300,"No Disp")</f>
        <v>No Disp</v>
      </c>
      <c r="AN300" s="100" t="s">
        <v>43</v>
      </c>
      <c r="AO300" s="100" t="s">
        <v>43</v>
      </c>
      <c r="AP300" s="100" t="str">
        <f>IF(AO300&lt;&gt;"No Disp",AN300+12*AO300,"No Disp")</f>
        <v>No Disp</v>
      </c>
      <c r="AQ300" s="100" t="s">
        <v>43</v>
      </c>
      <c r="AR300" s="100" t="s">
        <v>43</v>
      </c>
      <c r="AS300" s="100" t="str">
        <f>IF(AR300&lt;&gt;"No Disp",AQ300+12*AR300,"No Disp")</f>
        <v>No Disp</v>
      </c>
    </row>
    <row r="301" spans="1:45" s="101" customFormat="1" x14ac:dyDescent="0.25">
      <c r="A301" s="90" t="s">
        <v>102</v>
      </c>
      <c r="B301" s="90" t="s">
        <v>39</v>
      </c>
      <c r="C301" s="90" t="s">
        <v>40</v>
      </c>
      <c r="D301" s="90" t="s">
        <v>4541</v>
      </c>
      <c r="E301" s="90" t="s">
        <v>4542</v>
      </c>
      <c r="F301" s="91">
        <v>259</v>
      </c>
      <c r="G301" s="92">
        <v>70011192</v>
      </c>
      <c r="H301" s="91">
        <v>70011193</v>
      </c>
      <c r="I301" s="93" t="s">
        <v>87</v>
      </c>
      <c r="J301" s="94" t="s">
        <v>692</v>
      </c>
      <c r="K301" s="94" t="s">
        <v>693</v>
      </c>
      <c r="L301" s="94" t="s">
        <v>694</v>
      </c>
      <c r="M301" s="95">
        <v>49900</v>
      </c>
      <c r="N301" s="95">
        <v>2500</v>
      </c>
      <c r="O301" s="95">
        <v>4000</v>
      </c>
      <c r="P301" s="96">
        <v>0</v>
      </c>
      <c r="Q301" s="152"/>
      <c r="R301" s="95">
        <v>49900</v>
      </c>
      <c r="S301" s="95">
        <f>R301/24</f>
        <v>2079.1666666666665</v>
      </c>
      <c r="T301" s="95">
        <v>49900</v>
      </c>
      <c r="U301" s="95">
        <f>T301/24</f>
        <v>2079.1666666666665</v>
      </c>
      <c r="V301" s="95">
        <v>49900</v>
      </c>
      <c r="W301" s="95">
        <f>V301/24</f>
        <v>2079.1666666666665</v>
      </c>
      <c r="X301" s="128"/>
      <c r="Y301" s="95">
        <v>69900</v>
      </c>
      <c r="Z301" s="95">
        <v>4000</v>
      </c>
      <c r="AA301" s="95">
        <f>IFERROR(IF(D301="Premium",0.4*Y301,0),"No Disp")</f>
        <v>0</v>
      </c>
      <c r="AB301" s="95">
        <f>IFERROR(IF(4*Y301&gt;AC301,1.5*Y301,4*Y301),"No Disp")</f>
        <v>104850</v>
      </c>
      <c r="AC301" s="95">
        <f>IF(Z301="No Disp","No Disp",(Z301*18)+Y301)</f>
        <v>141900</v>
      </c>
      <c r="AD301" s="95">
        <f>18*Z301-100+Y301</f>
        <v>141800</v>
      </c>
      <c r="AE301" s="95">
        <v>19900</v>
      </c>
      <c r="AF301" s="95">
        <v>3000</v>
      </c>
      <c r="AG301" s="95">
        <f>IF(AF301="No Disp","No Disp",(AF301*18)+AE301)</f>
        <v>73900</v>
      </c>
      <c r="AH301" s="95">
        <f>18*AF301-100+AE301</f>
        <v>73800</v>
      </c>
      <c r="AI301" s="95" t="s">
        <v>4613</v>
      </c>
      <c r="AJ301" s="99"/>
      <c r="AK301" s="100" t="s">
        <v>43</v>
      </c>
      <c r="AL301" s="100" t="s">
        <v>43</v>
      </c>
      <c r="AM301" s="100" t="str">
        <f>IF(AL301&lt;&gt;"No Disp",AK301+12*AL301,"No Disp")</f>
        <v>No Disp</v>
      </c>
      <c r="AN301" s="100" t="s">
        <v>43</v>
      </c>
      <c r="AO301" s="100" t="s">
        <v>43</v>
      </c>
      <c r="AP301" s="100" t="str">
        <f>IF(AO301&lt;&gt;"No Disp",AN301+12*AO301,"No Disp")</f>
        <v>No Disp</v>
      </c>
      <c r="AQ301" s="100" t="s">
        <v>43</v>
      </c>
      <c r="AR301" s="100" t="s">
        <v>43</v>
      </c>
      <c r="AS301" s="100" t="str">
        <f>IF(AR301&lt;&gt;"No Disp",AQ301+12*AR301,"No Disp")</f>
        <v>No Disp</v>
      </c>
    </row>
    <row r="302" spans="1:45" s="101" customFormat="1" x14ac:dyDescent="0.25">
      <c r="A302" s="90" t="s">
        <v>102</v>
      </c>
      <c r="B302" s="90" t="s">
        <v>39</v>
      </c>
      <c r="C302" s="90" t="s">
        <v>40</v>
      </c>
      <c r="D302" s="90" t="s">
        <v>4541</v>
      </c>
      <c r="E302" s="90" t="s">
        <v>4542</v>
      </c>
      <c r="F302" s="91">
        <v>258</v>
      </c>
      <c r="G302" s="92">
        <v>70011198</v>
      </c>
      <c r="H302" s="91">
        <v>70011199</v>
      </c>
      <c r="I302" s="93" t="s">
        <v>87</v>
      </c>
      <c r="J302" s="94" t="s">
        <v>695</v>
      </c>
      <c r="K302" s="94" t="s">
        <v>696</v>
      </c>
      <c r="L302" s="94" t="s">
        <v>697</v>
      </c>
      <c r="M302" s="95">
        <v>69900</v>
      </c>
      <c r="N302" s="95">
        <v>2500</v>
      </c>
      <c r="O302" s="95">
        <v>4000</v>
      </c>
      <c r="P302" s="96">
        <v>0</v>
      </c>
      <c r="Q302" s="152"/>
      <c r="R302" s="95">
        <v>69900</v>
      </c>
      <c r="S302" s="95">
        <f>R302/24</f>
        <v>2912.5</v>
      </c>
      <c r="T302" s="95">
        <v>69900</v>
      </c>
      <c r="U302" s="95">
        <f>T302/24</f>
        <v>2912.5</v>
      </c>
      <c r="V302" s="95">
        <v>69900</v>
      </c>
      <c r="W302" s="95">
        <f>V302/24</f>
        <v>2912.5</v>
      </c>
      <c r="X302" s="128"/>
      <c r="Y302" s="95">
        <v>89900</v>
      </c>
      <c r="Z302" s="95">
        <v>9000</v>
      </c>
      <c r="AA302" s="95">
        <f>IFERROR(IF(D302="Premium",0.4*Y302,0),"No Disp")</f>
        <v>0</v>
      </c>
      <c r="AB302" s="95">
        <f>IFERROR(IF(4*Y302&gt;AC302,1.5*Y302,4*Y302),"No Disp")</f>
        <v>134850</v>
      </c>
      <c r="AC302" s="95">
        <f>IF(Z302="No Disp","No Disp",(Z302*18)+Y302)</f>
        <v>251900</v>
      </c>
      <c r="AD302" s="95">
        <f>18*Z302-100+Y302</f>
        <v>251800</v>
      </c>
      <c r="AE302" s="95">
        <v>19900</v>
      </c>
      <c r="AF302" s="95">
        <v>4500</v>
      </c>
      <c r="AG302" s="95">
        <f>IF(AF302="No Disp","No Disp",(AF302*18)+AE302)</f>
        <v>100900</v>
      </c>
      <c r="AH302" s="95">
        <f>18*AF302-100+AE302</f>
        <v>100800</v>
      </c>
      <c r="AI302" s="95" t="s">
        <v>4613</v>
      </c>
      <c r="AJ302" s="99"/>
      <c r="AK302" s="100" t="s">
        <v>43</v>
      </c>
      <c r="AL302" s="100" t="s">
        <v>43</v>
      </c>
      <c r="AM302" s="100" t="str">
        <f>IF(AL302&lt;&gt;"No Disp",AK302+12*AL302,"No Disp")</f>
        <v>No Disp</v>
      </c>
      <c r="AN302" s="100" t="s">
        <v>43</v>
      </c>
      <c r="AO302" s="100" t="s">
        <v>43</v>
      </c>
      <c r="AP302" s="100" t="str">
        <f>IF(AO302&lt;&gt;"No Disp",AN302+12*AO302,"No Disp")</f>
        <v>No Disp</v>
      </c>
      <c r="AQ302" s="100" t="s">
        <v>43</v>
      </c>
      <c r="AR302" s="100" t="s">
        <v>43</v>
      </c>
      <c r="AS302" s="100" t="str">
        <f>IF(AR302&lt;&gt;"No Disp",AQ302+12*AR302,"No Disp")</f>
        <v>No Disp</v>
      </c>
    </row>
    <row r="303" spans="1:45" s="101" customFormat="1" x14ac:dyDescent="0.25">
      <c r="A303" s="90" t="s">
        <v>102</v>
      </c>
      <c r="B303" s="90" t="s">
        <v>39</v>
      </c>
      <c r="C303" s="90" t="s">
        <v>40</v>
      </c>
      <c r="D303" s="90" t="s">
        <v>4539</v>
      </c>
      <c r="E303" s="90" t="s">
        <v>4542</v>
      </c>
      <c r="F303" s="91">
        <v>275</v>
      </c>
      <c r="G303" s="92">
        <v>70011206</v>
      </c>
      <c r="H303" s="91">
        <v>70011207</v>
      </c>
      <c r="I303" s="93" t="s">
        <v>87</v>
      </c>
      <c r="J303" s="94" t="s">
        <v>658</v>
      </c>
      <c r="K303" s="94" t="s">
        <v>663</v>
      </c>
      <c r="L303" s="94" t="s">
        <v>664</v>
      </c>
      <c r="M303" s="95">
        <v>149900</v>
      </c>
      <c r="N303" s="95">
        <v>2500</v>
      </c>
      <c r="O303" s="95">
        <v>4000</v>
      </c>
      <c r="P303" s="96">
        <v>0</v>
      </c>
      <c r="Q303" s="152"/>
      <c r="R303" s="95">
        <v>149900</v>
      </c>
      <c r="S303" s="95">
        <f>R303/24</f>
        <v>6245.833333333333</v>
      </c>
      <c r="T303" s="95">
        <v>149900</v>
      </c>
      <c r="U303" s="95">
        <f>T303/24</f>
        <v>6245.833333333333</v>
      </c>
      <c r="V303" s="95">
        <v>149900</v>
      </c>
      <c r="W303" s="95">
        <f>V303/24</f>
        <v>6245.833333333333</v>
      </c>
      <c r="X303" s="128"/>
      <c r="Y303" s="95">
        <v>129900</v>
      </c>
      <c r="Z303" s="95">
        <v>13000</v>
      </c>
      <c r="AA303" s="95">
        <f>IFERROR(IF(D303="Premium",0.4*Y303,0),"No Disp")</f>
        <v>0</v>
      </c>
      <c r="AB303" s="95">
        <f>IFERROR(IF(4*Y303&gt;AC303,1.5*Y303,4*Y303),"No Disp")</f>
        <v>194850</v>
      </c>
      <c r="AC303" s="95">
        <f>IF(Z303="No Disp","No Disp",(Z303*18)+Y303)</f>
        <v>363900</v>
      </c>
      <c r="AD303" s="95">
        <f>18*Z303-100+Y303</f>
        <v>363800</v>
      </c>
      <c r="AE303" s="95">
        <v>19900</v>
      </c>
      <c r="AF303" s="95">
        <v>10500</v>
      </c>
      <c r="AG303" s="95">
        <f>IF(AF303="No Disp","No Disp",(AF303*18)+AE303)</f>
        <v>208900</v>
      </c>
      <c r="AH303" s="95">
        <f>18*AF303-100+AE303</f>
        <v>208800</v>
      </c>
      <c r="AI303" s="95" t="s">
        <v>4613</v>
      </c>
      <c r="AJ303" s="99"/>
      <c r="AK303" s="100" t="s">
        <v>43</v>
      </c>
      <c r="AL303" s="100" t="s">
        <v>43</v>
      </c>
      <c r="AM303" s="100" t="str">
        <f>IF(AL303&lt;&gt;"No Disp",AK303+12*AL303,"No Disp")</f>
        <v>No Disp</v>
      </c>
      <c r="AN303" s="100" t="s">
        <v>43</v>
      </c>
      <c r="AO303" s="100" t="s">
        <v>43</v>
      </c>
      <c r="AP303" s="100" t="str">
        <f>IF(AO303&lt;&gt;"No Disp",AN303+12*AO303,"No Disp")</f>
        <v>No Disp</v>
      </c>
      <c r="AQ303" s="100" t="s">
        <v>43</v>
      </c>
      <c r="AR303" s="100" t="s">
        <v>43</v>
      </c>
      <c r="AS303" s="100" t="str">
        <f>IF(AR303&lt;&gt;"No Disp",AQ303+12*AR303,"No Disp")</f>
        <v>No Disp</v>
      </c>
    </row>
    <row r="304" spans="1:45" s="101" customFormat="1" x14ac:dyDescent="0.25">
      <c r="A304" s="90" t="s">
        <v>102</v>
      </c>
      <c r="B304" s="90" t="s">
        <v>39</v>
      </c>
      <c r="C304" s="90" t="s">
        <v>40</v>
      </c>
      <c r="D304" s="90" t="s">
        <v>4539</v>
      </c>
      <c r="E304" s="90" t="s">
        <v>4542</v>
      </c>
      <c r="F304" s="91">
        <v>276</v>
      </c>
      <c r="G304" s="92">
        <v>70011208</v>
      </c>
      <c r="H304" s="91">
        <v>70011209</v>
      </c>
      <c r="I304" s="93" t="s">
        <v>87</v>
      </c>
      <c r="J304" s="94" t="s">
        <v>658</v>
      </c>
      <c r="K304" s="94" t="s">
        <v>661</v>
      </c>
      <c r="L304" s="94" t="s">
        <v>662</v>
      </c>
      <c r="M304" s="95">
        <v>149900</v>
      </c>
      <c r="N304" s="95">
        <v>2500</v>
      </c>
      <c r="O304" s="95">
        <v>4000</v>
      </c>
      <c r="P304" s="96">
        <v>0</v>
      </c>
      <c r="Q304" s="152"/>
      <c r="R304" s="95">
        <v>149900</v>
      </c>
      <c r="S304" s="95">
        <f>R304/24</f>
        <v>6245.833333333333</v>
      </c>
      <c r="T304" s="95">
        <v>149900</v>
      </c>
      <c r="U304" s="95">
        <f>T304/24</f>
        <v>6245.833333333333</v>
      </c>
      <c r="V304" s="95">
        <v>149900</v>
      </c>
      <c r="W304" s="95">
        <f>V304/24</f>
        <v>6245.833333333333</v>
      </c>
      <c r="X304" s="128"/>
      <c r="Y304" s="95">
        <v>129900</v>
      </c>
      <c r="Z304" s="95">
        <v>13000</v>
      </c>
      <c r="AA304" s="95">
        <f>IFERROR(IF(D304="Premium",0.4*Y304,0),"No Disp")</f>
        <v>0</v>
      </c>
      <c r="AB304" s="95">
        <f>IFERROR(IF(4*Y304&gt;AC304,1.5*Y304,4*Y304),"No Disp")</f>
        <v>194850</v>
      </c>
      <c r="AC304" s="95">
        <f>IF(Z304="No Disp","No Disp",(Z304*18)+Y304)</f>
        <v>363900</v>
      </c>
      <c r="AD304" s="95">
        <f>18*Z304-100+Y304</f>
        <v>363800</v>
      </c>
      <c r="AE304" s="95">
        <v>19900</v>
      </c>
      <c r="AF304" s="95">
        <v>10500</v>
      </c>
      <c r="AG304" s="95">
        <f>IF(AF304="No Disp","No Disp",(AF304*18)+AE304)</f>
        <v>208900</v>
      </c>
      <c r="AH304" s="95">
        <f>18*AF304-100+AE304</f>
        <v>208800</v>
      </c>
      <c r="AI304" s="95" t="s">
        <v>4613</v>
      </c>
      <c r="AJ304" s="99"/>
      <c r="AK304" s="100" t="s">
        <v>43</v>
      </c>
      <c r="AL304" s="100" t="s">
        <v>43</v>
      </c>
      <c r="AM304" s="100" t="str">
        <f>IF(AL304&lt;&gt;"No Disp",AK304+12*AL304,"No Disp")</f>
        <v>No Disp</v>
      </c>
      <c r="AN304" s="100" t="s">
        <v>43</v>
      </c>
      <c r="AO304" s="100" t="s">
        <v>43</v>
      </c>
      <c r="AP304" s="100" t="str">
        <f>IF(AO304&lt;&gt;"No Disp",AN304+12*AO304,"No Disp")</f>
        <v>No Disp</v>
      </c>
      <c r="AQ304" s="100" t="s">
        <v>43</v>
      </c>
      <c r="AR304" s="100" t="s">
        <v>43</v>
      </c>
      <c r="AS304" s="100" t="str">
        <f>IF(AR304&lt;&gt;"No Disp",AQ304+12*AR304,"No Disp")</f>
        <v>No Disp</v>
      </c>
    </row>
    <row r="305" spans="1:45" s="101" customFormat="1" x14ac:dyDescent="0.25">
      <c r="A305" s="90" t="s">
        <v>102</v>
      </c>
      <c r="B305" s="90" t="s">
        <v>39</v>
      </c>
      <c r="C305" s="90" t="s">
        <v>40</v>
      </c>
      <c r="D305" s="90" t="s">
        <v>4539</v>
      </c>
      <c r="E305" s="90" t="s">
        <v>4542</v>
      </c>
      <c r="F305" s="91">
        <v>277</v>
      </c>
      <c r="G305" s="92">
        <v>70011210</v>
      </c>
      <c r="H305" s="91">
        <v>70011211</v>
      </c>
      <c r="I305" s="93" t="s">
        <v>87</v>
      </c>
      <c r="J305" s="94" t="s">
        <v>658</v>
      </c>
      <c r="K305" s="94" t="s">
        <v>659</v>
      </c>
      <c r="L305" s="94" t="s">
        <v>660</v>
      </c>
      <c r="M305" s="95">
        <v>149900</v>
      </c>
      <c r="N305" s="95">
        <v>2500</v>
      </c>
      <c r="O305" s="95">
        <v>4000</v>
      </c>
      <c r="P305" s="96">
        <v>0</v>
      </c>
      <c r="Q305" s="152"/>
      <c r="R305" s="95">
        <v>149900</v>
      </c>
      <c r="S305" s="95">
        <f>R305/24</f>
        <v>6245.833333333333</v>
      </c>
      <c r="T305" s="95">
        <v>149900</v>
      </c>
      <c r="U305" s="95">
        <f>T305/24</f>
        <v>6245.833333333333</v>
      </c>
      <c r="V305" s="95">
        <v>149900</v>
      </c>
      <c r="W305" s="95">
        <f>V305/24</f>
        <v>6245.833333333333</v>
      </c>
      <c r="X305" s="128"/>
      <c r="Y305" s="95">
        <v>129900</v>
      </c>
      <c r="Z305" s="95">
        <v>13000</v>
      </c>
      <c r="AA305" s="95">
        <f>IFERROR(IF(D305="Premium",0.4*Y305,0),"No Disp")</f>
        <v>0</v>
      </c>
      <c r="AB305" s="95">
        <f>IFERROR(IF(4*Y305&gt;AC305,1.5*Y305,4*Y305),"No Disp")</f>
        <v>194850</v>
      </c>
      <c r="AC305" s="95">
        <f>IF(Z305="No Disp","No Disp",(Z305*18)+Y305)</f>
        <v>363900</v>
      </c>
      <c r="AD305" s="95">
        <f>18*Z305-100+Y305</f>
        <v>363800</v>
      </c>
      <c r="AE305" s="95">
        <v>19900</v>
      </c>
      <c r="AF305" s="95">
        <v>10500</v>
      </c>
      <c r="AG305" s="95">
        <f>IF(AF305="No Disp","No Disp",(AF305*18)+AE305)</f>
        <v>208900</v>
      </c>
      <c r="AH305" s="95">
        <f>18*AF305-100+AE305</f>
        <v>208800</v>
      </c>
      <c r="AI305" s="95" t="s">
        <v>4613</v>
      </c>
      <c r="AJ305" s="99"/>
      <c r="AK305" s="100" t="s">
        <v>43</v>
      </c>
      <c r="AL305" s="100" t="s">
        <v>43</v>
      </c>
      <c r="AM305" s="100" t="str">
        <f>IF(AL305&lt;&gt;"No Disp",AK305+12*AL305,"No Disp")</f>
        <v>No Disp</v>
      </c>
      <c r="AN305" s="100" t="s">
        <v>43</v>
      </c>
      <c r="AO305" s="100" t="s">
        <v>43</v>
      </c>
      <c r="AP305" s="100" t="str">
        <f>IF(AO305&lt;&gt;"No Disp",AN305+12*AO305,"No Disp")</f>
        <v>No Disp</v>
      </c>
      <c r="AQ305" s="100" t="s">
        <v>43</v>
      </c>
      <c r="AR305" s="100" t="s">
        <v>43</v>
      </c>
      <c r="AS305" s="100" t="str">
        <f>IF(AR305&lt;&gt;"No Disp",AQ305+12*AR305,"No Disp")</f>
        <v>No Disp</v>
      </c>
    </row>
    <row r="306" spans="1:45" s="101" customFormat="1" x14ac:dyDescent="0.25">
      <c r="A306" s="90" t="s">
        <v>38</v>
      </c>
      <c r="B306" s="90" t="s">
        <v>39</v>
      </c>
      <c r="C306" s="90" t="s">
        <v>40</v>
      </c>
      <c r="D306" s="90" t="s">
        <v>4537</v>
      </c>
      <c r="E306" s="90" t="s">
        <v>4542</v>
      </c>
      <c r="F306" s="91">
        <v>280</v>
      </c>
      <c r="G306" s="92">
        <v>70011212</v>
      </c>
      <c r="H306" s="91">
        <v>70011213</v>
      </c>
      <c r="I306" s="93" t="s">
        <v>87</v>
      </c>
      <c r="J306" s="94" t="s">
        <v>3787</v>
      </c>
      <c r="K306" s="94" t="s">
        <v>651</v>
      </c>
      <c r="L306" s="94" t="s">
        <v>652</v>
      </c>
      <c r="M306" s="95">
        <v>199900</v>
      </c>
      <c r="N306" s="95">
        <v>4000</v>
      </c>
      <c r="O306" s="95">
        <v>6000</v>
      </c>
      <c r="P306" s="96">
        <v>0</v>
      </c>
      <c r="Q306" s="152"/>
      <c r="R306" s="95">
        <v>199900</v>
      </c>
      <c r="S306" s="95">
        <f>R306/24</f>
        <v>8329.1666666666661</v>
      </c>
      <c r="T306" s="95">
        <v>199900</v>
      </c>
      <c r="U306" s="95">
        <f>T306/24</f>
        <v>8329.1666666666661</v>
      </c>
      <c r="V306" s="95">
        <v>199900</v>
      </c>
      <c r="W306" s="95">
        <f>V306/24</f>
        <v>8329.1666666666661</v>
      </c>
      <c r="X306" s="128"/>
      <c r="Y306" s="95">
        <v>279900</v>
      </c>
      <c r="Z306" s="95">
        <v>11500</v>
      </c>
      <c r="AA306" s="95">
        <f>IFERROR(IF(D306="Premium",0.4*Y306,0),"No Disp")</f>
        <v>0</v>
      </c>
      <c r="AB306" s="95">
        <f>IFERROR(IF(4*Y306&gt;AC306,1.5*Y306,4*Y306),"No Disp")</f>
        <v>419850</v>
      </c>
      <c r="AC306" s="95">
        <f>IF(Z306="No Disp","No Disp",(Z306*18)+Y306)</f>
        <v>486900</v>
      </c>
      <c r="AD306" s="95">
        <f>18*Z306-100+Y306</f>
        <v>486800</v>
      </c>
      <c r="AE306" s="95">
        <v>19900</v>
      </c>
      <c r="AF306" s="95">
        <v>14500</v>
      </c>
      <c r="AG306" s="95">
        <f>IF(AF306="No Disp","No Disp",(AF306*18)+AE306)</f>
        <v>280900</v>
      </c>
      <c r="AH306" s="95">
        <f>18*AF306-100+AE306</f>
        <v>280800</v>
      </c>
      <c r="AI306" s="95" t="s">
        <v>4613</v>
      </c>
      <c r="AJ306" s="99"/>
      <c r="AK306" s="100" t="s">
        <v>43</v>
      </c>
      <c r="AL306" s="100" t="s">
        <v>43</v>
      </c>
      <c r="AM306" s="100" t="str">
        <f>IF(AL306&lt;&gt;"No Disp",AK306+12*AL306,"No Disp")</f>
        <v>No Disp</v>
      </c>
      <c r="AN306" s="100" t="s">
        <v>43</v>
      </c>
      <c r="AO306" s="100" t="s">
        <v>43</v>
      </c>
      <c r="AP306" s="100" t="str">
        <f>IF(AO306&lt;&gt;"No Disp",AN306+12*AO306,"No Disp")</f>
        <v>No Disp</v>
      </c>
      <c r="AQ306" s="100" t="s">
        <v>43</v>
      </c>
      <c r="AR306" s="100" t="s">
        <v>43</v>
      </c>
      <c r="AS306" s="100" t="str">
        <f>IF(AR306&lt;&gt;"No Disp",AQ306+12*AR306,"No Disp")</f>
        <v>No Disp</v>
      </c>
    </row>
    <row r="307" spans="1:45" s="101" customFormat="1" x14ac:dyDescent="0.25">
      <c r="A307" s="90" t="s">
        <v>38</v>
      </c>
      <c r="B307" s="90" t="s">
        <v>39</v>
      </c>
      <c r="C307" s="90" t="s">
        <v>40</v>
      </c>
      <c r="D307" s="90" t="s">
        <v>4537</v>
      </c>
      <c r="E307" s="90" t="s">
        <v>4542</v>
      </c>
      <c r="F307" s="91">
        <v>281</v>
      </c>
      <c r="G307" s="92">
        <v>70011214</v>
      </c>
      <c r="H307" s="91">
        <v>70011215</v>
      </c>
      <c r="I307" s="93" t="s">
        <v>87</v>
      </c>
      <c r="J307" s="94" t="s">
        <v>3787</v>
      </c>
      <c r="K307" s="94" t="s">
        <v>649</v>
      </c>
      <c r="L307" s="94" t="s">
        <v>650</v>
      </c>
      <c r="M307" s="95">
        <v>199900</v>
      </c>
      <c r="N307" s="95">
        <v>4000</v>
      </c>
      <c r="O307" s="95">
        <v>6000</v>
      </c>
      <c r="P307" s="96">
        <v>0</v>
      </c>
      <c r="Q307" s="152"/>
      <c r="R307" s="95">
        <v>199900</v>
      </c>
      <c r="S307" s="95">
        <f>R307/24</f>
        <v>8329.1666666666661</v>
      </c>
      <c r="T307" s="95">
        <v>199900</v>
      </c>
      <c r="U307" s="95">
        <f>T307/24</f>
        <v>8329.1666666666661</v>
      </c>
      <c r="V307" s="95">
        <v>199900</v>
      </c>
      <c r="W307" s="95">
        <f>V307/24</f>
        <v>8329.1666666666661</v>
      </c>
      <c r="X307" s="128"/>
      <c r="Y307" s="95">
        <v>279900</v>
      </c>
      <c r="Z307" s="95">
        <v>11500</v>
      </c>
      <c r="AA307" s="95">
        <f>IFERROR(IF(D307="Premium",0.4*Y307,0),"No Disp")</f>
        <v>0</v>
      </c>
      <c r="AB307" s="95">
        <f>IFERROR(IF(4*Y307&gt;AC307,1.5*Y307,4*Y307),"No Disp")</f>
        <v>419850</v>
      </c>
      <c r="AC307" s="95">
        <f>IF(Z307="No Disp","No Disp",(Z307*18)+Y307)</f>
        <v>486900</v>
      </c>
      <c r="AD307" s="95">
        <f>18*Z307-100+Y307</f>
        <v>486800</v>
      </c>
      <c r="AE307" s="95">
        <v>19900</v>
      </c>
      <c r="AF307" s="95">
        <v>14500</v>
      </c>
      <c r="AG307" s="95">
        <f>IF(AF307="No Disp","No Disp",(AF307*18)+AE307)</f>
        <v>280900</v>
      </c>
      <c r="AH307" s="95">
        <f>18*AF307-100+AE307</f>
        <v>280800</v>
      </c>
      <c r="AI307" s="95" t="s">
        <v>4613</v>
      </c>
      <c r="AJ307" s="99"/>
      <c r="AK307" s="100" t="s">
        <v>43</v>
      </c>
      <c r="AL307" s="100" t="s">
        <v>43</v>
      </c>
      <c r="AM307" s="100" t="str">
        <f>IF(AL307&lt;&gt;"No Disp",AK307+12*AL307,"No Disp")</f>
        <v>No Disp</v>
      </c>
      <c r="AN307" s="100" t="s">
        <v>43</v>
      </c>
      <c r="AO307" s="100" t="s">
        <v>43</v>
      </c>
      <c r="AP307" s="100" t="str">
        <f>IF(AO307&lt;&gt;"No Disp",AN307+12*AO307,"No Disp")</f>
        <v>No Disp</v>
      </c>
      <c r="AQ307" s="100" t="s">
        <v>43</v>
      </c>
      <c r="AR307" s="100" t="s">
        <v>43</v>
      </c>
      <c r="AS307" s="100" t="str">
        <f>IF(AR307&lt;&gt;"No Disp",AQ307+12*AR307,"No Disp")</f>
        <v>No Disp</v>
      </c>
    </row>
    <row r="308" spans="1:45" s="101" customFormat="1" x14ac:dyDescent="0.25">
      <c r="A308" s="90" t="s">
        <v>38</v>
      </c>
      <c r="B308" s="90" t="s">
        <v>39</v>
      </c>
      <c r="C308" s="90" t="s">
        <v>40</v>
      </c>
      <c r="D308" s="90" t="s">
        <v>4537</v>
      </c>
      <c r="E308" s="90" t="s">
        <v>4542</v>
      </c>
      <c r="F308" s="91">
        <v>282</v>
      </c>
      <c r="G308" s="92">
        <v>70011216</v>
      </c>
      <c r="H308" s="91">
        <v>70011217</v>
      </c>
      <c r="I308" s="93" t="s">
        <v>87</v>
      </c>
      <c r="J308" s="94" t="s">
        <v>3787</v>
      </c>
      <c r="K308" s="94" t="s">
        <v>647</v>
      </c>
      <c r="L308" s="94" t="s">
        <v>648</v>
      </c>
      <c r="M308" s="95">
        <v>199900</v>
      </c>
      <c r="N308" s="95">
        <v>4000</v>
      </c>
      <c r="O308" s="95">
        <v>6000</v>
      </c>
      <c r="P308" s="96">
        <v>0</v>
      </c>
      <c r="Q308" s="152"/>
      <c r="R308" s="95">
        <v>199900</v>
      </c>
      <c r="S308" s="95">
        <f>R308/24</f>
        <v>8329.1666666666661</v>
      </c>
      <c r="T308" s="95">
        <v>199900</v>
      </c>
      <c r="U308" s="95">
        <f>T308/24</f>
        <v>8329.1666666666661</v>
      </c>
      <c r="V308" s="95">
        <v>199900</v>
      </c>
      <c r="W308" s="95">
        <f>V308/24</f>
        <v>8329.1666666666661</v>
      </c>
      <c r="X308" s="128"/>
      <c r="Y308" s="95">
        <v>279900</v>
      </c>
      <c r="Z308" s="95">
        <v>11500</v>
      </c>
      <c r="AA308" s="95">
        <f>IFERROR(IF(D308="Premium",0.4*Y308,0),"No Disp")</f>
        <v>0</v>
      </c>
      <c r="AB308" s="95">
        <f>IFERROR(IF(4*Y308&gt;AC308,1.5*Y308,4*Y308),"No Disp")</f>
        <v>419850</v>
      </c>
      <c r="AC308" s="95">
        <f>IF(Z308="No Disp","No Disp",(Z308*18)+Y308)</f>
        <v>486900</v>
      </c>
      <c r="AD308" s="95">
        <f>18*Z308-100+Y308</f>
        <v>486800</v>
      </c>
      <c r="AE308" s="95">
        <v>19900</v>
      </c>
      <c r="AF308" s="95">
        <v>14500</v>
      </c>
      <c r="AG308" s="95">
        <f>IF(AF308="No Disp","No Disp",(AF308*18)+AE308)</f>
        <v>280900</v>
      </c>
      <c r="AH308" s="95">
        <f>18*AF308-100+AE308</f>
        <v>280800</v>
      </c>
      <c r="AI308" s="95" t="s">
        <v>4613</v>
      </c>
      <c r="AJ308" s="99"/>
      <c r="AK308" s="100" t="s">
        <v>43</v>
      </c>
      <c r="AL308" s="100" t="s">
        <v>43</v>
      </c>
      <c r="AM308" s="100" t="str">
        <f>IF(AL308&lt;&gt;"No Disp",AK308+12*AL308,"No Disp")</f>
        <v>No Disp</v>
      </c>
      <c r="AN308" s="100" t="s">
        <v>43</v>
      </c>
      <c r="AO308" s="100" t="s">
        <v>43</v>
      </c>
      <c r="AP308" s="100" t="str">
        <f>IF(AO308&lt;&gt;"No Disp",AN308+12*AO308,"No Disp")</f>
        <v>No Disp</v>
      </c>
      <c r="AQ308" s="100" t="s">
        <v>43</v>
      </c>
      <c r="AR308" s="100" t="s">
        <v>43</v>
      </c>
      <c r="AS308" s="100" t="str">
        <f>IF(AR308&lt;&gt;"No Disp",AQ308+12*AR308,"No Disp")</f>
        <v>No Disp</v>
      </c>
    </row>
    <row r="309" spans="1:45" s="101" customFormat="1" x14ac:dyDescent="0.25">
      <c r="A309" s="90" t="s">
        <v>38</v>
      </c>
      <c r="B309" s="90" t="s">
        <v>40</v>
      </c>
      <c r="C309" s="90" t="s">
        <v>39</v>
      </c>
      <c r="D309" s="90" t="s">
        <v>4540</v>
      </c>
      <c r="E309" s="90" t="s">
        <v>4542</v>
      </c>
      <c r="F309" s="91">
        <v>228</v>
      </c>
      <c r="G309" s="92">
        <v>70011232</v>
      </c>
      <c r="H309" s="91">
        <v>70011233</v>
      </c>
      <c r="I309" s="93" t="s">
        <v>63</v>
      </c>
      <c r="J309" s="94" t="s">
        <v>754</v>
      </c>
      <c r="K309" s="94" t="s">
        <v>755</v>
      </c>
      <c r="L309" s="94" t="s">
        <v>756</v>
      </c>
      <c r="M309" s="95">
        <v>1419900</v>
      </c>
      <c r="N309" s="95">
        <v>9500</v>
      </c>
      <c r="O309" s="95">
        <v>13500</v>
      </c>
      <c r="P309" s="96">
        <v>0</v>
      </c>
      <c r="Q309" s="152"/>
      <c r="R309" s="95">
        <v>1419900</v>
      </c>
      <c r="S309" s="95">
        <f>R309/24</f>
        <v>59162.5</v>
      </c>
      <c r="T309" s="95">
        <v>1419900</v>
      </c>
      <c r="U309" s="95">
        <f>T309/24</f>
        <v>59162.5</v>
      </c>
      <c r="V309" s="95">
        <v>1419900</v>
      </c>
      <c r="W309" s="95">
        <f>V309/24</f>
        <v>59162.5</v>
      </c>
      <c r="X309" s="128"/>
      <c r="Y309" s="95">
        <v>1249900</v>
      </c>
      <c r="Z309" s="95">
        <v>28000</v>
      </c>
      <c r="AA309" s="95">
        <f>IFERROR(IF(D309="Premium",0.4*Y309,0),"No Disp")</f>
        <v>499960</v>
      </c>
      <c r="AB309" s="95">
        <f>IFERROR(IF(4*Y309&gt;AC309,1.5*Y309,4*Y309),"No Disp")</f>
        <v>1874850</v>
      </c>
      <c r="AC309" s="95">
        <f>IF(Z309="No Disp","No Disp",(Z309*18)+Y309)</f>
        <v>1753900</v>
      </c>
      <c r="AD309" s="95">
        <f>18*Z309-100+Y309</f>
        <v>1753800</v>
      </c>
      <c r="AE309" s="95">
        <v>809900</v>
      </c>
      <c r="AF309" s="95">
        <v>51000</v>
      </c>
      <c r="AG309" s="95">
        <f>IF(AF309="No Disp","No Disp",(AF309*18)+AE309)</f>
        <v>1727900</v>
      </c>
      <c r="AH309" s="95">
        <f>18*AF309-100+AE309</f>
        <v>1727800</v>
      </c>
      <c r="AI309" s="95" t="s">
        <v>4613</v>
      </c>
      <c r="AJ309" s="99"/>
      <c r="AK309" s="100" t="s">
        <v>43</v>
      </c>
      <c r="AL309" s="100" t="s">
        <v>43</v>
      </c>
      <c r="AM309" s="100" t="str">
        <f>IF(AL309&lt;&gt;"No Disp",AK309+12*AL309,"No Disp")</f>
        <v>No Disp</v>
      </c>
      <c r="AN309" s="100" t="s">
        <v>43</v>
      </c>
      <c r="AO309" s="100" t="s">
        <v>43</v>
      </c>
      <c r="AP309" s="100" t="str">
        <f>IF(AO309&lt;&gt;"No Disp",AN309+12*AO309,"No Disp")</f>
        <v>No Disp</v>
      </c>
      <c r="AQ309" s="100" t="s">
        <v>43</v>
      </c>
      <c r="AR309" s="100" t="s">
        <v>43</v>
      </c>
      <c r="AS309" s="100" t="str">
        <f>IF(AR309&lt;&gt;"No Disp",AQ309+12*AR309,"No Disp")</f>
        <v>No Disp</v>
      </c>
    </row>
    <row r="310" spans="1:45" s="101" customFormat="1" x14ac:dyDescent="0.25">
      <c r="A310" s="90" t="s">
        <v>102</v>
      </c>
      <c r="B310" s="90" t="s">
        <v>39</v>
      </c>
      <c r="C310" s="90" t="s">
        <v>40</v>
      </c>
      <c r="D310" s="90" t="s">
        <v>4539</v>
      </c>
      <c r="E310" s="90" t="s">
        <v>4542</v>
      </c>
      <c r="F310" s="91">
        <v>283</v>
      </c>
      <c r="G310" s="92">
        <v>70011234</v>
      </c>
      <c r="H310" s="91">
        <v>70011235</v>
      </c>
      <c r="I310" s="93" t="s">
        <v>229</v>
      </c>
      <c r="J310" s="94" t="s">
        <v>3788</v>
      </c>
      <c r="K310" s="94" t="s">
        <v>645</v>
      </c>
      <c r="L310" s="94" t="s">
        <v>646</v>
      </c>
      <c r="M310" s="95">
        <v>119900</v>
      </c>
      <c r="N310" s="95">
        <v>2500</v>
      </c>
      <c r="O310" s="95">
        <v>4000</v>
      </c>
      <c r="P310" s="96">
        <v>0</v>
      </c>
      <c r="Q310" s="152"/>
      <c r="R310" s="95">
        <v>119900</v>
      </c>
      <c r="S310" s="95">
        <f>R310/24</f>
        <v>4995.833333333333</v>
      </c>
      <c r="T310" s="95">
        <v>119900</v>
      </c>
      <c r="U310" s="95">
        <f>T310/24</f>
        <v>4995.833333333333</v>
      </c>
      <c r="V310" s="95">
        <v>119900</v>
      </c>
      <c r="W310" s="95">
        <f>V310/24</f>
        <v>4995.833333333333</v>
      </c>
      <c r="X310" s="128"/>
      <c r="Y310" s="95">
        <v>49900</v>
      </c>
      <c r="Z310" s="95">
        <v>7500</v>
      </c>
      <c r="AA310" s="95">
        <f>IFERROR(IF(D310="Premium",0.4*Y310,0),"No Disp")</f>
        <v>0</v>
      </c>
      <c r="AB310" s="95">
        <f>IFERROR(IF(4*Y310&gt;AC310,1.5*Y310,4*Y310),"No Disp")</f>
        <v>74850</v>
      </c>
      <c r="AC310" s="95">
        <f>IF(Z310="No Disp","No Disp",(Z310*18)+Y310)</f>
        <v>184900</v>
      </c>
      <c r="AD310" s="95">
        <f>18*Z310-100+Y310</f>
        <v>184800</v>
      </c>
      <c r="AE310" s="95">
        <v>19900</v>
      </c>
      <c r="AF310" s="95">
        <v>8500</v>
      </c>
      <c r="AG310" s="95">
        <f>IF(AF310="No Disp","No Disp",(AF310*18)+AE310)</f>
        <v>172900</v>
      </c>
      <c r="AH310" s="95">
        <f>18*AF310-100+AE310</f>
        <v>172800</v>
      </c>
      <c r="AI310" s="95" t="s">
        <v>4613</v>
      </c>
      <c r="AJ310" s="99"/>
      <c r="AK310" s="100" t="s">
        <v>43</v>
      </c>
      <c r="AL310" s="100" t="s">
        <v>43</v>
      </c>
      <c r="AM310" s="100" t="str">
        <f>IF(AL310&lt;&gt;"No Disp",AK310+12*AL310,"No Disp")</f>
        <v>No Disp</v>
      </c>
      <c r="AN310" s="100" t="s">
        <v>43</v>
      </c>
      <c r="AO310" s="100" t="s">
        <v>43</v>
      </c>
      <c r="AP310" s="100" t="str">
        <f>IF(AO310&lt;&gt;"No Disp",AN310+12*AO310,"No Disp")</f>
        <v>No Disp</v>
      </c>
      <c r="AQ310" s="100" t="s">
        <v>43</v>
      </c>
      <c r="AR310" s="100" t="s">
        <v>43</v>
      </c>
      <c r="AS310" s="100" t="str">
        <f>IF(AR310&lt;&gt;"No Disp",AQ310+12*AR310,"No Disp")</f>
        <v>No Disp</v>
      </c>
    </row>
    <row r="311" spans="1:45" s="101" customFormat="1" x14ac:dyDescent="0.25">
      <c r="A311" s="90" t="s">
        <v>102</v>
      </c>
      <c r="B311" s="90" t="s">
        <v>39</v>
      </c>
      <c r="C311" s="90" t="s">
        <v>40</v>
      </c>
      <c r="D311" s="90" t="s">
        <v>4539</v>
      </c>
      <c r="E311" s="90" t="s">
        <v>4542</v>
      </c>
      <c r="F311" s="91">
        <v>284</v>
      </c>
      <c r="G311" s="92">
        <v>70011236</v>
      </c>
      <c r="H311" s="91">
        <v>70011237</v>
      </c>
      <c r="I311" s="93" t="s">
        <v>229</v>
      </c>
      <c r="J311" s="94" t="s">
        <v>3788</v>
      </c>
      <c r="K311" s="94" t="s">
        <v>643</v>
      </c>
      <c r="L311" s="94" t="s">
        <v>644</v>
      </c>
      <c r="M311" s="95">
        <v>119900</v>
      </c>
      <c r="N311" s="95">
        <v>2500</v>
      </c>
      <c r="O311" s="95">
        <v>4000</v>
      </c>
      <c r="P311" s="96">
        <v>0</v>
      </c>
      <c r="Q311" s="152"/>
      <c r="R311" s="95">
        <v>119900</v>
      </c>
      <c r="S311" s="95">
        <f>R311/24</f>
        <v>4995.833333333333</v>
      </c>
      <c r="T311" s="95">
        <v>119900</v>
      </c>
      <c r="U311" s="95">
        <f>T311/24</f>
        <v>4995.833333333333</v>
      </c>
      <c r="V311" s="95">
        <v>119900</v>
      </c>
      <c r="W311" s="95">
        <f>V311/24</f>
        <v>4995.833333333333</v>
      </c>
      <c r="X311" s="128"/>
      <c r="Y311" s="95">
        <v>49900</v>
      </c>
      <c r="Z311" s="95">
        <v>7500</v>
      </c>
      <c r="AA311" s="95">
        <f>IFERROR(IF(D311="Premium",0.4*Y311,0),"No Disp")</f>
        <v>0</v>
      </c>
      <c r="AB311" s="95">
        <f>IFERROR(IF(4*Y311&gt;AC311,1.5*Y311,4*Y311),"No Disp")</f>
        <v>74850</v>
      </c>
      <c r="AC311" s="95">
        <f>IF(Z311="No Disp","No Disp",(Z311*18)+Y311)</f>
        <v>184900</v>
      </c>
      <c r="AD311" s="95">
        <f>18*Z311-100+Y311</f>
        <v>184800</v>
      </c>
      <c r="AE311" s="95">
        <v>19900</v>
      </c>
      <c r="AF311" s="95">
        <v>8500</v>
      </c>
      <c r="AG311" s="95">
        <f>IF(AF311="No Disp","No Disp",(AF311*18)+AE311)</f>
        <v>172900</v>
      </c>
      <c r="AH311" s="95">
        <f>18*AF311-100+AE311</f>
        <v>172800</v>
      </c>
      <c r="AI311" s="95" t="s">
        <v>4613</v>
      </c>
      <c r="AJ311" s="99"/>
      <c r="AK311" s="100" t="s">
        <v>43</v>
      </c>
      <c r="AL311" s="100" t="s">
        <v>43</v>
      </c>
      <c r="AM311" s="100" t="str">
        <f>IF(AL311&lt;&gt;"No Disp",AK311+12*AL311,"No Disp")</f>
        <v>No Disp</v>
      </c>
      <c r="AN311" s="100" t="s">
        <v>43</v>
      </c>
      <c r="AO311" s="100" t="s">
        <v>43</v>
      </c>
      <c r="AP311" s="100" t="str">
        <f>IF(AO311&lt;&gt;"No Disp",AN311+12*AO311,"No Disp")</f>
        <v>No Disp</v>
      </c>
      <c r="AQ311" s="100" t="s">
        <v>43</v>
      </c>
      <c r="AR311" s="100" t="s">
        <v>43</v>
      </c>
      <c r="AS311" s="100" t="str">
        <f>IF(AR311&lt;&gt;"No Disp",AQ311+12*AR311,"No Disp")</f>
        <v>No Disp</v>
      </c>
    </row>
    <row r="312" spans="1:45" s="101" customFormat="1" x14ac:dyDescent="0.25">
      <c r="A312" s="90" t="s">
        <v>102</v>
      </c>
      <c r="B312" s="90" t="s">
        <v>39</v>
      </c>
      <c r="C312" s="90" t="s">
        <v>40</v>
      </c>
      <c r="D312" s="90" t="s">
        <v>4539</v>
      </c>
      <c r="E312" s="90" t="s">
        <v>4542</v>
      </c>
      <c r="F312" s="91">
        <v>248</v>
      </c>
      <c r="G312" s="92">
        <v>70011240</v>
      </c>
      <c r="H312" s="91">
        <v>70011241</v>
      </c>
      <c r="I312" s="93" t="s">
        <v>229</v>
      </c>
      <c r="J312" s="94" t="s">
        <v>710</v>
      </c>
      <c r="K312" s="94" t="s">
        <v>713</v>
      </c>
      <c r="L312" s="94" t="s">
        <v>714</v>
      </c>
      <c r="M312" s="95">
        <v>69900</v>
      </c>
      <c r="N312" s="95">
        <v>2500</v>
      </c>
      <c r="O312" s="95">
        <v>4000</v>
      </c>
      <c r="P312" s="96">
        <v>279990</v>
      </c>
      <c r="Q312" s="152"/>
      <c r="R312" s="95">
        <v>79990</v>
      </c>
      <c r="S312" s="95">
        <f>R312/24</f>
        <v>3332.9166666666665</v>
      </c>
      <c r="T312" s="95">
        <v>69900</v>
      </c>
      <c r="U312" s="95">
        <f>T312/24</f>
        <v>2912.5</v>
      </c>
      <c r="V312" s="95">
        <v>69900</v>
      </c>
      <c r="W312" s="95">
        <f>V312/24</f>
        <v>2912.5</v>
      </c>
      <c r="X312" s="128"/>
      <c r="Y312" s="95">
        <v>0</v>
      </c>
      <c r="Z312" s="95">
        <v>8500</v>
      </c>
      <c r="AA312" s="95">
        <f>IFERROR(IF(D312="Premium",0.4*Y312,0),"No Disp")</f>
        <v>0</v>
      </c>
      <c r="AB312" s="95">
        <f>IFERROR(IF(4*Y312&gt;AC312,1.5*Y312,4*Y312),"No Disp")</f>
        <v>0</v>
      </c>
      <c r="AC312" s="95">
        <f>IF(Z312="No Disp","No Disp",(Z312*18)+Y312)</f>
        <v>153000</v>
      </c>
      <c r="AD312" s="95">
        <f>18*Z312-100+Y312</f>
        <v>152900</v>
      </c>
      <c r="AE312" s="95">
        <v>0</v>
      </c>
      <c r="AF312" s="95">
        <v>7000</v>
      </c>
      <c r="AG312" s="95">
        <f>IF(AF312="No Disp","No Disp",(AF312*18)+AE312)</f>
        <v>126000</v>
      </c>
      <c r="AH312" s="95">
        <f>18*AF312-100+AE312</f>
        <v>125900</v>
      </c>
      <c r="AI312" s="95" t="s">
        <v>4613</v>
      </c>
      <c r="AJ312" s="99"/>
      <c r="AK312" s="100" t="s">
        <v>43</v>
      </c>
      <c r="AL312" s="100" t="s">
        <v>43</v>
      </c>
      <c r="AM312" s="100" t="str">
        <f>IF(AL312&lt;&gt;"No Disp",AK312+12*AL312,"No Disp")</f>
        <v>No Disp</v>
      </c>
      <c r="AN312" s="100" t="s">
        <v>43</v>
      </c>
      <c r="AO312" s="100" t="s">
        <v>43</v>
      </c>
      <c r="AP312" s="100" t="str">
        <f>IF(AO312&lt;&gt;"No Disp",AN312+12*AO312,"No Disp")</f>
        <v>No Disp</v>
      </c>
      <c r="AQ312" s="100" t="s">
        <v>43</v>
      </c>
      <c r="AR312" s="100" t="s">
        <v>43</v>
      </c>
      <c r="AS312" s="100" t="str">
        <f>IF(AR312&lt;&gt;"No Disp",AQ312+12*AR312,"No Disp")</f>
        <v>No Disp</v>
      </c>
    </row>
    <row r="313" spans="1:45" s="101" customFormat="1" x14ac:dyDescent="0.25">
      <c r="A313" s="90" t="s">
        <v>102</v>
      </c>
      <c r="B313" s="90" t="s">
        <v>39</v>
      </c>
      <c r="C313" s="90" t="s">
        <v>40</v>
      </c>
      <c r="D313" s="90" t="s">
        <v>4539</v>
      </c>
      <c r="E313" s="90" t="s">
        <v>4542</v>
      </c>
      <c r="F313" s="91">
        <v>249</v>
      </c>
      <c r="G313" s="92">
        <v>70011242</v>
      </c>
      <c r="H313" s="91">
        <v>70011243</v>
      </c>
      <c r="I313" s="93" t="s">
        <v>229</v>
      </c>
      <c r="J313" s="94" t="s">
        <v>710</v>
      </c>
      <c r="K313" s="94" t="s">
        <v>711</v>
      </c>
      <c r="L313" s="94" t="s">
        <v>712</v>
      </c>
      <c r="M313" s="95">
        <v>69900</v>
      </c>
      <c r="N313" s="95">
        <v>2500</v>
      </c>
      <c r="O313" s="95">
        <v>4000</v>
      </c>
      <c r="P313" s="96">
        <v>279990</v>
      </c>
      <c r="Q313" s="152"/>
      <c r="R313" s="95">
        <v>79990</v>
      </c>
      <c r="S313" s="95">
        <f>R313/24</f>
        <v>3332.9166666666665</v>
      </c>
      <c r="T313" s="95">
        <v>69900</v>
      </c>
      <c r="U313" s="95">
        <f>T313/24</f>
        <v>2912.5</v>
      </c>
      <c r="V313" s="95">
        <v>69900</v>
      </c>
      <c r="W313" s="95">
        <f>V313/24</f>
        <v>2912.5</v>
      </c>
      <c r="X313" s="128"/>
      <c r="Y313" s="95">
        <v>0</v>
      </c>
      <c r="Z313" s="95">
        <v>8500</v>
      </c>
      <c r="AA313" s="95">
        <f>IFERROR(IF(D313="Premium",0.4*Y313,0),"No Disp")</f>
        <v>0</v>
      </c>
      <c r="AB313" s="95">
        <f>IFERROR(IF(4*Y313&gt;AC313,1.5*Y313,4*Y313),"No Disp")</f>
        <v>0</v>
      </c>
      <c r="AC313" s="95">
        <f>IF(Z313="No Disp","No Disp",(Z313*18)+Y313)</f>
        <v>153000</v>
      </c>
      <c r="AD313" s="95">
        <f>18*Z313-100+Y313</f>
        <v>152900</v>
      </c>
      <c r="AE313" s="95">
        <v>0</v>
      </c>
      <c r="AF313" s="95">
        <v>7000</v>
      </c>
      <c r="AG313" s="95">
        <f>IF(AF313="No Disp","No Disp",(AF313*18)+AE313)</f>
        <v>126000</v>
      </c>
      <c r="AH313" s="95">
        <f>18*AF313-100+AE313</f>
        <v>125900</v>
      </c>
      <c r="AI313" s="95" t="s">
        <v>4613</v>
      </c>
      <c r="AJ313" s="99"/>
      <c r="AK313" s="100" t="s">
        <v>43</v>
      </c>
      <c r="AL313" s="100" t="s">
        <v>43</v>
      </c>
      <c r="AM313" s="100" t="str">
        <f>IF(AL313&lt;&gt;"No Disp",AK313+12*AL313,"No Disp")</f>
        <v>No Disp</v>
      </c>
      <c r="AN313" s="100" t="s">
        <v>43</v>
      </c>
      <c r="AO313" s="100" t="s">
        <v>43</v>
      </c>
      <c r="AP313" s="100" t="str">
        <f>IF(AO313&lt;&gt;"No Disp",AN313+12*AO313,"No Disp")</f>
        <v>No Disp</v>
      </c>
      <c r="AQ313" s="100" t="s">
        <v>43</v>
      </c>
      <c r="AR313" s="100" t="s">
        <v>43</v>
      </c>
      <c r="AS313" s="100" t="str">
        <f>IF(AR313&lt;&gt;"No Disp",AQ313+12*AR313,"No Disp")</f>
        <v>No Disp</v>
      </c>
    </row>
    <row r="314" spans="1:45" s="101" customFormat="1" x14ac:dyDescent="0.25">
      <c r="A314" s="90" t="s">
        <v>38</v>
      </c>
      <c r="B314" s="90" t="s">
        <v>39</v>
      </c>
      <c r="C314" s="90" t="s">
        <v>40</v>
      </c>
      <c r="D314" s="90" t="s">
        <v>4541</v>
      </c>
      <c r="E314" s="90" t="s">
        <v>4542</v>
      </c>
      <c r="F314" s="91">
        <v>250</v>
      </c>
      <c r="G314" s="92">
        <v>70011273</v>
      </c>
      <c r="H314" s="91">
        <v>70011274</v>
      </c>
      <c r="I314" s="93" t="s">
        <v>46</v>
      </c>
      <c r="J314" s="94" t="s">
        <v>3789</v>
      </c>
      <c r="K314" s="94" t="s">
        <v>708</v>
      </c>
      <c r="L314" s="94" t="s">
        <v>709</v>
      </c>
      <c r="M314" s="95">
        <v>94900</v>
      </c>
      <c r="N314" s="95">
        <v>2500</v>
      </c>
      <c r="O314" s="95">
        <v>4000</v>
      </c>
      <c r="P314" s="96">
        <v>249990</v>
      </c>
      <c r="Q314" s="152"/>
      <c r="R314" s="95">
        <v>104990</v>
      </c>
      <c r="S314" s="95">
        <f>R314/24</f>
        <v>4374.583333333333</v>
      </c>
      <c r="T314" s="95">
        <v>94900</v>
      </c>
      <c r="U314" s="95">
        <f>T314/24</f>
        <v>3954.1666666666665</v>
      </c>
      <c r="V314" s="95">
        <v>94900</v>
      </c>
      <c r="W314" s="95">
        <f>V314/24</f>
        <v>3954.1666666666665</v>
      </c>
      <c r="X314" s="128"/>
      <c r="Y314" s="95">
        <v>0</v>
      </c>
      <c r="Z314" s="95">
        <v>12000</v>
      </c>
      <c r="AA314" s="95">
        <f>IFERROR(IF(D314="Premium",0.4*Y314,0),"No Disp")</f>
        <v>0</v>
      </c>
      <c r="AB314" s="95">
        <f>IFERROR(IF(4*Y314&gt;AC314,1.5*Y314,4*Y314),"No Disp")</f>
        <v>0</v>
      </c>
      <c r="AC314" s="95">
        <f>IF(Z314="No Disp","No Disp",(Z314*18)+Y314)</f>
        <v>216000</v>
      </c>
      <c r="AD314" s="95">
        <f>18*Z314-100+Y314</f>
        <v>215900</v>
      </c>
      <c r="AE314" s="95">
        <v>0</v>
      </c>
      <c r="AF314" s="95">
        <v>12000</v>
      </c>
      <c r="AG314" s="95">
        <f>IF(AF314="No Disp","No Disp",(AF314*18)+AE314)</f>
        <v>216000</v>
      </c>
      <c r="AH314" s="95">
        <f>18*AF314-100+AE314</f>
        <v>215900</v>
      </c>
      <c r="AI314" s="95" t="s">
        <v>4613</v>
      </c>
      <c r="AJ314" s="99"/>
      <c r="AK314" s="100" t="s">
        <v>43</v>
      </c>
      <c r="AL314" s="100" t="s">
        <v>43</v>
      </c>
      <c r="AM314" s="100" t="str">
        <f>IF(AL314&lt;&gt;"No Disp",AK314+12*AL314,"No Disp")</f>
        <v>No Disp</v>
      </c>
      <c r="AN314" s="100" t="s">
        <v>43</v>
      </c>
      <c r="AO314" s="100" t="s">
        <v>43</v>
      </c>
      <c r="AP314" s="100" t="str">
        <f>IF(AO314&lt;&gt;"No Disp",AN314+12*AO314,"No Disp")</f>
        <v>No Disp</v>
      </c>
      <c r="AQ314" s="100" t="s">
        <v>43</v>
      </c>
      <c r="AR314" s="100" t="s">
        <v>43</v>
      </c>
      <c r="AS314" s="100" t="str">
        <f>IF(AR314&lt;&gt;"No Disp",AQ314+12*AR314,"No Disp")</f>
        <v>No Disp</v>
      </c>
    </row>
    <row r="315" spans="1:45" s="101" customFormat="1" x14ac:dyDescent="0.25">
      <c r="A315" s="90" t="s">
        <v>38</v>
      </c>
      <c r="B315" s="90" t="s">
        <v>40</v>
      </c>
      <c r="C315" s="90" t="s">
        <v>40</v>
      </c>
      <c r="D315" s="90" t="s">
        <v>4540</v>
      </c>
      <c r="E315" s="90" t="s">
        <v>4542</v>
      </c>
      <c r="F315" s="91">
        <v>247</v>
      </c>
      <c r="G315" s="92">
        <v>70011277</v>
      </c>
      <c r="H315" s="91">
        <v>70011278</v>
      </c>
      <c r="I315" s="93" t="s">
        <v>46</v>
      </c>
      <c r="J315" s="94" t="s">
        <v>3790</v>
      </c>
      <c r="K315" s="94" t="s">
        <v>715</v>
      </c>
      <c r="L315" s="94" t="s">
        <v>716</v>
      </c>
      <c r="M315" s="95">
        <v>149900</v>
      </c>
      <c r="N315" s="95">
        <v>6000</v>
      </c>
      <c r="O315" s="95">
        <v>8500</v>
      </c>
      <c r="P315" s="96">
        <v>0</v>
      </c>
      <c r="Q315" s="152"/>
      <c r="R315" s="95">
        <v>149900</v>
      </c>
      <c r="S315" s="95">
        <f>R315/24</f>
        <v>6245.833333333333</v>
      </c>
      <c r="T315" s="95">
        <v>149900</v>
      </c>
      <c r="U315" s="95">
        <f>T315/24</f>
        <v>6245.833333333333</v>
      </c>
      <c r="V315" s="95">
        <v>149900</v>
      </c>
      <c r="W315" s="95">
        <f>V315/24</f>
        <v>6245.833333333333</v>
      </c>
      <c r="X315" s="128"/>
      <c r="Y315" s="95">
        <v>409900</v>
      </c>
      <c r="Z315" s="95">
        <v>27000</v>
      </c>
      <c r="AA315" s="95">
        <f>IFERROR(IF(D315="Premium",0.4*Y315,0),"No Disp")</f>
        <v>163960</v>
      </c>
      <c r="AB315" s="95">
        <f>IFERROR(IF(4*Y315&gt;AC315,1.5*Y315,4*Y315),"No Disp")</f>
        <v>614850</v>
      </c>
      <c r="AC315" s="95">
        <f>IF(Z315="No Disp","No Disp",(Z315*18)+Y315)</f>
        <v>895900</v>
      </c>
      <c r="AD315" s="95">
        <f>18*Z315-100+Y315</f>
        <v>895800</v>
      </c>
      <c r="AE315" s="95">
        <v>309900</v>
      </c>
      <c r="AF315" s="95">
        <v>26500</v>
      </c>
      <c r="AG315" s="95">
        <f>IF(AF315="No Disp","No Disp",(AF315*18)+AE315)</f>
        <v>786900</v>
      </c>
      <c r="AH315" s="95">
        <f>18*AF315-100+AE315</f>
        <v>786800</v>
      </c>
      <c r="AI315" s="95" t="s">
        <v>4613</v>
      </c>
      <c r="AJ315" s="99"/>
      <c r="AK315" s="100" t="s">
        <v>43</v>
      </c>
      <c r="AL315" s="100" t="s">
        <v>43</v>
      </c>
      <c r="AM315" s="100" t="str">
        <f>IF(AL315&lt;&gt;"No Disp",AK315+12*AL315,"No Disp")</f>
        <v>No Disp</v>
      </c>
      <c r="AN315" s="100" t="s">
        <v>43</v>
      </c>
      <c r="AO315" s="100" t="s">
        <v>43</v>
      </c>
      <c r="AP315" s="100" t="str">
        <f>IF(AO315&lt;&gt;"No Disp",AN315+12*AO315,"No Disp")</f>
        <v>No Disp</v>
      </c>
      <c r="AQ315" s="100" t="s">
        <v>43</v>
      </c>
      <c r="AR315" s="100" t="s">
        <v>43</v>
      </c>
      <c r="AS315" s="100" t="str">
        <f>IF(AR315&lt;&gt;"No Disp",AQ315+12*AR315,"No Disp")</f>
        <v>No Disp</v>
      </c>
    </row>
    <row r="316" spans="1:45" s="101" customFormat="1" x14ac:dyDescent="0.25">
      <c r="A316" s="90" t="s">
        <v>38</v>
      </c>
      <c r="B316" s="90" t="s">
        <v>40</v>
      </c>
      <c r="C316" s="90" t="s">
        <v>40</v>
      </c>
      <c r="D316" s="90" t="s">
        <v>4540</v>
      </c>
      <c r="E316" s="90" t="s">
        <v>4542</v>
      </c>
      <c r="F316" s="91">
        <v>231</v>
      </c>
      <c r="G316" s="92">
        <v>70011279</v>
      </c>
      <c r="H316" s="91">
        <v>70011280</v>
      </c>
      <c r="I316" s="93" t="s">
        <v>46</v>
      </c>
      <c r="J316" s="94" t="s">
        <v>533</v>
      </c>
      <c r="K316" s="94" t="s">
        <v>748</v>
      </c>
      <c r="L316" s="94" t="s">
        <v>749</v>
      </c>
      <c r="M316" s="95">
        <v>899900</v>
      </c>
      <c r="N316" s="95">
        <v>6000</v>
      </c>
      <c r="O316" s="95">
        <v>8500</v>
      </c>
      <c r="P316" s="96">
        <v>0</v>
      </c>
      <c r="Q316" s="152"/>
      <c r="R316" s="95">
        <v>899900</v>
      </c>
      <c r="S316" s="95">
        <f>R316/24</f>
        <v>37495.833333333336</v>
      </c>
      <c r="T316" s="95">
        <v>899900</v>
      </c>
      <c r="U316" s="95">
        <f>T316/24</f>
        <v>37495.833333333336</v>
      </c>
      <c r="V316" s="95">
        <v>899900</v>
      </c>
      <c r="W316" s="95">
        <f>V316/24</f>
        <v>37495.833333333336</v>
      </c>
      <c r="X316" s="128"/>
      <c r="Y316" s="95">
        <v>599900</v>
      </c>
      <c r="Z316" s="95">
        <v>33000</v>
      </c>
      <c r="AA316" s="95">
        <f>IFERROR(IF(D316="Premium",0.4*Y316,0),"No Disp")</f>
        <v>239960</v>
      </c>
      <c r="AB316" s="95">
        <f>IFERROR(IF(4*Y316&gt;AC316,1.5*Y316,4*Y316),"No Disp")</f>
        <v>899850</v>
      </c>
      <c r="AC316" s="95">
        <f>IF(Z316="No Disp","No Disp",(Z316*18)+Y316)</f>
        <v>1193900</v>
      </c>
      <c r="AD316" s="95">
        <f>18*Z316-100+Y316</f>
        <v>1193800</v>
      </c>
      <c r="AE316" s="95">
        <v>199900</v>
      </c>
      <c r="AF316" s="95">
        <v>55000</v>
      </c>
      <c r="AG316" s="95">
        <f>IF(AF316="No Disp","No Disp",(AF316*18)+AE316)</f>
        <v>1189900</v>
      </c>
      <c r="AH316" s="95">
        <f>18*AF316-100+AE316</f>
        <v>1189800</v>
      </c>
      <c r="AI316" s="95" t="s">
        <v>4613</v>
      </c>
      <c r="AJ316" s="99"/>
      <c r="AK316" s="100" t="s">
        <v>43</v>
      </c>
      <c r="AL316" s="100" t="s">
        <v>43</v>
      </c>
      <c r="AM316" s="100" t="str">
        <f>IF(AL316&lt;&gt;"No Disp",AK316+12*AL316,"No Disp")</f>
        <v>No Disp</v>
      </c>
      <c r="AN316" s="100" t="s">
        <v>43</v>
      </c>
      <c r="AO316" s="100" t="s">
        <v>43</v>
      </c>
      <c r="AP316" s="100" t="str">
        <f>IF(AO316&lt;&gt;"No Disp",AN316+12*AO316,"No Disp")</f>
        <v>No Disp</v>
      </c>
      <c r="AQ316" s="100" t="s">
        <v>43</v>
      </c>
      <c r="AR316" s="100" t="s">
        <v>43</v>
      </c>
      <c r="AS316" s="100" t="str">
        <f>IF(AR316&lt;&gt;"No Disp",AQ316+12*AR316,"No Disp")</f>
        <v>No Disp</v>
      </c>
    </row>
    <row r="317" spans="1:45" s="101" customFormat="1" x14ac:dyDescent="0.25">
      <c r="A317" s="90" t="s">
        <v>38</v>
      </c>
      <c r="B317" s="90" t="s">
        <v>40</v>
      </c>
      <c r="C317" s="90" t="s">
        <v>40</v>
      </c>
      <c r="D317" s="90" t="s">
        <v>4540</v>
      </c>
      <c r="E317" s="90" t="s">
        <v>4542</v>
      </c>
      <c r="F317" s="91">
        <v>230</v>
      </c>
      <c r="G317" s="92">
        <v>70011281</v>
      </c>
      <c r="H317" s="91">
        <v>70011282</v>
      </c>
      <c r="I317" s="93" t="s">
        <v>46</v>
      </c>
      <c r="J317" s="94" t="s">
        <v>533</v>
      </c>
      <c r="K317" s="94" t="s">
        <v>750</v>
      </c>
      <c r="L317" s="94" t="s">
        <v>751</v>
      </c>
      <c r="M317" s="95">
        <v>899900</v>
      </c>
      <c r="N317" s="95">
        <v>6000</v>
      </c>
      <c r="O317" s="95">
        <v>8500</v>
      </c>
      <c r="P317" s="96">
        <v>0</v>
      </c>
      <c r="Q317" s="152"/>
      <c r="R317" s="95">
        <v>899900</v>
      </c>
      <c r="S317" s="95">
        <f>R317/24</f>
        <v>37495.833333333336</v>
      </c>
      <c r="T317" s="95">
        <v>899900</v>
      </c>
      <c r="U317" s="95">
        <f>T317/24</f>
        <v>37495.833333333336</v>
      </c>
      <c r="V317" s="95">
        <v>899900</v>
      </c>
      <c r="W317" s="95">
        <f>V317/24</f>
        <v>37495.833333333336</v>
      </c>
      <c r="X317" s="128"/>
      <c r="Y317" s="95">
        <v>599900</v>
      </c>
      <c r="Z317" s="95">
        <v>33000</v>
      </c>
      <c r="AA317" s="95">
        <f>IFERROR(IF(D317="Premium",0.4*Y317,0),"No Disp")</f>
        <v>239960</v>
      </c>
      <c r="AB317" s="95">
        <f>IFERROR(IF(4*Y317&gt;AC317,1.5*Y317,4*Y317),"No Disp")</f>
        <v>899850</v>
      </c>
      <c r="AC317" s="95">
        <f>IF(Z317="No Disp","No Disp",(Z317*18)+Y317)</f>
        <v>1193900</v>
      </c>
      <c r="AD317" s="95">
        <f>18*Z317-100+Y317</f>
        <v>1193800</v>
      </c>
      <c r="AE317" s="95">
        <v>199900</v>
      </c>
      <c r="AF317" s="95">
        <v>55000</v>
      </c>
      <c r="AG317" s="95">
        <f>IF(AF317="No Disp","No Disp",(AF317*18)+AE317)</f>
        <v>1189900</v>
      </c>
      <c r="AH317" s="95">
        <f>18*AF317-100+AE317</f>
        <v>1189800</v>
      </c>
      <c r="AI317" s="95" t="s">
        <v>4613</v>
      </c>
      <c r="AJ317" s="99"/>
      <c r="AK317" s="100" t="s">
        <v>43</v>
      </c>
      <c r="AL317" s="100" t="s">
        <v>43</v>
      </c>
      <c r="AM317" s="100" t="str">
        <f>IF(AL317&lt;&gt;"No Disp",AK317+12*AL317,"No Disp")</f>
        <v>No Disp</v>
      </c>
      <c r="AN317" s="100" t="s">
        <v>43</v>
      </c>
      <c r="AO317" s="100" t="s">
        <v>43</v>
      </c>
      <c r="AP317" s="100" t="str">
        <f>IF(AO317&lt;&gt;"No Disp",AN317+12*AO317,"No Disp")</f>
        <v>No Disp</v>
      </c>
      <c r="AQ317" s="100" t="s">
        <v>43</v>
      </c>
      <c r="AR317" s="100" t="s">
        <v>43</v>
      </c>
      <c r="AS317" s="100" t="str">
        <f>IF(AR317&lt;&gt;"No Disp",AQ317+12*AR317,"No Disp")</f>
        <v>No Disp</v>
      </c>
    </row>
    <row r="318" spans="1:45" s="101" customFormat="1" x14ac:dyDescent="0.25">
      <c r="A318" s="90" t="s">
        <v>38</v>
      </c>
      <c r="B318" s="90" t="s">
        <v>40</v>
      </c>
      <c r="C318" s="90" t="s">
        <v>40</v>
      </c>
      <c r="D318" s="90" t="s">
        <v>4540</v>
      </c>
      <c r="E318" s="90" t="s">
        <v>4542</v>
      </c>
      <c r="F318" s="91">
        <v>232</v>
      </c>
      <c r="G318" s="92">
        <v>70011289</v>
      </c>
      <c r="H318" s="91">
        <v>70011290</v>
      </c>
      <c r="I318" s="93" t="s">
        <v>46</v>
      </c>
      <c r="J318" s="94" t="s">
        <v>3791</v>
      </c>
      <c r="K318" s="94" t="s">
        <v>746</v>
      </c>
      <c r="L318" s="94" t="s">
        <v>747</v>
      </c>
      <c r="M318" s="95">
        <v>289900</v>
      </c>
      <c r="N318" s="95">
        <v>6000</v>
      </c>
      <c r="O318" s="95">
        <v>8500</v>
      </c>
      <c r="P318" s="96">
        <v>0</v>
      </c>
      <c r="Q318" s="152"/>
      <c r="R318" s="95">
        <v>289900</v>
      </c>
      <c r="S318" s="95">
        <f>R318/24</f>
        <v>12079.166666666666</v>
      </c>
      <c r="T318" s="95">
        <v>289900</v>
      </c>
      <c r="U318" s="95">
        <f>T318/24</f>
        <v>12079.166666666666</v>
      </c>
      <c r="V318" s="95">
        <v>289900</v>
      </c>
      <c r="W318" s="95">
        <f>V318/24</f>
        <v>12079.166666666666</v>
      </c>
      <c r="X318" s="128"/>
      <c r="Y318" s="95">
        <v>749900</v>
      </c>
      <c r="Z318" s="95">
        <v>22000</v>
      </c>
      <c r="AA318" s="95">
        <f>IFERROR(IF(D318="Premium",0.4*Y318,0),"No Disp")</f>
        <v>299960</v>
      </c>
      <c r="AB318" s="95">
        <f>IFERROR(IF(4*Y318&gt;AC318,1.5*Y318,4*Y318),"No Disp")</f>
        <v>1124850</v>
      </c>
      <c r="AC318" s="95">
        <f>IF(Z318="No Disp","No Disp",(Z318*18)+Y318)</f>
        <v>1145900</v>
      </c>
      <c r="AD318" s="95">
        <f>18*Z318-100+Y318</f>
        <v>1145800</v>
      </c>
      <c r="AE318" s="95">
        <v>199900</v>
      </c>
      <c r="AF318" s="95">
        <v>52000</v>
      </c>
      <c r="AG318" s="95">
        <f>IF(AF318="No Disp","No Disp",(AF318*18)+AE318)</f>
        <v>1135900</v>
      </c>
      <c r="AH318" s="95">
        <f>18*AF318-100+AE318</f>
        <v>1135800</v>
      </c>
      <c r="AI318" s="95" t="s">
        <v>4613</v>
      </c>
      <c r="AJ318" s="99"/>
      <c r="AK318" s="100" t="s">
        <v>43</v>
      </c>
      <c r="AL318" s="100" t="s">
        <v>43</v>
      </c>
      <c r="AM318" s="100" t="str">
        <f>IF(AL318&lt;&gt;"No Disp",AK318+12*AL318,"No Disp")</f>
        <v>No Disp</v>
      </c>
      <c r="AN318" s="100" t="s">
        <v>43</v>
      </c>
      <c r="AO318" s="100" t="s">
        <v>43</v>
      </c>
      <c r="AP318" s="100" t="str">
        <f>IF(AO318&lt;&gt;"No Disp",AN318+12*AO318,"No Disp")</f>
        <v>No Disp</v>
      </c>
      <c r="AQ318" s="100" t="s">
        <v>43</v>
      </c>
      <c r="AR318" s="100" t="s">
        <v>43</v>
      </c>
      <c r="AS318" s="100" t="str">
        <f>IF(AR318&lt;&gt;"No Disp",AQ318+12*AR318,"No Disp")</f>
        <v>No Disp</v>
      </c>
    </row>
    <row r="319" spans="1:45" s="101" customFormat="1" x14ac:dyDescent="0.25">
      <c r="A319" s="90" t="s">
        <v>38</v>
      </c>
      <c r="B319" s="90" t="s">
        <v>40</v>
      </c>
      <c r="C319" s="90" t="s">
        <v>40</v>
      </c>
      <c r="D319" s="90" t="s">
        <v>4540</v>
      </c>
      <c r="E319" s="90" t="s">
        <v>4542</v>
      </c>
      <c r="F319" s="91">
        <v>233</v>
      </c>
      <c r="G319" s="92">
        <v>70011293</v>
      </c>
      <c r="H319" s="91">
        <v>70011294</v>
      </c>
      <c r="I319" s="93" t="s">
        <v>46</v>
      </c>
      <c r="J319" s="94" t="s">
        <v>3791</v>
      </c>
      <c r="K319" s="94" t="s">
        <v>744</v>
      </c>
      <c r="L319" s="94" t="s">
        <v>745</v>
      </c>
      <c r="M319" s="95">
        <v>289900</v>
      </c>
      <c r="N319" s="95">
        <v>6000</v>
      </c>
      <c r="O319" s="95">
        <v>8500</v>
      </c>
      <c r="P319" s="96">
        <v>0</v>
      </c>
      <c r="Q319" s="152"/>
      <c r="R319" s="95">
        <v>289900</v>
      </c>
      <c r="S319" s="95">
        <f>R319/24</f>
        <v>12079.166666666666</v>
      </c>
      <c r="T319" s="95">
        <v>289900</v>
      </c>
      <c r="U319" s="95">
        <f>T319/24</f>
        <v>12079.166666666666</v>
      </c>
      <c r="V319" s="95">
        <v>289900</v>
      </c>
      <c r="W319" s="95">
        <f>V319/24</f>
        <v>12079.166666666666</v>
      </c>
      <c r="X319" s="128"/>
      <c r="Y319" s="95">
        <v>749900</v>
      </c>
      <c r="Z319" s="95">
        <v>22000</v>
      </c>
      <c r="AA319" s="95">
        <f>IFERROR(IF(D319="Premium",0.4*Y319,0),"No Disp")</f>
        <v>299960</v>
      </c>
      <c r="AB319" s="95">
        <f>IFERROR(IF(4*Y319&gt;AC319,1.5*Y319,4*Y319),"No Disp")</f>
        <v>1124850</v>
      </c>
      <c r="AC319" s="95">
        <f>IF(Z319="No Disp","No Disp",(Z319*18)+Y319)</f>
        <v>1145900</v>
      </c>
      <c r="AD319" s="95">
        <f>18*Z319-100+Y319</f>
        <v>1145800</v>
      </c>
      <c r="AE319" s="95">
        <v>199900</v>
      </c>
      <c r="AF319" s="95">
        <v>52000</v>
      </c>
      <c r="AG319" s="95">
        <f>IF(AF319="No Disp","No Disp",(AF319*18)+AE319)</f>
        <v>1135900</v>
      </c>
      <c r="AH319" s="95">
        <f>18*AF319-100+AE319</f>
        <v>1135800</v>
      </c>
      <c r="AI319" s="95" t="s">
        <v>4613</v>
      </c>
      <c r="AJ319" s="99"/>
      <c r="AK319" s="100" t="s">
        <v>43</v>
      </c>
      <c r="AL319" s="100" t="s">
        <v>43</v>
      </c>
      <c r="AM319" s="100" t="str">
        <f>IF(AL319&lt;&gt;"No Disp",AK319+12*AL319,"No Disp")</f>
        <v>No Disp</v>
      </c>
      <c r="AN319" s="100" t="s">
        <v>43</v>
      </c>
      <c r="AO319" s="100" t="s">
        <v>43</v>
      </c>
      <c r="AP319" s="100" t="str">
        <f>IF(AO319&lt;&gt;"No Disp",AN319+12*AO319,"No Disp")</f>
        <v>No Disp</v>
      </c>
      <c r="AQ319" s="100" t="s">
        <v>43</v>
      </c>
      <c r="AR319" s="100" t="s">
        <v>43</v>
      </c>
      <c r="AS319" s="100" t="str">
        <f>IF(AR319&lt;&gt;"No Disp",AQ319+12*AR319,"No Disp")</f>
        <v>No Disp</v>
      </c>
    </row>
    <row r="320" spans="1:45" s="101" customFormat="1" x14ac:dyDescent="0.25">
      <c r="A320" s="90" t="s">
        <v>38</v>
      </c>
      <c r="B320" s="90" t="s">
        <v>40</v>
      </c>
      <c r="C320" s="90" t="s">
        <v>40</v>
      </c>
      <c r="D320" s="90" t="s">
        <v>4540</v>
      </c>
      <c r="E320" s="90" t="s">
        <v>4542</v>
      </c>
      <c r="F320" s="91">
        <v>236</v>
      </c>
      <c r="G320" s="92">
        <v>70011295</v>
      </c>
      <c r="H320" s="91">
        <v>70011296</v>
      </c>
      <c r="I320" s="93" t="s">
        <v>46</v>
      </c>
      <c r="J320" s="94" t="s">
        <v>735</v>
      </c>
      <c r="K320" s="94" t="s">
        <v>738</v>
      </c>
      <c r="L320" s="94" t="s">
        <v>739</v>
      </c>
      <c r="M320" s="95">
        <v>339900</v>
      </c>
      <c r="N320" s="95">
        <v>6000</v>
      </c>
      <c r="O320" s="95">
        <v>8500</v>
      </c>
      <c r="P320" s="96">
        <v>0</v>
      </c>
      <c r="Q320" s="152"/>
      <c r="R320" s="95">
        <v>339900</v>
      </c>
      <c r="S320" s="95">
        <f>R320/24</f>
        <v>14162.5</v>
      </c>
      <c r="T320" s="95">
        <v>339900</v>
      </c>
      <c r="U320" s="95">
        <f>T320/24</f>
        <v>14162.5</v>
      </c>
      <c r="V320" s="95">
        <v>339900</v>
      </c>
      <c r="W320" s="95">
        <f>V320/24</f>
        <v>14162.5</v>
      </c>
      <c r="X320" s="128"/>
      <c r="Y320" s="95">
        <v>769900</v>
      </c>
      <c r="Z320" s="95">
        <v>28000</v>
      </c>
      <c r="AA320" s="95">
        <f>IFERROR(IF(D320="Premium",0.4*Y320,0),"No Disp")</f>
        <v>307960</v>
      </c>
      <c r="AB320" s="95">
        <f>IFERROR(IF(4*Y320&gt;AC320,1.5*Y320,4*Y320),"No Disp")</f>
        <v>1154850</v>
      </c>
      <c r="AC320" s="95">
        <f>IF(Z320="No Disp","No Disp",(Z320*18)+Y320)</f>
        <v>1273900</v>
      </c>
      <c r="AD320" s="95">
        <f>18*Z320-100+Y320</f>
        <v>1273800</v>
      </c>
      <c r="AE320" s="95">
        <v>279900</v>
      </c>
      <c r="AF320" s="95">
        <v>55000</v>
      </c>
      <c r="AG320" s="95">
        <f>IF(AF320="No Disp","No Disp",(AF320*18)+AE320)</f>
        <v>1269900</v>
      </c>
      <c r="AH320" s="95">
        <f>18*AF320-100+AE320</f>
        <v>1269800</v>
      </c>
      <c r="AI320" s="95" t="s">
        <v>4613</v>
      </c>
      <c r="AJ320" s="99"/>
      <c r="AK320" s="100" t="s">
        <v>43</v>
      </c>
      <c r="AL320" s="100" t="s">
        <v>43</v>
      </c>
      <c r="AM320" s="100" t="str">
        <f>IF(AL320&lt;&gt;"No Disp",AK320+12*AL320,"No Disp")</f>
        <v>No Disp</v>
      </c>
      <c r="AN320" s="100" t="s">
        <v>43</v>
      </c>
      <c r="AO320" s="100" t="s">
        <v>43</v>
      </c>
      <c r="AP320" s="100" t="str">
        <f>IF(AO320&lt;&gt;"No Disp",AN320+12*AO320,"No Disp")</f>
        <v>No Disp</v>
      </c>
      <c r="AQ320" s="100" t="s">
        <v>43</v>
      </c>
      <c r="AR320" s="100" t="s">
        <v>43</v>
      </c>
      <c r="AS320" s="100" t="str">
        <f>IF(AR320&lt;&gt;"No Disp",AQ320+12*AR320,"No Disp")</f>
        <v>No Disp</v>
      </c>
    </row>
    <row r="321" spans="1:45" s="101" customFormat="1" x14ac:dyDescent="0.25">
      <c r="A321" s="90" t="s">
        <v>38</v>
      </c>
      <c r="B321" s="90" t="s">
        <v>40</v>
      </c>
      <c r="C321" s="90" t="s">
        <v>40</v>
      </c>
      <c r="D321" s="90" t="s">
        <v>4540</v>
      </c>
      <c r="E321" s="90" t="s">
        <v>4542</v>
      </c>
      <c r="F321" s="91">
        <v>234</v>
      </c>
      <c r="G321" s="92">
        <v>70011297</v>
      </c>
      <c r="H321" s="91">
        <v>70011298</v>
      </c>
      <c r="I321" s="93" t="s">
        <v>46</v>
      </c>
      <c r="J321" s="94" t="s">
        <v>735</v>
      </c>
      <c r="K321" s="94" t="s">
        <v>742</v>
      </c>
      <c r="L321" s="94" t="s">
        <v>743</v>
      </c>
      <c r="M321" s="95">
        <v>339900</v>
      </c>
      <c r="N321" s="95">
        <v>6000</v>
      </c>
      <c r="O321" s="95">
        <v>8500</v>
      </c>
      <c r="P321" s="96">
        <v>0</v>
      </c>
      <c r="Q321" s="152"/>
      <c r="R321" s="95">
        <v>339900</v>
      </c>
      <c r="S321" s="95">
        <f>R321/24</f>
        <v>14162.5</v>
      </c>
      <c r="T321" s="95">
        <v>339900</v>
      </c>
      <c r="U321" s="95">
        <f>T321/24</f>
        <v>14162.5</v>
      </c>
      <c r="V321" s="95">
        <v>339900</v>
      </c>
      <c r="W321" s="95">
        <f>V321/24</f>
        <v>14162.5</v>
      </c>
      <c r="X321" s="128"/>
      <c r="Y321" s="95">
        <v>769900</v>
      </c>
      <c r="Z321" s="95">
        <v>28000</v>
      </c>
      <c r="AA321" s="95">
        <f>IFERROR(IF(D321="Premium",0.4*Y321,0),"No Disp")</f>
        <v>307960</v>
      </c>
      <c r="AB321" s="95">
        <f>IFERROR(IF(4*Y321&gt;AC321,1.5*Y321,4*Y321),"No Disp")</f>
        <v>1154850</v>
      </c>
      <c r="AC321" s="95">
        <f>IF(Z321="No Disp","No Disp",(Z321*18)+Y321)</f>
        <v>1273900</v>
      </c>
      <c r="AD321" s="95">
        <f>18*Z321-100+Y321</f>
        <v>1273800</v>
      </c>
      <c r="AE321" s="95">
        <v>279900</v>
      </c>
      <c r="AF321" s="95">
        <v>55000</v>
      </c>
      <c r="AG321" s="95">
        <f>IF(AF321="No Disp","No Disp",(AF321*18)+AE321)</f>
        <v>1269900</v>
      </c>
      <c r="AH321" s="95">
        <f>18*AF321-100+AE321</f>
        <v>1269800</v>
      </c>
      <c r="AI321" s="95" t="s">
        <v>4613</v>
      </c>
      <c r="AJ321" s="99"/>
      <c r="AK321" s="100" t="s">
        <v>43</v>
      </c>
      <c r="AL321" s="100" t="s">
        <v>43</v>
      </c>
      <c r="AM321" s="100" t="str">
        <f>IF(AL321&lt;&gt;"No Disp",AK321+12*AL321,"No Disp")</f>
        <v>No Disp</v>
      </c>
      <c r="AN321" s="100" t="s">
        <v>43</v>
      </c>
      <c r="AO321" s="100" t="s">
        <v>43</v>
      </c>
      <c r="AP321" s="100" t="str">
        <f>IF(AO321&lt;&gt;"No Disp",AN321+12*AO321,"No Disp")</f>
        <v>No Disp</v>
      </c>
      <c r="AQ321" s="100" t="s">
        <v>43</v>
      </c>
      <c r="AR321" s="100" t="s">
        <v>43</v>
      </c>
      <c r="AS321" s="100" t="str">
        <f>IF(AR321&lt;&gt;"No Disp",AQ321+12*AR321,"No Disp")</f>
        <v>No Disp</v>
      </c>
    </row>
    <row r="322" spans="1:45" s="101" customFormat="1" x14ac:dyDescent="0.25">
      <c r="A322" s="90" t="s">
        <v>38</v>
      </c>
      <c r="B322" s="90" t="s">
        <v>40</v>
      </c>
      <c r="C322" s="90" t="s">
        <v>40</v>
      </c>
      <c r="D322" s="90" t="s">
        <v>4540</v>
      </c>
      <c r="E322" s="90" t="s">
        <v>4542</v>
      </c>
      <c r="F322" s="91">
        <v>237</v>
      </c>
      <c r="G322" s="92">
        <v>70011299</v>
      </c>
      <c r="H322" s="91">
        <v>70011300</v>
      </c>
      <c r="I322" s="93" t="s">
        <v>46</v>
      </c>
      <c r="J322" s="94" t="s">
        <v>735</v>
      </c>
      <c r="K322" s="94" t="s">
        <v>736</v>
      </c>
      <c r="L322" s="94" t="s">
        <v>737</v>
      </c>
      <c r="M322" s="95">
        <v>339900</v>
      </c>
      <c r="N322" s="95">
        <v>6000</v>
      </c>
      <c r="O322" s="95">
        <v>8500</v>
      </c>
      <c r="P322" s="96">
        <v>0</v>
      </c>
      <c r="Q322" s="152"/>
      <c r="R322" s="95">
        <v>339900</v>
      </c>
      <c r="S322" s="95">
        <f>R322/24</f>
        <v>14162.5</v>
      </c>
      <c r="T322" s="95">
        <v>339900</v>
      </c>
      <c r="U322" s="95">
        <f>T322/24</f>
        <v>14162.5</v>
      </c>
      <c r="V322" s="95">
        <v>339900</v>
      </c>
      <c r="W322" s="95">
        <f>V322/24</f>
        <v>14162.5</v>
      </c>
      <c r="X322" s="128"/>
      <c r="Y322" s="95">
        <v>769900</v>
      </c>
      <c r="Z322" s="95">
        <v>28000</v>
      </c>
      <c r="AA322" s="95">
        <f>IFERROR(IF(D322="Premium",0.4*Y322,0),"No Disp")</f>
        <v>307960</v>
      </c>
      <c r="AB322" s="95">
        <f>IFERROR(IF(4*Y322&gt;AC322,1.5*Y322,4*Y322),"No Disp")</f>
        <v>1154850</v>
      </c>
      <c r="AC322" s="95">
        <f>IF(Z322="No Disp","No Disp",(Z322*18)+Y322)</f>
        <v>1273900</v>
      </c>
      <c r="AD322" s="95">
        <f>18*Z322-100+Y322</f>
        <v>1273800</v>
      </c>
      <c r="AE322" s="95">
        <v>279900</v>
      </c>
      <c r="AF322" s="95">
        <v>55000</v>
      </c>
      <c r="AG322" s="95">
        <f>IF(AF322="No Disp","No Disp",(AF322*18)+AE322)</f>
        <v>1269900</v>
      </c>
      <c r="AH322" s="95">
        <f>18*AF322-100+AE322</f>
        <v>1269800</v>
      </c>
      <c r="AI322" s="95" t="s">
        <v>4613</v>
      </c>
      <c r="AJ322" s="99"/>
      <c r="AK322" s="100" t="s">
        <v>43</v>
      </c>
      <c r="AL322" s="100" t="s">
        <v>43</v>
      </c>
      <c r="AM322" s="100" t="str">
        <f>IF(AL322&lt;&gt;"No Disp",AK322+12*AL322,"No Disp")</f>
        <v>No Disp</v>
      </c>
      <c r="AN322" s="100" t="s">
        <v>43</v>
      </c>
      <c r="AO322" s="100" t="s">
        <v>43</v>
      </c>
      <c r="AP322" s="100" t="str">
        <f>IF(AO322&lt;&gt;"No Disp",AN322+12*AO322,"No Disp")</f>
        <v>No Disp</v>
      </c>
      <c r="AQ322" s="100" t="s">
        <v>43</v>
      </c>
      <c r="AR322" s="100" t="s">
        <v>43</v>
      </c>
      <c r="AS322" s="100" t="str">
        <f>IF(AR322&lt;&gt;"No Disp",AQ322+12*AR322,"No Disp")</f>
        <v>No Disp</v>
      </c>
    </row>
    <row r="323" spans="1:45" s="101" customFormat="1" x14ac:dyDescent="0.25">
      <c r="A323" s="90" t="s">
        <v>38</v>
      </c>
      <c r="B323" s="90" t="s">
        <v>40</v>
      </c>
      <c r="C323" s="90" t="s">
        <v>40</v>
      </c>
      <c r="D323" s="90" t="s">
        <v>4540</v>
      </c>
      <c r="E323" s="90" t="s">
        <v>4542</v>
      </c>
      <c r="F323" s="91">
        <v>235</v>
      </c>
      <c r="G323" s="92">
        <v>70011301</v>
      </c>
      <c r="H323" s="91">
        <v>70011302</v>
      </c>
      <c r="I323" s="93" t="s">
        <v>46</v>
      </c>
      <c r="J323" s="94" t="s">
        <v>735</v>
      </c>
      <c r="K323" s="94" t="s">
        <v>740</v>
      </c>
      <c r="L323" s="94" t="s">
        <v>741</v>
      </c>
      <c r="M323" s="95">
        <v>339900</v>
      </c>
      <c r="N323" s="95">
        <v>6000</v>
      </c>
      <c r="O323" s="95">
        <v>8500</v>
      </c>
      <c r="P323" s="96">
        <v>0</v>
      </c>
      <c r="Q323" s="152"/>
      <c r="R323" s="95">
        <v>339900</v>
      </c>
      <c r="S323" s="95">
        <f>R323/24</f>
        <v>14162.5</v>
      </c>
      <c r="T323" s="95">
        <v>339900</v>
      </c>
      <c r="U323" s="95">
        <f>T323/24</f>
        <v>14162.5</v>
      </c>
      <c r="V323" s="95">
        <v>339900</v>
      </c>
      <c r="W323" s="95">
        <f>V323/24</f>
        <v>14162.5</v>
      </c>
      <c r="X323" s="128"/>
      <c r="Y323" s="95">
        <v>769900</v>
      </c>
      <c r="Z323" s="95">
        <v>28000</v>
      </c>
      <c r="AA323" s="95">
        <f>IFERROR(IF(D323="Premium",0.4*Y323,0),"No Disp")</f>
        <v>307960</v>
      </c>
      <c r="AB323" s="95">
        <f>IFERROR(IF(4*Y323&gt;AC323,1.5*Y323,4*Y323),"No Disp")</f>
        <v>1154850</v>
      </c>
      <c r="AC323" s="95">
        <f>IF(Z323="No Disp","No Disp",(Z323*18)+Y323)</f>
        <v>1273900</v>
      </c>
      <c r="AD323" s="95">
        <f>18*Z323-100+Y323</f>
        <v>1273800</v>
      </c>
      <c r="AE323" s="95">
        <v>279900</v>
      </c>
      <c r="AF323" s="95">
        <v>55000</v>
      </c>
      <c r="AG323" s="95">
        <f>IF(AF323="No Disp","No Disp",(AF323*18)+AE323)</f>
        <v>1269900</v>
      </c>
      <c r="AH323" s="95">
        <f>18*AF323-100+AE323</f>
        <v>1269800</v>
      </c>
      <c r="AI323" s="95" t="s">
        <v>4613</v>
      </c>
      <c r="AJ323" s="99"/>
      <c r="AK323" s="100" t="s">
        <v>43</v>
      </c>
      <c r="AL323" s="100" t="s">
        <v>43</v>
      </c>
      <c r="AM323" s="100" t="str">
        <f>IF(AL323&lt;&gt;"No Disp",AK323+12*AL323,"No Disp")</f>
        <v>No Disp</v>
      </c>
      <c r="AN323" s="100" t="s">
        <v>43</v>
      </c>
      <c r="AO323" s="100" t="s">
        <v>43</v>
      </c>
      <c r="AP323" s="100" t="str">
        <f>IF(AO323&lt;&gt;"No Disp",AN323+12*AO323,"No Disp")</f>
        <v>No Disp</v>
      </c>
      <c r="AQ323" s="100" t="s">
        <v>43</v>
      </c>
      <c r="AR323" s="100" t="s">
        <v>43</v>
      </c>
      <c r="AS323" s="100" t="str">
        <f>IF(AR323&lt;&gt;"No Disp",AQ323+12*AR323,"No Disp")</f>
        <v>No Disp</v>
      </c>
    </row>
    <row r="324" spans="1:45" s="101" customFormat="1" x14ac:dyDescent="0.25">
      <c r="A324" s="90" t="s">
        <v>38</v>
      </c>
      <c r="B324" s="90" t="s">
        <v>40</v>
      </c>
      <c r="C324" s="90" t="s">
        <v>40</v>
      </c>
      <c r="D324" s="90" t="s">
        <v>4540</v>
      </c>
      <c r="E324" s="90" t="s">
        <v>4542</v>
      </c>
      <c r="F324" s="91">
        <v>238</v>
      </c>
      <c r="G324" s="92">
        <v>70011303</v>
      </c>
      <c r="H324" s="91">
        <v>70011304</v>
      </c>
      <c r="I324" s="93" t="s">
        <v>46</v>
      </c>
      <c r="J324" s="94" t="s">
        <v>3792</v>
      </c>
      <c r="K324" s="94" t="s">
        <v>733</v>
      </c>
      <c r="L324" s="94" t="s">
        <v>734</v>
      </c>
      <c r="M324" s="95">
        <v>1299900</v>
      </c>
      <c r="N324" s="95">
        <v>7000</v>
      </c>
      <c r="O324" s="95">
        <v>10000</v>
      </c>
      <c r="P324" s="96">
        <v>0</v>
      </c>
      <c r="Q324" s="152"/>
      <c r="R324" s="95">
        <v>1299900</v>
      </c>
      <c r="S324" s="95">
        <f>R324/24</f>
        <v>54162.5</v>
      </c>
      <c r="T324" s="95">
        <v>1299900</v>
      </c>
      <c r="U324" s="95">
        <f>T324/24</f>
        <v>54162.5</v>
      </c>
      <c r="V324" s="95">
        <v>1299900</v>
      </c>
      <c r="W324" s="95">
        <f>V324/24</f>
        <v>54162.5</v>
      </c>
      <c r="X324" s="128"/>
      <c r="Y324" s="95">
        <v>854900</v>
      </c>
      <c r="Z324" s="95">
        <v>32500</v>
      </c>
      <c r="AA324" s="95">
        <f>IFERROR(IF(D324="Premium",0.4*Y324,0),"No Disp")</f>
        <v>341960</v>
      </c>
      <c r="AB324" s="95">
        <f>IFERROR(IF(4*Y324&gt;AC324,1.5*Y324,4*Y324),"No Disp")</f>
        <v>1282350</v>
      </c>
      <c r="AC324" s="95">
        <f>IF(Z324="No Disp","No Disp",(Z324*18)+Y324)</f>
        <v>1439900</v>
      </c>
      <c r="AD324" s="95">
        <f>18*Z324-100+Y324</f>
        <v>1439800</v>
      </c>
      <c r="AE324" s="95">
        <v>299900</v>
      </c>
      <c r="AF324" s="95">
        <v>63000</v>
      </c>
      <c r="AG324" s="95">
        <f>IF(AF324="No Disp","No Disp",(AF324*18)+AE324)</f>
        <v>1433900</v>
      </c>
      <c r="AH324" s="95">
        <f>18*AF324-100+AE324</f>
        <v>1433800</v>
      </c>
      <c r="AI324" s="95" t="s">
        <v>4613</v>
      </c>
      <c r="AJ324" s="99"/>
      <c r="AK324" s="100" t="s">
        <v>43</v>
      </c>
      <c r="AL324" s="100" t="s">
        <v>43</v>
      </c>
      <c r="AM324" s="100" t="str">
        <f>IF(AL324&lt;&gt;"No Disp",AK324+12*AL324,"No Disp")</f>
        <v>No Disp</v>
      </c>
      <c r="AN324" s="100" t="s">
        <v>43</v>
      </c>
      <c r="AO324" s="100" t="s">
        <v>43</v>
      </c>
      <c r="AP324" s="100" t="str">
        <f>IF(AO324&lt;&gt;"No Disp",AN324+12*AO324,"No Disp")</f>
        <v>No Disp</v>
      </c>
      <c r="AQ324" s="100" t="s">
        <v>43</v>
      </c>
      <c r="AR324" s="100" t="s">
        <v>43</v>
      </c>
      <c r="AS324" s="100" t="str">
        <f>IF(AR324&lt;&gt;"No Disp",AQ324+12*AR324,"No Disp")</f>
        <v>No Disp</v>
      </c>
    </row>
    <row r="325" spans="1:45" s="101" customFormat="1" x14ac:dyDescent="0.25">
      <c r="A325" s="90" t="s">
        <v>38</v>
      </c>
      <c r="B325" s="90" t="s">
        <v>40</v>
      </c>
      <c r="C325" s="90" t="s">
        <v>40</v>
      </c>
      <c r="D325" s="90" t="s">
        <v>4540</v>
      </c>
      <c r="E325" s="90" t="s">
        <v>4542</v>
      </c>
      <c r="F325" s="91">
        <v>241</v>
      </c>
      <c r="G325" s="92">
        <v>70011305</v>
      </c>
      <c r="H325" s="91">
        <v>70011306</v>
      </c>
      <c r="I325" s="93" t="s">
        <v>46</v>
      </c>
      <c r="J325" s="94" t="s">
        <v>3792</v>
      </c>
      <c r="K325" s="94" t="s">
        <v>727</v>
      </c>
      <c r="L325" s="94" t="s">
        <v>728</v>
      </c>
      <c r="M325" s="95">
        <v>1299900</v>
      </c>
      <c r="N325" s="95">
        <v>7000</v>
      </c>
      <c r="O325" s="95">
        <v>10000</v>
      </c>
      <c r="P325" s="96">
        <v>0</v>
      </c>
      <c r="Q325" s="152"/>
      <c r="R325" s="95">
        <v>1299900</v>
      </c>
      <c r="S325" s="95">
        <f>R325/24</f>
        <v>54162.5</v>
      </c>
      <c r="T325" s="95">
        <v>1299900</v>
      </c>
      <c r="U325" s="95">
        <f>T325/24</f>
        <v>54162.5</v>
      </c>
      <c r="V325" s="95">
        <v>1299900</v>
      </c>
      <c r="W325" s="95">
        <f>V325/24</f>
        <v>54162.5</v>
      </c>
      <c r="X325" s="128"/>
      <c r="Y325" s="95">
        <v>854900</v>
      </c>
      <c r="Z325" s="95">
        <v>32500</v>
      </c>
      <c r="AA325" s="95">
        <f>IFERROR(IF(D325="Premium",0.4*Y325,0),"No Disp")</f>
        <v>341960</v>
      </c>
      <c r="AB325" s="95">
        <f>IFERROR(IF(4*Y325&gt;AC325,1.5*Y325,4*Y325),"No Disp")</f>
        <v>1282350</v>
      </c>
      <c r="AC325" s="95">
        <f>IF(Z325="No Disp","No Disp",(Z325*18)+Y325)</f>
        <v>1439900</v>
      </c>
      <c r="AD325" s="95">
        <f>18*Z325-100+Y325</f>
        <v>1439800</v>
      </c>
      <c r="AE325" s="95">
        <v>299900</v>
      </c>
      <c r="AF325" s="95">
        <v>63000</v>
      </c>
      <c r="AG325" s="95">
        <f>IF(AF325="No Disp","No Disp",(AF325*18)+AE325)</f>
        <v>1433900</v>
      </c>
      <c r="AH325" s="95">
        <f>18*AF325-100+AE325</f>
        <v>1433800</v>
      </c>
      <c r="AI325" s="95" t="s">
        <v>4613</v>
      </c>
      <c r="AJ325" s="99"/>
      <c r="AK325" s="100" t="s">
        <v>43</v>
      </c>
      <c r="AL325" s="100" t="s">
        <v>43</v>
      </c>
      <c r="AM325" s="100" t="str">
        <f>IF(AL325&lt;&gt;"No Disp",AK325+12*AL325,"No Disp")</f>
        <v>No Disp</v>
      </c>
      <c r="AN325" s="100" t="s">
        <v>43</v>
      </c>
      <c r="AO325" s="100" t="s">
        <v>43</v>
      </c>
      <c r="AP325" s="100" t="str">
        <f>IF(AO325&lt;&gt;"No Disp",AN325+12*AO325,"No Disp")</f>
        <v>No Disp</v>
      </c>
      <c r="AQ325" s="100" t="s">
        <v>43</v>
      </c>
      <c r="AR325" s="100" t="s">
        <v>43</v>
      </c>
      <c r="AS325" s="100" t="str">
        <f>IF(AR325&lt;&gt;"No Disp",AQ325+12*AR325,"No Disp")</f>
        <v>No Disp</v>
      </c>
    </row>
    <row r="326" spans="1:45" s="101" customFormat="1" x14ac:dyDescent="0.25">
      <c r="A326" s="90" t="s">
        <v>38</v>
      </c>
      <c r="B326" s="90" t="s">
        <v>40</v>
      </c>
      <c r="C326" s="90" t="s">
        <v>40</v>
      </c>
      <c r="D326" s="90" t="s">
        <v>4540</v>
      </c>
      <c r="E326" s="90" t="s">
        <v>4542</v>
      </c>
      <c r="F326" s="91">
        <v>239</v>
      </c>
      <c r="G326" s="92">
        <v>70011307</v>
      </c>
      <c r="H326" s="91">
        <v>70011308</v>
      </c>
      <c r="I326" s="93" t="s">
        <v>46</v>
      </c>
      <c r="J326" s="94" t="s">
        <v>3792</v>
      </c>
      <c r="K326" s="94" t="s">
        <v>731</v>
      </c>
      <c r="L326" s="94" t="s">
        <v>732</v>
      </c>
      <c r="M326" s="95">
        <v>1299900</v>
      </c>
      <c r="N326" s="95">
        <v>7000</v>
      </c>
      <c r="O326" s="95">
        <v>10000</v>
      </c>
      <c r="P326" s="96">
        <v>0</v>
      </c>
      <c r="Q326" s="152"/>
      <c r="R326" s="95">
        <v>1299900</v>
      </c>
      <c r="S326" s="95">
        <f>R326/24</f>
        <v>54162.5</v>
      </c>
      <c r="T326" s="95">
        <v>1299900</v>
      </c>
      <c r="U326" s="95">
        <f>T326/24</f>
        <v>54162.5</v>
      </c>
      <c r="V326" s="95">
        <v>1299900</v>
      </c>
      <c r="W326" s="95">
        <f>V326/24</f>
        <v>54162.5</v>
      </c>
      <c r="X326" s="128"/>
      <c r="Y326" s="95">
        <v>854900</v>
      </c>
      <c r="Z326" s="95">
        <v>32500</v>
      </c>
      <c r="AA326" s="95">
        <f>IFERROR(IF(D326="Premium",0.4*Y326,0),"No Disp")</f>
        <v>341960</v>
      </c>
      <c r="AB326" s="95">
        <f>IFERROR(IF(4*Y326&gt;AC326,1.5*Y326,4*Y326),"No Disp")</f>
        <v>1282350</v>
      </c>
      <c r="AC326" s="95">
        <f>IF(Z326="No Disp","No Disp",(Z326*18)+Y326)</f>
        <v>1439900</v>
      </c>
      <c r="AD326" s="95">
        <f>18*Z326-100+Y326</f>
        <v>1439800</v>
      </c>
      <c r="AE326" s="95">
        <v>299900</v>
      </c>
      <c r="AF326" s="95">
        <v>63000</v>
      </c>
      <c r="AG326" s="95">
        <f>IF(AF326="No Disp","No Disp",(AF326*18)+AE326)</f>
        <v>1433900</v>
      </c>
      <c r="AH326" s="95">
        <f>18*AF326-100+AE326</f>
        <v>1433800</v>
      </c>
      <c r="AI326" s="95" t="s">
        <v>4613</v>
      </c>
      <c r="AJ326" s="99"/>
      <c r="AK326" s="100" t="s">
        <v>43</v>
      </c>
      <c r="AL326" s="100" t="s">
        <v>43</v>
      </c>
      <c r="AM326" s="100" t="str">
        <f>IF(AL326&lt;&gt;"No Disp",AK326+12*AL326,"No Disp")</f>
        <v>No Disp</v>
      </c>
      <c r="AN326" s="100" t="s">
        <v>43</v>
      </c>
      <c r="AO326" s="100" t="s">
        <v>43</v>
      </c>
      <c r="AP326" s="100" t="str">
        <f>IF(AO326&lt;&gt;"No Disp",AN326+12*AO326,"No Disp")</f>
        <v>No Disp</v>
      </c>
      <c r="AQ326" s="100" t="s">
        <v>43</v>
      </c>
      <c r="AR326" s="100" t="s">
        <v>43</v>
      </c>
      <c r="AS326" s="100" t="str">
        <f>IF(AR326&lt;&gt;"No Disp",AQ326+12*AR326,"No Disp")</f>
        <v>No Disp</v>
      </c>
    </row>
    <row r="327" spans="1:45" s="101" customFormat="1" x14ac:dyDescent="0.25">
      <c r="A327" s="90" t="s">
        <v>38</v>
      </c>
      <c r="B327" s="90" t="s">
        <v>40</v>
      </c>
      <c r="C327" s="90" t="s">
        <v>40</v>
      </c>
      <c r="D327" s="90" t="s">
        <v>4540</v>
      </c>
      <c r="E327" s="90" t="s">
        <v>4542</v>
      </c>
      <c r="F327" s="91">
        <v>243</v>
      </c>
      <c r="G327" s="92">
        <v>70011309</v>
      </c>
      <c r="H327" s="91">
        <v>70011310</v>
      </c>
      <c r="I327" s="93" t="s">
        <v>46</v>
      </c>
      <c r="J327" s="94" t="s">
        <v>3793</v>
      </c>
      <c r="K327" s="94" t="s">
        <v>723</v>
      </c>
      <c r="L327" s="94" t="s">
        <v>724</v>
      </c>
      <c r="M327" s="95">
        <v>1299900</v>
      </c>
      <c r="N327" s="95">
        <v>7000</v>
      </c>
      <c r="O327" s="95">
        <v>10000</v>
      </c>
      <c r="P327" s="96">
        <v>0</v>
      </c>
      <c r="Q327" s="152"/>
      <c r="R327" s="95">
        <v>1299900</v>
      </c>
      <c r="S327" s="95">
        <f>R327/24</f>
        <v>54162.5</v>
      </c>
      <c r="T327" s="95">
        <v>1299900</v>
      </c>
      <c r="U327" s="95">
        <f>T327/24</f>
        <v>54162.5</v>
      </c>
      <c r="V327" s="95">
        <v>1299900</v>
      </c>
      <c r="W327" s="95">
        <f>V327/24</f>
        <v>54162.5</v>
      </c>
      <c r="X327" s="128"/>
      <c r="Y327" s="95">
        <v>929900</v>
      </c>
      <c r="Z327" s="95">
        <v>40000</v>
      </c>
      <c r="AA327" s="95">
        <f>IFERROR(IF(D327="Premium",0.4*Y327,0),"No Disp")</f>
        <v>371960</v>
      </c>
      <c r="AB327" s="95">
        <f>IFERROR(IF(4*Y327&gt;AC327,1.5*Y327,4*Y327),"No Disp")</f>
        <v>1394850</v>
      </c>
      <c r="AC327" s="95">
        <f>IF(Z327="No Disp","No Disp",(Z327*18)+Y327)</f>
        <v>1649900</v>
      </c>
      <c r="AD327" s="95">
        <f>18*Z327-100+Y327</f>
        <v>1649800</v>
      </c>
      <c r="AE327" s="95">
        <v>599900</v>
      </c>
      <c r="AF327" s="95">
        <v>58000</v>
      </c>
      <c r="AG327" s="95">
        <f>IF(AF327="No Disp","No Disp",(AF327*18)+AE327)</f>
        <v>1643900</v>
      </c>
      <c r="AH327" s="95">
        <f>18*AF327-100+AE327</f>
        <v>1643800</v>
      </c>
      <c r="AI327" s="95" t="s">
        <v>4613</v>
      </c>
      <c r="AJ327" s="99"/>
      <c r="AK327" s="100" t="s">
        <v>43</v>
      </c>
      <c r="AL327" s="100" t="s">
        <v>43</v>
      </c>
      <c r="AM327" s="100" t="str">
        <f>IF(AL327&lt;&gt;"No Disp",AK327+12*AL327,"No Disp")</f>
        <v>No Disp</v>
      </c>
      <c r="AN327" s="100" t="s">
        <v>43</v>
      </c>
      <c r="AO327" s="100" t="s">
        <v>43</v>
      </c>
      <c r="AP327" s="100" t="str">
        <f>IF(AO327&lt;&gt;"No Disp",AN327+12*AO327,"No Disp")</f>
        <v>No Disp</v>
      </c>
      <c r="AQ327" s="100" t="s">
        <v>43</v>
      </c>
      <c r="AR327" s="100" t="s">
        <v>43</v>
      </c>
      <c r="AS327" s="100" t="str">
        <f>IF(AR327&lt;&gt;"No Disp",AQ327+12*AR327,"No Disp")</f>
        <v>No Disp</v>
      </c>
    </row>
    <row r="328" spans="1:45" s="101" customFormat="1" x14ac:dyDescent="0.25">
      <c r="A328" s="90" t="s">
        <v>38</v>
      </c>
      <c r="B328" s="90" t="s">
        <v>40</v>
      </c>
      <c r="C328" s="90" t="s">
        <v>40</v>
      </c>
      <c r="D328" s="90" t="s">
        <v>4540</v>
      </c>
      <c r="E328" s="90" t="s">
        <v>4542</v>
      </c>
      <c r="F328" s="91">
        <v>242</v>
      </c>
      <c r="G328" s="92">
        <v>70011311</v>
      </c>
      <c r="H328" s="91">
        <v>70011312</v>
      </c>
      <c r="I328" s="93" t="s">
        <v>46</v>
      </c>
      <c r="J328" s="94" t="s">
        <v>3793</v>
      </c>
      <c r="K328" s="94" t="s">
        <v>725</v>
      </c>
      <c r="L328" s="94" t="s">
        <v>726</v>
      </c>
      <c r="M328" s="95">
        <v>1299900</v>
      </c>
      <c r="N328" s="95">
        <v>7000</v>
      </c>
      <c r="O328" s="95">
        <v>10000</v>
      </c>
      <c r="P328" s="96">
        <v>0</v>
      </c>
      <c r="Q328" s="152"/>
      <c r="R328" s="95">
        <v>1299900</v>
      </c>
      <c r="S328" s="95">
        <f>R328/24</f>
        <v>54162.5</v>
      </c>
      <c r="T328" s="95">
        <v>1299900</v>
      </c>
      <c r="U328" s="95">
        <f>T328/24</f>
        <v>54162.5</v>
      </c>
      <c r="V328" s="95">
        <v>1299900</v>
      </c>
      <c r="W328" s="95">
        <f>V328/24</f>
        <v>54162.5</v>
      </c>
      <c r="X328" s="128"/>
      <c r="Y328" s="95">
        <v>929900</v>
      </c>
      <c r="Z328" s="95">
        <v>40000</v>
      </c>
      <c r="AA328" s="95">
        <f>IFERROR(IF(D328="Premium",0.4*Y328,0),"No Disp")</f>
        <v>371960</v>
      </c>
      <c r="AB328" s="95">
        <f>IFERROR(IF(4*Y328&gt;AC328,1.5*Y328,4*Y328),"No Disp")</f>
        <v>1394850</v>
      </c>
      <c r="AC328" s="95">
        <f>IF(Z328="No Disp","No Disp",(Z328*18)+Y328)</f>
        <v>1649900</v>
      </c>
      <c r="AD328" s="95">
        <f>18*Z328-100+Y328</f>
        <v>1649800</v>
      </c>
      <c r="AE328" s="95">
        <v>599900</v>
      </c>
      <c r="AF328" s="95">
        <v>58000</v>
      </c>
      <c r="AG328" s="95">
        <f>IF(AF328="No Disp","No Disp",(AF328*18)+AE328)</f>
        <v>1643900</v>
      </c>
      <c r="AH328" s="95">
        <f>18*AF328-100+AE328</f>
        <v>1643800</v>
      </c>
      <c r="AI328" s="95" t="s">
        <v>4613</v>
      </c>
      <c r="AJ328" s="99"/>
      <c r="AK328" s="100" t="s">
        <v>43</v>
      </c>
      <c r="AL328" s="100" t="s">
        <v>43</v>
      </c>
      <c r="AM328" s="100" t="str">
        <f>IF(AL328&lt;&gt;"No Disp",AK328+12*AL328,"No Disp")</f>
        <v>No Disp</v>
      </c>
      <c r="AN328" s="100" t="s">
        <v>43</v>
      </c>
      <c r="AO328" s="100" t="s">
        <v>43</v>
      </c>
      <c r="AP328" s="100" t="str">
        <f>IF(AO328&lt;&gt;"No Disp",AN328+12*AO328,"No Disp")</f>
        <v>No Disp</v>
      </c>
      <c r="AQ328" s="100" t="s">
        <v>43</v>
      </c>
      <c r="AR328" s="100" t="s">
        <v>43</v>
      </c>
      <c r="AS328" s="100" t="str">
        <f>IF(AR328&lt;&gt;"No Disp",AQ328+12*AR328,"No Disp")</f>
        <v>No Disp</v>
      </c>
    </row>
    <row r="329" spans="1:45" s="101" customFormat="1" x14ac:dyDescent="0.25">
      <c r="A329" s="90" t="s">
        <v>38</v>
      </c>
      <c r="B329" s="90" t="s">
        <v>40</v>
      </c>
      <c r="C329" s="90" t="s">
        <v>40</v>
      </c>
      <c r="D329" s="90" t="s">
        <v>4540</v>
      </c>
      <c r="E329" s="90" t="s">
        <v>4542</v>
      </c>
      <c r="F329" s="91">
        <v>244</v>
      </c>
      <c r="G329" s="92">
        <v>70011317</v>
      </c>
      <c r="H329" s="91">
        <v>70011318</v>
      </c>
      <c r="I329" s="93" t="s">
        <v>46</v>
      </c>
      <c r="J329" s="94" t="s">
        <v>3794</v>
      </c>
      <c r="K329" s="94" t="s">
        <v>721</v>
      </c>
      <c r="L329" s="94" t="s">
        <v>722</v>
      </c>
      <c r="M329" s="95">
        <v>1399900</v>
      </c>
      <c r="N329" s="95">
        <v>7000</v>
      </c>
      <c r="O329" s="95">
        <v>10000</v>
      </c>
      <c r="P329" s="96">
        <v>0</v>
      </c>
      <c r="Q329" s="152"/>
      <c r="R329" s="95">
        <v>1399900</v>
      </c>
      <c r="S329" s="95">
        <f>R329/24</f>
        <v>58329.166666666664</v>
      </c>
      <c r="T329" s="95">
        <v>1399900</v>
      </c>
      <c r="U329" s="95">
        <f>T329/24</f>
        <v>58329.166666666664</v>
      </c>
      <c r="V329" s="95">
        <v>1399900</v>
      </c>
      <c r="W329" s="95">
        <f>V329/24</f>
        <v>58329.166666666664</v>
      </c>
      <c r="X329" s="128"/>
      <c r="Y329" s="95">
        <v>979900</v>
      </c>
      <c r="Z329" s="95">
        <v>44000</v>
      </c>
      <c r="AA329" s="95">
        <f>IFERROR(IF(D329="Premium",0.4*Y329,0),"No Disp")</f>
        <v>391960</v>
      </c>
      <c r="AB329" s="95">
        <f>IFERROR(IF(4*Y329&gt;AC329,1.5*Y329,4*Y329),"No Disp")</f>
        <v>1469850</v>
      </c>
      <c r="AC329" s="95">
        <f>IF(Z329="No Disp","No Disp",(Z329*18)+Y329)</f>
        <v>1771900</v>
      </c>
      <c r="AD329" s="95">
        <f>18*Z329-100+Y329</f>
        <v>1771800</v>
      </c>
      <c r="AE329" s="95">
        <v>699900</v>
      </c>
      <c r="AF329" s="95">
        <v>59000</v>
      </c>
      <c r="AG329" s="95">
        <f>IF(AF329="No Disp","No Disp",(AF329*18)+AE329)</f>
        <v>1761900</v>
      </c>
      <c r="AH329" s="95">
        <f>18*AF329-100+AE329</f>
        <v>1761800</v>
      </c>
      <c r="AI329" s="95" t="s">
        <v>4613</v>
      </c>
      <c r="AJ329" s="99"/>
      <c r="AK329" s="100" t="s">
        <v>43</v>
      </c>
      <c r="AL329" s="100" t="s">
        <v>43</v>
      </c>
      <c r="AM329" s="100" t="str">
        <f>IF(AL329&lt;&gt;"No Disp",AK329+12*AL329,"No Disp")</f>
        <v>No Disp</v>
      </c>
      <c r="AN329" s="100" t="s">
        <v>43</v>
      </c>
      <c r="AO329" s="100" t="s">
        <v>43</v>
      </c>
      <c r="AP329" s="100" t="str">
        <f>IF(AO329&lt;&gt;"No Disp",AN329+12*AO329,"No Disp")</f>
        <v>No Disp</v>
      </c>
      <c r="AQ329" s="100" t="s">
        <v>43</v>
      </c>
      <c r="AR329" s="100" t="s">
        <v>43</v>
      </c>
      <c r="AS329" s="100" t="str">
        <f>IF(AR329&lt;&gt;"No Disp",AQ329+12*AR329,"No Disp")</f>
        <v>No Disp</v>
      </c>
    </row>
    <row r="330" spans="1:45" s="101" customFormat="1" x14ac:dyDescent="0.25">
      <c r="A330" s="90" t="s">
        <v>38</v>
      </c>
      <c r="B330" s="90" t="s">
        <v>40</v>
      </c>
      <c r="C330" s="90" t="s">
        <v>40</v>
      </c>
      <c r="D330" s="90" t="s">
        <v>4540</v>
      </c>
      <c r="E330" s="90" t="s">
        <v>4542</v>
      </c>
      <c r="F330" s="91">
        <v>240</v>
      </c>
      <c r="G330" s="92">
        <v>70011319</v>
      </c>
      <c r="H330" s="91">
        <v>70011320</v>
      </c>
      <c r="I330" s="93" t="s">
        <v>46</v>
      </c>
      <c r="J330" s="94" t="s">
        <v>3792</v>
      </c>
      <c r="K330" s="94" t="s">
        <v>729</v>
      </c>
      <c r="L330" s="94" t="s">
        <v>730</v>
      </c>
      <c r="M330" s="95">
        <v>1299900</v>
      </c>
      <c r="N330" s="95">
        <v>7000</v>
      </c>
      <c r="O330" s="95">
        <v>10000</v>
      </c>
      <c r="P330" s="96">
        <v>0</v>
      </c>
      <c r="Q330" s="152"/>
      <c r="R330" s="95">
        <v>1299900</v>
      </c>
      <c r="S330" s="95">
        <f>R330/24</f>
        <v>54162.5</v>
      </c>
      <c r="T330" s="95">
        <v>1299900</v>
      </c>
      <c r="U330" s="95">
        <f>T330/24</f>
        <v>54162.5</v>
      </c>
      <c r="V330" s="95">
        <v>1299900</v>
      </c>
      <c r="W330" s="95">
        <f>V330/24</f>
        <v>54162.5</v>
      </c>
      <c r="X330" s="128"/>
      <c r="Y330" s="95">
        <v>854900</v>
      </c>
      <c r="Z330" s="95">
        <v>32500</v>
      </c>
      <c r="AA330" s="95">
        <f>IFERROR(IF(D330="Premium",0.4*Y330,0),"No Disp")</f>
        <v>341960</v>
      </c>
      <c r="AB330" s="95">
        <f>IFERROR(IF(4*Y330&gt;AC330,1.5*Y330,4*Y330),"No Disp")</f>
        <v>1282350</v>
      </c>
      <c r="AC330" s="95">
        <f>IF(Z330="No Disp","No Disp",(Z330*18)+Y330)</f>
        <v>1439900</v>
      </c>
      <c r="AD330" s="95">
        <f>18*Z330-100+Y330</f>
        <v>1439800</v>
      </c>
      <c r="AE330" s="95">
        <v>299900</v>
      </c>
      <c r="AF330" s="95">
        <v>63000</v>
      </c>
      <c r="AG330" s="95">
        <f>IF(AF330="No Disp","No Disp",(AF330*18)+AE330)</f>
        <v>1433900</v>
      </c>
      <c r="AH330" s="95">
        <f>18*AF330-100+AE330</f>
        <v>1433800</v>
      </c>
      <c r="AI330" s="95" t="s">
        <v>4613</v>
      </c>
      <c r="AJ330" s="99"/>
      <c r="AK330" s="100" t="s">
        <v>43</v>
      </c>
      <c r="AL330" s="100" t="s">
        <v>43</v>
      </c>
      <c r="AM330" s="100" t="str">
        <f>IF(AL330&lt;&gt;"No Disp",AK330+12*AL330,"No Disp")</f>
        <v>No Disp</v>
      </c>
      <c r="AN330" s="100" t="s">
        <v>43</v>
      </c>
      <c r="AO330" s="100" t="s">
        <v>43</v>
      </c>
      <c r="AP330" s="100" t="str">
        <f>IF(AO330&lt;&gt;"No Disp",AN330+12*AO330,"No Disp")</f>
        <v>No Disp</v>
      </c>
      <c r="AQ330" s="100" t="s">
        <v>43</v>
      </c>
      <c r="AR330" s="100" t="s">
        <v>43</v>
      </c>
      <c r="AS330" s="100" t="str">
        <f>IF(AR330&lt;&gt;"No Disp",AQ330+12*AR330,"No Disp")</f>
        <v>No Disp</v>
      </c>
    </row>
    <row r="331" spans="1:45" s="101" customFormat="1" x14ac:dyDescent="0.25">
      <c r="A331" s="90" t="s">
        <v>38</v>
      </c>
      <c r="B331" s="90" t="s">
        <v>40</v>
      </c>
      <c r="C331" s="90" t="s">
        <v>40</v>
      </c>
      <c r="D331" s="90" t="s">
        <v>4540</v>
      </c>
      <c r="E331" s="90" t="s">
        <v>4542</v>
      </c>
      <c r="F331" s="91">
        <v>245</v>
      </c>
      <c r="G331" s="92">
        <v>70011321</v>
      </c>
      <c r="H331" s="91">
        <v>70011322</v>
      </c>
      <c r="I331" s="93" t="s">
        <v>46</v>
      </c>
      <c r="J331" s="94" t="s">
        <v>3794</v>
      </c>
      <c r="K331" s="94" t="s">
        <v>719</v>
      </c>
      <c r="L331" s="94" t="s">
        <v>720</v>
      </c>
      <c r="M331" s="95">
        <v>1399900</v>
      </c>
      <c r="N331" s="95">
        <v>7000</v>
      </c>
      <c r="O331" s="95">
        <v>10000</v>
      </c>
      <c r="P331" s="96">
        <v>0</v>
      </c>
      <c r="Q331" s="152"/>
      <c r="R331" s="95">
        <v>1399900</v>
      </c>
      <c r="S331" s="95">
        <f>R331/24</f>
        <v>58329.166666666664</v>
      </c>
      <c r="T331" s="95">
        <v>1399900</v>
      </c>
      <c r="U331" s="95">
        <f>T331/24</f>
        <v>58329.166666666664</v>
      </c>
      <c r="V331" s="95">
        <v>1399900</v>
      </c>
      <c r="W331" s="95">
        <f>V331/24</f>
        <v>58329.166666666664</v>
      </c>
      <c r="X331" s="128"/>
      <c r="Y331" s="95">
        <v>979900</v>
      </c>
      <c r="Z331" s="95">
        <v>44000</v>
      </c>
      <c r="AA331" s="95">
        <f>IFERROR(IF(D331="Premium",0.4*Y331,0),"No Disp")</f>
        <v>391960</v>
      </c>
      <c r="AB331" s="95">
        <f>IFERROR(IF(4*Y331&gt;AC331,1.5*Y331,4*Y331),"No Disp")</f>
        <v>1469850</v>
      </c>
      <c r="AC331" s="95">
        <f>IF(Z331="No Disp","No Disp",(Z331*18)+Y331)</f>
        <v>1771900</v>
      </c>
      <c r="AD331" s="95">
        <f>18*Z331-100+Y331</f>
        <v>1771800</v>
      </c>
      <c r="AE331" s="95">
        <v>699900</v>
      </c>
      <c r="AF331" s="95">
        <v>59000</v>
      </c>
      <c r="AG331" s="95">
        <f>IF(AF331="No Disp","No Disp",(AF331*18)+AE331)</f>
        <v>1761900</v>
      </c>
      <c r="AH331" s="95">
        <f>18*AF331-100+AE331</f>
        <v>1761800</v>
      </c>
      <c r="AI331" s="95" t="s">
        <v>4613</v>
      </c>
      <c r="AJ331" s="99"/>
      <c r="AK331" s="100" t="s">
        <v>43</v>
      </c>
      <c r="AL331" s="100" t="s">
        <v>43</v>
      </c>
      <c r="AM331" s="100" t="str">
        <f>IF(AL331&lt;&gt;"No Disp",AK331+12*AL331,"No Disp")</f>
        <v>No Disp</v>
      </c>
      <c r="AN331" s="100" t="s">
        <v>43</v>
      </c>
      <c r="AO331" s="100" t="s">
        <v>43</v>
      </c>
      <c r="AP331" s="100" t="str">
        <f>IF(AO331&lt;&gt;"No Disp",AN331+12*AO331,"No Disp")</f>
        <v>No Disp</v>
      </c>
      <c r="AQ331" s="100" t="s">
        <v>43</v>
      </c>
      <c r="AR331" s="100" t="s">
        <v>43</v>
      </c>
      <c r="AS331" s="100" t="str">
        <f>IF(AR331&lt;&gt;"No Disp",AQ331+12*AR331,"No Disp")</f>
        <v>No Disp</v>
      </c>
    </row>
    <row r="332" spans="1:45" s="101" customFormat="1" x14ac:dyDescent="0.25">
      <c r="A332" s="90" t="s">
        <v>102</v>
      </c>
      <c r="B332" s="90" t="s">
        <v>39</v>
      </c>
      <c r="C332" s="90" t="s">
        <v>40</v>
      </c>
      <c r="D332" s="90" t="s">
        <v>4541</v>
      </c>
      <c r="E332" s="90" t="s">
        <v>4542</v>
      </c>
      <c r="F332" s="91">
        <v>262</v>
      </c>
      <c r="G332" s="92">
        <v>70011334</v>
      </c>
      <c r="H332" s="91">
        <v>70011335</v>
      </c>
      <c r="I332" s="93" t="s">
        <v>171</v>
      </c>
      <c r="J332" s="94" t="s">
        <v>3795</v>
      </c>
      <c r="K332" s="94" t="s">
        <v>686</v>
      </c>
      <c r="L332" s="94" t="s">
        <v>687</v>
      </c>
      <c r="M332" s="95">
        <v>39900</v>
      </c>
      <c r="N332" s="95">
        <v>2500</v>
      </c>
      <c r="O332" s="95">
        <v>4000</v>
      </c>
      <c r="P332" s="96">
        <v>0</v>
      </c>
      <c r="Q332" s="152"/>
      <c r="R332" s="95">
        <v>39900</v>
      </c>
      <c r="S332" s="95">
        <f>R332/24</f>
        <v>1662.5</v>
      </c>
      <c r="T332" s="95">
        <v>39900</v>
      </c>
      <c r="U332" s="95">
        <f>T332/24</f>
        <v>1662.5</v>
      </c>
      <c r="V332" s="95">
        <v>39900</v>
      </c>
      <c r="W332" s="95">
        <f>V332/24</f>
        <v>1662.5</v>
      </c>
      <c r="X332" s="128"/>
      <c r="Y332" s="95">
        <v>39900</v>
      </c>
      <c r="Z332" s="95">
        <v>3000</v>
      </c>
      <c r="AA332" s="95">
        <f>IFERROR(IF(D332="Premium",0.4*Y332,0),"No Disp")</f>
        <v>0</v>
      </c>
      <c r="AB332" s="95">
        <f>IFERROR(IF(4*Y332&gt;AC332,1.5*Y332,4*Y332),"No Disp")</f>
        <v>59850</v>
      </c>
      <c r="AC332" s="95">
        <f>IF(Z332="No Disp","No Disp",(Z332*18)+Y332)</f>
        <v>93900</v>
      </c>
      <c r="AD332" s="95">
        <f>18*Z332-100+Y332</f>
        <v>93800</v>
      </c>
      <c r="AE332" s="95">
        <v>19900</v>
      </c>
      <c r="AF332" s="95">
        <v>3500</v>
      </c>
      <c r="AG332" s="95">
        <f>IF(AF332="No Disp","No Disp",(AF332*18)+AE332)</f>
        <v>82900</v>
      </c>
      <c r="AH332" s="95">
        <f>18*AF332-100+AE332</f>
        <v>82800</v>
      </c>
      <c r="AI332" s="95" t="s">
        <v>4613</v>
      </c>
      <c r="AJ332" s="99"/>
      <c r="AK332" s="100" t="s">
        <v>43</v>
      </c>
      <c r="AL332" s="100" t="s">
        <v>43</v>
      </c>
      <c r="AM332" s="100" t="str">
        <f>IF(AL332&lt;&gt;"No Disp",AK332+12*AL332,"No Disp")</f>
        <v>No Disp</v>
      </c>
      <c r="AN332" s="100" t="s">
        <v>43</v>
      </c>
      <c r="AO332" s="100" t="s">
        <v>43</v>
      </c>
      <c r="AP332" s="100" t="str">
        <f>IF(AO332&lt;&gt;"No Disp",AN332+12*AO332,"No Disp")</f>
        <v>No Disp</v>
      </c>
      <c r="AQ332" s="100" t="s">
        <v>43</v>
      </c>
      <c r="AR332" s="100" t="s">
        <v>43</v>
      </c>
      <c r="AS332" s="100" t="str">
        <f>IF(AR332&lt;&gt;"No Disp",AQ332+12*AR332,"No Disp")</f>
        <v>No Disp</v>
      </c>
    </row>
    <row r="333" spans="1:45" s="101" customFormat="1" x14ac:dyDescent="0.25">
      <c r="A333" s="90" t="s">
        <v>102</v>
      </c>
      <c r="B333" s="90" t="s">
        <v>39</v>
      </c>
      <c r="C333" s="90" t="s">
        <v>40</v>
      </c>
      <c r="D333" s="90" t="s">
        <v>4541</v>
      </c>
      <c r="E333" s="90" t="s">
        <v>4542</v>
      </c>
      <c r="F333" s="91">
        <v>263</v>
      </c>
      <c r="G333" s="92">
        <v>70011336</v>
      </c>
      <c r="H333" s="91">
        <v>70011337</v>
      </c>
      <c r="I333" s="93" t="s">
        <v>171</v>
      </c>
      <c r="J333" s="94" t="s">
        <v>3795</v>
      </c>
      <c r="K333" s="94" t="s">
        <v>684</v>
      </c>
      <c r="L333" s="94" t="s">
        <v>685</v>
      </c>
      <c r="M333" s="95">
        <v>39900</v>
      </c>
      <c r="N333" s="95">
        <v>2500</v>
      </c>
      <c r="O333" s="95">
        <v>4000</v>
      </c>
      <c r="P333" s="96">
        <v>0</v>
      </c>
      <c r="Q333" s="152"/>
      <c r="R333" s="95">
        <v>39900</v>
      </c>
      <c r="S333" s="95">
        <f>R333/24</f>
        <v>1662.5</v>
      </c>
      <c r="T333" s="95">
        <v>39900</v>
      </c>
      <c r="U333" s="95">
        <f>T333/24</f>
        <v>1662.5</v>
      </c>
      <c r="V333" s="95">
        <v>39900</v>
      </c>
      <c r="W333" s="95">
        <f>V333/24</f>
        <v>1662.5</v>
      </c>
      <c r="X333" s="128"/>
      <c r="Y333" s="95">
        <v>39900</v>
      </c>
      <c r="Z333" s="95">
        <v>3000</v>
      </c>
      <c r="AA333" s="95">
        <f>IFERROR(IF(D333="Premium",0.4*Y333,0),"No Disp")</f>
        <v>0</v>
      </c>
      <c r="AB333" s="95">
        <f>IFERROR(IF(4*Y333&gt;AC333,1.5*Y333,4*Y333),"No Disp")</f>
        <v>59850</v>
      </c>
      <c r="AC333" s="95">
        <f>IF(Z333="No Disp","No Disp",(Z333*18)+Y333)</f>
        <v>93900</v>
      </c>
      <c r="AD333" s="95">
        <f>18*Z333-100+Y333</f>
        <v>93800</v>
      </c>
      <c r="AE333" s="95">
        <v>19900</v>
      </c>
      <c r="AF333" s="95">
        <v>3500</v>
      </c>
      <c r="AG333" s="95">
        <f>IF(AF333="No Disp","No Disp",(AF333*18)+AE333)</f>
        <v>82900</v>
      </c>
      <c r="AH333" s="95">
        <f>18*AF333-100+AE333</f>
        <v>82800</v>
      </c>
      <c r="AI333" s="95" t="s">
        <v>4613</v>
      </c>
      <c r="AJ333" s="99"/>
      <c r="AK333" s="100" t="s">
        <v>43</v>
      </c>
      <c r="AL333" s="100" t="s">
        <v>43</v>
      </c>
      <c r="AM333" s="100" t="str">
        <f>IF(AL333&lt;&gt;"No Disp",AK333+12*AL333,"No Disp")</f>
        <v>No Disp</v>
      </c>
      <c r="AN333" s="100" t="s">
        <v>43</v>
      </c>
      <c r="AO333" s="100" t="s">
        <v>43</v>
      </c>
      <c r="AP333" s="100" t="str">
        <f>IF(AO333&lt;&gt;"No Disp",AN333+12*AO333,"No Disp")</f>
        <v>No Disp</v>
      </c>
      <c r="AQ333" s="100" t="s">
        <v>43</v>
      </c>
      <c r="AR333" s="100" t="s">
        <v>43</v>
      </c>
      <c r="AS333" s="100" t="str">
        <f>IF(AR333&lt;&gt;"No Disp",AQ333+12*AR333,"No Disp")</f>
        <v>No Disp</v>
      </c>
    </row>
    <row r="334" spans="1:45" s="101" customFormat="1" x14ac:dyDescent="0.25">
      <c r="A334" s="90" t="s">
        <v>38</v>
      </c>
      <c r="B334" s="90" t="s">
        <v>39</v>
      </c>
      <c r="C334" s="90" t="s">
        <v>40</v>
      </c>
      <c r="D334" s="90" t="s">
        <v>4540</v>
      </c>
      <c r="E334" s="90" t="s">
        <v>4542</v>
      </c>
      <c r="F334" s="91">
        <v>254</v>
      </c>
      <c r="G334" s="92">
        <v>70011418</v>
      </c>
      <c r="H334" s="91">
        <v>70011419</v>
      </c>
      <c r="I334" s="93" t="s">
        <v>171</v>
      </c>
      <c r="J334" s="94" t="s">
        <v>3796</v>
      </c>
      <c r="K334" s="94" t="s">
        <v>701</v>
      </c>
      <c r="L334" s="94" t="s">
        <v>3797</v>
      </c>
      <c r="M334" s="95">
        <v>69900</v>
      </c>
      <c r="N334" s="95">
        <v>4000</v>
      </c>
      <c r="O334" s="95">
        <v>6000</v>
      </c>
      <c r="P334" s="96">
        <v>0</v>
      </c>
      <c r="Q334" s="152"/>
      <c r="R334" s="95">
        <v>69900</v>
      </c>
      <c r="S334" s="95">
        <f>R334/24</f>
        <v>2912.5</v>
      </c>
      <c r="T334" s="95">
        <v>69900</v>
      </c>
      <c r="U334" s="95">
        <f>T334/24</f>
        <v>2912.5</v>
      </c>
      <c r="V334" s="95">
        <v>69900</v>
      </c>
      <c r="W334" s="95">
        <f>V334/24</f>
        <v>2912.5</v>
      </c>
      <c r="X334" s="128"/>
      <c r="Y334" s="95" t="s">
        <v>43</v>
      </c>
      <c r="Z334" s="95" t="s">
        <v>43</v>
      </c>
      <c r="AA334" s="95" t="str">
        <f>IFERROR(IF(D334="Premium",0.4*Y334,0),"No Disp")</f>
        <v>No Disp</v>
      </c>
      <c r="AB334" s="95" t="str">
        <f>IFERROR(IF(4*Y334&gt;AC334,1.5*Y334,4*Y334),"No Disp")</f>
        <v>No Disp</v>
      </c>
      <c r="AC334" s="95" t="str">
        <f>IF(Z334="No Disp","No Disp",(Z334*18)+Y334)</f>
        <v>No Disp</v>
      </c>
      <c r="AD334" s="95" t="e">
        <f>18*Z334-100+Y334</f>
        <v>#VALUE!</v>
      </c>
      <c r="AE334" s="95" t="s">
        <v>43</v>
      </c>
      <c r="AF334" s="95" t="s">
        <v>43</v>
      </c>
      <c r="AG334" s="95" t="str">
        <f>IF(AF334="No Disp","No Disp",(AF334*18)+AE334)</f>
        <v>No Disp</v>
      </c>
      <c r="AH334" s="95" t="e">
        <f>18*AF334-100+AE334</f>
        <v>#VALUE!</v>
      </c>
      <c r="AI334" s="95" t="s">
        <v>4613</v>
      </c>
      <c r="AJ334" s="99"/>
      <c r="AK334" s="100" t="s">
        <v>43</v>
      </c>
      <c r="AL334" s="100" t="s">
        <v>43</v>
      </c>
      <c r="AM334" s="100" t="str">
        <f>IF(AL334&lt;&gt;"No Disp",AK334+12*AL334,"No Disp")</f>
        <v>No Disp</v>
      </c>
      <c r="AN334" s="100" t="s">
        <v>43</v>
      </c>
      <c r="AO334" s="100" t="s">
        <v>43</v>
      </c>
      <c r="AP334" s="100" t="str">
        <f>IF(AO334&lt;&gt;"No Disp",AN334+12*AO334,"No Disp")</f>
        <v>No Disp</v>
      </c>
      <c r="AQ334" s="100" t="s">
        <v>43</v>
      </c>
      <c r="AR334" s="100" t="s">
        <v>43</v>
      </c>
      <c r="AS334" s="100" t="str">
        <f>IF(AR334&lt;&gt;"No Disp",AQ334+12*AR334,"No Disp")</f>
        <v>No Disp</v>
      </c>
    </row>
    <row r="335" spans="1:45" s="101" customFormat="1" x14ac:dyDescent="0.25">
      <c r="A335" s="90" t="s">
        <v>38</v>
      </c>
      <c r="B335" s="90" t="s">
        <v>39</v>
      </c>
      <c r="C335" s="90" t="s">
        <v>40</v>
      </c>
      <c r="D335" s="90" t="s">
        <v>4540</v>
      </c>
      <c r="E335" s="90" t="s">
        <v>4542</v>
      </c>
      <c r="F335" s="91">
        <v>255</v>
      </c>
      <c r="G335" s="92">
        <v>70011420</v>
      </c>
      <c r="H335" s="91">
        <v>70011421</v>
      </c>
      <c r="I335" s="93" t="s">
        <v>171</v>
      </c>
      <c r="J335" s="94" t="s">
        <v>3796</v>
      </c>
      <c r="K335" s="94" t="s">
        <v>700</v>
      </c>
      <c r="L335" s="94" t="s">
        <v>3798</v>
      </c>
      <c r="M335" s="95">
        <v>69900</v>
      </c>
      <c r="N335" s="95">
        <v>4000</v>
      </c>
      <c r="O335" s="95">
        <v>6000</v>
      </c>
      <c r="P335" s="96">
        <v>0</v>
      </c>
      <c r="Q335" s="152"/>
      <c r="R335" s="95">
        <v>69900</v>
      </c>
      <c r="S335" s="95">
        <f>R335/24</f>
        <v>2912.5</v>
      </c>
      <c r="T335" s="95">
        <v>69900</v>
      </c>
      <c r="U335" s="95">
        <f>T335/24</f>
        <v>2912.5</v>
      </c>
      <c r="V335" s="95">
        <v>69900</v>
      </c>
      <c r="W335" s="95">
        <f>V335/24</f>
        <v>2912.5</v>
      </c>
      <c r="X335" s="128"/>
      <c r="Y335" s="95" t="s">
        <v>43</v>
      </c>
      <c r="Z335" s="95" t="s">
        <v>43</v>
      </c>
      <c r="AA335" s="95" t="str">
        <f>IFERROR(IF(D335="Premium",0.4*Y335,0),"No Disp")</f>
        <v>No Disp</v>
      </c>
      <c r="AB335" s="95" t="str">
        <f>IFERROR(IF(4*Y335&gt;AC335,1.5*Y335,4*Y335),"No Disp")</f>
        <v>No Disp</v>
      </c>
      <c r="AC335" s="95" t="str">
        <f>IF(Z335="No Disp","No Disp",(Z335*18)+Y335)</f>
        <v>No Disp</v>
      </c>
      <c r="AD335" s="95" t="e">
        <f>18*Z335-100+Y335</f>
        <v>#VALUE!</v>
      </c>
      <c r="AE335" s="95" t="s">
        <v>43</v>
      </c>
      <c r="AF335" s="95" t="s">
        <v>43</v>
      </c>
      <c r="AG335" s="95" t="str">
        <f>IF(AF335="No Disp","No Disp",(AF335*18)+AE335)</f>
        <v>No Disp</v>
      </c>
      <c r="AH335" s="95" t="e">
        <f>18*AF335-100+AE335</f>
        <v>#VALUE!</v>
      </c>
      <c r="AI335" s="95" t="s">
        <v>4613</v>
      </c>
      <c r="AJ335" s="99"/>
      <c r="AK335" s="100" t="s">
        <v>43</v>
      </c>
      <c r="AL335" s="100" t="s">
        <v>43</v>
      </c>
      <c r="AM335" s="100" t="str">
        <f>IF(AL335&lt;&gt;"No Disp",AK335+12*AL335,"No Disp")</f>
        <v>No Disp</v>
      </c>
      <c r="AN335" s="100" t="s">
        <v>43</v>
      </c>
      <c r="AO335" s="100" t="s">
        <v>43</v>
      </c>
      <c r="AP335" s="100" t="str">
        <f>IF(AO335&lt;&gt;"No Disp",AN335+12*AO335,"No Disp")</f>
        <v>No Disp</v>
      </c>
      <c r="AQ335" s="100" t="s">
        <v>43</v>
      </c>
      <c r="AR335" s="100" t="s">
        <v>43</v>
      </c>
      <c r="AS335" s="100" t="str">
        <f>IF(AR335&lt;&gt;"No Disp",AQ335+12*AR335,"No Disp")</f>
        <v>No Disp</v>
      </c>
    </row>
    <row r="336" spans="1:45" s="101" customFormat="1" x14ac:dyDescent="0.25">
      <c r="A336" s="90" t="s">
        <v>38</v>
      </c>
      <c r="B336" s="90" t="s">
        <v>39</v>
      </c>
      <c r="C336" s="90" t="s">
        <v>39</v>
      </c>
      <c r="D336" s="90" t="s">
        <v>4540</v>
      </c>
      <c r="E336" s="90" t="s">
        <v>4542</v>
      </c>
      <c r="F336" s="91">
        <v>291</v>
      </c>
      <c r="G336" s="92">
        <v>70011443</v>
      </c>
      <c r="H336" s="91">
        <v>70011444</v>
      </c>
      <c r="I336" s="93" t="s">
        <v>41</v>
      </c>
      <c r="J336" s="94" t="s">
        <v>3799</v>
      </c>
      <c r="K336" s="94" t="s">
        <v>628</v>
      </c>
      <c r="L336" s="94" t="s">
        <v>629</v>
      </c>
      <c r="M336" s="95">
        <v>499900</v>
      </c>
      <c r="N336" s="95">
        <v>6000</v>
      </c>
      <c r="O336" s="95">
        <v>8500</v>
      </c>
      <c r="P336" s="96">
        <v>1199990</v>
      </c>
      <c r="Q336" s="152"/>
      <c r="R336" s="95">
        <v>499900</v>
      </c>
      <c r="S336" s="95">
        <f>R336/24</f>
        <v>20829.166666666668</v>
      </c>
      <c r="T336" s="95">
        <v>499900</v>
      </c>
      <c r="U336" s="95">
        <f>T336/24</f>
        <v>20829.166666666668</v>
      </c>
      <c r="V336" s="95">
        <v>499900</v>
      </c>
      <c r="W336" s="95">
        <f>V336/24</f>
        <v>20829.166666666668</v>
      </c>
      <c r="X336" s="128"/>
      <c r="Y336" s="95" t="s">
        <v>43</v>
      </c>
      <c r="Z336" s="95" t="s">
        <v>43</v>
      </c>
      <c r="AA336" s="95" t="str">
        <f>IFERROR(IF(D336="Premium",0.4*Y336,0),"No Disp")</f>
        <v>No Disp</v>
      </c>
      <c r="AB336" s="95" t="str">
        <f>IFERROR(IF(4*Y336&gt;AC336,1.5*Y336,4*Y336),"No Disp")</f>
        <v>No Disp</v>
      </c>
      <c r="AC336" s="95" t="str">
        <f>IF(Z336="No Disp","No Disp",(Z336*18)+Y336)</f>
        <v>No Disp</v>
      </c>
      <c r="AD336" s="95" t="e">
        <f>18*Z336-100+Y336</f>
        <v>#VALUE!</v>
      </c>
      <c r="AE336" s="95" t="s">
        <v>43</v>
      </c>
      <c r="AF336" s="95" t="s">
        <v>43</v>
      </c>
      <c r="AG336" s="95" t="str">
        <f>IF(AF336="No Disp","No Disp",(AF336*18)+AE336)</f>
        <v>No Disp</v>
      </c>
      <c r="AH336" s="95" t="e">
        <f>18*AF336-100+AE336</f>
        <v>#VALUE!</v>
      </c>
      <c r="AI336" s="95" t="s">
        <v>4613</v>
      </c>
      <c r="AJ336" s="99"/>
      <c r="AK336" s="100" t="s">
        <v>43</v>
      </c>
      <c r="AL336" s="100" t="s">
        <v>43</v>
      </c>
      <c r="AM336" s="100" t="str">
        <f>IF(AL336&lt;&gt;"No Disp",AK336+12*AL336,"No Disp")</f>
        <v>No Disp</v>
      </c>
      <c r="AN336" s="100" t="s">
        <v>43</v>
      </c>
      <c r="AO336" s="100" t="s">
        <v>43</v>
      </c>
      <c r="AP336" s="100" t="str">
        <f>IF(AO336&lt;&gt;"No Disp",AN336+12*AO336,"No Disp")</f>
        <v>No Disp</v>
      </c>
      <c r="AQ336" s="100" t="s">
        <v>43</v>
      </c>
      <c r="AR336" s="100" t="s">
        <v>43</v>
      </c>
      <c r="AS336" s="100" t="str">
        <f>IF(AR336&lt;&gt;"No Disp",AQ336+12*AR336,"No Disp")</f>
        <v>No Disp</v>
      </c>
    </row>
    <row r="337" spans="1:45" s="101" customFormat="1" x14ac:dyDescent="0.25">
      <c r="A337" s="90" t="s">
        <v>38</v>
      </c>
      <c r="B337" s="90" t="s">
        <v>39</v>
      </c>
      <c r="C337" s="90" t="s">
        <v>40</v>
      </c>
      <c r="D337" s="90" t="s">
        <v>4539</v>
      </c>
      <c r="E337" s="90" t="s">
        <v>4542</v>
      </c>
      <c r="F337" s="91">
        <v>256</v>
      </c>
      <c r="G337" s="92">
        <v>70011449</v>
      </c>
      <c r="H337" s="91">
        <v>70011450</v>
      </c>
      <c r="I337" s="93" t="s">
        <v>46</v>
      </c>
      <c r="J337" s="94" t="s">
        <v>669</v>
      </c>
      <c r="K337" s="94" t="s">
        <v>699</v>
      </c>
      <c r="L337" s="94" t="s">
        <v>3800</v>
      </c>
      <c r="M337" s="95">
        <v>107760</v>
      </c>
      <c r="N337" s="95">
        <v>4000</v>
      </c>
      <c r="O337" s="95">
        <v>6000</v>
      </c>
      <c r="P337" s="96">
        <v>0</v>
      </c>
      <c r="Q337" s="152"/>
      <c r="R337" s="95">
        <v>107760</v>
      </c>
      <c r="S337" s="95">
        <f>R337/24</f>
        <v>4490</v>
      </c>
      <c r="T337" s="95">
        <v>107760</v>
      </c>
      <c r="U337" s="95">
        <f>T337/24</f>
        <v>4490</v>
      </c>
      <c r="V337" s="95">
        <v>107760</v>
      </c>
      <c r="W337" s="95">
        <f>V337/24</f>
        <v>4490</v>
      </c>
      <c r="X337" s="128"/>
      <c r="Y337" s="95">
        <v>199900</v>
      </c>
      <c r="Z337" s="95">
        <v>14000</v>
      </c>
      <c r="AA337" s="95">
        <f>IFERROR(IF(D337="Premium",0.4*Y337,0),"No Disp")</f>
        <v>0</v>
      </c>
      <c r="AB337" s="95">
        <f>IFERROR(IF(4*Y337&gt;AC337,1.5*Y337,4*Y337),"No Disp")</f>
        <v>299850</v>
      </c>
      <c r="AC337" s="95">
        <f>IF(Z337="No Disp","No Disp",(Z337*18)+Y337)</f>
        <v>451900</v>
      </c>
      <c r="AD337" s="95">
        <f>18*Z337-100+Y337</f>
        <v>451800</v>
      </c>
      <c r="AE337" s="95">
        <v>99900</v>
      </c>
      <c r="AF337" s="95">
        <v>19000</v>
      </c>
      <c r="AG337" s="95">
        <f>IF(AF337="No Disp","No Disp",(AF337*18)+AE337)</f>
        <v>441900</v>
      </c>
      <c r="AH337" s="95">
        <f>18*AF337-100+AE337</f>
        <v>441800</v>
      </c>
      <c r="AI337" s="95" t="s">
        <v>4613</v>
      </c>
      <c r="AJ337" s="99"/>
      <c r="AK337" s="100" t="s">
        <v>43</v>
      </c>
      <c r="AL337" s="100" t="s">
        <v>43</v>
      </c>
      <c r="AM337" s="100" t="str">
        <f>IF(AL337&lt;&gt;"No Disp",AK337+12*AL337,"No Disp")</f>
        <v>No Disp</v>
      </c>
      <c r="AN337" s="100" t="s">
        <v>43</v>
      </c>
      <c r="AO337" s="100" t="s">
        <v>43</v>
      </c>
      <c r="AP337" s="100" t="str">
        <f>IF(AO337&lt;&gt;"No Disp",AN337+12*AO337,"No Disp")</f>
        <v>No Disp</v>
      </c>
      <c r="AQ337" s="100" t="s">
        <v>43</v>
      </c>
      <c r="AR337" s="100" t="s">
        <v>43</v>
      </c>
      <c r="AS337" s="100" t="str">
        <f>IF(AR337&lt;&gt;"No Disp",AQ337+12*AR337,"No Disp")</f>
        <v>No Disp</v>
      </c>
    </row>
    <row r="338" spans="1:45" s="101" customFormat="1" x14ac:dyDescent="0.25">
      <c r="A338" s="90" t="s">
        <v>38</v>
      </c>
      <c r="B338" s="90" t="s">
        <v>39</v>
      </c>
      <c r="C338" s="90" t="s">
        <v>40</v>
      </c>
      <c r="D338" s="90" t="s">
        <v>4539</v>
      </c>
      <c r="E338" s="90" t="s">
        <v>4542</v>
      </c>
      <c r="F338" s="91">
        <v>257</v>
      </c>
      <c r="G338" s="92">
        <v>70011451</v>
      </c>
      <c r="H338" s="91">
        <v>70011452</v>
      </c>
      <c r="I338" s="93" t="s">
        <v>46</v>
      </c>
      <c r="J338" s="94" t="s">
        <v>669</v>
      </c>
      <c r="K338" s="94" t="s">
        <v>698</v>
      </c>
      <c r="L338" s="94" t="s">
        <v>3801</v>
      </c>
      <c r="M338" s="95">
        <v>107760</v>
      </c>
      <c r="N338" s="95">
        <v>4000</v>
      </c>
      <c r="O338" s="95">
        <v>6000</v>
      </c>
      <c r="P338" s="96">
        <v>0</v>
      </c>
      <c r="Q338" s="152"/>
      <c r="R338" s="95">
        <v>107760</v>
      </c>
      <c r="S338" s="95">
        <f>R338/24</f>
        <v>4490</v>
      </c>
      <c r="T338" s="95">
        <v>107760</v>
      </c>
      <c r="U338" s="95">
        <f>T338/24</f>
        <v>4490</v>
      </c>
      <c r="V338" s="95">
        <v>107760</v>
      </c>
      <c r="W338" s="95">
        <f>V338/24</f>
        <v>4490</v>
      </c>
      <c r="X338" s="128"/>
      <c r="Y338" s="95">
        <v>199900</v>
      </c>
      <c r="Z338" s="95">
        <v>14000</v>
      </c>
      <c r="AA338" s="95">
        <f>IFERROR(IF(D338="Premium",0.4*Y338,0),"No Disp")</f>
        <v>0</v>
      </c>
      <c r="AB338" s="95">
        <f>IFERROR(IF(4*Y338&gt;AC338,1.5*Y338,4*Y338),"No Disp")</f>
        <v>299850</v>
      </c>
      <c r="AC338" s="95">
        <f>IF(Z338="No Disp","No Disp",(Z338*18)+Y338)</f>
        <v>451900</v>
      </c>
      <c r="AD338" s="95">
        <f>18*Z338-100+Y338</f>
        <v>451800</v>
      </c>
      <c r="AE338" s="95">
        <v>99900</v>
      </c>
      <c r="AF338" s="95">
        <v>19000</v>
      </c>
      <c r="AG338" s="95">
        <f>IF(AF338="No Disp","No Disp",(AF338*18)+AE338)</f>
        <v>441900</v>
      </c>
      <c r="AH338" s="95">
        <f>18*AF338-100+AE338</f>
        <v>441800</v>
      </c>
      <c r="AI338" s="95" t="s">
        <v>4613</v>
      </c>
      <c r="AJ338" s="99"/>
      <c r="AK338" s="100" t="s">
        <v>43</v>
      </c>
      <c r="AL338" s="100" t="s">
        <v>43</v>
      </c>
      <c r="AM338" s="100" t="str">
        <f>IF(AL338&lt;&gt;"No Disp",AK338+12*AL338,"No Disp")</f>
        <v>No Disp</v>
      </c>
      <c r="AN338" s="100" t="s">
        <v>43</v>
      </c>
      <c r="AO338" s="100" t="s">
        <v>43</v>
      </c>
      <c r="AP338" s="100" t="str">
        <f>IF(AO338&lt;&gt;"No Disp",AN338+12*AO338,"No Disp")</f>
        <v>No Disp</v>
      </c>
      <c r="AQ338" s="100" t="s">
        <v>43</v>
      </c>
      <c r="AR338" s="100" t="s">
        <v>43</v>
      </c>
      <c r="AS338" s="100" t="str">
        <f>IF(AR338&lt;&gt;"No Disp",AQ338+12*AR338,"No Disp")</f>
        <v>No Disp</v>
      </c>
    </row>
    <row r="339" spans="1:45" s="101" customFormat="1" x14ac:dyDescent="0.25">
      <c r="A339" s="90" t="s">
        <v>38</v>
      </c>
      <c r="B339" s="90" t="s">
        <v>39</v>
      </c>
      <c r="C339" s="90" t="s">
        <v>40</v>
      </c>
      <c r="D339" s="90" t="s">
        <v>4537</v>
      </c>
      <c r="E339" s="90" t="s">
        <v>4542</v>
      </c>
      <c r="F339" s="91">
        <v>264</v>
      </c>
      <c r="G339" s="92">
        <v>70011455</v>
      </c>
      <c r="H339" s="91">
        <v>70011456</v>
      </c>
      <c r="I339" s="93" t="s">
        <v>46</v>
      </c>
      <c r="J339" s="94" t="s">
        <v>3802</v>
      </c>
      <c r="K339" s="94" t="s">
        <v>682</v>
      </c>
      <c r="L339" s="94" t="s">
        <v>683</v>
      </c>
      <c r="M339" s="95">
        <v>449900</v>
      </c>
      <c r="N339" s="95">
        <v>4000</v>
      </c>
      <c r="O339" s="95">
        <v>6000</v>
      </c>
      <c r="P339" s="96">
        <v>0</v>
      </c>
      <c r="Q339" s="152"/>
      <c r="R339" s="95">
        <v>459900</v>
      </c>
      <c r="S339" s="95">
        <f>R339/24</f>
        <v>19162.5</v>
      </c>
      <c r="T339" s="95">
        <v>449900</v>
      </c>
      <c r="U339" s="95">
        <f>T339/24</f>
        <v>18745.833333333332</v>
      </c>
      <c r="V339" s="95">
        <v>449900</v>
      </c>
      <c r="W339" s="95">
        <f>V339/24</f>
        <v>18745.833333333332</v>
      </c>
      <c r="X339" s="128"/>
      <c r="Y339" s="95">
        <v>249900</v>
      </c>
      <c r="Z339" s="95">
        <v>20000</v>
      </c>
      <c r="AA339" s="95">
        <f>IFERROR(IF(D339="Premium",0.4*Y339,0),"No Disp")</f>
        <v>0</v>
      </c>
      <c r="AB339" s="95">
        <f>IFERROR(IF(4*Y339&gt;AC339,1.5*Y339,4*Y339),"No Disp")</f>
        <v>374850</v>
      </c>
      <c r="AC339" s="95">
        <f>IF(Z339="No Disp","No Disp",(Z339*18)+Y339)</f>
        <v>609900</v>
      </c>
      <c r="AD339" s="95">
        <f>18*Z339-100+Y339</f>
        <v>609800</v>
      </c>
      <c r="AE339" s="95">
        <v>99900</v>
      </c>
      <c r="AF339" s="95">
        <v>28000</v>
      </c>
      <c r="AG339" s="95">
        <f>IF(AF339="No Disp","No Disp",(AF339*18)+AE339)</f>
        <v>603900</v>
      </c>
      <c r="AH339" s="95">
        <f>18*AF339-100+AE339</f>
        <v>603800</v>
      </c>
      <c r="AI339" s="95" t="s">
        <v>4613</v>
      </c>
      <c r="AJ339" s="99"/>
      <c r="AK339" s="100" t="s">
        <v>43</v>
      </c>
      <c r="AL339" s="100" t="s">
        <v>43</v>
      </c>
      <c r="AM339" s="100" t="str">
        <f>IF(AL339&lt;&gt;"No Disp",AK339+12*AL339,"No Disp")</f>
        <v>No Disp</v>
      </c>
      <c r="AN339" s="100" t="s">
        <v>43</v>
      </c>
      <c r="AO339" s="100" t="s">
        <v>43</v>
      </c>
      <c r="AP339" s="100" t="str">
        <f>IF(AO339&lt;&gt;"No Disp",AN339+12*AO339,"No Disp")</f>
        <v>No Disp</v>
      </c>
      <c r="AQ339" s="100" t="s">
        <v>43</v>
      </c>
      <c r="AR339" s="100" t="s">
        <v>43</v>
      </c>
      <c r="AS339" s="100" t="str">
        <f>IF(AR339&lt;&gt;"No Disp",AQ339+12*AR339,"No Disp")</f>
        <v>No Disp</v>
      </c>
    </row>
    <row r="340" spans="1:45" s="101" customFormat="1" x14ac:dyDescent="0.25">
      <c r="A340" s="90" t="s">
        <v>38</v>
      </c>
      <c r="B340" s="90" t="s">
        <v>39</v>
      </c>
      <c r="C340" s="90" t="s">
        <v>40</v>
      </c>
      <c r="D340" s="90" t="s">
        <v>4537</v>
      </c>
      <c r="E340" s="90" t="s">
        <v>4542</v>
      </c>
      <c r="F340" s="91">
        <v>265</v>
      </c>
      <c r="G340" s="92">
        <v>70011459</v>
      </c>
      <c r="H340" s="91">
        <v>70011460</v>
      </c>
      <c r="I340" s="93" t="s">
        <v>46</v>
      </c>
      <c r="J340" s="94" t="s">
        <v>3802</v>
      </c>
      <c r="K340" s="94" t="s">
        <v>680</v>
      </c>
      <c r="L340" s="94" t="s">
        <v>681</v>
      </c>
      <c r="M340" s="95">
        <v>449900</v>
      </c>
      <c r="N340" s="95">
        <v>4000</v>
      </c>
      <c r="O340" s="95">
        <v>6000</v>
      </c>
      <c r="P340" s="96">
        <v>0</v>
      </c>
      <c r="Q340" s="152"/>
      <c r="R340" s="95">
        <v>459900</v>
      </c>
      <c r="S340" s="95">
        <f>R340/24</f>
        <v>19162.5</v>
      </c>
      <c r="T340" s="95">
        <v>449900</v>
      </c>
      <c r="U340" s="95">
        <f>T340/24</f>
        <v>18745.833333333332</v>
      </c>
      <c r="V340" s="95">
        <v>449900</v>
      </c>
      <c r="W340" s="95">
        <f>V340/24</f>
        <v>18745.833333333332</v>
      </c>
      <c r="X340" s="128"/>
      <c r="Y340" s="95">
        <v>249900</v>
      </c>
      <c r="Z340" s="95">
        <v>20000</v>
      </c>
      <c r="AA340" s="95">
        <f>IFERROR(IF(D340="Premium",0.4*Y340,0),"No Disp")</f>
        <v>0</v>
      </c>
      <c r="AB340" s="95">
        <f>IFERROR(IF(4*Y340&gt;AC340,1.5*Y340,4*Y340),"No Disp")</f>
        <v>374850</v>
      </c>
      <c r="AC340" s="95">
        <f>IF(Z340="No Disp","No Disp",(Z340*18)+Y340)</f>
        <v>609900</v>
      </c>
      <c r="AD340" s="95">
        <f>18*Z340-100+Y340</f>
        <v>609800</v>
      </c>
      <c r="AE340" s="95">
        <v>99900</v>
      </c>
      <c r="AF340" s="95">
        <v>28000</v>
      </c>
      <c r="AG340" s="95">
        <f>IF(AF340="No Disp","No Disp",(AF340*18)+AE340)</f>
        <v>603900</v>
      </c>
      <c r="AH340" s="95">
        <f>18*AF340-100+AE340</f>
        <v>603800</v>
      </c>
      <c r="AI340" s="95" t="s">
        <v>4613</v>
      </c>
      <c r="AJ340" s="99"/>
      <c r="AK340" s="100" t="s">
        <v>43</v>
      </c>
      <c r="AL340" s="100" t="s">
        <v>43</v>
      </c>
      <c r="AM340" s="100" t="str">
        <f>IF(AL340&lt;&gt;"No Disp",AK340+12*AL340,"No Disp")</f>
        <v>No Disp</v>
      </c>
      <c r="AN340" s="100" t="s">
        <v>43</v>
      </c>
      <c r="AO340" s="100" t="s">
        <v>43</v>
      </c>
      <c r="AP340" s="100" t="str">
        <f>IF(AO340&lt;&gt;"No Disp",AN340+12*AO340,"No Disp")</f>
        <v>No Disp</v>
      </c>
      <c r="AQ340" s="100" t="s">
        <v>43</v>
      </c>
      <c r="AR340" s="100" t="s">
        <v>43</v>
      </c>
      <c r="AS340" s="100" t="str">
        <f>IF(AR340&lt;&gt;"No Disp",AQ340+12*AR340,"No Disp")</f>
        <v>No Disp</v>
      </c>
    </row>
    <row r="341" spans="1:45" s="101" customFormat="1" x14ac:dyDescent="0.25">
      <c r="A341" s="90" t="s">
        <v>38</v>
      </c>
      <c r="B341" s="90" t="s">
        <v>39</v>
      </c>
      <c r="C341" s="90" t="s">
        <v>40</v>
      </c>
      <c r="D341" s="90" t="s">
        <v>4537</v>
      </c>
      <c r="E341" s="90" t="s">
        <v>4542</v>
      </c>
      <c r="F341" s="91">
        <v>266</v>
      </c>
      <c r="G341" s="92">
        <v>70011467</v>
      </c>
      <c r="H341" s="91">
        <v>70011468</v>
      </c>
      <c r="I341" s="93" t="s">
        <v>46</v>
      </c>
      <c r="J341" s="94" t="s">
        <v>671</v>
      </c>
      <c r="K341" s="94" t="s">
        <v>678</v>
      </c>
      <c r="L341" s="94" t="s">
        <v>679</v>
      </c>
      <c r="M341" s="95">
        <v>449900</v>
      </c>
      <c r="N341" s="95">
        <v>4000</v>
      </c>
      <c r="O341" s="95">
        <v>6000</v>
      </c>
      <c r="P341" s="96">
        <v>0</v>
      </c>
      <c r="Q341" s="152"/>
      <c r="R341" s="95">
        <v>459900</v>
      </c>
      <c r="S341" s="95">
        <f>R341/24</f>
        <v>19162.5</v>
      </c>
      <c r="T341" s="95">
        <v>449900</v>
      </c>
      <c r="U341" s="95">
        <f>T341/24</f>
        <v>18745.833333333332</v>
      </c>
      <c r="V341" s="95">
        <v>449900</v>
      </c>
      <c r="W341" s="95">
        <f>V341/24</f>
        <v>18745.833333333332</v>
      </c>
      <c r="X341" s="128"/>
      <c r="Y341" s="95">
        <v>249900</v>
      </c>
      <c r="Z341" s="95">
        <v>20000</v>
      </c>
      <c r="AA341" s="95">
        <f>IFERROR(IF(D341="Premium",0.4*Y341,0),"No Disp")</f>
        <v>0</v>
      </c>
      <c r="AB341" s="95">
        <f>IFERROR(IF(4*Y341&gt;AC341,1.5*Y341,4*Y341),"No Disp")</f>
        <v>374850</v>
      </c>
      <c r="AC341" s="95">
        <f>IF(Z341="No Disp","No Disp",(Z341*18)+Y341)</f>
        <v>609900</v>
      </c>
      <c r="AD341" s="95">
        <f>18*Z341-100+Y341</f>
        <v>609800</v>
      </c>
      <c r="AE341" s="95">
        <v>99900</v>
      </c>
      <c r="AF341" s="95">
        <v>28000</v>
      </c>
      <c r="AG341" s="95">
        <f>IF(AF341="No Disp","No Disp",(AF341*18)+AE341)</f>
        <v>603900</v>
      </c>
      <c r="AH341" s="98">
        <f>18*AF341-100+AE341</f>
        <v>603800</v>
      </c>
      <c r="AI341" s="95" t="s">
        <v>4613</v>
      </c>
      <c r="AJ341" s="99"/>
      <c r="AK341" s="100" t="s">
        <v>43</v>
      </c>
      <c r="AL341" s="100" t="s">
        <v>43</v>
      </c>
      <c r="AM341" s="100" t="str">
        <f>IF(AL341&lt;&gt;"No Disp",AK341+12*AL341,"No Disp")</f>
        <v>No Disp</v>
      </c>
      <c r="AN341" s="100" t="s">
        <v>43</v>
      </c>
      <c r="AO341" s="100" t="s">
        <v>43</v>
      </c>
      <c r="AP341" s="100" t="str">
        <f>IF(AO341&lt;&gt;"No Disp",AN341+12*AO341,"No Disp")</f>
        <v>No Disp</v>
      </c>
      <c r="AQ341" s="100" t="s">
        <v>43</v>
      </c>
      <c r="AR341" s="100" t="s">
        <v>43</v>
      </c>
      <c r="AS341" s="100" t="str">
        <f>IF(AR341&lt;&gt;"No Disp",AQ341+12*AR341,"No Disp")</f>
        <v>No Disp</v>
      </c>
    </row>
    <row r="342" spans="1:45" s="101" customFormat="1" x14ac:dyDescent="0.25">
      <c r="A342" s="90" t="s">
        <v>38</v>
      </c>
      <c r="B342" s="90" t="s">
        <v>39</v>
      </c>
      <c r="C342" s="90" t="s">
        <v>40</v>
      </c>
      <c r="D342" s="90" t="s">
        <v>4537</v>
      </c>
      <c r="E342" s="90" t="s">
        <v>4542</v>
      </c>
      <c r="F342" s="91">
        <v>278</v>
      </c>
      <c r="G342" s="92">
        <v>70011469</v>
      </c>
      <c r="H342" s="91">
        <v>70011470</v>
      </c>
      <c r="I342" s="93" t="s">
        <v>87</v>
      </c>
      <c r="J342" s="94" t="s">
        <v>653</v>
      </c>
      <c r="K342" s="94" t="s">
        <v>656</v>
      </c>
      <c r="L342" s="94" t="s">
        <v>657</v>
      </c>
      <c r="M342" s="95">
        <v>209900</v>
      </c>
      <c r="N342" s="95">
        <v>4000</v>
      </c>
      <c r="O342" s="95">
        <v>6000</v>
      </c>
      <c r="P342" s="96">
        <v>0</v>
      </c>
      <c r="Q342" s="152"/>
      <c r="R342" s="95">
        <v>209900</v>
      </c>
      <c r="S342" s="95">
        <f>R342/24</f>
        <v>8745.8333333333339</v>
      </c>
      <c r="T342" s="95">
        <v>209900</v>
      </c>
      <c r="U342" s="95">
        <f>T342/24</f>
        <v>8745.8333333333339</v>
      </c>
      <c r="V342" s="95">
        <v>209900</v>
      </c>
      <c r="W342" s="95">
        <f>V342/24</f>
        <v>8745.8333333333339</v>
      </c>
      <c r="X342" s="128"/>
      <c r="Y342" s="95">
        <v>299900</v>
      </c>
      <c r="Z342" s="95">
        <v>16000</v>
      </c>
      <c r="AA342" s="95">
        <f>IFERROR(IF(D342="Premium",0.4*Y342,0),"No Disp")</f>
        <v>0</v>
      </c>
      <c r="AB342" s="95">
        <f>IFERROR(IF(4*Y342&gt;AC342,1.5*Y342,4*Y342),"No Disp")</f>
        <v>449850</v>
      </c>
      <c r="AC342" s="95">
        <f>IF(Z342="No Disp","No Disp",(Z342*18)+Y342)</f>
        <v>587900</v>
      </c>
      <c r="AD342" s="95">
        <f>18*Z342-100+Y342</f>
        <v>587800</v>
      </c>
      <c r="AE342" s="95">
        <v>19900</v>
      </c>
      <c r="AF342" s="95">
        <v>18000</v>
      </c>
      <c r="AG342" s="95">
        <f>IF(AF342="No Disp","No Disp",(AF342*18)+AE342)</f>
        <v>343900</v>
      </c>
      <c r="AH342" s="98">
        <f>18*AF342-100+AE342</f>
        <v>343800</v>
      </c>
      <c r="AI342" s="95" t="s">
        <v>4613</v>
      </c>
      <c r="AJ342" s="99"/>
      <c r="AK342" s="100" t="s">
        <v>43</v>
      </c>
      <c r="AL342" s="100" t="s">
        <v>43</v>
      </c>
      <c r="AM342" s="100" t="str">
        <f>IF(AL342&lt;&gt;"No Disp",AK342+12*AL342,"No Disp")</f>
        <v>No Disp</v>
      </c>
      <c r="AN342" s="100" t="s">
        <v>43</v>
      </c>
      <c r="AO342" s="100" t="s">
        <v>43</v>
      </c>
      <c r="AP342" s="100" t="str">
        <f>IF(AO342&lt;&gt;"No Disp",AN342+12*AO342,"No Disp")</f>
        <v>No Disp</v>
      </c>
      <c r="AQ342" s="100" t="s">
        <v>43</v>
      </c>
      <c r="AR342" s="100" t="s">
        <v>43</v>
      </c>
      <c r="AS342" s="100" t="str">
        <f>IF(AR342&lt;&gt;"No Disp",AQ342+12*AR342,"No Disp")</f>
        <v>No Disp</v>
      </c>
    </row>
    <row r="343" spans="1:45" s="101" customFormat="1" x14ac:dyDescent="0.25">
      <c r="A343" s="90" t="s">
        <v>102</v>
      </c>
      <c r="B343" s="90" t="s">
        <v>39</v>
      </c>
      <c r="C343" s="90" t="s">
        <v>40</v>
      </c>
      <c r="D343" s="90" t="s">
        <v>4539</v>
      </c>
      <c r="E343" s="90" t="s">
        <v>4542</v>
      </c>
      <c r="F343" s="91">
        <v>285</v>
      </c>
      <c r="G343" s="92">
        <v>70011471</v>
      </c>
      <c r="H343" s="91">
        <v>70011472</v>
      </c>
      <c r="I343" s="93" t="s">
        <v>171</v>
      </c>
      <c r="J343" s="94" t="s">
        <v>3803</v>
      </c>
      <c r="K343" s="94" t="s">
        <v>641</v>
      </c>
      <c r="L343" s="94" t="s">
        <v>642</v>
      </c>
      <c r="M343" s="95">
        <v>69900</v>
      </c>
      <c r="N343" s="95">
        <v>2500</v>
      </c>
      <c r="O343" s="95">
        <v>4000</v>
      </c>
      <c r="P343" s="96">
        <v>0</v>
      </c>
      <c r="Q343" s="152"/>
      <c r="R343" s="95">
        <v>69900</v>
      </c>
      <c r="S343" s="95">
        <f>R343/24</f>
        <v>2912.5</v>
      </c>
      <c r="T343" s="95">
        <v>69900</v>
      </c>
      <c r="U343" s="95">
        <f>T343/24</f>
        <v>2912.5</v>
      </c>
      <c r="V343" s="95">
        <v>69900</v>
      </c>
      <c r="W343" s="95">
        <f>V343/24</f>
        <v>2912.5</v>
      </c>
      <c r="X343" s="128"/>
      <c r="Y343" s="95">
        <v>39900</v>
      </c>
      <c r="Z343" s="95">
        <v>4000</v>
      </c>
      <c r="AA343" s="95">
        <f>IFERROR(IF(D343="Premium",0.4*Y343,0),"No Disp")</f>
        <v>0</v>
      </c>
      <c r="AB343" s="95">
        <f>IFERROR(IF(4*Y343&gt;AC343,1.5*Y343,4*Y343),"No Disp")</f>
        <v>59850</v>
      </c>
      <c r="AC343" s="95">
        <f>IF(Z343="No Disp","No Disp",(Z343*18)+Y343)</f>
        <v>111900</v>
      </c>
      <c r="AD343" s="95">
        <f>18*Z343-100+Y343</f>
        <v>111800</v>
      </c>
      <c r="AE343" s="95">
        <v>19900</v>
      </c>
      <c r="AF343" s="95">
        <v>4000</v>
      </c>
      <c r="AG343" s="95">
        <f>IF(AF343="No Disp","No Disp",(AF343*18)+AE343)</f>
        <v>91900</v>
      </c>
      <c r="AH343" s="98">
        <f>18*AF343-100+AE343</f>
        <v>91800</v>
      </c>
      <c r="AI343" s="95" t="s">
        <v>4613</v>
      </c>
      <c r="AJ343" s="99"/>
      <c r="AK343" s="100" t="s">
        <v>43</v>
      </c>
      <c r="AL343" s="100" t="s">
        <v>43</v>
      </c>
      <c r="AM343" s="100" t="str">
        <f>IF(AL343&lt;&gt;"No Disp",AK343+12*AL343,"No Disp")</f>
        <v>No Disp</v>
      </c>
      <c r="AN343" s="100" t="s">
        <v>43</v>
      </c>
      <c r="AO343" s="100" t="s">
        <v>43</v>
      </c>
      <c r="AP343" s="100" t="str">
        <f>IF(AO343&lt;&gt;"No Disp",AN343+12*AO343,"No Disp")</f>
        <v>No Disp</v>
      </c>
      <c r="AQ343" s="100" t="s">
        <v>43</v>
      </c>
      <c r="AR343" s="100" t="s">
        <v>43</v>
      </c>
      <c r="AS343" s="100" t="str">
        <f>IF(AR343&lt;&gt;"No Disp",AQ343+12*AR343,"No Disp")</f>
        <v>No Disp</v>
      </c>
    </row>
    <row r="344" spans="1:45" s="101" customFormat="1" x14ac:dyDescent="0.25">
      <c r="A344" s="90" t="s">
        <v>38</v>
      </c>
      <c r="B344" s="90" t="s">
        <v>39</v>
      </c>
      <c r="C344" s="90" t="s">
        <v>40</v>
      </c>
      <c r="D344" s="90" t="s">
        <v>4539</v>
      </c>
      <c r="E344" s="90" t="s">
        <v>4542</v>
      </c>
      <c r="F344" s="91">
        <v>380</v>
      </c>
      <c r="G344" s="92">
        <v>70011482</v>
      </c>
      <c r="H344" s="91">
        <v>70011483</v>
      </c>
      <c r="I344" s="93" t="s">
        <v>131</v>
      </c>
      <c r="J344" s="94" t="s">
        <v>3804</v>
      </c>
      <c r="K344" s="94" t="s">
        <v>445</v>
      </c>
      <c r="L344" s="94" t="s">
        <v>446</v>
      </c>
      <c r="M344" s="95">
        <v>272900</v>
      </c>
      <c r="N344" s="95">
        <v>4000</v>
      </c>
      <c r="O344" s="95">
        <v>6000</v>
      </c>
      <c r="P344" s="96">
        <v>0</v>
      </c>
      <c r="Q344" s="152"/>
      <c r="R344" s="95">
        <v>272900</v>
      </c>
      <c r="S344" s="95">
        <f>R344/24</f>
        <v>11370.833333333334</v>
      </c>
      <c r="T344" s="95">
        <v>272900</v>
      </c>
      <c r="U344" s="95">
        <f>T344/24</f>
        <v>11370.833333333334</v>
      </c>
      <c r="V344" s="95">
        <v>272900</v>
      </c>
      <c r="W344" s="95">
        <f>V344/24</f>
        <v>11370.833333333334</v>
      </c>
      <c r="X344" s="128"/>
      <c r="Y344" s="95">
        <v>121900</v>
      </c>
      <c r="Z344" s="95">
        <v>16500</v>
      </c>
      <c r="AA344" s="95">
        <f>IFERROR(IF(D344="Premium",0.4*Y344,0),"No Disp")</f>
        <v>0</v>
      </c>
      <c r="AB344" s="95">
        <f>IFERROR(IF(4*Y344&gt;AC344,1.5*Y344,4*Y344),"No Disp")</f>
        <v>182850</v>
      </c>
      <c r="AC344" s="95">
        <f>IF(Z344="No Disp","No Disp",(Z344*18)+Y344)</f>
        <v>418900</v>
      </c>
      <c r="AD344" s="95">
        <f>18*Z344-100+Y344</f>
        <v>418800</v>
      </c>
      <c r="AE344" s="95">
        <v>19900</v>
      </c>
      <c r="AF344" s="95">
        <v>22000</v>
      </c>
      <c r="AG344" s="95">
        <f>IF(AF344="No Disp","No Disp",(AF344*18)+AE344)</f>
        <v>415900</v>
      </c>
      <c r="AH344" s="98">
        <f>18*AF344-100+AE344</f>
        <v>415800</v>
      </c>
      <c r="AI344" s="95" t="s">
        <v>4613</v>
      </c>
      <c r="AJ344" s="99"/>
      <c r="AK344" s="100" t="s">
        <v>43</v>
      </c>
      <c r="AL344" s="100" t="s">
        <v>43</v>
      </c>
      <c r="AM344" s="100" t="str">
        <f>IF(AL344&lt;&gt;"No Disp",AK344+12*AL344,"No Disp")</f>
        <v>No Disp</v>
      </c>
      <c r="AN344" s="100" t="s">
        <v>43</v>
      </c>
      <c r="AO344" s="100" t="s">
        <v>43</v>
      </c>
      <c r="AP344" s="100" t="str">
        <f>IF(AO344&lt;&gt;"No Disp",AN344+12*AO344,"No Disp")</f>
        <v>No Disp</v>
      </c>
      <c r="AQ344" s="100" t="s">
        <v>43</v>
      </c>
      <c r="AR344" s="100" t="s">
        <v>43</v>
      </c>
      <c r="AS344" s="100" t="str">
        <f>IF(AR344&lt;&gt;"No Disp",AQ344+12*AR344,"No Disp")</f>
        <v>No Disp</v>
      </c>
    </row>
    <row r="345" spans="1:45" s="101" customFormat="1" x14ac:dyDescent="0.25">
      <c r="A345" s="90" t="s">
        <v>38</v>
      </c>
      <c r="B345" s="90" t="s">
        <v>39</v>
      </c>
      <c r="C345" s="90" t="s">
        <v>40</v>
      </c>
      <c r="D345" s="90" t="s">
        <v>4541</v>
      </c>
      <c r="E345" s="90" t="s">
        <v>4542</v>
      </c>
      <c r="F345" s="91">
        <v>319</v>
      </c>
      <c r="G345" s="92">
        <v>70011484</v>
      </c>
      <c r="H345" s="91">
        <v>70011485</v>
      </c>
      <c r="I345" s="93" t="s">
        <v>112</v>
      </c>
      <c r="J345" s="94" t="s">
        <v>3805</v>
      </c>
      <c r="K345" s="94" t="s">
        <v>569</v>
      </c>
      <c r="L345" s="94" t="s">
        <v>570</v>
      </c>
      <c r="M345" s="95">
        <v>44900</v>
      </c>
      <c r="N345" s="95">
        <v>2500</v>
      </c>
      <c r="O345" s="95">
        <v>4000</v>
      </c>
      <c r="P345" s="96">
        <v>0</v>
      </c>
      <c r="Q345" s="152"/>
      <c r="R345" s="95">
        <v>44900</v>
      </c>
      <c r="S345" s="95">
        <f>R345/24</f>
        <v>1870.8333333333333</v>
      </c>
      <c r="T345" s="95">
        <v>44900</v>
      </c>
      <c r="U345" s="95">
        <f>T345/24</f>
        <v>1870.8333333333333</v>
      </c>
      <c r="V345" s="95">
        <v>44900</v>
      </c>
      <c r="W345" s="95">
        <f>V345/24</f>
        <v>1870.8333333333333</v>
      </c>
      <c r="X345" s="128"/>
      <c r="Y345" s="95">
        <v>28900</v>
      </c>
      <c r="Z345" s="95">
        <v>3000</v>
      </c>
      <c r="AA345" s="95">
        <f>IFERROR(IF(D345="Premium",0.4*Y345,0),"No Disp")</f>
        <v>0</v>
      </c>
      <c r="AB345" s="95">
        <f>IFERROR(IF(4*Y345&gt;AC345,1.5*Y345,4*Y345),"No Disp")</f>
        <v>43350</v>
      </c>
      <c r="AC345" s="95">
        <f>IF(Z345="No Disp","No Disp",(Z345*18)+Y345)</f>
        <v>82900</v>
      </c>
      <c r="AD345" s="95">
        <f>18*Z345-100+Y345</f>
        <v>82800</v>
      </c>
      <c r="AE345" s="95">
        <v>9900</v>
      </c>
      <c r="AF345" s="95">
        <v>3000</v>
      </c>
      <c r="AG345" s="95">
        <f>IF(AF345="No Disp","No Disp",(AF345*18)+AE345)</f>
        <v>63900</v>
      </c>
      <c r="AH345" s="98">
        <f>18*AF345-100+AE345</f>
        <v>63800</v>
      </c>
      <c r="AI345" s="95" t="s">
        <v>4613</v>
      </c>
      <c r="AJ345" s="99"/>
      <c r="AK345" s="100" t="s">
        <v>43</v>
      </c>
      <c r="AL345" s="100" t="s">
        <v>43</v>
      </c>
      <c r="AM345" s="100" t="str">
        <f>IF(AL345&lt;&gt;"No Disp",AK345+12*AL345,"No Disp")</f>
        <v>No Disp</v>
      </c>
      <c r="AN345" s="100" t="s">
        <v>43</v>
      </c>
      <c r="AO345" s="100" t="s">
        <v>43</v>
      </c>
      <c r="AP345" s="100" t="str">
        <f>IF(AO345&lt;&gt;"No Disp",AN345+12*AO345,"No Disp")</f>
        <v>No Disp</v>
      </c>
      <c r="AQ345" s="100" t="s">
        <v>43</v>
      </c>
      <c r="AR345" s="100" t="s">
        <v>43</v>
      </c>
      <c r="AS345" s="100" t="str">
        <f>IF(AR345&lt;&gt;"No Disp",AQ345+12*AR345,"No Disp")</f>
        <v>No Disp</v>
      </c>
    </row>
    <row r="346" spans="1:45" s="101" customFormat="1" x14ac:dyDescent="0.25">
      <c r="A346" s="90" t="s">
        <v>38</v>
      </c>
      <c r="B346" s="90" t="s">
        <v>39</v>
      </c>
      <c r="C346" s="90" t="s">
        <v>40</v>
      </c>
      <c r="D346" s="90" t="s">
        <v>4541</v>
      </c>
      <c r="E346" s="90" t="s">
        <v>4542</v>
      </c>
      <c r="F346" s="91">
        <v>286</v>
      </c>
      <c r="G346" s="92">
        <v>70011507</v>
      </c>
      <c r="H346" s="91">
        <v>70011548</v>
      </c>
      <c r="I346" s="93" t="s">
        <v>41</v>
      </c>
      <c r="J346" s="94" t="s">
        <v>638</v>
      </c>
      <c r="K346" s="94" t="s">
        <v>639</v>
      </c>
      <c r="L346" s="94" t="s">
        <v>640</v>
      </c>
      <c r="M346" s="95">
        <v>69900</v>
      </c>
      <c r="N346" s="95">
        <v>2500</v>
      </c>
      <c r="O346" s="95">
        <v>4000</v>
      </c>
      <c r="P346" s="96">
        <v>249990</v>
      </c>
      <c r="Q346" s="152"/>
      <c r="R346" s="95">
        <v>89990</v>
      </c>
      <c r="S346" s="95">
        <f>R346/24</f>
        <v>3749.5833333333335</v>
      </c>
      <c r="T346" s="95">
        <v>69900</v>
      </c>
      <c r="U346" s="95">
        <f>T346/24</f>
        <v>2912.5</v>
      </c>
      <c r="V346" s="95">
        <v>69900</v>
      </c>
      <c r="W346" s="95">
        <f>V346/24</f>
        <v>2912.5</v>
      </c>
      <c r="X346" s="128"/>
      <c r="Y346" s="95">
        <v>19900</v>
      </c>
      <c r="Z346" s="95">
        <v>11000</v>
      </c>
      <c r="AA346" s="95">
        <f>IFERROR(IF(D346="Premium",0.4*Y346,0),"No Disp")</f>
        <v>0</v>
      </c>
      <c r="AB346" s="95">
        <f>IFERROR(IF(4*Y346&gt;AC346,1.5*Y346,4*Y346),"No Disp")</f>
        <v>79600</v>
      </c>
      <c r="AC346" s="95">
        <f>IF(Z346="No Disp","No Disp",(Z346*18)+Y346)</f>
        <v>217900</v>
      </c>
      <c r="AD346" s="95">
        <f>18*Z346-100+Y346</f>
        <v>217800</v>
      </c>
      <c r="AE346" s="95">
        <v>0</v>
      </c>
      <c r="AF346" s="95">
        <v>15000</v>
      </c>
      <c r="AG346" s="95">
        <f>IF(AF346="No Disp","No Disp",(AF346*18)+AE346)</f>
        <v>270000</v>
      </c>
      <c r="AH346" s="98">
        <f>18*AF346-100+AE346</f>
        <v>269900</v>
      </c>
      <c r="AI346" s="95" t="s">
        <v>4613</v>
      </c>
      <c r="AJ346" s="99"/>
      <c r="AK346" s="100" t="s">
        <v>43</v>
      </c>
      <c r="AL346" s="100" t="s">
        <v>43</v>
      </c>
      <c r="AM346" s="100" t="str">
        <f>IF(AL346&lt;&gt;"No Disp",AK346+12*AL346,"No Disp")</f>
        <v>No Disp</v>
      </c>
      <c r="AN346" s="100" t="s">
        <v>43</v>
      </c>
      <c r="AO346" s="100" t="s">
        <v>43</v>
      </c>
      <c r="AP346" s="100" t="str">
        <f>IF(AO346&lt;&gt;"No Disp",AN346+12*AO346,"No Disp")</f>
        <v>No Disp</v>
      </c>
      <c r="AQ346" s="100" t="s">
        <v>43</v>
      </c>
      <c r="AR346" s="100" t="s">
        <v>43</v>
      </c>
      <c r="AS346" s="100" t="str">
        <f>IF(AR346&lt;&gt;"No Disp",AQ346+12*AR346,"No Disp")</f>
        <v>No Disp</v>
      </c>
    </row>
    <row r="347" spans="1:45" s="101" customFormat="1" x14ac:dyDescent="0.25">
      <c r="A347" s="90" t="s">
        <v>102</v>
      </c>
      <c r="B347" s="90" t="s">
        <v>39</v>
      </c>
      <c r="C347" s="90" t="s">
        <v>40</v>
      </c>
      <c r="D347" s="90" t="s">
        <v>4539</v>
      </c>
      <c r="E347" s="90" t="s">
        <v>4542</v>
      </c>
      <c r="F347" s="91">
        <v>287</v>
      </c>
      <c r="G347" s="92">
        <v>70011549</v>
      </c>
      <c r="H347" s="91">
        <v>70011550</v>
      </c>
      <c r="I347" s="93" t="s">
        <v>87</v>
      </c>
      <c r="J347" s="94" t="s">
        <v>3806</v>
      </c>
      <c r="K347" s="94" t="s">
        <v>636</v>
      </c>
      <c r="L347" s="94" t="s">
        <v>637</v>
      </c>
      <c r="M347" s="95">
        <v>174900</v>
      </c>
      <c r="N347" s="95">
        <v>2500</v>
      </c>
      <c r="O347" s="95">
        <v>4000</v>
      </c>
      <c r="P347" s="96">
        <v>0</v>
      </c>
      <c r="Q347" s="152"/>
      <c r="R347" s="95">
        <v>174900</v>
      </c>
      <c r="S347" s="95">
        <f>R347/24</f>
        <v>7287.5</v>
      </c>
      <c r="T347" s="95">
        <v>174900</v>
      </c>
      <c r="U347" s="95">
        <f>T347/24</f>
        <v>7287.5</v>
      </c>
      <c r="V347" s="95">
        <v>174900</v>
      </c>
      <c r="W347" s="95">
        <f>V347/24</f>
        <v>7287.5</v>
      </c>
      <c r="X347" s="128"/>
      <c r="Y347" s="95">
        <v>239900</v>
      </c>
      <c r="Z347" s="95">
        <v>11500</v>
      </c>
      <c r="AA347" s="95">
        <f>IFERROR(IF(D347="Premium",0.4*Y347,0),"No Disp")</f>
        <v>0</v>
      </c>
      <c r="AB347" s="95">
        <f>IFERROR(IF(4*Y347&gt;AC347,1.5*Y347,4*Y347),"No Disp")</f>
        <v>359850</v>
      </c>
      <c r="AC347" s="95">
        <f>IF(Z347="No Disp","No Disp",(Z347*18)+Y347)</f>
        <v>446900</v>
      </c>
      <c r="AD347" s="95">
        <f>18*Z347-100+Y347</f>
        <v>446800</v>
      </c>
      <c r="AE347" s="95">
        <v>49900</v>
      </c>
      <c r="AF347" s="95">
        <v>10500</v>
      </c>
      <c r="AG347" s="95">
        <f>IF(AF347="No Disp","No Disp",(AF347*18)+AE347)</f>
        <v>238900</v>
      </c>
      <c r="AH347" s="98">
        <f>18*AF347-100+AE347</f>
        <v>238800</v>
      </c>
      <c r="AI347" s="95" t="s">
        <v>4613</v>
      </c>
      <c r="AJ347" s="99"/>
      <c r="AK347" s="100" t="s">
        <v>43</v>
      </c>
      <c r="AL347" s="100" t="s">
        <v>43</v>
      </c>
      <c r="AM347" s="100" t="str">
        <f>IF(AL347&lt;&gt;"No Disp",AK347+12*AL347,"No Disp")</f>
        <v>No Disp</v>
      </c>
      <c r="AN347" s="100" t="s">
        <v>43</v>
      </c>
      <c r="AO347" s="100" t="s">
        <v>43</v>
      </c>
      <c r="AP347" s="100" t="str">
        <f>IF(AO347&lt;&gt;"No Disp",AN347+12*AO347,"No Disp")</f>
        <v>No Disp</v>
      </c>
      <c r="AQ347" s="100" t="s">
        <v>43</v>
      </c>
      <c r="AR347" s="100" t="s">
        <v>43</v>
      </c>
      <c r="AS347" s="100" t="str">
        <f>IF(AR347&lt;&gt;"No Disp",AQ347+12*AR347,"No Disp")</f>
        <v>No Disp</v>
      </c>
    </row>
    <row r="348" spans="1:45" s="101" customFormat="1" x14ac:dyDescent="0.25">
      <c r="A348" s="90" t="s">
        <v>38</v>
      </c>
      <c r="B348" s="90" t="s">
        <v>39</v>
      </c>
      <c r="C348" s="90" t="s">
        <v>40</v>
      </c>
      <c r="D348" s="90" t="s">
        <v>4539</v>
      </c>
      <c r="E348" s="90" t="s">
        <v>4542</v>
      </c>
      <c r="F348" s="91">
        <v>270</v>
      </c>
      <c r="G348" s="92">
        <v>70011556</v>
      </c>
      <c r="H348" s="91">
        <v>70011557</v>
      </c>
      <c r="I348" s="93" t="s">
        <v>46</v>
      </c>
      <c r="J348" s="94" t="s">
        <v>669</v>
      </c>
      <c r="K348" s="94" t="s">
        <v>670</v>
      </c>
      <c r="L348" s="94" t="s">
        <v>3807</v>
      </c>
      <c r="M348" s="95">
        <v>107760</v>
      </c>
      <c r="N348" s="95">
        <v>4000</v>
      </c>
      <c r="O348" s="95">
        <v>6000</v>
      </c>
      <c r="P348" s="96">
        <v>0</v>
      </c>
      <c r="Q348" s="152"/>
      <c r="R348" s="95">
        <v>107760</v>
      </c>
      <c r="S348" s="95">
        <f>R348/24</f>
        <v>4490</v>
      </c>
      <c r="T348" s="95">
        <v>107760</v>
      </c>
      <c r="U348" s="95">
        <f>T348/24</f>
        <v>4490</v>
      </c>
      <c r="V348" s="95">
        <v>107760</v>
      </c>
      <c r="W348" s="95">
        <f>V348/24</f>
        <v>4490</v>
      </c>
      <c r="X348" s="128"/>
      <c r="Y348" s="95">
        <v>199900</v>
      </c>
      <c r="Z348" s="95">
        <v>14000</v>
      </c>
      <c r="AA348" s="95">
        <f>IFERROR(IF(D348="Premium",0.4*Y348,0),"No Disp")</f>
        <v>0</v>
      </c>
      <c r="AB348" s="95">
        <f>IFERROR(IF(4*Y348&gt;AC348,1.5*Y348,4*Y348),"No Disp")</f>
        <v>299850</v>
      </c>
      <c r="AC348" s="95">
        <f>IF(Z348="No Disp","No Disp",(Z348*18)+Y348)</f>
        <v>451900</v>
      </c>
      <c r="AD348" s="95">
        <f>18*Z348-100+Y348</f>
        <v>451800</v>
      </c>
      <c r="AE348" s="95">
        <v>99900</v>
      </c>
      <c r="AF348" s="95">
        <v>19000</v>
      </c>
      <c r="AG348" s="95">
        <f>IF(AF348="No Disp","No Disp",(AF348*18)+AE348)</f>
        <v>441900</v>
      </c>
      <c r="AH348" s="98">
        <f>18*AF348-100+AE348</f>
        <v>441800</v>
      </c>
      <c r="AI348" s="95" t="s">
        <v>4613</v>
      </c>
      <c r="AJ348" s="99"/>
      <c r="AK348" s="100" t="s">
        <v>43</v>
      </c>
      <c r="AL348" s="100" t="s">
        <v>43</v>
      </c>
      <c r="AM348" s="100" t="str">
        <f>IF(AL348&lt;&gt;"No Disp",AK348+12*AL348,"No Disp")</f>
        <v>No Disp</v>
      </c>
      <c r="AN348" s="100" t="s">
        <v>43</v>
      </c>
      <c r="AO348" s="100" t="s">
        <v>43</v>
      </c>
      <c r="AP348" s="100" t="str">
        <f>IF(AO348&lt;&gt;"No Disp",AN348+12*AO348,"No Disp")</f>
        <v>No Disp</v>
      </c>
      <c r="AQ348" s="100" t="s">
        <v>43</v>
      </c>
      <c r="AR348" s="100" t="s">
        <v>43</v>
      </c>
      <c r="AS348" s="100" t="str">
        <f>IF(AR348&lt;&gt;"No Disp",AQ348+12*AR348,"No Disp")</f>
        <v>No Disp</v>
      </c>
    </row>
    <row r="349" spans="1:45" s="101" customFormat="1" x14ac:dyDescent="0.25">
      <c r="A349" s="90" t="s">
        <v>38</v>
      </c>
      <c r="B349" s="90" t="s">
        <v>39</v>
      </c>
      <c r="C349" s="90" t="s">
        <v>40</v>
      </c>
      <c r="D349" s="90" t="s">
        <v>4537</v>
      </c>
      <c r="E349" s="90" t="s">
        <v>4542</v>
      </c>
      <c r="F349" s="91">
        <v>268</v>
      </c>
      <c r="G349" s="92">
        <v>70011559</v>
      </c>
      <c r="H349" s="91">
        <v>70011560</v>
      </c>
      <c r="I349" s="93" t="s">
        <v>46</v>
      </c>
      <c r="J349" s="94" t="s">
        <v>3802</v>
      </c>
      <c r="K349" s="94" t="s">
        <v>674</v>
      </c>
      <c r="L349" s="94" t="s">
        <v>675</v>
      </c>
      <c r="M349" s="95">
        <v>449900</v>
      </c>
      <c r="N349" s="95">
        <v>4000</v>
      </c>
      <c r="O349" s="95">
        <v>6000</v>
      </c>
      <c r="P349" s="96">
        <v>0</v>
      </c>
      <c r="Q349" s="152"/>
      <c r="R349" s="95">
        <v>459900</v>
      </c>
      <c r="S349" s="95">
        <f>R349/24</f>
        <v>19162.5</v>
      </c>
      <c r="T349" s="95">
        <v>449900</v>
      </c>
      <c r="U349" s="95">
        <f>T349/24</f>
        <v>18745.833333333332</v>
      </c>
      <c r="V349" s="95">
        <v>449900</v>
      </c>
      <c r="W349" s="95">
        <f>V349/24</f>
        <v>18745.833333333332</v>
      </c>
      <c r="X349" s="128"/>
      <c r="Y349" s="95">
        <v>249900</v>
      </c>
      <c r="Z349" s="95">
        <v>20000</v>
      </c>
      <c r="AA349" s="95">
        <f>IFERROR(IF(D349="Premium",0.4*Y349,0),"No Disp")</f>
        <v>0</v>
      </c>
      <c r="AB349" s="95">
        <f>IFERROR(IF(4*Y349&gt;AC349,1.5*Y349,4*Y349),"No Disp")</f>
        <v>374850</v>
      </c>
      <c r="AC349" s="95">
        <f>IF(Z349="No Disp","No Disp",(Z349*18)+Y349)</f>
        <v>609900</v>
      </c>
      <c r="AD349" s="95">
        <f>18*Z349-100+Y349</f>
        <v>609800</v>
      </c>
      <c r="AE349" s="95">
        <v>99900</v>
      </c>
      <c r="AF349" s="95">
        <v>28000</v>
      </c>
      <c r="AG349" s="95">
        <f>IF(AF349="No Disp","No Disp",(AF349*18)+AE349)</f>
        <v>603900</v>
      </c>
      <c r="AH349" s="98">
        <f>18*AF349-100+AE349</f>
        <v>603800</v>
      </c>
      <c r="AI349" s="95" t="s">
        <v>4613</v>
      </c>
      <c r="AJ349" s="99"/>
      <c r="AK349" s="100" t="s">
        <v>43</v>
      </c>
      <c r="AL349" s="100" t="s">
        <v>43</v>
      </c>
      <c r="AM349" s="100" t="str">
        <f>IF(AL349&lt;&gt;"No Disp",AK349+12*AL349,"No Disp")</f>
        <v>No Disp</v>
      </c>
      <c r="AN349" s="100" t="s">
        <v>43</v>
      </c>
      <c r="AO349" s="100" t="s">
        <v>43</v>
      </c>
      <c r="AP349" s="100" t="str">
        <f>IF(AO349&lt;&gt;"No Disp",AN349+12*AO349,"No Disp")</f>
        <v>No Disp</v>
      </c>
      <c r="AQ349" s="100" t="s">
        <v>43</v>
      </c>
      <c r="AR349" s="100" t="s">
        <v>43</v>
      </c>
      <c r="AS349" s="100" t="str">
        <f>IF(AR349&lt;&gt;"No Disp",AQ349+12*AR349,"No Disp")</f>
        <v>No Disp</v>
      </c>
    </row>
    <row r="350" spans="1:45" s="101" customFormat="1" x14ac:dyDescent="0.25">
      <c r="A350" s="90" t="s">
        <v>38</v>
      </c>
      <c r="B350" s="90" t="s">
        <v>39</v>
      </c>
      <c r="C350" s="90" t="s">
        <v>40</v>
      </c>
      <c r="D350" s="90" t="s">
        <v>4537</v>
      </c>
      <c r="E350" s="90" t="s">
        <v>4542</v>
      </c>
      <c r="F350" s="91">
        <v>269</v>
      </c>
      <c r="G350" s="92">
        <v>70011561</v>
      </c>
      <c r="H350" s="91">
        <v>70011562</v>
      </c>
      <c r="I350" s="93" t="s">
        <v>46</v>
      </c>
      <c r="J350" s="94" t="s">
        <v>671</v>
      </c>
      <c r="K350" s="94" t="s">
        <v>672</v>
      </c>
      <c r="L350" s="94" t="s">
        <v>673</v>
      </c>
      <c r="M350" s="95">
        <v>449900</v>
      </c>
      <c r="N350" s="95">
        <v>4000</v>
      </c>
      <c r="O350" s="95">
        <v>6000</v>
      </c>
      <c r="P350" s="96">
        <v>0</v>
      </c>
      <c r="Q350" s="152"/>
      <c r="R350" s="95">
        <v>459900</v>
      </c>
      <c r="S350" s="95">
        <f>R350/24</f>
        <v>19162.5</v>
      </c>
      <c r="T350" s="95">
        <v>449900</v>
      </c>
      <c r="U350" s="95">
        <f>T350/24</f>
        <v>18745.833333333332</v>
      </c>
      <c r="V350" s="95">
        <v>449900</v>
      </c>
      <c r="W350" s="95">
        <f>V350/24</f>
        <v>18745.833333333332</v>
      </c>
      <c r="X350" s="128"/>
      <c r="Y350" s="95">
        <v>249900</v>
      </c>
      <c r="Z350" s="95">
        <v>20000</v>
      </c>
      <c r="AA350" s="95">
        <f>IFERROR(IF(D350="Premium",0.4*Y350,0),"No Disp")</f>
        <v>0</v>
      </c>
      <c r="AB350" s="95">
        <f>IFERROR(IF(4*Y350&gt;AC350,1.5*Y350,4*Y350),"No Disp")</f>
        <v>374850</v>
      </c>
      <c r="AC350" s="95">
        <f>IF(Z350="No Disp","No Disp",(Z350*18)+Y350)</f>
        <v>609900</v>
      </c>
      <c r="AD350" s="95">
        <f>18*Z350-100+Y350</f>
        <v>609800</v>
      </c>
      <c r="AE350" s="95">
        <v>99900</v>
      </c>
      <c r="AF350" s="95">
        <v>28000</v>
      </c>
      <c r="AG350" s="95">
        <f>IF(AF350="No Disp","No Disp",(AF350*18)+AE350)</f>
        <v>603900</v>
      </c>
      <c r="AH350" s="98">
        <f>18*AF350-100+AE350</f>
        <v>603800</v>
      </c>
      <c r="AI350" s="95" t="s">
        <v>4613</v>
      </c>
      <c r="AJ350" s="99"/>
      <c r="AK350" s="100" t="s">
        <v>43</v>
      </c>
      <c r="AL350" s="100" t="s">
        <v>43</v>
      </c>
      <c r="AM350" s="100" t="str">
        <f>IF(AL350&lt;&gt;"No Disp",AK350+12*AL350,"No Disp")</f>
        <v>No Disp</v>
      </c>
      <c r="AN350" s="100" t="s">
        <v>43</v>
      </c>
      <c r="AO350" s="100" t="s">
        <v>43</v>
      </c>
      <c r="AP350" s="100" t="str">
        <f>IF(AO350&lt;&gt;"No Disp",AN350+12*AO350,"No Disp")</f>
        <v>No Disp</v>
      </c>
      <c r="AQ350" s="100" t="s">
        <v>43</v>
      </c>
      <c r="AR350" s="100" t="s">
        <v>43</v>
      </c>
      <c r="AS350" s="100" t="str">
        <f>IF(AR350&lt;&gt;"No Disp",AQ350+12*AR350,"No Disp")</f>
        <v>No Disp</v>
      </c>
    </row>
    <row r="351" spans="1:45" s="101" customFormat="1" x14ac:dyDescent="0.25">
      <c r="A351" s="90" t="s">
        <v>102</v>
      </c>
      <c r="B351" s="90" t="s">
        <v>39</v>
      </c>
      <c r="C351" s="90" t="s">
        <v>40</v>
      </c>
      <c r="D351" s="90" t="s">
        <v>4541</v>
      </c>
      <c r="E351" s="90" t="s">
        <v>4542</v>
      </c>
      <c r="F351" s="91">
        <v>292</v>
      </c>
      <c r="G351" s="92">
        <v>70011572</v>
      </c>
      <c r="H351" s="91">
        <v>70011573</v>
      </c>
      <c r="I351" s="93" t="s">
        <v>46</v>
      </c>
      <c r="J351" s="94" t="s">
        <v>615</v>
      </c>
      <c r="K351" s="94" t="s">
        <v>626</v>
      </c>
      <c r="L351" s="94" t="s">
        <v>627</v>
      </c>
      <c r="M351" s="95">
        <v>59900</v>
      </c>
      <c r="N351" s="95">
        <v>2500</v>
      </c>
      <c r="O351" s="95">
        <v>4000</v>
      </c>
      <c r="P351" s="96">
        <v>129990</v>
      </c>
      <c r="Q351" s="152"/>
      <c r="R351" s="95">
        <v>59990</v>
      </c>
      <c r="S351" s="95">
        <f>R351/24</f>
        <v>2499.5833333333335</v>
      </c>
      <c r="T351" s="95">
        <v>59900</v>
      </c>
      <c r="U351" s="95">
        <f>T351/24</f>
        <v>2495.8333333333335</v>
      </c>
      <c r="V351" s="95">
        <v>59900</v>
      </c>
      <c r="W351" s="95">
        <f>V351/24</f>
        <v>2495.8333333333335</v>
      </c>
      <c r="X351" s="128"/>
      <c r="Y351" s="95">
        <v>0</v>
      </c>
      <c r="Z351" s="95">
        <v>11000</v>
      </c>
      <c r="AA351" s="95">
        <f>IFERROR(IF(D351="Premium",0.4*Y351,0),"No Disp")</f>
        <v>0</v>
      </c>
      <c r="AB351" s="95">
        <f>IFERROR(IF(4*Y351&gt;AC351,1.5*Y351,4*Y351),"No Disp")</f>
        <v>0</v>
      </c>
      <c r="AC351" s="95">
        <f>IF(Z351="No Disp","No Disp",(Z351*18)+Y351)</f>
        <v>198000</v>
      </c>
      <c r="AD351" s="95">
        <f>18*Z351-100+Y351</f>
        <v>197900</v>
      </c>
      <c r="AE351" s="95">
        <v>0</v>
      </c>
      <c r="AF351" s="95">
        <v>8500</v>
      </c>
      <c r="AG351" s="95">
        <f>IF(AF351="No Disp","No Disp",(AF351*18)+AE351)</f>
        <v>153000</v>
      </c>
      <c r="AH351" s="98">
        <f>18*AF351-100+AE351</f>
        <v>152900</v>
      </c>
      <c r="AI351" s="95" t="s">
        <v>4613</v>
      </c>
      <c r="AJ351" s="99"/>
      <c r="AK351" s="100" t="s">
        <v>43</v>
      </c>
      <c r="AL351" s="100" t="s">
        <v>43</v>
      </c>
      <c r="AM351" s="100" t="str">
        <f>IF(AL351&lt;&gt;"No Disp",AK351+12*AL351,"No Disp")</f>
        <v>No Disp</v>
      </c>
      <c r="AN351" s="100" t="s">
        <v>43</v>
      </c>
      <c r="AO351" s="100" t="s">
        <v>43</v>
      </c>
      <c r="AP351" s="100" t="str">
        <f>IF(AO351&lt;&gt;"No Disp",AN351+12*AO351,"No Disp")</f>
        <v>No Disp</v>
      </c>
      <c r="AQ351" s="100" t="s">
        <v>43</v>
      </c>
      <c r="AR351" s="100" t="s">
        <v>43</v>
      </c>
      <c r="AS351" s="100" t="str">
        <f>IF(AR351&lt;&gt;"No Disp",AQ351+12*AR351,"No Disp")</f>
        <v>No Disp</v>
      </c>
    </row>
    <row r="352" spans="1:45" s="101" customFormat="1" x14ac:dyDescent="0.25">
      <c r="A352" s="90" t="s">
        <v>102</v>
      </c>
      <c r="B352" s="90" t="s">
        <v>39</v>
      </c>
      <c r="C352" s="90" t="s">
        <v>40</v>
      </c>
      <c r="D352" s="90" t="s">
        <v>4541</v>
      </c>
      <c r="E352" s="90" t="s">
        <v>4542</v>
      </c>
      <c r="F352" s="91">
        <v>294</v>
      </c>
      <c r="G352" s="92">
        <v>70011574</v>
      </c>
      <c r="H352" s="91">
        <v>70011575</v>
      </c>
      <c r="I352" s="93" t="s">
        <v>46</v>
      </c>
      <c r="J352" s="94" t="s">
        <v>620</v>
      </c>
      <c r="K352" s="94" t="s">
        <v>621</v>
      </c>
      <c r="L352" s="94" t="s">
        <v>622</v>
      </c>
      <c r="M352" s="95">
        <v>159900</v>
      </c>
      <c r="N352" s="95">
        <v>2500</v>
      </c>
      <c r="O352" s="95">
        <v>4000</v>
      </c>
      <c r="P352" s="96">
        <v>0</v>
      </c>
      <c r="Q352" s="152"/>
      <c r="R352" s="95">
        <v>159900</v>
      </c>
      <c r="S352" s="95">
        <f>R352/24</f>
        <v>6662.5</v>
      </c>
      <c r="T352" s="95">
        <v>159900</v>
      </c>
      <c r="U352" s="95">
        <f>T352/24</f>
        <v>6662.5</v>
      </c>
      <c r="V352" s="95">
        <v>159900</v>
      </c>
      <c r="W352" s="95">
        <f>V352/24</f>
        <v>6662.5</v>
      </c>
      <c r="X352" s="128"/>
      <c r="Y352" s="95">
        <v>54900</v>
      </c>
      <c r="Z352" s="95">
        <v>10000</v>
      </c>
      <c r="AA352" s="95">
        <f>IFERROR(IF(D352="Premium",0.4*Y352,0),"No Disp")</f>
        <v>0</v>
      </c>
      <c r="AB352" s="95">
        <f>IFERROR(IF(4*Y352&gt;AC352,1.5*Y352,4*Y352),"No Disp")</f>
        <v>219600</v>
      </c>
      <c r="AC352" s="95">
        <f>IF(Z352="No Disp","No Disp",(Z352*18)+Y352)</f>
        <v>234900</v>
      </c>
      <c r="AD352" s="95">
        <f>18*Z352-100+Y352</f>
        <v>234800</v>
      </c>
      <c r="AE352" s="95">
        <v>19900</v>
      </c>
      <c r="AF352" s="95">
        <v>11500</v>
      </c>
      <c r="AG352" s="95">
        <f>IF(AF352="No Disp","No Disp",(AF352*18)+AE352)</f>
        <v>226900</v>
      </c>
      <c r="AH352" s="98">
        <f>18*AF352-100+AE352</f>
        <v>226800</v>
      </c>
      <c r="AI352" s="95" t="s">
        <v>4613</v>
      </c>
      <c r="AJ352" s="99"/>
      <c r="AK352" s="100" t="s">
        <v>43</v>
      </c>
      <c r="AL352" s="100" t="s">
        <v>43</v>
      </c>
      <c r="AM352" s="100" t="str">
        <f>IF(AL352&lt;&gt;"No Disp",AK352+12*AL352,"No Disp")</f>
        <v>No Disp</v>
      </c>
      <c r="AN352" s="100" t="s">
        <v>43</v>
      </c>
      <c r="AO352" s="100" t="s">
        <v>43</v>
      </c>
      <c r="AP352" s="100" t="str">
        <f>IF(AO352&lt;&gt;"No Disp",AN352+12*AO352,"No Disp")</f>
        <v>No Disp</v>
      </c>
      <c r="AQ352" s="100" t="s">
        <v>43</v>
      </c>
      <c r="AR352" s="100" t="s">
        <v>43</v>
      </c>
      <c r="AS352" s="100" t="str">
        <f>IF(AR352&lt;&gt;"No Disp",AQ352+12*AR352,"No Disp")</f>
        <v>No Disp</v>
      </c>
    </row>
    <row r="353" spans="1:45" s="101" customFormat="1" x14ac:dyDescent="0.25">
      <c r="A353" s="90" t="s">
        <v>38</v>
      </c>
      <c r="B353" s="90" t="s">
        <v>39</v>
      </c>
      <c r="C353" s="90" t="s">
        <v>40</v>
      </c>
      <c r="D353" s="90" t="s">
        <v>4537</v>
      </c>
      <c r="E353" s="90" t="s">
        <v>4542</v>
      </c>
      <c r="F353" s="91">
        <v>279</v>
      </c>
      <c r="G353" s="92">
        <v>70011577</v>
      </c>
      <c r="H353" s="91">
        <v>70011608</v>
      </c>
      <c r="I353" s="93" t="s">
        <v>87</v>
      </c>
      <c r="J353" s="94" t="s">
        <v>653</v>
      </c>
      <c r="K353" s="94" t="s">
        <v>654</v>
      </c>
      <c r="L353" s="94" t="s">
        <v>655</v>
      </c>
      <c r="M353" s="95">
        <v>209900</v>
      </c>
      <c r="N353" s="95">
        <v>4000</v>
      </c>
      <c r="O353" s="95">
        <v>6000</v>
      </c>
      <c r="P353" s="96">
        <v>0</v>
      </c>
      <c r="Q353" s="152"/>
      <c r="R353" s="95">
        <v>209900</v>
      </c>
      <c r="S353" s="95">
        <f>R353/24</f>
        <v>8745.8333333333339</v>
      </c>
      <c r="T353" s="95">
        <v>209900</v>
      </c>
      <c r="U353" s="95">
        <f>T353/24</f>
        <v>8745.8333333333339</v>
      </c>
      <c r="V353" s="95">
        <v>209900</v>
      </c>
      <c r="W353" s="95">
        <f>V353/24</f>
        <v>8745.8333333333339</v>
      </c>
      <c r="X353" s="128"/>
      <c r="Y353" s="95">
        <v>299900</v>
      </c>
      <c r="Z353" s="95">
        <v>16000</v>
      </c>
      <c r="AA353" s="95">
        <f>IFERROR(IF(D353="Premium",0.4*Y353,0),"No Disp")</f>
        <v>0</v>
      </c>
      <c r="AB353" s="95">
        <f>IFERROR(IF(4*Y353&gt;AC353,1.5*Y353,4*Y353),"No Disp")</f>
        <v>449850</v>
      </c>
      <c r="AC353" s="95">
        <f>IF(Z353="No Disp","No Disp",(Z353*18)+Y353)</f>
        <v>587900</v>
      </c>
      <c r="AD353" s="95">
        <f>18*Z353-100+Y353</f>
        <v>587800</v>
      </c>
      <c r="AE353" s="95">
        <v>19900</v>
      </c>
      <c r="AF353" s="95">
        <v>18000</v>
      </c>
      <c r="AG353" s="95">
        <f>IF(AF353="No Disp","No Disp",(AF353*18)+AE353)</f>
        <v>343900</v>
      </c>
      <c r="AH353" s="98">
        <f>18*AF353-100+AE353</f>
        <v>343800</v>
      </c>
      <c r="AI353" s="95" t="s">
        <v>4613</v>
      </c>
      <c r="AJ353" s="99"/>
      <c r="AK353" s="100" t="s">
        <v>43</v>
      </c>
      <c r="AL353" s="100" t="s">
        <v>43</v>
      </c>
      <c r="AM353" s="100" t="str">
        <f>IF(AL353&lt;&gt;"No Disp",AK353+12*AL353,"No Disp")</f>
        <v>No Disp</v>
      </c>
      <c r="AN353" s="100" t="s">
        <v>43</v>
      </c>
      <c r="AO353" s="100" t="s">
        <v>43</v>
      </c>
      <c r="AP353" s="100" t="str">
        <f>IF(AO353&lt;&gt;"No Disp",AN353+12*AO353,"No Disp")</f>
        <v>No Disp</v>
      </c>
      <c r="AQ353" s="100" t="s">
        <v>43</v>
      </c>
      <c r="AR353" s="100" t="s">
        <v>43</v>
      </c>
      <c r="AS353" s="100" t="str">
        <f>IF(AR353&lt;&gt;"No Disp",AQ353+12*AR353,"No Disp")</f>
        <v>No Disp</v>
      </c>
    </row>
    <row r="354" spans="1:45" s="101" customFormat="1" x14ac:dyDescent="0.25">
      <c r="A354" s="90" t="s">
        <v>102</v>
      </c>
      <c r="B354" s="90" t="s">
        <v>39</v>
      </c>
      <c r="C354" s="90" t="s">
        <v>40</v>
      </c>
      <c r="D354" s="90" t="s">
        <v>4541</v>
      </c>
      <c r="E354" s="90" t="s">
        <v>4542</v>
      </c>
      <c r="F354" s="91">
        <v>296</v>
      </c>
      <c r="G354" s="92">
        <v>70011613</v>
      </c>
      <c r="H354" s="91">
        <v>70011613</v>
      </c>
      <c r="I354" s="93" t="s">
        <v>46</v>
      </c>
      <c r="J354" s="94" t="s">
        <v>615</v>
      </c>
      <c r="K354" s="94" t="s">
        <v>616</v>
      </c>
      <c r="L354" s="94" t="s">
        <v>617</v>
      </c>
      <c r="M354" s="95">
        <v>59900</v>
      </c>
      <c r="N354" s="95">
        <v>2500</v>
      </c>
      <c r="O354" s="95">
        <v>4000</v>
      </c>
      <c r="P354" s="96">
        <v>129990</v>
      </c>
      <c r="Q354" s="152"/>
      <c r="R354" s="95">
        <v>59990</v>
      </c>
      <c r="S354" s="95">
        <f>R354/24</f>
        <v>2499.5833333333335</v>
      </c>
      <c r="T354" s="95">
        <v>59900</v>
      </c>
      <c r="U354" s="95">
        <f>T354/24</f>
        <v>2495.8333333333335</v>
      </c>
      <c r="V354" s="95">
        <v>59900</v>
      </c>
      <c r="W354" s="95">
        <f>V354/24</f>
        <v>2495.8333333333335</v>
      </c>
      <c r="X354" s="128"/>
      <c r="Y354" s="95">
        <v>0</v>
      </c>
      <c r="Z354" s="95">
        <v>11000</v>
      </c>
      <c r="AA354" s="95">
        <f>IFERROR(IF(D354="Premium",0.4*Y354,0),"No Disp")</f>
        <v>0</v>
      </c>
      <c r="AB354" s="95">
        <f>IFERROR(IF(4*Y354&gt;AC354,1.5*Y354,4*Y354),"No Disp")</f>
        <v>0</v>
      </c>
      <c r="AC354" s="95">
        <f>IF(Z354="No Disp","No Disp",(Z354*18)+Y354)</f>
        <v>198000</v>
      </c>
      <c r="AD354" s="95">
        <f>18*Z354-100+Y354</f>
        <v>197900</v>
      </c>
      <c r="AE354" s="95">
        <v>0</v>
      </c>
      <c r="AF354" s="95">
        <v>8500</v>
      </c>
      <c r="AG354" s="95">
        <f>IF(AF354="No Disp","No Disp",(AF354*18)+AE354)</f>
        <v>153000</v>
      </c>
      <c r="AH354" s="98">
        <f>18*AF354-100+AE354</f>
        <v>152900</v>
      </c>
      <c r="AI354" s="95" t="s">
        <v>4613</v>
      </c>
      <c r="AJ354" s="99"/>
      <c r="AK354" s="100" t="s">
        <v>43</v>
      </c>
      <c r="AL354" s="100" t="s">
        <v>43</v>
      </c>
      <c r="AM354" s="100" t="str">
        <f>IF(AL354&lt;&gt;"No Disp",AK354+12*AL354,"No Disp")</f>
        <v>No Disp</v>
      </c>
      <c r="AN354" s="100" t="s">
        <v>43</v>
      </c>
      <c r="AO354" s="100" t="s">
        <v>43</v>
      </c>
      <c r="AP354" s="100" t="str">
        <f>IF(AO354&lt;&gt;"No Disp",AN354+12*AO354,"No Disp")</f>
        <v>No Disp</v>
      </c>
      <c r="AQ354" s="100" t="s">
        <v>43</v>
      </c>
      <c r="AR354" s="100" t="s">
        <v>43</v>
      </c>
      <c r="AS354" s="100" t="str">
        <f>IF(AR354&lt;&gt;"No Disp",AQ354+12*AR354,"No Disp")</f>
        <v>No Disp</v>
      </c>
    </row>
    <row r="355" spans="1:45" s="101" customFormat="1" x14ac:dyDescent="0.25">
      <c r="A355" s="90" t="s">
        <v>102</v>
      </c>
      <c r="B355" s="90" t="s">
        <v>39</v>
      </c>
      <c r="C355" s="90" t="s">
        <v>40</v>
      </c>
      <c r="D355" s="90" t="s">
        <v>4541</v>
      </c>
      <c r="E355" s="90" t="s">
        <v>4542</v>
      </c>
      <c r="F355" s="91">
        <v>306</v>
      </c>
      <c r="G355" s="92">
        <v>70011614</v>
      </c>
      <c r="H355" s="91">
        <v>70011615</v>
      </c>
      <c r="I355" s="93" t="s">
        <v>46</v>
      </c>
      <c r="J355" s="94" t="s">
        <v>590</v>
      </c>
      <c r="K355" s="94" t="s">
        <v>595</v>
      </c>
      <c r="L355" s="94" t="s">
        <v>596</v>
      </c>
      <c r="M355" s="95">
        <v>169900</v>
      </c>
      <c r="N355" s="95">
        <v>2500</v>
      </c>
      <c r="O355" s="95">
        <v>4000</v>
      </c>
      <c r="P355" s="96">
        <v>0</v>
      </c>
      <c r="Q355" s="152"/>
      <c r="R355" s="95">
        <v>169900</v>
      </c>
      <c r="S355" s="95">
        <f>R355/24</f>
        <v>7079.166666666667</v>
      </c>
      <c r="T355" s="95">
        <v>169900</v>
      </c>
      <c r="U355" s="95">
        <f>T355/24</f>
        <v>7079.166666666667</v>
      </c>
      <c r="V355" s="95">
        <v>169900</v>
      </c>
      <c r="W355" s="95">
        <f>V355/24</f>
        <v>7079.166666666667</v>
      </c>
      <c r="X355" s="128"/>
      <c r="Y355" s="95" t="s">
        <v>43</v>
      </c>
      <c r="Z355" s="95" t="s">
        <v>43</v>
      </c>
      <c r="AA355" s="95">
        <f>IFERROR(IF(D355="Premium",0.4*Y355,0),"No Disp")</f>
        <v>0</v>
      </c>
      <c r="AB355" s="95" t="str">
        <f>IFERROR(IF(4*Y355&gt;AC355,1.5*Y355,4*Y355),"No Disp")</f>
        <v>No Disp</v>
      </c>
      <c r="AC355" s="95" t="str">
        <f>IF(Z355="No Disp","No Disp",(Z355*18)+Y355)</f>
        <v>No Disp</v>
      </c>
      <c r="AD355" s="95" t="e">
        <f>18*Z355-100+Y355</f>
        <v>#VALUE!</v>
      </c>
      <c r="AE355" s="95" t="s">
        <v>43</v>
      </c>
      <c r="AF355" s="95" t="s">
        <v>43</v>
      </c>
      <c r="AG355" s="95" t="str">
        <f>IF(AF355="No Disp","No Disp",(AF355*18)+AE355)</f>
        <v>No Disp</v>
      </c>
      <c r="AH355" s="98" t="e">
        <f>18*AF355-100+AE355</f>
        <v>#VALUE!</v>
      </c>
      <c r="AI355" s="95" t="s">
        <v>4613</v>
      </c>
      <c r="AJ355" s="99"/>
      <c r="AK355" s="100" t="s">
        <v>43</v>
      </c>
      <c r="AL355" s="100" t="s">
        <v>43</v>
      </c>
      <c r="AM355" s="100" t="str">
        <f>IF(AL355&lt;&gt;"No Disp",AK355+12*AL355,"No Disp")</f>
        <v>No Disp</v>
      </c>
      <c r="AN355" s="100" t="s">
        <v>43</v>
      </c>
      <c r="AO355" s="100" t="s">
        <v>43</v>
      </c>
      <c r="AP355" s="100" t="str">
        <f>IF(AO355&lt;&gt;"No Disp",AN355+12*AO355,"No Disp")</f>
        <v>No Disp</v>
      </c>
      <c r="AQ355" s="100" t="s">
        <v>43</v>
      </c>
      <c r="AR355" s="100" t="s">
        <v>43</v>
      </c>
      <c r="AS355" s="100" t="str">
        <f>IF(AR355&lt;&gt;"No Disp",AQ355+12*AR355,"No Disp")</f>
        <v>No Disp</v>
      </c>
    </row>
    <row r="356" spans="1:45" s="101" customFormat="1" x14ac:dyDescent="0.25">
      <c r="A356" s="90" t="s">
        <v>38</v>
      </c>
      <c r="B356" s="90" t="s">
        <v>39</v>
      </c>
      <c r="C356" s="90" t="s">
        <v>40</v>
      </c>
      <c r="D356" s="90" t="s">
        <v>4541</v>
      </c>
      <c r="E356" s="90" t="s">
        <v>4542</v>
      </c>
      <c r="F356" s="91">
        <v>293</v>
      </c>
      <c r="G356" s="92">
        <v>70011638</v>
      </c>
      <c r="H356" s="91">
        <v>70011639</v>
      </c>
      <c r="I356" s="93" t="s">
        <v>112</v>
      </c>
      <c r="J356" s="94" t="s">
        <v>623</v>
      </c>
      <c r="K356" s="94" t="s">
        <v>624</v>
      </c>
      <c r="L356" s="94" t="s">
        <v>625</v>
      </c>
      <c r="M356" s="95">
        <v>89900</v>
      </c>
      <c r="N356" s="95">
        <v>2500</v>
      </c>
      <c r="O356" s="95">
        <v>4000</v>
      </c>
      <c r="P356" s="96">
        <v>199990</v>
      </c>
      <c r="Q356" s="152"/>
      <c r="R356" s="95">
        <v>99990</v>
      </c>
      <c r="S356" s="95">
        <f>R356/24</f>
        <v>4166.25</v>
      </c>
      <c r="T356" s="95">
        <v>89900</v>
      </c>
      <c r="U356" s="95">
        <f>T356/24</f>
        <v>3745.8333333333335</v>
      </c>
      <c r="V356" s="95">
        <v>89900</v>
      </c>
      <c r="W356" s="95">
        <f>V356/24</f>
        <v>3745.8333333333335</v>
      </c>
      <c r="X356" s="128"/>
      <c r="Y356" s="95">
        <v>0</v>
      </c>
      <c r="Z356" s="95">
        <v>9000</v>
      </c>
      <c r="AA356" s="95">
        <f>IFERROR(IF(D356="Premium",0.4*Y356,0),"No Disp")</f>
        <v>0</v>
      </c>
      <c r="AB356" s="95">
        <f>IFERROR(IF(4*Y356&gt;AC356,1.5*Y356,4*Y356),"No Disp")</f>
        <v>0</v>
      </c>
      <c r="AC356" s="95">
        <f>IF(Z356="No Disp","No Disp",(Z356*18)+Y356)</f>
        <v>162000</v>
      </c>
      <c r="AD356" s="95">
        <f>18*Z356-100+Y356</f>
        <v>161900</v>
      </c>
      <c r="AE356" s="95">
        <v>0</v>
      </c>
      <c r="AF356" s="95">
        <v>8000</v>
      </c>
      <c r="AG356" s="95">
        <f>IF(AF356="No Disp","No Disp",(AF356*18)+AE356)</f>
        <v>144000</v>
      </c>
      <c r="AH356" s="98">
        <f>18*AF356-100+AE356</f>
        <v>143900</v>
      </c>
      <c r="AI356" s="95" t="s">
        <v>4613</v>
      </c>
      <c r="AJ356" s="99"/>
      <c r="AK356" s="100" t="s">
        <v>43</v>
      </c>
      <c r="AL356" s="100" t="s">
        <v>43</v>
      </c>
      <c r="AM356" s="100" t="str">
        <f>IF(AL356&lt;&gt;"No Disp",AK356+12*AL356,"No Disp")</f>
        <v>No Disp</v>
      </c>
      <c r="AN356" s="100" t="s">
        <v>43</v>
      </c>
      <c r="AO356" s="100" t="s">
        <v>43</v>
      </c>
      <c r="AP356" s="100" t="str">
        <f>IF(AO356&lt;&gt;"No Disp",AN356+12*AO356,"No Disp")</f>
        <v>No Disp</v>
      </c>
      <c r="AQ356" s="100" t="s">
        <v>43</v>
      </c>
      <c r="AR356" s="100" t="s">
        <v>43</v>
      </c>
      <c r="AS356" s="100" t="str">
        <f>IF(AR356&lt;&gt;"No Disp",AQ356+12*AR356,"No Disp")</f>
        <v>No Disp</v>
      </c>
    </row>
    <row r="357" spans="1:45" s="101" customFormat="1" x14ac:dyDescent="0.25">
      <c r="A357" s="90" t="s">
        <v>102</v>
      </c>
      <c r="B357" s="90" t="s">
        <v>39</v>
      </c>
      <c r="C357" s="90" t="s">
        <v>40</v>
      </c>
      <c r="D357" s="90" t="s">
        <v>4541</v>
      </c>
      <c r="E357" s="90" t="s">
        <v>4542</v>
      </c>
      <c r="F357" s="91">
        <v>295</v>
      </c>
      <c r="G357" s="92">
        <v>70011644</v>
      </c>
      <c r="H357" s="91">
        <v>70011645</v>
      </c>
      <c r="I357" s="93" t="s">
        <v>112</v>
      </c>
      <c r="J357" s="94" t="s">
        <v>618</v>
      </c>
      <c r="K357" s="94" t="s">
        <v>3938</v>
      </c>
      <c r="L357" s="94" t="s">
        <v>619</v>
      </c>
      <c r="M357" s="95">
        <v>84900</v>
      </c>
      <c r="N357" s="95">
        <v>2500</v>
      </c>
      <c r="O357" s="95">
        <v>4000</v>
      </c>
      <c r="P357" s="96">
        <v>199990</v>
      </c>
      <c r="Q357" s="152"/>
      <c r="R357" s="95">
        <v>94990</v>
      </c>
      <c r="S357" s="95">
        <f>R357/24</f>
        <v>3957.9166666666665</v>
      </c>
      <c r="T357" s="95">
        <v>84900</v>
      </c>
      <c r="U357" s="95">
        <f>T357/24</f>
        <v>3537.5</v>
      </c>
      <c r="V357" s="95">
        <v>84900</v>
      </c>
      <c r="W357" s="95">
        <f>V357/24</f>
        <v>3537.5</v>
      </c>
      <c r="X357" s="128"/>
      <c r="Y357" s="95">
        <v>0</v>
      </c>
      <c r="Z357" s="95">
        <v>8500</v>
      </c>
      <c r="AA357" s="95">
        <f>IFERROR(IF(D357="Premium",0.4*Y357,0),"No Disp")</f>
        <v>0</v>
      </c>
      <c r="AB357" s="95">
        <f>IFERROR(IF(4*Y357&gt;AC357,1.5*Y357,4*Y357),"No Disp")</f>
        <v>0</v>
      </c>
      <c r="AC357" s="95">
        <f>IF(Z357="No Disp","No Disp",(Z357*18)+Y357)</f>
        <v>153000</v>
      </c>
      <c r="AD357" s="95">
        <f>18*Z357-100+Y357</f>
        <v>152900</v>
      </c>
      <c r="AE357" s="95">
        <v>0</v>
      </c>
      <c r="AF357" s="95">
        <v>7000</v>
      </c>
      <c r="AG357" s="95">
        <f>IF(AF357="No Disp","No Disp",(AF357*18)+AE357)</f>
        <v>126000</v>
      </c>
      <c r="AH357" s="98">
        <f>18*AF357-100+AE357</f>
        <v>125900</v>
      </c>
      <c r="AI357" s="95" t="s">
        <v>4613</v>
      </c>
      <c r="AJ357" s="99"/>
      <c r="AK357" s="100" t="s">
        <v>43</v>
      </c>
      <c r="AL357" s="100" t="s">
        <v>43</v>
      </c>
      <c r="AM357" s="100" t="str">
        <f>IF(AL357&lt;&gt;"No Disp",AK357+12*AL357,"No Disp")</f>
        <v>No Disp</v>
      </c>
      <c r="AN357" s="100" t="s">
        <v>43</v>
      </c>
      <c r="AO357" s="100" t="s">
        <v>43</v>
      </c>
      <c r="AP357" s="100" t="str">
        <f>IF(AO357&lt;&gt;"No Disp",AN357+12*AO357,"No Disp")</f>
        <v>No Disp</v>
      </c>
      <c r="AQ357" s="100" t="s">
        <v>43</v>
      </c>
      <c r="AR357" s="100" t="s">
        <v>43</v>
      </c>
      <c r="AS357" s="100" t="str">
        <f>IF(AR357&lt;&gt;"No Disp",AQ357+12*AR357,"No Disp")</f>
        <v>No Disp</v>
      </c>
    </row>
    <row r="358" spans="1:45" s="101" customFormat="1" x14ac:dyDescent="0.25">
      <c r="A358" s="90" t="s">
        <v>102</v>
      </c>
      <c r="B358" s="90" t="s">
        <v>39</v>
      </c>
      <c r="C358" s="90" t="s">
        <v>40</v>
      </c>
      <c r="D358" s="90" t="s">
        <v>4541</v>
      </c>
      <c r="E358" s="90" t="s">
        <v>4542</v>
      </c>
      <c r="F358" s="91">
        <v>308</v>
      </c>
      <c r="G358" s="92">
        <v>70011664</v>
      </c>
      <c r="H358" s="91">
        <v>70011665</v>
      </c>
      <c r="I358" s="93" t="s">
        <v>46</v>
      </c>
      <c r="J358" s="94" t="s">
        <v>590</v>
      </c>
      <c r="K358" s="94" t="s">
        <v>591</v>
      </c>
      <c r="L358" s="94" t="s">
        <v>592</v>
      </c>
      <c r="M358" s="95">
        <v>169900</v>
      </c>
      <c r="N358" s="95">
        <v>2500</v>
      </c>
      <c r="O358" s="95">
        <v>4000</v>
      </c>
      <c r="P358" s="96">
        <v>0</v>
      </c>
      <c r="Q358" s="152"/>
      <c r="R358" s="95">
        <v>169900</v>
      </c>
      <c r="S358" s="95">
        <f>R358/24</f>
        <v>7079.166666666667</v>
      </c>
      <c r="T358" s="95">
        <v>169900</v>
      </c>
      <c r="U358" s="95">
        <f>T358/24</f>
        <v>7079.166666666667</v>
      </c>
      <c r="V358" s="95">
        <v>169900</v>
      </c>
      <c r="W358" s="95">
        <f>V358/24</f>
        <v>7079.166666666667</v>
      </c>
      <c r="X358" s="128"/>
      <c r="Y358" s="95" t="s">
        <v>43</v>
      </c>
      <c r="Z358" s="95" t="s">
        <v>43</v>
      </c>
      <c r="AA358" s="95">
        <f>IFERROR(IF(D358="Premium",0.4*Y358,0),"No Disp")</f>
        <v>0</v>
      </c>
      <c r="AB358" s="95" t="str">
        <f>IFERROR(IF(4*Y358&gt;AC358,1.5*Y358,4*Y358),"No Disp")</f>
        <v>No Disp</v>
      </c>
      <c r="AC358" s="95" t="str">
        <f>IF(Z358="No Disp","No Disp",(Z358*18)+Y358)</f>
        <v>No Disp</v>
      </c>
      <c r="AD358" s="95" t="e">
        <f>18*Z358-100+Y358</f>
        <v>#VALUE!</v>
      </c>
      <c r="AE358" s="95" t="s">
        <v>43</v>
      </c>
      <c r="AF358" s="95" t="s">
        <v>43</v>
      </c>
      <c r="AG358" s="95" t="str">
        <f>IF(AF358="No Disp","No Disp",(AF358*18)+AE358)</f>
        <v>No Disp</v>
      </c>
      <c r="AH358" s="98" t="e">
        <f>18*AF358-100+AE358</f>
        <v>#VALUE!</v>
      </c>
      <c r="AI358" s="95" t="s">
        <v>4613</v>
      </c>
      <c r="AJ358" s="99"/>
      <c r="AK358" s="100" t="s">
        <v>43</v>
      </c>
      <c r="AL358" s="100" t="s">
        <v>43</v>
      </c>
      <c r="AM358" s="100" t="str">
        <f>IF(AL358&lt;&gt;"No Disp",AK358+12*AL358,"No Disp")</f>
        <v>No Disp</v>
      </c>
      <c r="AN358" s="100" t="s">
        <v>43</v>
      </c>
      <c r="AO358" s="100" t="s">
        <v>43</v>
      </c>
      <c r="AP358" s="100" t="str">
        <f>IF(AO358&lt;&gt;"No Disp",AN358+12*AO358,"No Disp")</f>
        <v>No Disp</v>
      </c>
      <c r="AQ358" s="100" t="s">
        <v>43</v>
      </c>
      <c r="AR358" s="100" t="s">
        <v>43</v>
      </c>
      <c r="AS358" s="100" t="str">
        <f>IF(AR358&lt;&gt;"No Disp",AQ358+12*AR358,"No Disp")</f>
        <v>No Disp</v>
      </c>
    </row>
    <row r="359" spans="1:45" s="101" customFormat="1" x14ac:dyDescent="0.25">
      <c r="A359" s="90" t="s">
        <v>102</v>
      </c>
      <c r="B359" s="90" t="s">
        <v>39</v>
      </c>
      <c r="C359" s="90" t="s">
        <v>40</v>
      </c>
      <c r="D359" s="90" t="s">
        <v>4541</v>
      </c>
      <c r="E359" s="90" t="s">
        <v>4542</v>
      </c>
      <c r="F359" s="91">
        <v>307</v>
      </c>
      <c r="G359" s="92">
        <v>70011617</v>
      </c>
      <c r="H359" s="91">
        <v>70011668</v>
      </c>
      <c r="I359" s="93" t="s">
        <v>46</v>
      </c>
      <c r="J359" s="94" t="s">
        <v>590</v>
      </c>
      <c r="K359" s="94" t="s">
        <v>593</v>
      </c>
      <c r="L359" s="94" t="s">
        <v>594</v>
      </c>
      <c r="M359" s="95">
        <v>169900</v>
      </c>
      <c r="N359" s="95">
        <v>2500</v>
      </c>
      <c r="O359" s="95">
        <v>4000</v>
      </c>
      <c r="P359" s="96">
        <v>0</v>
      </c>
      <c r="Q359" s="152"/>
      <c r="R359" s="95">
        <v>169900</v>
      </c>
      <c r="S359" s="95">
        <f>R359/24</f>
        <v>7079.166666666667</v>
      </c>
      <c r="T359" s="95">
        <v>169900</v>
      </c>
      <c r="U359" s="95">
        <f>T359/24</f>
        <v>7079.166666666667</v>
      </c>
      <c r="V359" s="95">
        <v>169900</v>
      </c>
      <c r="W359" s="95">
        <f>V359/24</f>
        <v>7079.166666666667</v>
      </c>
      <c r="X359" s="128"/>
      <c r="Y359" s="95" t="s">
        <v>43</v>
      </c>
      <c r="Z359" s="95" t="s">
        <v>43</v>
      </c>
      <c r="AA359" s="95">
        <f>IFERROR(IF(D359="Premium",0.4*Y359,0),"No Disp")</f>
        <v>0</v>
      </c>
      <c r="AB359" s="95" t="str">
        <f>IFERROR(IF(4*Y359&gt;AC359,1.5*Y359,4*Y359),"No Disp")</f>
        <v>No Disp</v>
      </c>
      <c r="AC359" s="95" t="str">
        <f>IF(Z359="No Disp","No Disp",(Z359*18)+Y359)</f>
        <v>No Disp</v>
      </c>
      <c r="AD359" s="95" t="e">
        <f>18*Z359-100+Y359</f>
        <v>#VALUE!</v>
      </c>
      <c r="AE359" s="95" t="s">
        <v>43</v>
      </c>
      <c r="AF359" s="95" t="s">
        <v>43</v>
      </c>
      <c r="AG359" s="95" t="str">
        <f>IF(AF359="No Disp","No Disp",(AF359*18)+AE359)</f>
        <v>No Disp</v>
      </c>
      <c r="AH359" s="98" t="e">
        <f>18*AF359-100+AE359</f>
        <v>#VALUE!</v>
      </c>
      <c r="AI359" s="95" t="s">
        <v>4613</v>
      </c>
      <c r="AJ359" s="99"/>
      <c r="AK359" s="100" t="s">
        <v>43</v>
      </c>
      <c r="AL359" s="100" t="s">
        <v>43</v>
      </c>
      <c r="AM359" s="100" t="str">
        <f>IF(AL359&lt;&gt;"No Disp",AK359+12*AL359,"No Disp")</f>
        <v>No Disp</v>
      </c>
      <c r="AN359" s="100" t="s">
        <v>43</v>
      </c>
      <c r="AO359" s="100" t="s">
        <v>43</v>
      </c>
      <c r="AP359" s="100" t="str">
        <f>IF(AO359&lt;&gt;"No Disp",AN359+12*AO359,"No Disp")</f>
        <v>No Disp</v>
      </c>
      <c r="AQ359" s="100" t="s">
        <v>43</v>
      </c>
      <c r="AR359" s="100" t="s">
        <v>43</v>
      </c>
      <c r="AS359" s="100" t="str">
        <f>IF(AR359&lt;&gt;"No Disp",AQ359+12*AR359,"No Disp")</f>
        <v>No Disp</v>
      </c>
    </row>
    <row r="360" spans="1:45" s="101" customFormat="1" x14ac:dyDescent="0.25">
      <c r="A360" s="90" t="s">
        <v>38</v>
      </c>
      <c r="B360" s="90" t="s">
        <v>39</v>
      </c>
      <c r="C360" s="90" t="s">
        <v>40</v>
      </c>
      <c r="D360" s="90" t="s">
        <v>4541</v>
      </c>
      <c r="E360" s="90" t="s">
        <v>4542</v>
      </c>
      <c r="F360" s="91">
        <v>378</v>
      </c>
      <c r="G360" s="92">
        <v>70011673</v>
      </c>
      <c r="H360" s="91">
        <v>70011674</v>
      </c>
      <c r="I360" s="93" t="s">
        <v>41</v>
      </c>
      <c r="J360" s="94" t="s">
        <v>3808</v>
      </c>
      <c r="K360" s="94" t="s">
        <v>450</v>
      </c>
      <c r="L360" s="94" t="s">
        <v>451</v>
      </c>
      <c r="M360" s="95">
        <v>1424900</v>
      </c>
      <c r="N360" s="95">
        <v>9500</v>
      </c>
      <c r="O360" s="95">
        <v>13500</v>
      </c>
      <c r="P360" s="96">
        <v>0</v>
      </c>
      <c r="Q360" s="152"/>
      <c r="R360" s="95">
        <v>1424900</v>
      </c>
      <c r="S360" s="95">
        <f>R360/24</f>
        <v>59370.833333333336</v>
      </c>
      <c r="T360" s="95">
        <v>1424900</v>
      </c>
      <c r="U360" s="95">
        <f>T360/24</f>
        <v>59370.833333333336</v>
      </c>
      <c r="V360" s="95">
        <v>1424900</v>
      </c>
      <c r="W360" s="95">
        <f>V360/24</f>
        <v>59370.833333333336</v>
      </c>
      <c r="X360" s="128"/>
      <c r="Y360" s="95">
        <v>1599900</v>
      </c>
      <c r="Z360" s="95">
        <v>33000</v>
      </c>
      <c r="AA360" s="95">
        <f>IFERROR(IF(D360="Premium",0.4*Y360,0),"No Disp")</f>
        <v>0</v>
      </c>
      <c r="AB360" s="95">
        <f>IFERROR(IF(4*Y360&gt;AC360,1.5*Y360,4*Y360),"No Disp")</f>
        <v>2399850</v>
      </c>
      <c r="AC360" s="95">
        <f>IF(Z360="No Disp","No Disp",(Z360*18)+Y360)</f>
        <v>2193900</v>
      </c>
      <c r="AD360" s="95">
        <f>18*Z360-100+Y360</f>
        <v>2193800</v>
      </c>
      <c r="AE360" s="95">
        <v>599900</v>
      </c>
      <c r="AF360" s="95">
        <v>66000</v>
      </c>
      <c r="AG360" s="95">
        <f>IF(AF360="No Disp","No Disp",(AF360*18)+AE360)</f>
        <v>1787900</v>
      </c>
      <c r="AH360" s="98">
        <f>18*AF360-100+AE360</f>
        <v>1787800</v>
      </c>
      <c r="AI360" s="95" t="s">
        <v>4613</v>
      </c>
      <c r="AJ360" s="99"/>
      <c r="AK360" s="100" t="s">
        <v>43</v>
      </c>
      <c r="AL360" s="100" t="s">
        <v>43</v>
      </c>
      <c r="AM360" s="100" t="str">
        <f>IF(AL360&lt;&gt;"No Disp",AK360+12*AL360,"No Disp")</f>
        <v>No Disp</v>
      </c>
      <c r="AN360" s="100" t="s">
        <v>43</v>
      </c>
      <c r="AO360" s="100" t="s">
        <v>43</v>
      </c>
      <c r="AP360" s="100" t="str">
        <f>IF(AO360&lt;&gt;"No Disp",AN360+12*AO360,"No Disp")</f>
        <v>No Disp</v>
      </c>
      <c r="AQ360" s="100" t="s">
        <v>43</v>
      </c>
      <c r="AR360" s="100" t="s">
        <v>43</v>
      </c>
      <c r="AS360" s="100" t="str">
        <f>IF(AR360&lt;&gt;"No Disp",AQ360+12*AR360,"No Disp")</f>
        <v>No Disp</v>
      </c>
    </row>
    <row r="361" spans="1:45" s="101" customFormat="1" x14ac:dyDescent="0.25">
      <c r="A361" s="90" t="s">
        <v>38</v>
      </c>
      <c r="B361" s="90" t="s">
        <v>39</v>
      </c>
      <c r="C361" s="90" t="s">
        <v>40</v>
      </c>
      <c r="D361" s="90" t="s">
        <v>4537</v>
      </c>
      <c r="E361" s="90" t="s">
        <v>4542</v>
      </c>
      <c r="F361" s="91">
        <v>320</v>
      </c>
      <c r="G361" s="92">
        <v>70011676</v>
      </c>
      <c r="H361" s="91">
        <v>70011677</v>
      </c>
      <c r="I361" s="93" t="s">
        <v>41</v>
      </c>
      <c r="J361" s="94" t="s">
        <v>3809</v>
      </c>
      <c r="K361" s="94" t="s">
        <v>567</v>
      </c>
      <c r="L361" s="94" t="s">
        <v>568</v>
      </c>
      <c r="M361" s="95">
        <v>399900</v>
      </c>
      <c r="N361" s="95">
        <v>6000</v>
      </c>
      <c r="O361" s="95">
        <v>8500</v>
      </c>
      <c r="P361" s="96">
        <v>549990</v>
      </c>
      <c r="Q361" s="152"/>
      <c r="R361" s="95">
        <v>449990</v>
      </c>
      <c r="S361" s="95">
        <f>R361/24</f>
        <v>18749.583333333332</v>
      </c>
      <c r="T361" s="95">
        <v>399900</v>
      </c>
      <c r="U361" s="95">
        <f>T361/24</f>
        <v>16662.5</v>
      </c>
      <c r="V361" s="95">
        <v>399900</v>
      </c>
      <c r="W361" s="95">
        <f>V361/24</f>
        <v>16662.5</v>
      </c>
      <c r="X361" s="128"/>
      <c r="Y361" s="95">
        <v>0</v>
      </c>
      <c r="Z361" s="95">
        <v>39000</v>
      </c>
      <c r="AA361" s="95">
        <f>IFERROR(IF(D361="Premium",0.4*Y361,0),"No Disp")</f>
        <v>0</v>
      </c>
      <c r="AB361" s="95">
        <f>IFERROR(IF(4*Y361&gt;AC361,1.5*Y361,4*Y361),"No Disp")</f>
        <v>0</v>
      </c>
      <c r="AC361" s="95">
        <f>IF(Z361="No Disp","No Disp",(Z361*18)+Y361)</f>
        <v>702000</v>
      </c>
      <c r="AD361" s="95">
        <f>18*Z361-100+Y361</f>
        <v>701900</v>
      </c>
      <c r="AE361" s="95">
        <v>0</v>
      </c>
      <c r="AF361" s="95">
        <v>36000</v>
      </c>
      <c r="AG361" s="95">
        <f>IF(AF361="No Disp","No Disp",(AF361*18)+AE361)</f>
        <v>648000</v>
      </c>
      <c r="AH361" s="98">
        <f>18*AF361-100+AE361</f>
        <v>647900</v>
      </c>
      <c r="AI361" s="95" t="s">
        <v>4613</v>
      </c>
      <c r="AJ361" s="99"/>
      <c r="AK361" s="100" t="s">
        <v>43</v>
      </c>
      <c r="AL361" s="100" t="s">
        <v>43</v>
      </c>
      <c r="AM361" s="100" t="str">
        <f>IF(AL361&lt;&gt;"No Disp",AK361+12*AL361,"No Disp")</f>
        <v>No Disp</v>
      </c>
      <c r="AN361" s="100" t="s">
        <v>43</v>
      </c>
      <c r="AO361" s="100" t="s">
        <v>43</v>
      </c>
      <c r="AP361" s="100" t="str">
        <f>IF(AO361&lt;&gt;"No Disp",AN361+12*AO361,"No Disp")</f>
        <v>No Disp</v>
      </c>
      <c r="AQ361" s="100" t="s">
        <v>43</v>
      </c>
      <c r="AR361" s="100" t="s">
        <v>43</v>
      </c>
      <c r="AS361" s="100" t="str">
        <f>IF(AR361&lt;&gt;"No Disp",AQ361+12*AR361,"No Disp")</f>
        <v>No Disp</v>
      </c>
    </row>
    <row r="362" spans="1:45" s="101" customFormat="1" x14ac:dyDescent="0.25">
      <c r="A362" s="90" t="s">
        <v>38</v>
      </c>
      <c r="B362" s="90" t="s">
        <v>39</v>
      </c>
      <c r="C362" s="90" t="s">
        <v>40</v>
      </c>
      <c r="D362" s="90" t="s">
        <v>4541</v>
      </c>
      <c r="E362" s="90" t="s">
        <v>4542</v>
      </c>
      <c r="F362" s="91">
        <v>297</v>
      </c>
      <c r="G362" s="92">
        <v>70011689</v>
      </c>
      <c r="H362" s="91">
        <v>70011689</v>
      </c>
      <c r="I362" s="93" t="s">
        <v>46</v>
      </c>
      <c r="J362" s="94" t="s">
        <v>3937</v>
      </c>
      <c r="K362" s="94" t="s">
        <v>613</v>
      </c>
      <c r="L362" s="94" t="s">
        <v>614</v>
      </c>
      <c r="M362" s="95">
        <v>71760</v>
      </c>
      <c r="N362" s="95">
        <v>2500</v>
      </c>
      <c r="O362" s="95">
        <v>4000</v>
      </c>
      <c r="P362" s="96">
        <v>0</v>
      </c>
      <c r="Q362" s="152"/>
      <c r="R362" s="95">
        <v>71760</v>
      </c>
      <c r="S362" s="95">
        <f>R362/24</f>
        <v>2990</v>
      </c>
      <c r="T362" s="95">
        <v>71760</v>
      </c>
      <c r="U362" s="95">
        <f>T362/24</f>
        <v>2990</v>
      </c>
      <c r="V362" s="95">
        <v>71760</v>
      </c>
      <c r="W362" s="95">
        <f>V362/24</f>
        <v>2990</v>
      </c>
      <c r="X362" s="128"/>
      <c r="Y362" s="95">
        <v>79900</v>
      </c>
      <c r="Z362" s="95">
        <v>11000</v>
      </c>
      <c r="AA362" s="95">
        <f>IFERROR(IF(D362="Premium",0.4*Y362,0),"No Disp")</f>
        <v>0</v>
      </c>
      <c r="AB362" s="95">
        <f>IFERROR(IF(4*Y362&gt;AC362,1.5*Y362,4*Y362),"No Disp")</f>
        <v>119850</v>
      </c>
      <c r="AC362" s="95">
        <f>IF(Z362="No Disp","No Disp",(Z362*18)+Y362)</f>
        <v>277900</v>
      </c>
      <c r="AD362" s="95">
        <f>18*Z362-100+Y362</f>
        <v>277800</v>
      </c>
      <c r="AE362" s="95">
        <v>19900</v>
      </c>
      <c r="AF362" s="95">
        <v>14000</v>
      </c>
      <c r="AG362" s="95">
        <f>IF(AF362="No Disp","No Disp",(AF362*18)+AE362)</f>
        <v>271900</v>
      </c>
      <c r="AH362" s="98">
        <f>18*AF362-100+AE362</f>
        <v>271800</v>
      </c>
      <c r="AI362" s="95" t="s">
        <v>4613</v>
      </c>
      <c r="AJ362" s="99"/>
      <c r="AK362" s="100" t="s">
        <v>43</v>
      </c>
      <c r="AL362" s="100" t="s">
        <v>43</v>
      </c>
      <c r="AM362" s="100" t="str">
        <f>IF(AL362&lt;&gt;"No Disp",AK362+12*AL362,"No Disp")</f>
        <v>No Disp</v>
      </c>
      <c r="AN362" s="100" t="s">
        <v>43</v>
      </c>
      <c r="AO362" s="100" t="s">
        <v>43</v>
      </c>
      <c r="AP362" s="100" t="str">
        <f>IF(AO362&lt;&gt;"No Disp",AN362+12*AO362,"No Disp")</f>
        <v>No Disp</v>
      </c>
      <c r="AQ362" s="100" t="s">
        <v>43</v>
      </c>
      <c r="AR362" s="100" t="s">
        <v>43</v>
      </c>
      <c r="AS362" s="100" t="str">
        <f>IF(AR362&lt;&gt;"No Disp",AQ362+12*AR362,"No Disp")</f>
        <v>No Disp</v>
      </c>
    </row>
    <row r="363" spans="1:45" s="101" customFormat="1" x14ac:dyDescent="0.25">
      <c r="A363" s="90" t="s">
        <v>38</v>
      </c>
      <c r="B363" s="90" t="s">
        <v>39</v>
      </c>
      <c r="C363" s="90" t="s">
        <v>40</v>
      </c>
      <c r="D363" s="90" t="s">
        <v>4540</v>
      </c>
      <c r="E363" s="90" t="s">
        <v>4542</v>
      </c>
      <c r="F363" s="91">
        <v>335</v>
      </c>
      <c r="G363" s="92">
        <v>70011692</v>
      </c>
      <c r="H363" s="91">
        <v>70011693</v>
      </c>
      <c r="I363" s="93" t="s">
        <v>46</v>
      </c>
      <c r="J363" s="94" t="s">
        <v>533</v>
      </c>
      <c r="K363" s="94" t="s">
        <v>534</v>
      </c>
      <c r="L363" s="94" t="s">
        <v>535</v>
      </c>
      <c r="M363" s="95">
        <v>899900</v>
      </c>
      <c r="N363" s="95">
        <v>6000</v>
      </c>
      <c r="O363" s="95">
        <v>8500</v>
      </c>
      <c r="P363" s="96">
        <v>0</v>
      </c>
      <c r="Q363" s="152"/>
      <c r="R363" s="95">
        <v>899900</v>
      </c>
      <c r="S363" s="95">
        <f>R363/24</f>
        <v>37495.833333333336</v>
      </c>
      <c r="T363" s="95">
        <v>899900</v>
      </c>
      <c r="U363" s="95">
        <f>T363/24</f>
        <v>37495.833333333336</v>
      </c>
      <c r="V363" s="95">
        <v>899900</v>
      </c>
      <c r="W363" s="95">
        <f>V363/24</f>
        <v>37495.833333333336</v>
      </c>
      <c r="X363" s="128"/>
      <c r="Y363" s="95">
        <v>599900</v>
      </c>
      <c r="Z363" s="95">
        <v>33000</v>
      </c>
      <c r="AA363" s="95">
        <f>IFERROR(IF(D363="Premium",0.4*Y363,0),"No Disp")</f>
        <v>239960</v>
      </c>
      <c r="AB363" s="95">
        <f>IFERROR(IF(4*Y363&gt;AC363,1.5*Y363,4*Y363),"No Disp")</f>
        <v>899850</v>
      </c>
      <c r="AC363" s="95">
        <f>IF(Z363="No Disp","No Disp",(Z363*18)+Y363)</f>
        <v>1193900</v>
      </c>
      <c r="AD363" s="95">
        <f>18*Z363-100+Y363</f>
        <v>1193800</v>
      </c>
      <c r="AE363" s="95">
        <v>199900</v>
      </c>
      <c r="AF363" s="95">
        <v>55000</v>
      </c>
      <c r="AG363" s="95">
        <f>IF(AF363="No Disp","No Disp",(AF363*18)+AE363)</f>
        <v>1189900</v>
      </c>
      <c r="AH363" s="98">
        <f>18*AF363-100+AE363</f>
        <v>1189800</v>
      </c>
      <c r="AI363" s="95" t="s">
        <v>4613</v>
      </c>
      <c r="AJ363" s="99"/>
      <c r="AK363" s="100" t="s">
        <v>43</v>
      </c>
      <c r="AL363" s="100" t="s">
        <v>43</v>
      </c>
      <c r="AM363" s="100" t="str">
        <f>IF(AL363&lt;&gt;"No Disp",AK363+12*AL363,"No Disp")</f>
        <v>No Disp</v>
      </c>
      <c r="AN363" s="100" t="s">
        <v>43</v>
      </c>
      <c r="AO363" s="100" t="s">
        <v>43</v>
      </c>
      <c r="AP363" s="100" t="str">
        <f>IF(AO363&lt;&gt;"No Disp",AN363+12*AO363,"No Disp")</f>
        <v>No Disp</v>
      </c>
      <c r="AQ363" s="100" t="s">
        <v>43</v>
      </c>
      <c r="AR363" s="100" t="s">
        <v>43</v>
      </c>
      <c r="AS363" s="100" t="str">
        <f>IF(AR363&lt;&gt;"No Disp",AQ363+12*AR363,"No Disp")</f>
        <v>No Disp</v>
      </c>
    </row>
    <row r="364" spans="1:45" s="101" customFormat="1" x14ac:dyDescent="0.25">
      <c r="A364" s="90" t="s">
        <v>102</v>
      </c>
      <c r="B364" s="90" t="s">
        <v>39</v>
      </c>
      <c r="C364" s="90" t="s">
        <v>40</v>
      </c>
      <c r="D364" s="90" t="s">
        <v>4541</v>
      </c>
      <c r="E364" s="90" t="s">
        <v>4542</v>
      </c>
      <c r="F364" s="91">
        <v>309</v>
      </c>
      <c r="G364" s="92">
        <v>70011704</v>
      </c>
      <c r="H364" s="91">
        <v>70011704</v>
      </c>
      <c r="I364" s="93" t="s">
        <v>46</v>
      </c>
      <c r="J364" s="94" t="s">
        <v>3936</v>
      </c>
      <c r="K364" s="94" t="s">
        <v>588</v>
      </c>
      <c r="L364" s="94" t="s">
        <v>589</v>
      </c>
      <c r="M364" s="95">
        <v>129900</v>
      </c>
      <c r="N364" s="95">
        <v>2500</v>
      </c>
      <c r="O364" s="95">
        <v>4000</v>
      </c>
      <c r="P364" s="96">
        <v>0</v>
      </c>
      <c r="Q364" s="152"/>
      <c r="R364" s="95">
        <v>129900</v>
      </c>
      <c r="S364" s="95">
        <f>R364/24</f>
        <v>5412.5</v>
      </c>
      <c r="T364" s="95">
        <v>129900</v>
      </c>
      <c r="U364" s="95">
        <f>T364/24</f>
        <v>5412.5</v>
      </c>
      <c r="V364" s="95">
        <v>129900</v>
      </c>
      <c r="W364" s="95">
        <f>V364/24</f>
        <v>5412.5</v>
      </c>
      <c r="X364" s="128"/>
      <c r="Y364" s="95">
        <v>64900</v>
      </c>
      <c r="Z364" s="95">
        <v>8000</v>
      </c>
      <c r="AA364" s="95">
        <f>IFERROR(IF(D364="Premium",0.4*Y364,0),"No Disp")</f>
        <v>0</v>
      </c>
      <c r="AB364" s="95">
        <f>IFERROR(IF(4*Y364&gt;AC364,1.5*Y364,4*Y364),"No Disp")</f>
        <v>97350</v>
      </c>
      <c r="AC364" s="95">
        <f>IF(Z364="No Disp","No Disp",(Z364*18)+Y364)</f>
        <v>208900</v>
      </c>
      <c r="AD364" s="95">
        <f>18*Z364-100+Y364</f>
        <v>208800</v>
      </c>
      <c r="AE364" s="95">
        <v>0</v>
      </c>
      <c r="AF364" s="95">
        <v>11500</v>
      </c>
      <c r="AG364" s="95">
        <f>IF(AF364="No Disp","No Disp",(AF364*18)+AE364)</f>
        <v>207000</v>
      </c>
      <c r="AH364" s="98">
        <f>18*AF364-100+AE364</f>
        <v>206900</v>
      </c>
      <c r="AI364" s="95" t="s">
        <v>4613</v>
      </c>
      <c r="AJ364" s="99"/>
      <c r="AK364" s="100" t="s">
        <v>43</v>
      </c>
      <c r="AL364" s="100" t="s">
        <v>43</v>
      </c>
      <c r="AM364" s="100" t="str">
        <f>IF(AL364&lt;&gt;"No Disp",AK364+12*AL364,"No Disp")</f>
        <v>No Disp</v>
      </c>
      <c r="AN364" s="100" t="s">
        <v>43</v>
      </c>
      <c r="AO364" s="100" t="s">
        <v>43</v>
      </c>
      <c r="AP364" s="100" t="str">
        <f>IF(AO364&lt;&gt;"No Disp",AN364+12*AO364,"No Disp")</f>
        <v>No Disp</v>
      </c>
      <c r="AQ364" s="100" t="s">
        <v>43</v>
      </c>
      <c r="AR364" s="100" t="s">
        <v>43</v>
      </c>
      <c r="AS364" s="100" t="str">
        <f>IF(AR364&lt;&gt;"No Disp",AQ364+12*AR364,"No Disp")</f>
        <v>No Disp</v>
      </c>
    </row>
    <row r="365" spans="1:45" s="101" customFormat="1" x14ac:dyDescent="0.25">
      <c r="A365" s="90" t="s">
        <v>38</v>
      </c>
      <c r="B365" s="90" t="s">
        <v>39</v>
      </c>
      <c r="C365" s="90" t="s">
        <v>40</v>
      </c>
      <c r="D365" s="90" t="s">
        <v>4539</v>
      </c>
      <c r="E365" s="90" t="s">
        <v>4542</v>
      </c>
      <c r="F365" s="91">
        <v>310</v>
      </c>
      <c r="G365" s="92">
        <v>70011705</v>
      </c>
      <c r="H365" s="91">
        <v>70011705</v>
      </c>
      <c r="I365" s="93" t="s">
        <v>87</v>
      </c>
      <c r="J365" s="94" t="s">
        <v>3935</v>
      </c>
      <c r="K365" s="94" t="s">
        <v>586</v>
      </c>
      <c r="L365" s="94" t="s">
        <v>587</v>
      </c>
      <c r="M365" s="95">
        <v>79900</v>
      </c>
      <c r="N365" s="95">
        <v>2500</v>
      </c>
      <c r="O365" s="95">
        <v>4000</v>
      </c>
      <c r="P365" s="96">
        <v>0</v>
      </c>
      <c r="Q365" s="152"/>
      <c r="R365" s="95">
        <v>79900</v>
      </c>
      <c r="S365" s="95">
        <f>R365/24</f>
        <v>3329.1666666666665</v>
      </c>
      <c r="T365" s="95">
        <v>79900</v>
      </c>
      <c r="U365" s="95">
        <f>T365/24</f>
        <v>3329.1666666666665</v>
      </c>
      <c r="V365" s="95">
        <v>79900</v>
      </c>
      <c r="W365" s="95">
        <f>V365/24</f>
        <v>3329.1666666666665</v>
      </c>
      <c r="X365" s="128"/>
      <c r="Y365" s="95">
        <v>129900</v>
      </c>
      <c r="Z365" s="95">
        <v>11000</v>
      </c>
      <c r="AA365" s="95">
        <f>IFERROR(IF(D365="Premium",0.4*Y365,0),"No Disp")</f>
        <v>0</v>
      </c>
      <c r="AB365" s="95">
        <f>IFERROR(IF(4*Y365&gt;AC365,1.5*Y365,4*Y365),"No Disp")</f>
        <v>194850</v>
      </c>
      <c r="AC365" s="95">
        <f>IF(Z365="No Disp","No Disp",(Z365*18)+Y365)</f>
        <v>327900</v>
      </c>
      <c r="AD365" s="95">
        <f>18*Z365-100+Y365</f>
        <v>327800</v>
      </c>
      <c r="AE365" s="95">
        <v>0</v>
      </c>
      <c r="AF365" s="95">
        <v>7000</v>
      </c>
      <c r="AG365" s="95">
        <f>IF(AF365="No Disp","No Disp",(AF365*18)+AE365)</f>
        <v>126000</v>
      </c>
      <c r="AH365" s="98">
        <f>18*AF365-100+AE365</f>
        <v>125900</v>
      </c>
      <c r="AI365" s="95" t="s">
        <v>4613</v>
      </c>
      <c r="AJ365" s="99"/>
      <c r="AK365" s="100" t="s">
        <v>43</v>
      </c>
      <c r="AL365" s="100" t="s">
        <v>43</v>
      </c>
      <c r="AM365" s="100" t="str">
        <f>IF(AL365&lt;&gt;"No Disp",AK365+12*AL365,"No Disp")</f>
        <v>No Disp</v>
      </c>
      <c r="AN365" s="100" t="s">
        <v>43</v>
      </c>
      <c r="AO365" s="100" t="s">
        <v>43</v>
      </c>
      <c r="AP365" s="100" t="str">
        <f>IF(AO365&lt;&gt;"No Disp",AN365+12*AO365,"No Disp")</f>
        <v>No Disp</v>
      </c>
      <c r="AQ365" s="100" t="s">
        <v>43</v>
      </c>
      <c r="AR365" s="100" t="s">
        <v>43</v>
      </c>
      <c r="AS365" s="100" t="str">
        <f>IF(AR365&lt;&gt;"No Disp",AQ365+12*AR365,"No Disp")</f>
        <v>No Disp</v>
      </c>
    </row>
    <row r="366" spans="1:45" s="101" customFormat="1" x14ac:dyDescent="0.25">
      <c r="A366" s="90" t="s">
        <v>38</v>
      </c>
      <c r="B366" s="90" t="s">
        <v>39</v>
      </c>
      <c r="C366" s="90" t="s">
        <v>40</v>
      </c>
      <c r="D366" s="90" t="s">
        <v>4539</v>
      </c>
      <c r="E366" s="90" t="s">
        <v>4542</v>
      </c>
      <c r="F366" s="91">
        <v>311</v>
      </c>
      <c r="G366" s="92">
        <v>70011706</v>
      </c>
      <c r="H366" s="91">
        <v>70011706</v>
      </c>
      <c r="I366" s="93" t="s">
        <v>46</v>
      </c>
      <c r="J366" s="94" t="s">
        <v>3934</v>
      </c>
      <c r="K366" s="94" t="s">
        <v>584</v>
      </c>
      <c r="L366" s="94" t="s">
        <v>585</v>
      </c>
      <c r="M366" s="95">
        <v>249900</v>
      </c>
      <c r="N366" s="95">
        <v>4000</v>
      </c>
      <c r="O366" s="95">
        <v>6000</v>
      </c>
      <c r="P366" s="96">
        <v>0</v>
      </c>
      <c r="Q366" s="152"/>
      <c r="R366" s="95">
        <v>249900</v>
      </c>
      <c r="S366" s="95">
        <f>R366/24</f>
        <v>10412.5</v>
      </c>
      <c r="T366" s="95">
        <v>249900</v>
      </c>
      <c r="U366" s="95">
        <f>T366/24</f>
        <v>10412.5</v>
      </c>
      <c r="V366" s="95">
        <v>249900</v>
      </c>
      <c r="W366" s="95">
        <f>V366/24</f>
        <v>10412.5</v>
      </c>
      <c r="X366" s="128"/>
      <c r="Y366" s="95">
        <v>99900</v>
      </c>
      <c r="Z366" s="95">
        <v>18000</v>
      </c>
      <c r="AA366" s="95">
        <f>IFERROR(IF(D366="Premium",0.4*Y366,0),"No Disp")</f>
        <v>0</v>
      </c>
      <c r="AB366" s="95">
        <f>IFERROR(IF(4*Y366&gt;AC366,1.5*Y366,4*Y366),"No Disp")</f>
        <v>399600</v>
      </c>
      <c r="AC366" s="95">
        <f>IF(Z366="No Disp","No Disp",(Z366*18)+Y366)</f>
        <v>423900</v>
      </c>
      <c r="AD366" s="95">
        <f>18*Z366-100+Y366</f>
        <v>423800</v>
      </c>
      <c r="AE366" s="95">
        <v>0</v>
      </c>
      <c r="AF366" s="95">
        <v>22000</v>
      </c>
      <c r="AG366" s="95">
        <f>IF(AF366="No Disp","No Disp",(AF366*18)+AE366)</f>
        <v>396000</v>
      </c>
      <c r="AH366" s="98">
        <f>18*AF366-100+AE366</f>
        <v>395900</v>
      </c>
      <c r="AI366" s="95" t="s">
        <v>4613</v>
      </c>
      <c r="AJ366" s="99"/>
      <c r="AK366" s="100" t="s">
        <v>43</v>
      </c>
      <c r="AL366" s="100" t="s">
        <v>43</v>
      </c>
      <c r="AM366" s="100" t="str">
        <f>IF(AL366&lt;&gt;"No Disp",AK366+12*AL366,"No Disp")</f>
        <v>No Disp</v>
      </c>
      <c r="AN366" s="100" t="s">
        <v>43</v>
      </c>
      <c r="AO366" s="100" t="s">
        <v>43</v>
      </c>
      <c r="AP366" s="100" t="str">
        <f>IF(AO366&lt;&gt;"No Disp",AN366+12*AO366,"No Disp")</f>
        <v>No Disp</v>
      </c>
      <c r="AQ366" s="100" t="s">
        <v>43</v>
      </c>
      <c r="AR366" s="100" t="s">
        <v>43</v>
      </c>
      <c r="AS366" s="100" t="str">
        <f>IF(AR366&lt;&gt;"No Disp",AQ366+12*AR366,"No Disp")</f>
        <v>No Disp</v>
      </c>
    </row>
    <row r="367" spans="1:45" s="101" customFormat="1" x14ac:dyDescent="0.25">
      <c r="A367" s="90" t="s">
        <v>38</v>
      </c>
      <c r="B367" s="90" t="s">
        <v>39</v>
      </c>
      <c r="C367" s="90" t="s">
        <v>40</v>
      </c>
      <c r="D367" s="90" t="s">
        <v>4537</v>
      </c>
      <c r="E367" s="90" t="s">
        <v>4542</v>
      </c>
      <c r="F367" s="91">
        <v>312</v>
      </c>
      <c r="G367" s="92">
        <v>70011707</v>
      </c>
      <c r="H367" s="91">
        <v>70011707</v>
      </c>
      <c r="I367" s="93" t="s">
        <v>87</v>
      </c>
      <c r="J367" s="94" t="s">
        <v>3933</v>
      </c>
      <c r="K367" s="94" t="s">
        <v>582</v>
      </c>
      <c r="L367" s="94" t="s">
        <v>583</v>
      </c>
      <c r="M367" s="95">
        <v>179900</v>
      </c>
      <c r="N367" s="95">
        <v>4000</v>
      </c>
      <c r="O367" s="95">
        <v>6000</v>
      </c>
      <c r="P367" s="96">
        <v>0</v>
      </c>
      <c r="Q367" s="152"/>
      <c r="R367" s="95">
        <v>179900</v>
      </c>
      <c r="S367" s="95">
        <f>R367/24</f>
        <v>7495.833333333333</v>
      </c>
      <c r="T367" s="95">
        <v>179900</v>
      </c>
      <c r="U367" s="95">
        <f>T367/24</f>
        <v>7495.833333333333</v>
      </c>
      <c r="V367" s="95">
        <v>179900</v>
      </c>
      <c r="W367" s="95">
        <f>V367/24</f>
        <v>7495.833333333333</v>
      </c>
      <c r="X367" s="128"/>
      <c r="Y367" s="95">
        <v>249900</v>
      </c>
      <c r="Z367" s="95">
        <v>15500</v>
      </c>
      <c r="AA367" s="95">
        <f>IFERROR(IF(D367="Premium",0.4*Y367,0),"No Disp")</f>
        <v>0</v>
      </c>
      <c r="AB367" s="95">
        <f>IFERROR(IF(4*Y367&gt;AC367,1.5*Y367,4*Y367),"No Disp")</f>
        <v>374850</v>
      </c>
      <c r="AC367" s="95">
        <f>IF(Z367="No Disp","No Disp",(Z367*18)+Y367)</f>
        <v>528900</v>
      </c>
      <c r="AD367" s="95">
        <f>18*Z367-100+Y367</f>
        <v>528800</v>
      </c>
      <c r="AE367" s="95">
        <v>0</v>
      </c>
      <c r="AF367" s="95">
        <v>15000</v>
      </c>
      <c r="AG367" s="95">
        <f>IF(AF367="No Disp","No Disp",(AF367*18)+AE367)</f>
        <v>270000</v>
      </c>
      <c r="AH367" s="98">
        <f>18*AF367-100+AE367</f>
        <v>269900</v>
      </c>
      <c r="AI367" s="95" t="s">
        <v>4613</v>
      </c>
      <c r="AJ367" s="99"/>
      <c r="AK367" s="100" t="s">
        <v>43</v>
      </c>
      <c r="AL367" s="100" t="s">
        <v>43</v>
      </c>
      <c r="AM367" s="100" t="str">
        <f>IF(AL367&lt;&gt;"No Disp",AK367+12*AL367,"No Disp")</f>
        <v>No Disp</v>
      </c>
      <c r="AN367" s="100" t="s">
        <v>43</v>
      </c>
      <c r="AO367" s="100" t="s">
        <v>43</v>
      </c>
      <c r="AP367" s="100" t="str">
        <f>IF(AO367&lt;&gt;"No Disp",AN367+12*AO367,"No Disp")</f>
        <v>No Disp</v>
      </c>
      <c r="AQ367" s="100" t="s">
        <v>43</v>
      </c>
      <c r="AR367" s="100" t="s">
        <v>43</v>
      </c>
      <c r="AS367" s="100" t="str">
        <f>IF(AR367&lt;&gt;"No Disp",AQ367+12*AR367,"No Disp")</f>
        <v>No Disp</v>
      </c>
    </row>
    <row r="368" spans="1:45" s="101" customFormat="1" x14ac:dyDescent="0.25">
      <c r="A368" s="90" t="s">
        <v>38</v>
      </c>
      <c r="B368" s="90" t="s">
        <v>39</v>
      </c>
      <c r="C368" s="90" t="s">
        <v>40</v>
      </c>
      <c r="D368" s="90" t="s">
        <v>4539</v>
      </c>
      <c r="E368" s="90" t="s">
        <v>4542</v>
      </c>
      <c r="F368" s="91">
        <v>321</v>
      </c>
      <c r="G368" s="92">
        <v>70011712</v>
      </c>
      <c r="H368" s="91">
        <v>70011713</v>
      </c>
      <c r="I368" s="93" t="s">
        <v>41</v>
      </c>
      <c r="J368" s="94" t="s">
        <v>562</v>
      </c>
      <c r="K368" s="94" t="s">
        <v>565</v>
      </c>
      <c r="L368" s="94" t="s">
        <v>566</v>
      </c>
      <c r="M368" s="95">
        <v>209900</v>
      </c>
      <c r="N368" s="95">
        <v>2500</v>
      </c>
      <c r="O368" s="95">
        <v>4000</v>
      </c>
      <c r="P368" s="96">
        <v>349990</v>
      </c>
      <c r="Q368" s="152"/>
      <c r="R368" s="95">
        <v>229990</v>
      </c>
      <c r="S368" s="95">
        <f>R368/24</f>
        <v>9582.9166666666661</v>
      </c>
      <c r="T368" s="95">
        <v>209900</v>
      </c>
      <c r="U368" s="95">
        <f>T368/24</f>
        <v>8745.8333333333339</v>
      </c>
      <c r="V368" s="95">
        <v>209900</v>
      </c>
      <c r="W368" s="95">
        <f>V368/24</f>
        <v>8745.8333333333339</v>
      </c>
      <c r="X368" s="128"/>
      <c r="Y368" s="95">
        <v>0</v>
      </c>
      <c r="Z368" s="95">
        <v>17500</v>
      </c>
      <c r="AA368" s="95">
        <f>IFERROR(IF(D368="Premium",0.4*Y368,0),"No Disp")</f>
        <v>0</v>
      </c>
      <c r="AB368" s="95">
        <f>IFERROR(IF(4*Y368&gt;AC368,1.5*Y368,4*Y368),"No Disp")</f>
        <v>0</v>
      </c>
      <c r="AC368" s="95">
        <f>IF(Z368="No Disp","No Disp",(Z368*18)+Y368)</f>
        <v>315000</v>
      </c>
      <c r="AD368" s="95">
        <f>18*Z368-100+Y368</f>
        <v>314900</v>
      </c>
      <c r="AE368" s="95">
        <v>0</v>
      </c>
      <c r="AF368" s="95">
        <v>15500</v>
      </c>
      <c r="AG368" s="95">
        <f>IF(AF368="No Disp","No Disp",(AF368*18)+AE368)</f>
        <v>279000</v>
      </c>
      <c r="AH368" s="98">
        <f>18*AF368-100+AE368</f>
        <v>278900</v>
      </c>
      <c r="AI368" s="95" t="s">
        <v>4613</v>
      </c>
      <c r="AJ368" s="99"/>
      <c r="AK368" s="100" t="s">
        <v>43</v>
      </c>
      <c r="AL368" s="100" t="s">
        <v>43</v>
      </c>
      <c r="AM368" s="100" t="str">
        <f>IF(AL368&lt;&gt;"No Disp",AK368+12*AL368,"No Disp")</f>
        <v>No Disp</v>
      </c>
      <c r="AN368" s="100" t="s">
        <v>43</v>
      </c>
      <c r="AO368" s="100" t="s">
        <v>43</v>
      </c>
      <c r="AP368" s="100" t="str">
        <f>IF(AO368&lt;&gt;"No Disp",AN368+12*AO368,"No Disp")</f>
        <v>No Disp</v>
      </c>
      <c r="AQ368" s="100" t="s">
        <v>43</v>
      </c>
      <c r="AR368" s="100" t="s">
        <v>43</v>
      </c>
      <c r="AS368" s="100" t="str">
        <f>IF(AR368&lt;&gt;"No Disp",AQ368+12*AR368,"No Disp")</f>
        <v>No Disp</v>
      </c>
    </row>
    <row r="369" spans="1:45" s="101" customFormat="1" x14ac:dyDescent="0.25">
      <c r="A369" s="90" t="s">
        <v>38</v>
      </c>
      <c r="B369" s="90" t="s">
        <v>39</v>
      </c>
      <c r="C369" s="90" t="s">
        <v>40</v>
      </c>
      <c r="D369" s="90" t="s">
        <v>4539</v>
      </c>
      <c r="E369" s="90" t="s">
        <v>4542</v>
      </c>
      <c r="F369" s="91">
        <v>384</v>
      </c>
      <c r="G369" s="92">
        <v>70011715</v>
      </c>
      <c r="H369" s="91">
        <v>70011716</v>
      </c>
      <c r="I369" s="93" t="s">
        <v>131</v>
      </c>
      <c r="J369" s="94" t="s">
        <v>433</v>
      </c>
      <c r="K369" s="94" t="s">
        <v>438</v>
      </c>
      <c r="L369" s="94" t="s">
        <v>439</v>
      </c>
      <c r="M369" s="95">
        <v>182900</v>
      </c>
      <c r="N369" s="95">
        <v>2500</v>
      </c>
      <c r="O369" s="95">
        <v>4000</v>
      </c>
      <c r="P369" s="96">
        <v>0</v>
      </c>
      <c r="Q369" s="152"/>
      <c r="R369" s="95">
        <v>182900</v>
      </c>
      <c r="S369" s="95">
        <f>R369/24</f>
        <v>7620.833333333333</v>
      </c>
      <c r="T369" s="95">
        <v>182900</v>
      </c>
      <c r="U369" s="95">
        <f>T369/24</f>
        <v>7620.833333333333</v>
      </c>
      <c r="V369" s="95">
        <v>182900</v>
      </c>
      <c r="W369" s="95">
        <f>V369/24</f>
        <v>7620.833333333333</v>
      </c>
      <c r="X369" s="128"/>
      <c r="Y369" s="95">
        <v>82900</v>
      </c>
      <c r="Z369" s="95">
        <v>10000</v>
      </c>
      <c r="AA369" s="95">
        <f>IFERROR(IF(D369="Premium",0.4*Y369,0),"No Disp")</f>
        <v>0</v>
      </c>
      <c r="AB369" s="95">
        <f>IFERROR(IF(4*Y369&gt;AC369,1.5*Y369,4*Y369),"No Disp")</f>
        <v>124350</v>
      </c>
      <c r="AC369" s="95">
        <f>IF(Z369="No Disp","No Disp",(Z369*18)+Y369)</f>
        <v>262900</v>
      </c>
      <c r="AD369" s="95">
        <f>18*Z369-100+Y369</f>
        <v>262800</v>
      </c>
      <c r="AE369" s="95">
        <v>19900</v>
      </c>
      <c r="AF369" s="95">
        <v>14500</v>
      </c>
      <c r="AG369" s="95">
        <f>IF(AF369="No Disp","No Disp",(AF369*18)+AE369)</f>
        <v>280900</v>
      </c>
      <c r="AH369" s="98">
        <f>18*AF369-100+AE369</f>
        <v>280800</v>
      </c>
      <c r="AI369" s="95" t="s">
        <v>4613</v>
      </c>
      <c r="AJ369" s="99"/>
      <c r="AK369" s="100" t="s">
        <v>43</v>
      </c>
      <c r="AL369" s="100" t="s">
        <v>43</v>
      </c>
      <c r="AM369" s="100" t="str">
        <f>IF(AL369&lt;&gt;"No Disp",AK369+12*AL369,"No Disp")</f>
        <v>No Disp</v>
      </c>
      <c r="AN369" s="100" t="s">
        <v>43</v>
      </c>
      <c r="AO369" s="100" t="s">
        <v>43</v>
      </c>
      <c r="AP369" s="100" t="str">
        <f>IF(AO369&lt;&gt;"No Disp",AN369+12*AO369,"No Disp")</f>
        <v>No Disp</v>
      </c>
      <c r="AQ369" s="100" t="s">
        <v>43</v>
      </c>
      <c r="AR369" s="100" t="s">
        <v>43</v>
      </c>
      <c r="AS369" s="100" t="str">
        <f>IF(AR369&lt;&gt;"No Disp",AQ369+12*AR369,"No Disp")</f>
        <v>No Disp</v>
      </c>
    </row>
    <row r="370" spans="1:45" s="101" customFormat="1" x14ac:dyDescent="0.25">
      <c r="A370" s="90" t="s">
        <v>38</v>
      </c>
      <c r="B370" s="90" t="s">
        <v>39</v>
      </c>
      <c r="C370" s="90" t="s">
        <v>40</v>
      </c>
      <c r="D370" s="90" t="s">
        <v>4539</v>
      </c>
      <c r="E370" s="90" t="s">
        <v>4542</v>
      </c>
      <c r="F370" s="91">
        <v>385</v>
      </c>
      <c r="G370" s="92">
        <v>70011718</v>
      </c>
      <c r="H370" s="91">
        <v>70011719</v>
      </c>
      <c r="I370" s="93" t="s">
        <v>131</v>
      </c>
      <c r="J370" s="94" t="s">
        <v>433</v>
      </c>
      <c r="K370" s="94" t="s">
        <v>436</v>
      </c>
      <c r="L370" s="94" t="s">
        <v>437</v>
      </c>
      <c r="M370" s="95">
        <v>182900</v>
      </c>
      <c r="N370" s="95">
        <v>2500</v>
      </c>
      <c r="O370" s="95">
        <v>4000</v>
      </c>
      <c r="P370" s="96">
        <v>0</v>
      </c>
      <c r="Q370" s="152"/>
      <c r="R370" s="95">
        <v>182900</v>
      </c>
      <c r="S370" s="95">
        <f>R370/24</f>
        <v>7620.833333333333</v>
      </c>
      <c r="T370" s="95">
        <v>182900</v>
      </c>
      <c r="U370" s="95">
        <f>T370/24</f>
        <v>7620.833333333333</v>
      </c>
      <c r="V370" s="95">
        <v>182900</v>
      </c>
      <c r="W370" s="95">
        <f>V370/24</f>
        <v>7620.833333333333</v>
      </c>
      <c r="X370" s="128"/>
      <c r="Y370" s="95">
        <v>82900</v>
      </c>
      <c r="Z370" s="95">
        <v>10000</v>
      </c>
      <c r="AA370" s="95">
        <f>IFERROR(IF(D370="Premium",0.4*Y370,0),"No Disp")</f>
        <v>0</v>
      </c>
      <c r="AB370" s="95">
        <f>IFERROR(IF(4*Y370&gt;AC370,1.5*Y370,4*Y370),"No Disp")</f>
        <v>124350</v>
      </c>
      <c r="AC370" s="95">
        <f>IF(Z370="No Disp","No Disp",(Z370*18)+Y370)</f>
        <v>262900</v>
      </c>
      <c r="AD370" s="95">
        <f>18*Z370-100+Y370</f>
        <v>262800</v>
      </c>
      <c r="AE370" s="95">
        <v>19900</v>
      </c>
      <c r="AF370" s="95">
        <v>14500</v>
      </c>
      <c r="AG370" s="95">
        <f>IF(AF370="No Disp","No Disp",(AF370*18)+AE370)</f>
        <v>280900</v>
      </c>
      <c r="AH370" s="98">
        <f>18*AF370-100+AE370</f>
        <v>280800</v>
      </c>
      <c r="AI370" s="95" t="s">
        <v>4613</v>
      </c>
      <c r="AJ370" s="99"/>
      <c r="AK370" s="100" t="s">
        <v>43</v>
      </c>
      <c r="AL370" s="100" t="s">
        <v>43</v>
      </c>
      <c r="AM370" s="100" t="str">
        <f>IF(AL370&lt;&gt;"No Disp",AK370+12*AL370,"No Disp")</f>
        <v>No Disp</v>
      </c>
      <c r="AN370" s="100" t="s">
        <v>43</v>
      </c>
      <c r="AO370" s="100" t="s">
        <v>43</v>
      </c>
      <c r="AP370" s="100" t="str">
        <f>IF(AO370&lt;&gt;"No Disp",AN370+12*AO370,"No Disp")</f>
        <v>No Disp</v>
      </c>
      <c r="AQ370" s="100" t="s">
        <v>43</v>
      </c>
      <c r="AR370" s="100" t="s">
        <v>43</v>
      </c>
      <c r="AS370" s="100" t="str">
        <f>IF(AR370&lt;&gt;"No Disp",AQ370+12*AR370,"No Disp")</f>
        <v>No Disp</v>
      </c>
    </row>
    <row r="371" spans="1:45" s="101" customFormat="1" x14ac:dyDescent="0.25">
      <c r="A371" s="90" t="s">
        <v>38</v>
      </c>
      <c r="B371" s="90" t="s">
        <v>39</v>
      </c>
      <c r="C371" s="90" t="s">
        <v>40</v>
      </c>
      <c r="D371" s="90" t="s">
        <v>4539</v>
      </c>
      <c r="E371" s="90" t="s">
        <v>4542</v>
      </c>
      <c r="F371" s="91">
        <v>386</v>
      </c>
      <c r="G371" s="92">
        <v>70011721</v>
      </c>
      <c r="H371" s="91">
        <v>70011722</v>
      </c>
      <c r="I371" s="93" t="s">
        <v>131</v>
      </c>
      <c r="J371" s="94" t="s">
        <v>433</v>
      </c>
      <c r="K371" s="94" t="s">
        <v>434</v>
      </c>
      <c r="L371" s="94" t="s">
        <v>435</v>
      </c>
      <c r="M371" s="95">
        <v>182900</v>
      </c>
      <c r="N371" s="95">
        <v>2500</v>
      </c>
      <c r="O371" s="95">
        <v>4000</v>
      </c>
      <c r="P371" s="96">
        <v>0</v>
      </c>
      <c r="Q371" s="152"/>
      <c r="R371" s="95">
        <v>182900</v>
      </c>
      <c r="S371" s="95">
        <f>R371/24</f>
        <v>7620.833333333333</v>
      </c>
      <c r="T371" s="95">
        <v>182900</v>
      </c>
      <c r="U371" s="95">
        <f>T371/24</f>
        <v>7620.833333333333</v>
      </c>
      <c r="V371" s="95">
        <v>182900</v>
      </c>
      <c r="W371" s="95">
        <f>V371/24</f>
        <v>7620.833333333333</v>
      </c>
      <c r="X371" s="128"/>
      <c r="Y371" s="95">
        <v>82900</v>
      </c>
      <c r="Z371" s="95">
        <v>10000</v>
      </c>
      <c r="AA371" s="95">
        <f>IFERROR(IF(D371="Premium",0.4*Y371,0),"No Disp")</f>
        <v>0</v>
      </c>
      <c r="AB371" s="95">
        <f>IFERROR(IF(4*Y371&gt;AC371,1.5*Y371,4*Y371),"No Disp")</f>
        <v>124350</v>
      </c>
      <c r="AC371" s="95">
        <f>IF(Z371="No Disp","No Disp",(Z371*18)+Y371)</f>
        <v>262900</v>
      </c>
      <c r="AD371" s="95">
        <f>18*Z371-100+Y371</f>
        <v>262800</v>
      </c>
      <c r="AE371" s="95">
        <v>19900</v>
      </c>
      <c r="AF371" s="95">
        <v>14500</v>
      </c>
      <c r="AG371" s="95">
        <f>IF(AF371="No Disp","No Disp",(AF371*18)+AE371)</f>
        <v>280900</v>
      </c>
      <c r="AH371" s="98">
        <f>18*AF371-100+AE371</f>
        <v>280800</v>
      </c>
      <c r="AI371" s="95" t="s">
        <v>4613</v>
      </c>
      <c r="AJ371" s="99"/>
      <c r="AK371" s="100" t="s">
        <v>43</v>
      </c>
      <c r="AL371" s="100" t="s">
        <v>43</v>
      </c>
      <c r="AM371" s="100" t="str">
        <f>IF(AL371&lt;&gt;"No Disp",AK371+12*AL371,"No Disp")</f>
        <v>No Disp</v>
      </c>
      <c r="AN371" s="100" t="s">
        <v>43</v>
      </c>
      <c r="AO371" s="100" t="s">
        <v>43</v>
      </c>
      <c r="AP371" s="100" t="str">
        <f>IF(AO371&lt;&gt;"No Disp",AN371+12*AO371,"No Disp")</f>
        <v>No Disp</v>
      </c>
      <c r="AQ371" s="100" t="s">
        <v>43</v>
      </c>
      <c r="AR371" s="100" t="s">
        <v>43</v>
      </c>
      <c r="AS371" s="100" t="str">
        <f>IF(AR371&lt;&gt;"No Disp",AQ371+12*AR371,"No Disp")</f>
        <v>No Disp</v>
      </c>
    </row>
    <row r="372" spans="1:45" s="101" customFormat="1" x14ac:dyDescent="0.25">
      <c r="A372" s="90" t="s">
        <v>38</v>
      </c>
      <c r="B372" s="90" t="s">
        <v>39</v>
      </c>
      <c r="C372" s="90" t="s">
        <v>40</v>
      </c>
      <c r="D372" s="90" t="s">
        <v>4540</v>
      </c>
      <c r="E372" s="90" t="s">
        <v>4542</v>
      </c>
      <c r="F372" s="91">
        <v>398</v>
      </c>
      <c r="G372" s="92">
        <v>70011730</v>
      </c>
      <c r="H372" s="91">
        <v>70011731</v>
      </c>
      <c r="I372" s="93" t="s">
        <v>46</v>
      </c>
      <c r="J372" s="94" t="s">
        <v>408</v>
      </c>
      <c r="K372" s="94" t="s">
        <v>413</v>
      </c>
      <c r="L372" s="94" t="s">
        <v>414</v>
      </c>
      <c r="M372" s="95">
        <v>859900</v>
      </c>
      <c r="N372" s="95">
        <v>7000</v>
      </c>
      <c r="O372" s="95">
        <v>10000</v>
      </c>
      <c r="P372" s="96">
        <v>0</v>
      </c>
      <c r="Q372" s="152"/>
      <c r="R372" s="95">
        <v>969990</v>
      </c>
      <c r="S372" s="95">
        <f>R372/24</f>
        <v>40416.25</v>
      </c>
      <c r="T372" s="95">
        <v>859900</v>
      </c>
      <c r="U372" s="95">
        <f>T372/24</f>
        <v>35829.166666666664</v>
      </c>
      <c r="V372" s="95">
        <v>859900</v>
      </c>
      <c r="W372" s="95">
        <f>V372/24</f>
        <v>35829.166666666664</v>
      </c>
      <c r="X372" s="128"/>
      <c r="Y372" s="95">
        <v>599900</v>
      </c>
      <c r="Z372" s="95">
        <v>38000</v>
      </c>
      <c r="AA372" s="95">
        <f>IFERROR(IF(D372="Premium",0.4*Y372,0),"No Disp")</f>
        <v>239960</v>
      </c>
      <c r="AB372" s="95">
        <f>IFERROR(IF(4*Y372&gt;AC372,1.5*Y372,4*Y372),"No Disp")</f>
        <v>899850</v>
      </c>
      <c r="AC372" s="95">
        <f>IF(Z372="No Disp","No Disp",(Z372*18)+Y372)</f>
        <v>1283900</v>
      </c>
      <c r="AD372" s="95">
        <f>18*Z372-100+Y372</f>
        <v>1283800</v>
      </c>
      <c r="AE372" s="95">
        <v>299900</v>
      </c>
      <c r="AF372" s="95">
        <v>55000</v>
      </c>
      <c r="AG372" s="95">
        <f>IF(AF372="No Disp","No Disp",(AF372*18)+AE372)</f>
        <v>1289900</v>
      </c>
      <c r="AH372" s="98">
        <f>18*AF372-100+AE372</f>
        <v>1289800</v>
      </c>
      <c r="AI372" s="95" t="s">
        <v>4613</v>
      </c>
      <c r="AJ372" s="99"/>
      <c r="AK372" s="100" t="s">
        <v>43</v>
      </c>
      <c r="AL372" s="100" t="s">
        <v>43</v>
      </c>
      <c r="AM372" s="100" t="str">
        <f>IF(AL372&lt;&gt;"No Disp",AK372+12*AL372,"No Disp")</f>
        <v>No Disp</v>
      </c>
      <c r="AN372" s="100" t="s">
        <v>43</v>
      </c>
      <c r="AO372" s="100" t="s">
        <v>43</v>
      </c>
      <c r="AP372" s="100" t="str">
        <f>IF(AO372&lt;&gt;"No Disp",AN372+12*AO372,"No Disp")</f>
        <v>No Disp</v>
      </c>
      <c r="AQ372" s="100" t="s">
        <v>43</v>
      </c>
      <c r="AR372" s="100" t="s">
        <v>43</v>
      </c>
      <c r="AS372" s="100" t="str">
        <f>IF(AR372&lt;&gt;"No Disp",AQ372+12*AR372,"No Disp")</f>
        <v>No Disp</v>
      </c>
    </row>
    <row r="373" spans="1:45" s="101" customFormat="1" x14ac:dyDescent="0.25">
      <c r="A373" s="90" t="s">
        <v>38</v>
      </c>
      <c r="B373" s="90" t="s">
        <v>39</v>
      </c>
      <c r="C373" s="90" t="s">
        <v>40</v>
      </c>
      <c r="D373" s="90" t="s">
        <v>4540</v>
      </c>
      <c r="E373" s="90" t="s">
        <v>4542</v>
      </c>
      <c r="F373" s="91">
        <v>400</v>
      </c>
      <c r="G373" s="92">
        <v>70011733</v>
      </c>
      <c r="H373" s="91">
        <v>70011734</v>
      </c>
      <c r="I373" s="93" t="s">
        <v>46</v>
      </c>
      <c r="J373" s="94" t="s">
        <v>408</v>
      </c>
      <c r="K373" s="94" t="s">
        <v>409</v>
      </c>
      <c r="L373" s="94" t="s">
        <v>410</v>
      </c>
      <c r="M373" s="95">
        <v>859900</v>
      </c>
      <c r="N373" s="95">
        <v>7000</v>
      </c>
      <c r="O373" s="95">
        <v>10000</v>
      </c>
      <c r="P373" s="96">
        <v>0</v>
      </c>
      <c r="Q373" s="152"/>
      <c r="R373" s="95">
        <v>969990</v>
      </c>
      <c r="S373" s="95">
        <f>R373/24</f>
        <v>40416.25</v>
      </c>
      <c r="T373" s="95">
        <v>859900</v>
      </c>
      <c r="U373" s="95">
        <f>T373/24</f>
        <v>35829.166666666664</v>
      </c>
      <c r="V373" s="95">
        <v>859900</v>
      </c>
      <c r="W373" s="95">
        <f>V373/24</f>
        <v>35829.166666666664</v>
      </c>
      <c r="X373" s="128"/>
      <c r="Y373" s="95">
        <v>599900</v>
      </c>
      <c r="Z373" s="95">
        <v>38000</v>
      </c>
      <c r="AA373" s="95">
        <f>IFERROR(IF(D373="Premium",0.4*Y373,0),"No Disp")</f>
        <v>239960</v>
      </c>
      <c r="AB373" s="95">
        <f>IFERROR(IF(4*Y373&gt;AC373,1.5*Y373,4*Y373),"No Disp")</f>
        <v>899850</v>
      </c>
      <c r="AC373" s="95">
        <f>IF(Z373="No Disp","No Disp",(Z373*18)+Y373)</f>
        <v>1283900</v>
      </c>
      <c r="AD373" s="95">
        <f>18*Z373-100+Y373</f>
        <v>1283800</v>
      </c>
      <c r="AE373" s="95">
        <v>299900</v>
      </c>
      <c r="AF373" s="95">
        <v>55000</v>
      </c>
      <c r="AG373" s="95">
        <f>IF(AF373="No Disp","No Disp",(AF373*18)+AE373)</f>
        <v>1289900</v>
      </c>
      <c r="AH373" s="98">
        <f>18*AF373-100+AE373</f>
        <v>1289800</v>
      </c>
      <c r="AI373" s="95" t="s">
        <v>4613</v>
      </c>
      <c r="AJ373" s="99"/>
      <c r="AK373" s="100" t="s">
        <v>43</v>
      </c>
      <c r="AL373" s="100" t="s">
        <v>43</v>
      </c>
      <c r="AM373" s="100" t="str">
        <f>IF(AL373&lt;&gt;"No Disp",AK373+12*AL373,"No Disp")</f>
        <v>No Disp</v>
      </c>
      <c r="AN373" s="100" t="s">
        <v>43</v>
      </c>
      <c r="AO373" s="100" t="s">
        <v>43</v>
      </c>
      <c r="AP373" s="100" t="str">
        <f>IF(AO373&lt;&gt;"No Disp",AN373+12*AO373,"No Disp")</f>
        <v>No Disp</v>
      </c>
      <c r="AQ373" s="100" t="s">
        <v>43</v>
      </c>
      <c r="AR373" s="100" t="s">
        <v>43</v>
      </c>
      <c r="AS373" s="100" t="str">
        <f>IF(AR373&lt;&gt;"No Disp",AQ373+12*AR373,"No Disp")</f>
        <v>No Disp</v>
      </c>
    </row>
    <row r="374" spans="1:45" s="101" customFormat="1" x14ac:dyDescent="0.25">
      <c r="A374" s="90" t="s">
        <v>38</v>
      </c>
      <c r="B374" s="90" t="s">
        <v>39</v>
      </c>
      <c r="C374" s="90" t="s">
        <v>40</v>
      </c>
      <c r="D374" s="90" t="s">
        <v>4540</v>
      </c>
      <c r="E374" s="90" t="s">
        <v>4542</v>
      </c>
      <c r="F374" s="91">
        <v>300</v>
      </c>
      <c r="G374" s="92">
        <v>70011736</v>
      </c>
      <c r="H374" s="91">
        <v>70011737</v>
      </c>
      <c r="I374" s="93" t="s">
        <v>46</v>
      </c>
      <c r="J374" s="94" t="s">
        <v>408</v>
      </c>
      <c r="K374" s="94" t="s">
        <v>607</v>
      </c>
      <c r="L374" s="94" t="s">
        <v>608</v>
      </c>
      <c r="M374" s="95">
        <v>859900</v>
      </c>
      <c r="N374" s="95">
        <v>7000</v>
      </c>
      <c r="O374" s="95">
        <v>10000</v>
      </c>
      <c r="P374" s="96">
        <v>0</v>
      </c>
      <c r="Q374" s="152"/>
      <c r="R374" s="95">
        <v>969990</v>
      </c>
      <c r="S374" s="95">
        <f>R374/24</f>
        <v>40416.25</v>
      </c>
      <c r="T374" s="95">
        <v>859900</v>
      </c>
      <c r="U374" s="95">
        <f>T374/24</f>
        <v>35829.166666666664</v>
      </c>
      <c r="V374" s="95">
        <v>859900</v>
      </c>
      <c r="W374" s="95">
        <f>V374/24</f>
        <v>35829.166666666664</v>
      </c>
      <c r="X374" s="128"/>
      <c r="Y374" s="95">
        <v>599900</v>
      </c>
      <c r="Z374" s="95">
        <v>38000</v>
      </c>
      <c r="AA374" s="95">
        <f>IFERROR(IF(D374="Premium",0.4*Y374,0),"No Disp")</f>
        <v>239960</v>
      </c>
      <c r="AB374" s="95">
        <f>IFERROR(IF(4*Y374&gt;AC374,1.5*Y374,4*Y374),"No Disp")</f>
        <v>899850</v>
      </c>
      <c r="AC374" s="95">
        <f>IF(Z374="No Disp","No Disp",(Z374*18)+Y374)</f>
        <v>1283900</v>
      </c>
      <c r="AD374" s="95">
        <f>18*Z374-100+Y374</f>
        <v>1283800</v>
      </c>
      <c r="AE374" s="95">
        <v>299900</v>
      </c>
      <c r="AF374" s="95">
        <v>55000</v>
      </c>
      <c r="AG374" s="95">
        <f>IF(AF374="No Disp","No Disp",(AF374*18)+AE374)</f>
        <v>1289900</v>
      </c>
      <c r="AH374" s="98">
        <f>18*AF374-100+AE374</f>
        <v>1289800</v>
      </c>
      <c r="AI374" s="95" t="s">
        <v>4613</v>
      </c>
      <c r="AJ374" s="99"/>
      <c r="AK374" s="100" t="s">
        <v>43</v>
      </c>
      <c r="AL374" s="100" t="s">
        <v>43</v>
      </c>
      <c r="AM374" s="100" t="str">
        <f>IF(AL374&lt;&gt;"No Disp",AK374+12*AL374,"No Disp")</f>
        <v>No Disp</v>
      </c>
      <c r="AN374" s="100" t="s">
        <v>43</v>
      </c>
      <c r="AO374" s="100" t="s">
        <v>43</v>
      </c>
      <c r="AP374" s="100" t="str">
        <f>IF(AO374&lt;&gt;"No Disp",AN374+12*AO374,"No Disp")</f>
        <v>No Disp</v>
      </c>
      <c r="AQ374" s="100" t="s">
        <v>43</v>
      </c>
      <c r="AR374" s="100" t="s">
        <v>43</v>
      </c>
      <c r="AS374" s="100" t="str">
        <f>IF(AR374&lt;&gt;"No Disp",AQ374+12*AR374,"No Disp")</f>
        <v>No Disp</v>
      </c>
    </row>
    <row r="375" spans="1:45" s="101" customFormat="1" x14ac:dyDescent="0.25">
      <c r="A375" s="90" t="s">
        <v>38</v>
      </c>
      <c r="B375" s="90" t="s">
        <v>39</v>
      </c>
      <c r="C375" s="90" t="s">
        <v>40</v>
      </c>
      <c r="D375" s="90" t="s">
        <v>4540</v>
      </c>
      <c r="E375" s="90" t="s">
        <v>4542</v>
      </c>
      <c r="F375" s="91">
        <v>301</v>
      </c>
      <c r="G375" s="92">
        <v>70011739</v>
      </c>
      <c r="H375" s="91">
        <v>70011740</v>
      </c>
      <c r="I375" s="93" t="s">
        <v>46</v>
      </c>
      <c r="J375" s="94" t="s">
        <v>408</v>
      </c>
      <c r="K375" s="94" t="s">
        <v>605</v>
      </c>
      <c r="L375" s="94" t="s">
        <v>606</v>
      </c>
      <c r="M375" s="95">
        <v>859900</v>
      </c>
      <c r="N375" s="95">
        <v>7000</v>
      </c>
      <c r="O375" s="95">
        <v>10000</v>
      </c>
      <c r="P375" s="96">
        <v>0</v>
      </c>
      <c r="Q375" s="152"/>
      <c r="R375" s="95">
        <v>969990</v>
      </c>
      <c r="S375" s="95">
        <f>R375/24</f>
        <v>40416.25</v>
      </c>
      <c r="T375" s="95">
        <v>859900</v>
      </c>
      <c r="U375" s="95">
        <f>T375/24</f>
        <v>35829.166666666664</v>
      </c>
      <c r="V375" s="95">
        <v>859900</v>
      </c>
      <c r="W375" s="95">
        <f>V375/24</f>
        <v>35829.166666666664</v>
      </c>
      <c r="X375" s="128"/>
      <c r="Y375" s="95">
        <v>599900</v>
      </c>
      <c r="Z375" s="95">
        <v>38000</v>
      </c>
      <c r="AA375" s="95">
        <f>IFERROR(IF(D375="Premium",0.4*Y375,0),"No Disp")</f>
        <v>239960</v>
      </c>
      <c r="AB375" s="95">
        <f>IFERROR(IF(4*Y375&gt;AC375,1.5*Y375,4*Y375),"No Disp")</f>
        <v>899850</v>
      </c>
      <c r="AC375" s="95">
        <f>IF(Z375="No Disp","No Disp",(Z375*18)+Y375)</f>
        <v>1283900</v>
      </c>
      <c r="AD375" s="95">
        <f>18*Z375-100+Y375</f>
        <v>1283800</v>
      </c>
      <c r="AE375" s="95">
        <v>299900</v>
      </c>
      <c r="AF375" s="95">
        <v>55000</v>
      </c>
      <c r="AG375" s="95">
        <f>IF(AF375="No Disp","No Disp",(AF375*18)+AE375)</f>
        <v>1289900</v>
      </c>
      <c r="AH375" s="98">
        <f>18*AF375-100+AE375</f>
        <v>1289800</v>
      </c>
      <c r="AI375" s="95" t="s">
        <v>4613</v>
      </c>
      <c r="AJ375" s="99"/>
      <c r="AK375" s="100" t="s">
        <v>43</v>
      </c>
      <c r="AL375" s="100" t="s">
        <v>43</v>
      </c>
      <c r="AM375" s="100" t="str">
        <f>IF(AL375&lt;&gt;"No Disp",AK375+12*AL375,"No Disp")</f>
        <v>No Disp</v>
      </c>
      <c r="AN375" s="100" t="s">
        <v>43</v>
      </c>
      <c r="AO375" s="100" t="s">
        <v>43</v>
      </c>
      <c r="AP375" s="100" t="str">
        <f>IF(AO375&lt;&gt;"No Disp",AN375+12*AO375,"No Disp")</f>
        <v>No Disp</v>
      </c>
      <c r="AQ375" s="100" t="s">
        <v>43</v>
      </c>
      <c r="AR375" s="100" t="s">
        <v>43</v>
      </c>
      <c r="AS375" s="100" t="str">
        <f>IF(AR375&lt;&gt;"No Disp",AQ375+12*AR375,"No Disp")</f>
        <v>No Disp</v>
      </c>
    </row>
    <row r="376" spans="1:45" s="101" customFormat="1" x14ac:dyDescent="0.25">
      <c r="A376" s="90" t="s">
        <v>38</v>
      </c>
      <c r="B376" s="90" t="s">
        <v>39</v>
      </c>
      <c r="C376" s="90" t="s">
        <v>40</v>
      </c>
      <c r="D376" s="90" t="s">
        <v>4540</v>
      </c>
      <c r="E376" s="90" t="s">
        <v>4542</v>
      </c>
      <c r="F376" s="91">
        <v>302</v>
      </c>
      <c r="G376" s="92">
        <v>70011742</v>
      </c>
      <c r="H376" s="91">
        <v>70011743</v>
      </c>
      <c r="I376" s="93" t="s">
        <v>46</v>
      </c>
      <c r="J376" s="94" t="s">
        <v>3810</v>
      </c>
      <c r="K376" s="94" t="s">
        <v>603</v>
      </c>
      <c r="L376" s="94" t="s">
        <v>604</v>
      </c>
      <c r="M376" s="95">
        <v>959900</v>
      </c>
      <c r="N376" s="95">
        <v>7000</v>
      </c>
      <c r="O376" s="95">
        <v>10000</v>
      </c>
      <c r="P376" s="96">
        <v>0</v>
      </c>
      <c r="Q376" s="152"/>
      <c r="R376" s="95">
        <v>1079990</v>
      </c>
      <c r="S376" s="95">
        <f>R376/24</f>
        <v>44999.583333333336</v>
      </c>
      <c r="T376" s="95">
        <v>959900</v>
      </c>
      <c r="U376" s="95">
        <f>T376/24</f>
        <v>39995.833333333336</v>
      </c>
      <c r="V376" s="95">
        <v>959900</v>
      </c>
      <c r="W376" s="95">
        <f>V376/24</f>
        <v>39995.833333333336</v>
      </c>
      <c r="X376" s="128"/>
      <c r="Y376" s="95">
        <v>599900</v>
      </c>
      <c r="Z376" s="95">
        <v>55000</v>
      </c>
      <c r="AA376" s="95">
        <f>IFERROR(IF(D376="Premium",0.4*Y376,0),"No Disp")</f>
        <v>239960</v>
      </c>
      <c r="AB376" s="95">
        <f>IFERROR(IF(4*Y376&gt;AC376,1.5*Y376,4*Y376),"No Disp")</f>
        <v>899850</v>
      </c>
      <c r="AC376" s="95">
        <f>IF(Z376="No Disp","No Disp",(Z376*18)+Y376)</f>
        <v>1589900</v>
      </c>
      <c r="AD376" s="95">
        <f>18*Z376-100+Y376</f>
        <v>1589800</v>
      </c>
      <c r="AE376" s="95">
        <v>319900</v>
      </c>
      <c r="AF376" s="95">
        <v>66000</v>
      </c>
      <c r="AG376" s="95">
        <f>IF(AF376="No Disp","No Disp",(AF376*18)+AE376)</f>
        <v>1507900</v>
      </c>
      <c r="AH376" s="98">
        <f>18*AF376-100+AE376</f>
        <v>1507800</v>
      </c>
      <c r="AI376" s="95" t="s">
        <v>4613</v>
      </c>
      <c r="AJ376" s="99"/>
      <c r="AK376" s="100" t="s">
        <v>43</v>
      </c>
      <c r="AL376" s="100" t="s">
        <v>43</v>
      </c>
      <c r="AM376" s="100" t="str">
        <f>IF(AL376&lt;&gt;"No Disp",AK376+12*AL376,"No Disp")</f>
        <v>No Disp</v>
      </c>
      <c r="AN376" s="100" t="s">
        <v>43</v>
      </c>
      <c r="AO376" s="100" t="s">
        <v>43</v>
      </c>
      <c r="AP376" s="100" t="str">
        <f>IF(AO376&lt;&gt;"No Disp",AN376+12*AO376,"No Disp")</f>
        <v>No Disp</v>
      </c>
      <c r="AQ376" s="100" t="s">
        <v>43</v>
      </c>
      <c r="AR376" s="100" t="s">
        <v>43</v>
      </c>
      <c r="AS376" s="100" t="str">
        <f>IF(AR376&lt;&gt;"No Disp",AQ376+12*AR376,"No Disp")</f>
        <v>No Disp</v>
      </c>
    </row>
    <row r="377" spans="1:45" s="101" customFormat="1" x14ac:dyDescent="0.25">
      <c r="A377" s="90" t="s">
        <v>38</v>
      </c>
      <c r="B377" s="90" t="s">
        <v>39</v>
      </c>
      <c r="C377" s="90" t="s">
        <v>40</v>
      </c>
      <c r="D377" s="90" t="s">
        <v>4540</v>
      </c>
      <c r="E377" s="90" t="s">
        <v>4542</v>
      </c>
      <c r="F377" s="91">
        <v>401</v>
      </c>
      <c r="G377" s="92">
        <v>70011745</v>
      </c>
      <c r="H377" s="91">
        <v>70011746</v>
      </c>
      <c r="I377" s="93" t="s">
        <v>46</v>
      </c>
      <c r="J377" s="94" t="s">
        <v>3810</v>
      </c>
      <c r="K377" s="94" t="s">
        <v>406</v>
      </c>
      <c r="L377" s="94" t="s">
        <v>407</v>
      </c>
      <c r="M377" s="95">
        <v>959900</v>
      </c>
      <c r="N377" s="95">
        <v>7000</v>
      </c>
      <c r="O377" s="95">
        <v>10000</v>
      </c>
      <c r="P377" s="96">
        <v>0</v>
      </c>
      <c r="Q377" s="152"/>
      <c r="R377" s="95">
        <v>1079990</v>
      </c>
      <c r="S377" s="95">
        <f>R377/24</f>
        <v>44999.583333333336</v>
      </c>
      <c r="T377" s="95">
        <v>959900</v>
      </c>
      <c r="U377" s="95">
        <f>T377/24</f>
        <v>39995.833333333336</v>
      </c>
      <c r="V377" s="95">
        <v>959900</v>
      </c>
      <c r="W377" s="95">
        <f>V377/24</f>
        <v>39995.833333333336</v>
      </c>
      <c r="X377" s="128"/>
      <c r="Y377" s="95">
        <v>599900</v>
      </c>
      <c r="Z377" s="95">
        <v>55000</v>
      </c>
      <c r="AA377" s="95">
        <f>IFERROR(IF(D377="Premium",0.4*Y377,0),"No Disp")</f>
        <v>239960</v>
      </c>
      <c r="AB377" s="95">
        <f>IFERROR(IF(4*Y377&gt;AC377,1.5*Y377,4*Y377),"No Disp")</f>
        <v>899850</v>
      </c>
      <c r="AC377" s="95">
        <f>IF(Z377="No Disp","No Disp",(Z377*18)+Y377)</f>
        <v>1589900</v>
      </c>
      <c r="AD377" s="95">
        <f>18*Z377-100+Y377</f>
        <v>1589800</v>
      </c>
      <c r="AE377" s="95">
        <v>319900</v>
      </c>
      <c r="AF377" s="95">
        <v>66000</v>
      </c>
      <c r="AG377" s="95">
        <f>IF(AF377="No Disp","No Disp",(AF377*18)+AE377)</f>
        <v>1507900</v>
      </c>
      <c r="AH377" s="98">
        <f>18*AF377-100+AE377</f>
        <v>1507800</v>
      </c>
      <c r="AI377" s="95" t="s">
        <v>4613</v>
      </c>
      <c r="AJ377" s="99"/>
      <c r="AK377" s="100" t="s">
        <v>43</v>
      </c>
      <c r="AL377" s="100" t="s">
        <v>43</v>
      </c>
      <c r="AM377" s="100" t="str">
        <f>IF(AL377&lt;&gt;"No Disp",AK377+12*AL377,"No Disp")</f>
        <v>No Disp</v>
      </c>
      <c r="AN377" s="100" t="s">
        <v>43</v>
      </c>
      <c r="AO377" s="100" t="s">
        <v>43</v>
      </c>
      <c r="AP377" s="100" t="str">
        <f>IF(AO377&lt;&gt;"No Disp",AN377+12*AO377,"No Disp")</f>
        <v>No Disp</v>
      </c>
      <c r="AQ377" s="100" t="s">
        <v>43</v>
      </c>
      <c r="AR377" s="100" t="s">
        <v>43</v>
      </c>
      <c r="AS377" s="100" t="str">
        <f>IF(AR377&lt;&gt;"No Disp",AQ377+12*AR377,"No Disp")</f>
        <v>No Disp</v>
      </c>
    </row>
    <row r="378" spans="1:45" s="101" customFormat="1" x14ac:dyDescent="0.25">
      <c r="A378" s="90" t="s">
        <v>38</v>
      </c>
      <c r="B378" s="90" t="s">
        <v>39</v>
      </c>
      <c r="C378" s="90" t="s">
        <v>40</v>
      </c>
      <c r="D378" s="90" t="s">
        <v>4540</v>
      </c>
      <c r="E378" s="90" t="s">
        <v>4542</v>
      </c>
      <c r="F378" s="91">
        <v>303</v>
      </c>
      <c r="G378" s="92">
        <v>70011748</v>
      </c>
      <c r="H378" s="91">
        <v>70011749</v>
      </c>
      <c r="I378" s="93" t="s">
        <v>46</v>
      </c>
      <c r="J378" s="94" t="s">
        <v>3810</v>
      </c>
      <c r="K378" s="94" t="s">
        <v>601</v>
      </c>
      <c r="L378" s="94" t="s">
        <v>602</v>
      </c>
      <c r="M378" s="95">
        <v>959900</v>
      </c>
      <c r="N378" s="95">
        <v>7000</v>
      </c>
      <c r="O378" s="95">
        <v>10000</v>
      </c>
      <c r="P378" s="96">
        <v>0</v>
      </c>
      <c r="Q378" s="152"/>
      <c r="R378" s="95">
        <v>1079990</v>
      </c>
      <c r="S378" s="95">
        <f>R378/24</f>
        <v>44999.583333333336</v>
      </c>
      <c r="T378" s="95">
        <v>959900</v>
      </c>
      <c r="U378" s="95">
        <f>T378/24</f>
        <v>39995.833333333336</v>
      </c>
      <c r="V378" s="95">
        <v>959900</v>
      </c>
      <c r="W378" s="95">
        <f>V378/24</f>
        <v>39995.833333333336</v>
      </c>
      <c r="X378" s="128"/>
      <c r="Y378" s="95">
        <v>599900</v>
      </c>
      <c r="Z378" s="95">
        <v>55000</v>
      </c>
      <c r="AA378" s="95">
        <f>IFERROR(IF(D378="Premium",0.4*Y378,0),"No Disp")</f>
        <v>239960</v>
      </c>
      <c r="AB378" s="95">
        <f>IFERROR(IF(4*Y378&gt;AC378,1.5*Y378,4*Y378),"No Disp")</f>
        <v>899850</v>
      </c>
      <c r="AC378" s="95">
        <f>IF(Z378="No Disp","No Disp",(Z378*18)+Y378)</f>
        <v>1589900</v>
      </c>
      <c r="AD378" s="95">
        <f>18*Z378-100+Y378</f>
        <v>1589800</v>
      </c>
      <c r="AE378" s="95">
        <v>319900</v>
      </c>
      <c r="AF378" s="95">
        <v>66000</v>
      </c>
      <c r="AG378" s="95">
        <f>IF(AF378="No Disp","No Disp",(AF378*18)+AE378)</f>
        <v>1507900</v>
      </c>
      <c r="AH378" s="98">
        <f>18*AF378-100+AE378</f>
        <v>1507800</v>
      </c>
      <c r="AI378" s="95" t="s">
        <v>4613</v>
      </c>
      <c r="AJ378" s="99"/>
      <c r="AK378" s="100" t="s">
        <v>43</v>
      </c>
      <c r="AL378" s="100" t="s">
        <v>43</v>
      </c>
      <c r="AM378" s="100" t="str">
        <f>IF(AL378&lt;&gt;"No Disp",AK378+12*AL378,"No Disp")</f>
        <v>No Disp</v>
      </c>
      <c r="AN378" s="100" t="s">
        <v>43</v>
      </c>
      <c r="AO378" s="100" t="s">
        <v>43</v>
      </c>
      <c r="AP378" s="100" t="str">
        <f>IF(AO378&lt;&gt;"No Disp",AN378+12*AO378,"No Disp")</f>
        <v>No Disp</v>
      </c>
      <c r="AQ378" s="100" t="s">
        <v>43</v>
      </c>
      <c r="AR378" s="100" t="s">
        <v>43</v>
      </c>
      <c r="AS378" s="100" t="str">
        <f>IF(AR378&lt;&gt;"No Disp",AQ378+12*AR378,"No Disp")</f>
        <v>No Disp</v>
      </c>
    </row>
    <row r="379" spans="1:45" s="101" customFormat="1" x14ac:dyDescent="0.25">
      <c r="A379" s="90" t="s">
        <v>38</v>
      </c>
      <c r="B379" s="90" t="s">
        <v>39</v>
      </c>
      <c r="C379" s="90" t="s">
        <v>40</v>
      </c>
      <c r="D379" s="90" t="s">
        <v>4540</v>
      </c>
      <c r="E379" s="90" t="s">
        <v>4542</v>
      </c>
      <c r="F379" s="91">
        <v>402</v>
      </c>
      <c r="G379" s="92">
        <v>70011750</v>
      </c>
      <c r="H379" s="91">
        <v>70011751</v>
      </c>
      <c r="I379" s="93" t="s">
        <v>46</v>
      </c>
      <c r="J379" s="94" t="s">
        <v>3810</v>
      </c>
      <c r="K379" s="94" t="s">
        <v>404</v>
      </c>
      <c r="L379" s="94" t="s">
        <v>405</v>
      </c>
      <c r="M379" s="95">
        <v>959900</v>
      </c>
      <c r="N379" s="95">
        <v>7000</v>
      </c>
      <c r="O379" s="95">
        <v>10000</v>
      </c>
      <c r="P379" s="96">
        <v>0</v>
      </c>
      <c r="Q379" s="152"/>
      <c r="R379" s="95">
        <v>1079990</v>
      </c>
      <c r="S379" s="95">
        <f>R379/24</f>
        <v>44999.583333333336</v>
      </c>
      <c r="T379" s="95">
        <v>959900</v>
      </c>
      <c r="U379" s="95">
        <f>T379/24</f>
        <v>39995.833333333336</v>
      </c>
      <c r="V379" s="95">
        <v>959900</v>
      </c>
      <c r="W379" s="95">
        <f>V379/24</f>
        <v>39995.833333333336</v>
      </c>
      <c r="X379" s="128"/>
      <c r="Y379" s="95">
        <v>599900</v>
      </c>
      <c r="Z379" s="95">
        <v>55000</v>
      </c>
      <c r="AA379" s="95">
        <f>IFERROR(IF(D379="Premium",0.4*Y379,0),"No Disp")</f>
        <v>239960</v>
      </c>
      <c r="AB379" s="95">
        <f>IFERROR(IF(4*Y379&gt;AC379,1.5*Y379,4*Y379),"No Disp")</f>
        <v>899850</v>
      </c>
      <c r="AC379" s="95">
        <f>IF(Z379="No Disp","No Disp",(Z379*18)+Y379)</f>
        <v>1589900</v>
      </c>
      <c r="AD379" s="95">
        <f>18*Z379-100+Y379</f>
        <v>1589800</v>
      </c>
      <c r="AE379" s="95">
        <v>319900</v>
      </c>
      <c r="AF379" s="95">
        <v>66000</v>
      </c>
      <c r="AG379" s="95">
        <f>IF(AF379="No Disp","No Disp",(AF379*18)+AE379)</f>
        <v>1507900</v>
      </c>
      <c r="AH379" s="98">
        <f>18*AF379-100+AE379</f>
        <v>1507800</v>
      </c>
      <c r="AI379" s="95" t="s">
        <v>4613</v>
      </c>
      <c r="AJ379" s="99"/>
      <c r="AK379" s="100" t="s">
        <v>43</v>
      </c>
      <c r="AL379" s="100" t="s">
        <v>43</v>
      </c>
      <c r="AM379" s="100" t="str">
        <f>IF(AL379&lt;&gt;"No Disp",AK379+12*AL379,"No Disp")</f>
        <v>No Disp</v>
      </c>
      <c r="AN379" s="100" t="s">
        <v>43</v>
      </c>
      <c r="AO379" s="100" t="s">
        <v>43</v>
      </c>
      <c r="AP379" s="100" t="str">
        <f>IF(AO379&lt;&gt;"No Disp",AN379+12*AO379,"No Disp")</f>
        <v>No Disp</v>
      </c>
      <c r="AQ379" s="100" t="s">
        <v>43</v>
      </c>
      <c r="AR379" s="100" t="s">
        <v>43</v>
      </c>
      <c r="AS379" s="100" t="str">
        <f>IF(AR379&lt;&gt;"No Disp",AQ379+12*AR379,"No Disp")</f>
        <v>No Disp</v>
      </c>
    </row>
    <row r="380" spans="1:45" s="101" customFormat="1" x14ac:dyDescent="0.25">
      <c r="A380" s="90" t="s">
        <v>38</v>
      </c>
      <c r="B380" s="90" t="s">
        <v>39</v>
      </c>
      <c r="C380" s="90" t="s">
        <v>40</v>
      </c>
      <c r="D380" s="90" t="s">
        <v>4540</v>
      </c>
      <c r="E380" s="90" t="s">
        <v>4542</v>
      </c>
      <c r="F380" s="91">
        <v>304</v>
      </c>
      <c r="G380" s="92">
        <v>70011753</v>
      </c>
      <c r="H380" s="91">
        <v>70011754</v>
      </c>
      <c r="I380" s="93" t="s">
        <v>46</v>
      </c>
      <c r="J380" s="94" t="s">
        <v>401</v>
      </c>
      <c r="K380" s="94" t="s">
        <v>599</v>
      </c>
      <c r="L380" s="94" t="s">
        <v>600</v>
      </c>
      <c r="M380" s="95">
        <v>1299900</v>
      </c>
      <c r="N380" s="95">
        <v>9500</v>
      </c>
      <c r="O380" s="95">
        <v>13500</v>
      </c>
      <c r="P380" s="96">
        <v>1799990</v>
      </c>
      <c r="Q380" s="152"/>
      <c r="R380" s="95">
        <v>1459990</v>
      </c>
      <c r="S380" s="95">
        <f>R380/24</f>
        <v>60832.916666666664</v>
      </c>
      <c r="T380" s="95">
        <v>1299900</v>
      </c>
      <c r="U380" s="95">
        <f>T380/24</f>
        <v>54162.5</v>
      </c>
      <c r="V380" s="95">
        <v>1299900</v>
      </c>
      <c r="W380" s="95">
        <f>V380/24</f>
        <v>54162.5</v>
      </c>
      <c r="X380" s="128"/>
      <c r="Y380" s="95">
        <v>699900</v>
      </c>
      <c r="Z380" s="95">
        <v>77000</v>
      </c>
      <c r="AA380" s="95">
        <f>IFERROR(IF(D380="Premium",0.4*Y380,0),"No Disp")</f>
        <v>279960</v>
      </c>
      <c r="AB380" s="95">
        <f>IFERROR(IF(4*Y380&gt;AC380,1.5*Y380,4*Y380),"No Disp")</f>
        <v>1049850</v>
      </c>
      <c r="AC380" s="95">
        <f>IF(Z380="No Disp","No Disp",(Z380*18)+Y380)</f>
        <v>2085900</v>
      </c>
      <c r="AD380" s="95">
        <f>18*Z380-100+Y380</f>
        <v>2085800</v>
      </c>
      <c r="AE380" s="95">
        <v>599900</v>
      </c>
      <c r="AF380" s="95">
        <v>77500</v>
      </c>
      <c r="AG380" s="95">
        <f>IF(AF380="No Disp","No Disp",(AF380*18)+AE380)</f>
        <v>1994900</v>
      </c>
      <c r="AH380" s="98">
        <f>18*AF380-100+AE380</f>
        <v>1994800</v>
      </c>
      <c r="AI380" s="95" t="s">
        <v>4613</v>
      </c>
      <c r="AJ380" s="99"/>
      <c r="AK380" s="100" t="s">
        <v>43</v>
      </c>
      <c r="AL380" s="100" t="s">
        <v>43</v>
      </c>
      <c r="AM380" s="100" t="str">
        <f>IF(AL380&lt;&gt;"No Disp",AK380+12*AL380,"No Disp")</f>
        <v>No Disp</v>
      </c>
      <c r="AN380" s="100" t="s">
        <v>43</v>
      </c>
      <c r="AO380" s="100" t="s">
        <v>43</v>
      </c>
      <c r="AP380" s="100" t="str">
        <f>IF(AO380&lt;&gt;"No Disp",AN380+12*AO380,"No Disp")</f>
        <v>No Disp</v>
      </c>
      <c r="AQ380" s="100" t="s">
        <v>43</v>
      </c>
      <c r="AR380" s="100" t="s">
        <v>43</v>
      </c>
      <c r="AS380" s="100" t="str">
        <f>IF(AR380&lt;&gt;"No Disp",AQ380+12*AR380,"No Disp")</f>
        <v>No Disp</v>
      </c>
    </row>
    <row r="381" spans="1:45" s="101" customFormat="1" x14ac:dyDescent="0.25">
      <c r="A381" s="90" t="s">
        <v>38</v>
      </c>
      <c r="B381" s="90" t="s">
        <v>39</v>
      </c>
      <c r="C381" s="90" t="s">
        <v>40</v>
      </c>
      <c r="D381" s="90" t="s">
        <v>4540</v>
      </c>
      <c r="E381" s="90" t="s">
        <v>4542</v>
      </c>
      <c r="F381" s="91">
        <v>305</v>
      </c>
      <c r="G381" s="92">
        <v>70011756</v>
      </c>
      <c r="H381" s="91">
        <v>70011757</v>
      </c>
      <c r="I381" s="93" t="s">
        <v>46</v>
      </c>
      <c r="J381" s="94" t="s">
        <v>401</v>
      </c>
      <c r="K381" s="94" t="s">
        <v>597</v>
      </c>
      <c r="L381" s="94" t="s">
        <v>598</v>
      </c>
      <c r="M381" s="95">
        <v>1299900</v>
      </c>
      <c r="N381" s="95">
        <v>9500</v>
      </c>
      <c r="O381" s="95">
        <v>13500</v>
      </c>
      <c r="P381" s="96">
        <v>1799990</v>
      </c>
      <c r="Q381" s="152"/>
      <c r="R381" s="95">
        <v>1459990</v>
      </c>
      <c r="S381" s="95">
        <f>R381/24</f>
        <v>60832.916666666664</v>
      </c>
      <c r="T381" s="95">
        <v>1299900</v>
      </c>
      <c r="U381" s="95">
        <f>T381/24</f>
        <v>54162.5</v>
      </c>
      <c r="V381" s="95">
        <v>1299900</v>
      </c>
      <c r="W381" s="95">
        <f>V381/24</f>
        <v>54162.5</v>
      </c>
      <c r="X381" s="128"/>
      <c r="Y381" s="95">
        <v>699900</v>
      </c>
      <c r="Z381" s="95">
        <v>77000</v>
      </c>
      <c r="AA381" s="95">
        <f>IFERROR(IF(D381="Premium",0.4*Y381,0),"No Disp")</f>
        <v>279960</v>
      </c>
      <c r="AB381" s="95">
        <f>IFERROR(IF(4*Y381&gt;AC381,1.5*Y381,4*Y381),"No Disp")</f>
        <v>1049850</v>
      </c>
      <c r="AC381" s="95">
        <f>IF(Z381="No Disp","No Disp",(Z381*18)+Y381)</f>
        <v>2085900</v>
      </c>
      <c r="AD381" s="95">
        <f>18*Z381-100+Y381</f>
        <v>2085800</v>
      </c>
      <c r="AE381" s="95">
        <v>599900</v>
      </c>
      <c r="AF381" s="95">
        <v>77500</v>
      </c>
      <c r="AG381" s="95">
        <f>IF(AF381="No Disp","No Disp",(AF381*18)+AE381)</f>
        <v>1994900</v>
      </c>
      <c r="AH381" s="98">
        <f>18*AF381-100+AE381</f>
        <v>1994800</v>
      </c>
      <c r="AI381" s="95" t="s">
        <v>4613</v>
      </c>
      <c r="AJ381" s="99"/>
      <c r="AK381" s="100" t="s">
        <v>43</v>
      </c>
      <c r="AL381" s="100" t="s">
        <v>43</v>
      </c>
      <c r="AM381" s="100" t="str">
        <f>IF(AL381&lt;&gt;"No Disp",AK381+12*AL381,"No Disp")</f>
        <v>No Disp</v>
      </c>
      <c r="AN381" s="100" t="s">
        <v>43</v>
      </c>
      <c r="AO381" s="100" t="s">
        <v>43</v>
      </c>
      <c r="AP381" s="100" t="str">
        <f>IF(AO381&lt;&gt;"No Disp",AN381+12*AO381,"No Disp")</f>
        <v>No Disp</v>
      </c>
      <c r="AQ381" s="100" t="s">
        <v>43</v>
      </c>
      <c r="AR381" s="100" t="s">
        <v>43</v>
      </c>
      <c r="AS381" s="100" t="str">
        <f>IF(AR381&lt;&gt;"No Disp",AQ381+12*AR381,"No Disp")</f>
        <v>No Disp</v>
      </c>
    </row>
    <row r="382" spans="1:45" s="101" customFormat="1" x14ac:dyDescent="0.25">
      <c r="A382" s="90" t="s">
        <v>38</v>
      </c>
      <c r="B382" s="90" t="s">
        <v>39</v>
      </c>
      <c r="C382" s="90" t="s">
        <v>40</v>
      </c>
      <c r="D382" s="90" t="s">
        <v>4540</v>
      </c>
      <c r="E382" s="90" t="s">
        <v>4542</v>
      </c>
      <c r="F382" s="91">
        <v>403</v>
      </c>
      <c r="G382" s="92">
        <v>70011759</v>
      </c>
      <c r="H382" s="91">
        <v>70011760</v>
      </c>
      <c r="I382" s="93" t="s">
        <v>46</v>
      </c>
      <c r="J382" s="94" t="s">
        <v>401</v>
      </c>
      <c r="K382" s="94" t="s">
        <v>402</v>
      </c>
      <c r="L382" s="94" t="s">
        <v>403</v>
      </c>
      <c r="M382" s="95">
        <v>1299900</v>
      </c>
      <c r="N382" s="95">
        <v>9500</v>
      </c>
      <c r="O382" s="95">
        <v>13500</v>
      </c>
      <c r="P382" s="96">
        <v>1799990</v>
      </c>
      <c r="Q382" s="152"/>
      <c r="R382" s="95">
        <v>1459990</v>
      </c>
      <c r="S382" s="95">
        <f>R382/24</f>
        <v>60832.916666666664</v>
      </c>
      <c r="T382" s="95">
        <v>1299900</v>
      </c>
      <c r="U382" s="95">
        <f>T382/24</f>
        <v>54162.5</v>
      </c>
      <c r="V382" s="95">
        <v>1299900</v>
      </c>
      <c r="W382" s="95">
        <f>V382/24</f>
        <v>54162.5</v>
      </c>
      <c r="X382" s="128"/>
      <c r="Y382" s="95">
        <v>699900</v>
      </c>
      <c r="Z382" s="95">
        <v>77000</v>
      </c>
      <c r="AA382" s="95">
        <f>IFERROR(IF(D382="Premium",0.4*Y382,0),"No Disp")</f>
        <v>279960</v>
      </c>
      <c r="AB382" s="95">
        <f>IFERROR(IF(4*Y382&gt;AC382,1.5*Y382,4*Y382),"No Disp")</f>
        <v>1049850</v>
      </c>
      <c r="AC382" s="95">
        <f>IF(Z382="No Disp","No Disp",(Z382*18)+Y382)</f>
        <v>2085900</v>
      </c>
      <c r="AD382" s="95">
        <f>18*Z382-100+Y382</f>
        <v>2085800</v>
      </c>
      <c r="AE382" s="95">
        <v>599900</v>
      </c>
      <c r="AF382" s="95">
        <v>77500</v>
      </c>
      <c r="AG382" s="95">
        <f>IF(AF382="No Disp","No Disp",(AF382*18)+AE382)</f>
        <v>1994900</v>
      </c>
      <c r="AH382" s="98">
        <f>18*AF382-100+AE382</f>
        <v>1994800</v>
      </c>
      <c r="AI382" s="95" t="s">
        <v>4613</v>
      </c>
      <c r="AJ382" s="99"/>
      <c r="AK382" s="100" t="s">
        <v>43</v>
      </c>
      <c r="AL382" s="100" t="s">
        <v>43</v>
      </c>
      <c r="AM382" s="100" t="str">
        <f>IF(AL382&lt;&gt;"No Disp",AK382+12*AL382,"No Disp")</f>
        <v>No Disp</v>
      </c>
      <c r="AN382" s="100" t="s">
        <v>43</v>
      </c>
      <c r="AO382" s="100" t="s">
        <v>43</v>
      </c>
      <c r="AP382" s="100" t="str">
        <f>IF(AO382&lt;&gt;"No Disp",AN382+12*AO382,"No Disp")</f>
        <v>No Disp</v>
      </c>
      <c r="AQ382" s="100" t="s">
        <v>43</v>
      </c>
      <c r="AR382" s="100" t="s">
        <v>43</v>
      </c>
      <c r="AS382" s="100" t="str">
        <f>IF(AR382&lt;&gt;"No Disp",AQ382+12*AR382,"No Disp")</f>
        <v>No Disp</v>
      </c>
    </row>
    <row r="383" spans="1:45" s="101" customFormat="1" x14ac:dyDescent="0.25">
      <c r="A383" s="90" t="s">
        <v>38</v>
      </c>
      <c r="B383" s="90" t="s">
        <v>39</v>
      </c>
      <c r="C383" s="90" t="s">
        <v>40</v>
      </c>
      <c r="D383" s="90" t="s">
        <v>4540</v>
      </c>
      <c r="E383" s="90" t="s">
        <v>4542</v>
      </c>
      <c r="F383" s="91">
        <v>299</v>
      </c>
      <c r="G383" s="92">
        <v>70011762</v>
      </c>
      <c r="H383" s="91">
        <v>70011763</v>
      </c>
      <c r="I383" s="93" t="s">
        <v>46</v>
      </c>
      <c r="J383" s="94" t="s">
        <v>3811</v>
      </c>
      <c r="K383" s="94" t="s">
        <v>609</v>
      </c>
      <c r="L383" s="94" t="s">
        <v>610</v>
      </c>
      <c r="M383" s="95">
        <v>1599900</v>
      </c>
      <c r="N383" s="95">
        <v>9500</v>
      </c>
      <c r="O383" s="95">
        <v>13500</v>
      </c>
      <c r="P383" s="96">
        <v>0</v>
      </c>
      <c r="Q383" s="152"/>
      <c r="R383" s="95">
        <v>1599900</v>
      </c>
      <c r="S383" s="95">
        <f>R383/24</f>
        <v>66662.5</v>
      </c>
      <c r="T383" s="95">
        <v>1599900</v>
      </c>
      <c r="U383" s="95">
        <f>T383/24</f>
        <v>66662.5</v>
      </c>
      <c r="V383" s="95">
        <v>1599900</v>
      </c>
      <c r="W383" s="95">
        <f>V383/24</f>
        <v>66662.5</v>
      </c>
      <c r="X383" s="128"/>
      <c r="Y383" s="95">
        <v>1599900</v>
      </c>
      <c r="Z383" s="95">
        <v>33000</v>
      </c>
      <c r="AA383" s="95">
        <f>IFERROR(IF(D383="Premium",0.4*Y383,0),"No Disp")</f>
        <v>639960</v>
      </c>
      <c r="AB383" s="95">
        <f>IFERROR(IF(4*Y383&gt;AC383,1.5*Y383,4*Y383),"No Disp")</f>
        <v>2399850</v>
      </c>
      <c r="AC383" s="95">
        <f>IF(Z383="No Disp","No Disp",(Z383*18)+Y383)</f>
        <v>2193900</v>
      </c>
      <c r="AD383" s="95">
        <f>18*Z383-100+Y383</f>
        <v>2193800</v>
      </c>
      <c r="AE383" s="95">
        <v>689900</v>
      </c>
      <c r="AF383" s="95">
        <v>80000</v>
      </c>
      <c r="AG383" s="95">
        <f>IF(AF383="No Disp","No Disp",(AF383*18)+AE383)</f>
        <v>2129900</v>
      </c>
      <c r="AH383" s="98">
        <f>18*AF383-100+AE383</f>
        <v>2129800</v>
      </c>
      <c r="AI383" s="95" t="s">
        <v>4613</v>
      </c>
      <c r="AJ383" s="99"/>
      <c r="AK383" s="100" t="s">
        <v>43</v>
      </c>
      <c r="AL383" s="100" t="s">
        <v>43</v>
      </c>
      <c r="AM383" s="100" t="str">
        <f>IF(AL383&lt;&gt;"No Disp",AK383+12*AL383,"No Disp")</f>
        <v>No Disp</v>
      </c>
      <c r="AN383" s="100" t="s">
        <v>43</v>
      </c>
      <c r="AO383" s="100" t="s">
        <v>43</v>
      </c>
      <c r="AP383" s="100" t="str">
        <f>IF(AO383&lt;&gt;"No Disp",AN383+12*AO383,"No Disp")</f>
        <v>No Disp</v>
      </c>
      <c r="AQ383" s="100" t="s">
        <v>43</v>
      </c>
      <c r="AR383" s="100" t="s">
        <v>43</v>
      </c>
      <c r="AS383" s="100" t="str">
        <f>IF(AR383&lt;&gt;"No Disp",AQ383+12*AR383,"No Disp")</f>
        <v>No Disp</v>
      </c>
    </row>
    <row r="384" spans="1:45" s="101" customFormat="1" x14ac:dyDescent="0.25">
      <c r="A384" s="90" t="s">
        <v>38</v>
      </c>
      <c r="B384" s="90" t="s">
        <v>39</v>
      </c>
      <c r="C384" s="90" t="s">
        <v>40</v>
      </c>
      <c r="D384" s="90" t="s">
        <v>4540</v>
      </c>
      <c r="E384" s="90" t="s">
        <v>4542</v>
      </c>
      <c r="F384" s="91">
        <v>298</v>
      </c>
      <c r="G384" s="92">
        <v>70011765</v>
      </c>
      <c r="H384" s="91">
        <v>70011766</v>
      </c>
      <c r="I384" s="93" t="s">
        <v>46</v>
      </c>
      <c r="J384" s="94" t="s">
        <v>3811</v>
      </c>
      <c r="K384" s="94" t="s">
        <v>611</v>
      </c>
      <c r="L384" s="94" t="s">
        <v>612</v>
      </c>
      <c r="M384" s="95">
        <v>1599900</v>
      </c>
      <c r="N384" s="95">
        <v>9500</v>
      </c>
      <c r="O384" s="95">
        <v>13500</v>
      </c>
      <c r="P384" s="96">
        <v>0</v>
      </c>
      <c r="Q384" s="152"/>
      <c r="R384" s="95">
        <v>1599900</v>
      </c>
      <c r="S384" s="95">
        <f>R384/24</f>
        <v>66662.5</v>
      </c>
      <c r="T384" s="95">
        <v>1599900</v>
      </c>
      <c r="U384" s="95">
        <f>T384/24</f>
        <v>66662.5</v>
      </c>
      <c r="V384" s="95">
        <v>1599900</v>
      </c>
      <c r="W384" s="95">
        <f>V384/24</f>
        <v>66662.5</v>
      </c>
      <c r="X384" s="128"/>
      <c r="Y384" s="95">
        <v>1599900</v>
      </c>
      <c r="Z384" s="95">
        <v>33000</v>
      </c>
      <c r="AA384" s="95">
        <f>IFERROR(IF(D384="Premium",0.4*Y384,0),"No Disp")</f>
        <v>639960</v>
      </c>
      <c r="AB384" s="95">
        <f>IFERROR(IF(4*Y384&gt;AC384,1.5*Y384,4*Y384),"No Disp")</f>
        <v>2399850</v>
      </c>
      <c r="AC384" s="95">
        <f>IF(Z384="No Disp","No Disp",(Z384*18)+Y384)</f>
        <v>2193900</v>
      </c>
      <c r="AD384" s="95">
        <f>18*Z384-100+Y384</f>
        <v>2193800</v>
      </c>
      <c r="AE384" s="95">
        <v>689900</v>
      </c>
      <c r="AF384" s="95">
        <v>80000</v>
      </c>
      <c r="AG384" s="95">
        <f>IF(AF384="No Disp","No Disp",(AF384*18)+AE384)</f>
        <v>2129900</v>
      </c>
      <c r="AH384" s="98">
        <f>18*AF384-100+AE384</f>
        <v>2129800</v>
      </c>
      <c r="AI384" s="95" t="s">
        <v>4613</v>
      </c>
      <c r="AJ384" s="99"/>
      <c r="AK384" s="100" t="s">
        <v>43</v>
      </c>
      <c r="AL384" s="100" t="s">
        <v>43</v>
      </c>
      <c r="AM384" s="100" t="str">
        <f>IF(AL384&lt;&gt;"No Disp",AK384+12*AL384,"No Disp")</f>
        <v>No Disp</v>
      </c>
      <c r="AN384" s="100" t="s">
        <v>43</v>
      </c>
      <c r="AO384" s="100" t="s">
        <v>43</v>
      </c>
      <c r="AP384" s="100" t="str">
        <f>IF(AO384&lt;&gt;"No Disp",AN384+12*AO384,"No Disp")</f>
        <v>No Disp</v>
      </c>
      <c r="AQ384" s="100" t="s">
        <v>43</v>
      </c>
      <c r="AR384" s="100" t="s">
        <v>43</v>
      </c>
      <c r="AS384" s="100" t="str">
        <f>IF(AR384&lt;&gt;"No Disp",AQ384+12*AR384,"No Disp")</f>
        <v>No Disp</v>
      </c>
    </row>
    <row r="385" spans="1:45" s="101" customFormat="1" x14ac:dyDescent="0.25">
      <c r="A385" s="90" t="s">
        <v>38</v>
      </c>
      <c r="B385" s="90" t="s">
        <v>39</v>
      </c>
      <c r="C385" s="90" t="s">
        <v>40</v>
      </c>
      <c r="D385" s="90" t="s">
        <v>4540</v>
      </c>
      <c r="E385" s="90" t="s">
        <v>4542</v>
      </c>
      <c r="F385" s="91">
        <v>404</v>
      </c>
      <c r="G385" s="92">
        <v>70011768</v>
      </c>
      <c r="H385" s="91">
        <v>70011769</v>
      </c>
      <c r="I385" s="93" t="s">
        <v>46</v>
      </c>
      <c r="J385" s="94" t="s">
        <v>3811</v>
      </c>
      <c r="K385" s="94" t="s">
        <v>399</v>
      </c>
      <c r="L385" s="94" t="s">
        <v>400</v>
      </c>
      <c r="M385" s="95">
        <v>1599900</v>
      </c>
      <c r="N385" s="95">
        <v>9500</v>
      </c>
      <c r="O385" s="95">
        <v>13500</v>
      </c>
      <c r="P385" s="96">
        <v>0</v>
      </c>
      <c r="Q385" s="152"/>
      <c r="R385" s="95">
        <v>1599900</v>
      </c>
      <c r="S385" s="95">
        <f>R385/24</f>
        <v>66662.5</v>
      </c>
      <c r="T385" s="95">
        <v>1599900</v>
      </c>
      <c r="U385" s="95">
        <f>T385/24</f>
        <v>66662.5</v>
      </c>
      <c r="V385" s="95">
        <v>1599900</v>
      </c>
      <c r="W385" s="95">
        <f>V385/24</f>
        <v>66662.5</v>
      </c>
      <c r="X385" s="128"/>
      <c r="Y385" s="95">
        <v>1599900</v>
      </c>
      <c r="Z385" s="95">
        <v>33000</v>
      </c>
      <c r="AA385" s="95">
        <f>IFERROR(IF(D385="Premium",0.4*Y385,0),"No Disp")</f>
        <v>639960</v>
      </c>
      <c r="AB385" s="95">
        <f>IFERROR(IF(4*Y385&gt;AC385,1.5*Y385,4*Y385),"No Disp")</f>
        <v>2399850</v>
      </c>
      <c r="AC385" s="95">
        <f>IF(Z385="No Disp","No Disp",(Z385*18)+Y385)</f>
        <v>2193900</v>
      </c>
      <c r="AD385" s="95">
        <f>18*Z385-100+Y385</f>
        <v>2193800</v>
      </c>
      <c r="AE385" s="95">
        <v>689900</v>
      </c>
      <c r="AF385" s="95">
        <v>80000</v>
      </c>
      <c r="AG385" s="95">
        <f>IF(AF385="No Disp","No Disp",(AF385*18)+AE385)</f>
        <v>2129900</v>
      </c>
      <c r="AH385" s="98">
        <f>18*AF385-100+AE385</f>
        <v>2129800</v>
      </c>
      <c r="AI385" s="95" t="s">
        <v>4613</v>
      </c>
      <c r="AJ385" s="99"/>
      <c r="AK385" s="100" t="s">
        <v>43</v>
      </c>
      <c r="AL385" s="100" t="s">
        <v>43</v>
      </c>
      <c r="AM385" s="100" t="str">
        <f>IF(AL385&lt;&gt;"No Disp",AK385+12*AL385,"No Disp")</f>
        <v>No Disp</v>
      </c>
      <c r="AN385" s="100" t="s">
        <v>43</v>
      </c>
      <c r="AO385" s="100" t="s">
        <v>43</v>
      </c>
      <c r="AP385" s="100" t="str">
        <f>IF(AO385&lt;&gt;"No Disp",AN385+12*AO385,"No Disp")</f>
        <v>No Disp</v>
      </c>
      <c r="AQ385" s="100" t="s">
        <v>43</v>
      </c>
      <c r="AR385" s="100" t="s">
        <v>43</v>
      </c>
      <c r="AS385" s="100" t="str">
        <f>IF(AR385&lt;&gt;"No Disp",AQ385+12*AR385,"No Disp")</f>
        <v>No Disp</v>
      </c>
    </row>
    <row r="386" spans="1:45" s="101" customFormat="1" x14ac:dyDescent="0.25">
      <c r="A386" s="90" t="s">
        <v>38</v>
      </c>
      <c r="B386" s="90" t="s">
        <v>39</v>
      </c>
      <c r="C386" s="90" t="s">
        <v>40</v>
      </c>
      <c r="D386" s="90" t="s">
        <v>4539</v>
      </c>
      <c r="E386" s="90" t="s">
        <v>4542</v>
      </c>
      <c r="F386" s="91">
        <v>317</v>
      </c>
      <c r="G386" s="92">
        <v>70011771</v>
      </c>
      <c r="H386" s="91">
        <v>70011772</v>
      </c>
      <c r="I386" s="93" t="s">
        <v>171</v>
      </c>
      <c r="J386" s="94" t="s">
        <v>571</v>
      </c>
      <c r="K386" s="94" t="s">
        <v>574</v>
      </c>
      <c r="L386" s="94" t="s">
        <v>575</v>
      </c>
      <c r="M386" s="95">
        <v>139900</v>
      </c>
      <c r="N386" s="95">
        <v>4000</v>
      </c>
      <c r="O386" s="95">
        <v>6000</v>
      </c>
      <c r="P386" s="96">
        <v>299990</v>
      </c>
      <c r="Q386" s="152"/>
      <c r="R386" s="95">
        <v>149990</v>
      </c>
      <c r="S386" s="95">
        <f>R386/24</f>
        <v>6249.583333333333</v>
      </c>
      <c r="T386" s="95">
        <v>139900</v>
      </c>
      <c r="U386" s="95">
        <f>T386/24</f>
        <v>5829.166666666667</v>
      </c>
      <c r="V386" s="95">
        <v>139900</v>
      </c>
      <c r="W386" s="95">
        <f>V386/24</f>
        <v>5829.166666666667</v>
      </c>
      <c r="X386" s="128"/>
      <c r="Y386" s="95">
        <v>0</v>
      </c>
      <c r="Z386" s="95">
        <v>19000</v>
      </c>
      <c r="AA386" s="95">
        <f>IFERROR(IF(D386="Premium",0.4*Y386,0),"No Disp")</f>
        <v>0</v>
      </c>
      <c r="AB386" s="95">
        <f>IFERROR(IF(4*Y386&gt;AC386,1.5*Y386,4*Y386),"No Disp")</f>
        <v>0</v>
      </c>
      <c r="AC386" s="95">
        <f>IF(Z386="No Disp","No Disp",(Z386*18)+Y386)</f>
        <v>342000</v>
      </c>
      <c r="AD386" s="95">
        <f>18*Z386-100+Y386</f>
        <v>341900</v>
      </c>
      <c r="AE386" s="95">
        <v>0</v>
      </c>
      <c r="AF386" s="95">
        <v>16500</v>
      </c>
      <c r="AG386" s="95">
        <f>IF(AF386="No Disp","No Disp",(AF386*18)+AE386)</f>
        <v>297000</v>
      </c>
      <c r="AH386" s="98">
        <f>18*AF386-100+AE386</f>
        <v>296900</v>
      </c>
      <c r="AI386" s="95" t="s">
        <v>4613</v>
      </c>
      <c r="AJ386" s="99"/>
      <c r="AK386" s="100" t="s">
        <v>43</v>
      </c>
      <c r="AL386" s="100" t="s">
        <v>43</v>
      </c>
      <c r="AM386" s="100" t="str">
        <f>IF(AL386&lt;&gt;"No Disp",AK386+12*AL386,"No Disp")</f>
        <v>No Disp</v>
      </c>
      <c r="AN386" s="100" t="s">
        <v>43</v>
      </c>
      <c r="AO386" s="100" t="s">
        <v>43</v>
      </c>
      <c r="AP386" s="100" t="str">
        <f>IF(AO386&lt;&gt;"No Disp",AN386+12*AO386,"No Disp")</f>
        <v>No Disp</v>
      </c>
      <c r="AQ386" s="100" t="s">
        <v>43</v>
      </c>
      <c r="AR386" s="100" t="s">
        <v>43</v>
      </c>
      <c r="AS386" s="100" t="str">
        <f>IF(AR386&lt;&gt;"No Disp",AQ386+12*AR386,"No Disp")</f>
        <v>No Disp</v>
      </c>
    </row>
    <row r="387" spans="1:45" s="101" customFormat="1" x14ac:dyDescent="0.25">
      <c r="A387" s="90" t="s">
        <v>38</v>
      </c>
      <c r="B387" s="90" t="s">
        <v>39</v>
      </c>
      <c r="C387" s="90" t="s">
        <v>40</v>
      </c>
      <c r="D387" s="90" t="s">
        <v>4539</v>
      </c>
      <c r="E387" s="90" t="s">
        <v>4542</v>
      </c>
      <c r="F387" s="91">
        <v>318</v>
      </c>
      <c r="G387" s="92">
        <v>70011774</v>
      </c>
      <c r="H387" s="91">
        <v>70011775</v>
      </c>
      <c r="I387" s="93" t="s">
        <v>171</v>
      </c>
      <c r="J387" s="94" t="s">
        <v>571</v>
      </c>
      <c r="K387" s="94" t="s">
        <v>572</v>
      </c>
      <c r="L387" s="94" t="s">
        <v>573</v>
      </c>
      <c r="M387" s="95">
        <v>139900</v>
      </c>
      <c r="N387" s="95">
        <v>4000</v>
      </c>
      <c r="O387" s="95">
        <v>6000</v>
      </c>
      <c r="P387" s="96">
        <v>299990</v>
      </c>
      <c r="Q387" s="152"/>
      <c r="R387" s="95">
        <v>149990</v>
      </c>
      <c r="S387" s="95">
        <f>R387/24</f>
        <v>6249.583333333333</v>
      </c>
      <c r="T387" s="95">
        <v>139900</v>
      </c>
      <c r="U387" s="95">
        <f>T387/24</f>
        <v>5829.166666666667</v>
      </c>
      <c r="V387" s="95">
        <v>139900</v>
      </c>
      <c r="W387" s="95">
        <f>V387/24</f>
        <v>5829.166666666667</v>
      </c>
      <c r="X387" s="128"/>
      <c r="Y387" s="95">
        <v>0</v>
      </c>
      <c r="Z387" s="95">
        <v>19000</v>
      </c>
      <c r="AA387" s="95">
        <f>IFERROR(IF(D387="Premium",0.4*Y387,0),"No Disp")</f>
        <v>0</v>
      </c>
      <c r="AB387" s="95">
        <f>IFERROR(IF(4*Y387&gt;AC387,1.5*Y387,4*Y387),"No Disp")</f>
        <v>0</v>
      </c>
      <c r="AC387" s="95">
        <f>IF(Z387="No Disp","No Disp",(Z387*18)+Y387)</f>
        <v>342000</v>
      </c>
      <c r="AD387" s="95">
        <f>18*Z387-100+Y387</f>
        <v>341900</v>
      </c>
      <c r="AE387" s="95">
        <v>0</v>
      </c>
      <c r="AF387" s="95">
        <v>16500</v>
      </c>
      <c r="AG387" s="95">
        <f>IF(AF387="No Disp","No Disp",(AF387*18)+AE387)</f>
        <v>297000</v>
      </c>
      <c r="AH387" s="98">
        <f>18*AF387-100+AE387</f>
        <v>296900</v>
      </c>
      <c r="AI387" s="95" t="s">
        <v>4613</v>
      </c>
      <c r="AJ387" s="99"/>
      <c r="AK387" s="100" t="s">
        <v>43</v>
      </c>
      <c r="AL387" s="100" t="s">
        <v>43</v>
      </c>
      <c r="AM387" s="100" t="str">
        <f>IF(AL387&lt;&gt;"No Disp",AK387+12*AL387,"No Disp")</f>
        <v>No Disp</v>
      </c>
      <c r="AN387" s="100" t="s">
        <v>43</v>
      </c>
      <c r="AO387" s="100" t="s">
        <v>43</v>
      </c>
      <c r="AP387" s="100" t="str">
        <f>IF(AO387&lt;&gt;"No Disp",AN387+12*AO387,"No Disp")</f>
        <v>No Disp</v>
      </c>
      <c r="AQ387" s="100" t="s">
        <v>43</v>
      </c>
      <c r="AR387" s="100" t="s">
        <v>43</v>
      </c>
      <c r="AS387" s="100" t="str">
        <f>IF(AR387&lt;&gt;"No Disp",AQ387+12*AR387,"No Disp")</f>
        <v>No Disp</v>
      </c>
    </row>
    <row r="388" spans="1:45" s="101" customFormat="1" x14ac:dyDescent="0.25">
      <c r="A388" s="90" t="s">
        <v>38</v>
      </c>
      <c r="B388" s="90" t="s">
        <v>39</v>
      </c>
      <c r="C388" s="90" t="s">
        <v>40</v>
      </c>
      <c r="D388" s="90" t="s">
        <v>4539</v>
      </c>
      <c r="E388" s="90" t="s">
        <v>4542</v>
      </c>
      <c r="F388" s="91">
        <v>315</v>
      </c>
      <c r="G388" s="92">
        <v>70011783</v>
      </c>
      <c r="H388" s="91">
        <v>70011784</v>
      </c>
      <c r="I388" s="93" t="s">
        <v>171</v>
      </c>
      <c r="J388" s="94" t="s">
        <v>3812</v>
      </c>
      <c r="K388" s="94" t="s">
        <v>577</v>
      </c>
      <c r="L388" s="94" t="s">
        <v>329</v>
      </c>
      <c r="M388" s="95">
        <v>119900</v>
      </c>
      <c r="N388" s="95">
        <v>2500</v>
      </c>
      <c r="O388" s="95">
        <v>4000</v>
      </c>
      <c r="P388" s="96">
        <v>249990</v>
      </c>
      <c r="Q388" s="152"/>
      <c r="R388" s="95">
        <v>129990</v>
      </c>
      <c r="S388" s="95">
        <f>R388/24</f>
        <v>5416.25</v>
      </c>
      <c r="T388" s="95">
        <v>119900</v>
      </c>
      <c r="U388" s="95">
        <f>T388/24</f>
        <v>4995.833333333333</v>
      </c>
      <c r="V388" s="95">
        <v>119900</v>
      </c>
      <c r="W388" s="95">
        <f>V388/24</f>
        <v>4995.833333333333</v>
      </c>
      <c r="X388" s="128"/>
      <c r="Y388" s="95">
        <v>0</v>
      </c>
      <c r="Z388" s="95">
        <v>14000</v>
      </c>
      <c r="AA388" s="95">
        <f>IFERROR(IF(D388="Premium",0.4*Y388,0),"No Disp")</f>
        <v>0</v>
      </c>
      <c r="AB388" s="95">
        <f>IFERROR(IF(4*Y388&gt;AC388,1.5*Y388,4*Y388),"No Disp")</f>
        <v>0</v>
      </c>
      <c r="AC388" s="95">
        <f>IF(Z388="No Disp","No Disp",(Z388*18)+Y388)</f>
        <v>252000</v>
      </c>
      <c r="AD388" s="95">
        <f>18*Z388-100+Y388</f>
        <v>251900</v>
      </c>
      <c r="AE388" s="95">
        <v>0</v>
      </c>
      <c r="AF388" s="95">
        <v>12500</v>
      </c>
      <c r="AG388" s="95">
        <f>IF(AF388="No Disp","No Disp",(AF388*18)+AE388)</f>
        <v>225000</v>
      </c>
      <c r="AH388" s="98">
        <f>18*AF388-100+AE388</f>
        <v>224900</v>
      </c>
      <c r="AI388" s="95" t="s">
        <v>4613</v>
      </c>
      <c r="AJ388" s="99"/>
      <c r="AK388" s="100" t="s">
        <v>43</v>
      </c>
      <c r="AL388" s="100" t="s">
        <v>43</v>
      </c>
      <c r="AM388" s="100" t="str">
        <f>IF(AL388&lt;&gt;"No Disp",AK388+12*AL388,"No Disp")</f>
        <v>No Disp</v>
      </c>
      <c r="AN388" s="100" t="s">
        <v>43</v>
      </c>
      <c r="AO388" s="100" t="s">
        <v>43</v>
      </c>
      <c r="AP388" s="100" t="str">
        <f>IF(AO388&lt;&gt;"No Disp",AN388+12*AO388,"No Disp")</f>
        <v>No Disp</v>
      </c>
      <c r="AQ388" s="100" t="s">
        <v>43</v>
      </c>
      <c r="AR388" s="100" t="s">
        <v>43</v>
      </c>
      <c r="AS388" s="100" t="str">
        <f>IF(AR388&lt;&gt;"No Disp",AQ388+12*AR388,"No Disp")</f>
        <v>No Disp</v>
      </c>
    </row>
    <row r="389" spans="1:45" s="101" customFormat="1" x14ac:dyDescent="0.25">
      <c r="A389" s="90" t="s">
        <v>38</v>
      </c>
      <c r="B389" s="90" t="s">
        <v>39</v>
      </c>
      <c r="C389" s="90" t="s">
        <v>40</v>
      </c>
      <c r="D389" s="90" t="s">
        <v>4539</v>
      </c>
      <c r="E389" s="90" t="s">
        <v>4542</v>
      </c>
      <c r="F389" s="91">
        <v>316</v>
      </c>
      <c r="G389" s="92">
        <v>70011786</v>
      </c>
      <c r="H389" s="91">
        <v>70011787</v>
      </c>
      <c r="I389" s="93" t="s">
        <v>171</v>
      </c>
      <c r="J389" s="94" t="s">
        <v>3812</v>
      </c>
      <c r="K389" s="94" t="s">
        <v>576</v>
      </c>
      <c r="L389" s="94" t="s">
        <v>327</v>
      </c>
      <c r="M389" s="95">
        <v>119900</v>
      </c>
      <c r="N389" s="95">
        <v>2500</v>
      </c>
      <c r="O389" s="95">
        <v>4000</v>
      </c>
      <c r="P389" s="96">
        <v>249990</v>
      </c>
      <c r="Q389" s="152"/>
      <c r="R389" s="95">
        <v>129990</v>
      </c>
      <c r="S389" s="95">
        <f>R389/24</f>
        <v>5416.25</v>
      </c>
      <c r="T389" s="95">
        <v>119900</v>
      </c>
      <c r="U389" s="95">
        <f>T389/24</f>
        <v>4995.833333333333</v>
      </c>
      <c r="V389" s="95">
        <v>119900</v>
      </c>
      <c r="W389" s="95">
        <f>V389/24</f>
        <v>4995.833333333333</v>
      </c>
      <c r="X389" s="128"/>
      <c r="Y389" s="95">
        <v>0</v>
      </c>
      <c r="Z389" s="95">
        <v>14000</v>
      </c>
      <c r="AA389" s="95">
        <f>IFERROR(IF(D389="Premium",0.4*Y389,0),"No Disp")</f>
        <v>0</v>
      </c>
      <c r="AB389" s="95">
        <f>IFERROR(IF(4*Y389&gt;AC389,1.5*Y389,4*Y389),"No Disp")</f>
        <v>0</v>
      </c>
      <c r="AC389" s="95">
        <f>IF(Z389="No Disp","No Disp",(Z389*18)+Y389)</f>
        <v>252000</v>
      </c>
      <c r="AD389" s="95">
        <f>18*Z389-100+Y389</f>
        <v>251900</v>
      </c>
      <c r="AE389" s="95">
        <v>0</v>
      </c>
      <c r="AF389" s="95">
        <v>12500</v>
      </c>
      <c r="AG389" s="95">
        <f>IF(AF389="No Disp","No Disp",(AF389*18)+AE389)</f>
        <v>225000</v>
      </c>
      <c r="AH389" s="98">
        <f>18*AF389-100+AE389</f>
        <v>224900</v>
      </c>
      <c r="AI389" s="95" t="s">
        <v>4613</v>
      </c>
      <c r="AJ389" s="99"/>
      <c r="AK389" s="100" t="s">
        <v>43</v>
      </c>
      <c r="AL389" s="100" t="s">
        <v>43</v>
      </c>
      <c r="AM389" s="100" t="str">
        <f>IF(AL389&lt;&gt;"No Disp",AK389+12*AL389,"No Disp")</f>
        <v>No Disp</v>
      </c>
      <c r="AN389" s="100" t="s">
        <v>43</v>
      </c>
      <c r="AO389" s="100" t="s">
        <v>43</v>
      </c>
      <c r="AP389" s="100" t="str">
        <f>IF(AO389&lt;&gt;"No Disp",AN389+12*AO389,"No Disp")</f>
        <v>No Disp</v>
      </c>
      <c r="AQ389" s="100" t="s">
        <v>43</v>
      </c>
      <c r="AR389" s="100" t="s">
        <v>43</v>
      </c>
      <c r="AS389" s="100" t="str">
        <f>IF(AR389&lt;&gt;"No Disp",AQ389+12*AR389,"No Disp")</f>
        <v>No Disp</v>
      </c>
    </row>
    <row r="390" spans="1:45" s="101" customFormat="1" x14ac:dyDescent="0.25">
      <c r="A390" s="90" t="s">
        <v>38</v>
      </c>
      <c r="B390" s="90" t="s">
        <v>39</v>
      </c>
      <c r="C390" s="90" t="s">
        <v>39</v>
      </c>
      <c r="D390" s="90" t="s">
        <v>4540</v>
      </c>
      <c r="E390" s="90" t="s">
        <v>4538</v>
      </c>
      <c r="F390" s="91">
        <v>323</v>
      </c>
      <c r="G390" s="92">
        <v>70011841</v>
      </c>
      <c r="H390" s="91">
        <v>70011842</v>
      </c>
      <c r="I390" s="93" t="s">
        <v>63</v>
      </c>
      <c r="J390" s="94" t="s">
        <v>559</v>
      </c>
      <c r="K390" s="94" t="s">
        <v>560</v>
      </c>
      <c r="L390" s="94" t="s">
        <v>561</v>
      </c>
      <c r="M390" s="95">
        <v>647760</v>
      </c>
      <c r="N390" s="95">
        <v>7000</v>
      </c>
      <c r="O390" s="95">
        <v>10000</v>
      </c>
      <c r="P390" s="96">
        <v>1054990</v>
      </c>
      <c r="Q390" s="152"/>
      <c r="R390" s="95">
        <v>727990</v>
      </c>
      <c r="S390" s="95">
        <f>R390/24</f>
        <v>30332.916666666668</v>
      </c>
      <c r="T390" s="95">
        <v>647760</v>
      </c>
      <c r="U390" s="95">
        <f>T390/24</f>
        <v>26990</v>
      </c>
      <c r="V390" s="95">
        <v>647760</v>
      </c>
      <c r="W390" s="95">
        <f>V390/24</f>
        <v>26990</v>
      </c>
      <c r="X390" s="128"/>
      <c r="Y390" s="95">
        <v>249900</v>
      </c>
      <c r="Z390" s="95">
        <v>48000</v>
      </c>
      <c r="AA390" s="95">
        <f>IFERROR(IF(D390="Premium",0.4*Y390,0),"No Disp")</f>
        <v>99960</v>
      </c>
      <c r="AB390" s="95">
        <f>IFERROR(IF(4*Y390&gt;AC390,1.5*Y390,4*Y390),"No Disp")</f>
        <v>999600</v>
      </c>
      <c r="AC390" s="95">
        <f>IF(Z390="No Disp","No Disp",(Z390*18)+Y390)</f>
        <v>1113900</v>
      </c>
      <c r="AD390" s="95">
        <f>18*Z390-100+Y390</f>
        <v>1113800</v>
      </c>
      <c r="AE390" s="95">
        <v>149900</v>
      </c>
      <c r="AF390" s="95">
        <v>49000</v>
      </c>
      <c r="AG390" s="95">
        <f>IF(AF390="No Disp","No Disp",(AF390*18)+AE390)</f>
        <v>1031900</v>
      </c>
      <c r="AH390" s="98">
        <f>18*AF390-100+AE390</f>
        <v>1031800</v>
      </c>
      <c r="AI390" s="95" t="s">
        <v>4613</v>
      </c>
      <c r="AJ390" s="99"/>
      <c r="AK390" s="100">
        <v>0</v>
      </c>
      <c r="AL390" s="100">
        <v>39000</v>
      </c>
      <c r="AM390" s="100">
        <f>IF(AL390&lt;&gt;"No Disp",AK390+12*AL390,"No Disp")</f>
        <v>468000</v>
      </c>
      <c r="AN390" s="100">
        <v>0</v>
      </c>
      <c r="AO390" s="100">
        <v>39000</v>
      </c>
      <c r="AP390" s="100">
        <f>IF(AO390&lt;&gt;"No Disp",AN390+12*AO390,"No Disp")</f>
        <v>468000</v>
      </c>
      <c r="AQ390" s="100">
        <v>0</v>
      </c>
      <c r="AR390" s="100">
        <v>39000</v>
      </c>
      <c r="AS390" s="100">
        <f>IF(AR390&lt;&gt;"No Disp",AQ390+12*AR390,"No Disp")</f>
        <v>468000</v>
      </c>
    </row>
    <row r="391" spans="1:45" s="101" customFormat="1" x14ac:dyDescent="0.25">
      <c r="A391" s="90" t="s">
        <v>38</v>
      </c>
      <c r="B391" s="90" t="s">
        <v>39</v>
      </c>
      <c r="C391" s="90" t="s">
        <v>39</v>
      </c>
      <c r="D391" s="90" t="s">
        <v>4540</v>
      </c>
      <c r="E391" s="90" t="s">
        <v>4538</v>
      </c>
      <c r="F391" s="91">
        <v>327</v>
      </c>
      <c r="G391" s="92">
        <v>70011844</v>
      </c>
      <c r="H391" s="91">
        <v>70011845</v>
      </c>
      <c r="I391" s="93" t="s">
        <v>63</v>
      </c>
      <c r="J391" s="94" t="s">
        <v>3813</v>
      </c>
      <c r="K391" s="94" t="s">
        <v>550</v>
      </c>
      <c r="L391" s="94" t="s">
        <v>551</v>
      </c>
      <c r="M391" s="95">
        <v>647760</v>
      </c>
      <c r="N391" s="95">
        <v>7000</v>
      </c>
      <c r="O391" s="95">
        <v>10000</v>
      </c>
      <c r="P391" s="96">
        <v>1054990</v>
      </c>
      <c r="Q391" s="152"/>
      <c r="R391" s="95">
        <v>727990</v>
      </c>
      <c r="S391" s="95">
        <f>R391/24</f>
        <v>30332.916666666668</v>
      </c>
      <c r="T391" s="95">
        <v>647760</v>
      </c>
      <c r="U391" s="95">
        <f>T391/24</f>
        <v>26990</v>
      </c>
      <c r="V391" s="95">
        <v>647760</v>
      </c>
      <c r="W391" s="95">
        <f>V391/24</f>
        <v>26990</v>
      </c>
      <c r="X391" s="128"/>
      <c r="Y391" s="95">
        <v>249900</v>
      </c>
      <c r="Z391" s="95">
        <v>48000</v>
      </c>
      <c r="AA391" s="95">
        <f>IFERROR(IF(D391="Premium",0.4*Y391,0),"No Disp")</f>
        <v>99960</v>
      </c>
      <c r="AB391" s="95">
        <f>IFERROR(IF(4*Y391&gt;AC391,1.5*Y391,4*Y391),"No Disp")</f>
        <v>999600</v>
      </c>
      <c r="AC391" s="95">
        <f>IF(Z391="No Disp","No Disp",(Z391*18)+Y391)</f>
        <v>1113900</v>
      </c>
      <c r="AD391" s="95">
        <f>18*Z391-100+Y391</f>
        <v>1113800</v>
      </c>
      <c r="AE391" s="95">
        <v>149900</v>
      </c>
      <c r="AF391" s="95">
        <v>49000</v>
      </c>
      <c r="AG391" s="95">
        <f>IF(AF391="No Disp","No Disp",(AF391*18)+AE391)</f>
        <v>1031900</v>
      </c>
      <c r="AH391" s="98">
        <f>18*AF391-100+AE391</f>
        <v>1031800</v>
      </c>
      <c r="AI391" s="95" t="s">
        <v>4613</v>
      </c>
      <c r="AJ391" s="99"/>
      <c r="AK391" s="100">
        <v>0</v>
      </c>
      <c r="AL391" s="100">
        <v>39000</v>
      </c>
      <c r="AM391" s="100">
        <f>IF(AL391&lt;&gt;"No Disp",AK391+12*AL391,"No Disp")</f>
        <v>468000</v>
      </c>
      <c r="AN391" s="100">
        <v>0</v>
      </c>
      <c r="AO391" s="100">
        <v>39000</v>
      </c>
      <c r="AP391" s="100">
        <f>IF(AO391&lt;&gt;"No Disp",AN391+12*AO391,"No Disp")</f>
        <v>468000</v>
      </c>
      <c r="AQ391" s="100">
        <v>0</v>
      </c>
      <c r="AR391" s="100">
        <v>39000</v>
      </c>
      <c r="AS391" s="100">
        <f>IF(AR391&lt;&gt;"No Disp",AQ391+12*AR391,"No Disp")</f>
        <v>468000</v>
      </c>
    </row>
    <row r="392" spans="1:45" s="101" customFormat="1" x14ac:dyDescent="0.25">
      <c r="A392" s="90" t="s">
        <v>38</v>
      </c>
      <c r="B392" s="90" t="s">
        <v>39</v>
      </c>
      <c r="C392" s="90" t="s">
        <v>39</v>
      </c>
      <c r="D392" s="90" t="s">
        <v>4540</v>
      </c>
      <c r="E392" s="90" t="s">
        <v>4538</v>
      </c>
      <c r="F392" s="91">
        <v>367</v>
      </c>
      <c r="G392" s="92">
        <v>70011847</v>
      </c>
      <c r="H392" s="91">
        <v>70011848</v>
      </c>
      <c r="I392" s="93" t="s">
        <v>63</v>
      </c>
      <c r="J392" s="94" t="s">
        <v>3813</v>
      </c>
      <c r="K392" s="94" t="s">
        <v>468</v>
      </c>
      <c r="L392" s="94" t="s">
        <v>469</v>
      </c>
      <c r="M392" s="95">
        <v>647760</v>
      </c>
      <c r="N392" s="95">
        <v>7000</v>
      </c>
      <c r="O392" s="95">
        <v>10000</v>
      </c>
      <c r="P392" s="96">
        <v>1054990</v>
      </c>
      <c r="Q392" s="152"/>
      <c r="R392" s="95">
        <v>727990</v>
      </c>
      <c r="S392" s="95">
        <f>R392/24</f>
        <v>30332.916666666668</v>
      </c>
      <c r="T392" s="95">
        <v>647760</v>
      </c>
      <c r="U392" s="95">
        <f>T392/24</f>
        <v>26990</v>
      </c>
      <c r="V392" s="95">
        <v>647760</v>
      </c>
      <c r="W392" s="95">
        <f>V392/24</f>
        <v>26990</v>
      </c>
      <c r="X392" s="128"/>
      <c r="Y392" s="95">
        <v>249900</v>
      </c>
      <c r="Z392" s="95">
        <v>48000</v>
      </c>
      <c r="AA392" s="95">
        <f>IFERROR(IF(D392="Premium",0.4*Y392,0),"No Disp")</f>
        <v>99960</v>
      </c>
      <c r="AB392" s="95">
        <f>IFERROR(IF(4*Y392&gt;AC392,1.5*Y392,4*Y392),"No Disp")</f>
        <v>999600</v>
      </c>
      <c r="AC392" s="95">
        <f>IF(Z392="No Disp","No Disp",(Z392*18)+Y392)</f>
        <v>1113900</v>
      </c>
      <c r="AD392" s="95">
        <f>18*Z392-100+Y392</f>
        <v>1113800</v>
      </c>
      <c r="AE392" s="95">
        <v>149900</v>
      </c>
      <c r="AF392" s="95">
        <v>49000</v>
      </c>
      <c r="AG392" s="95">
        <f>IF(AF392="No Disp","No Disp",(AF392*18)+AE392)</f>
        <v>1031900</v>
      </c>
      <c r="AH392" s="98">
        <f>18*AF392-100+AE392</f>
        <v>1031800</v>
      </c>
      <c r="AI392" s="95" t="s">
        <v>4613</v>
      </c>
      <c r="AJ392" s="99"/>
      <c r="AK392" s="100">
        <v>0</v>
      </c>
      <c r="AL392" s="100">
        <v>39000</v>
      </c>
      <c r="AM392" s="100">
        <f>IF(AL392&lt;&gt;"No Disp",AK392+12*AL392,"No Disp")</f>
        <v>468000</v>
      </c>
      <c r="AN392" s="100">
        <v>0</v>
      </c>
      <c r="AO392" s="100">
        <v>39000</v>
      </c>
      <c r="AP392" s="100">
        <f>IF(AO392&lt;&gt;"No Disp",AN392+12*AO392,"No Disp")</f>
        <v>468000</v>
      </c>
      <c r="AQ392" s="100">
        <v>0</v>
      </c>
      <c r="AR392" s="100">
        <v>39000</v>
      </c>
      <c r="AS392" s="100">
        <f>IF(AR392&lt;&gt;"No Disp",AQ392+12*AR392,"No Disp")</f>
        <v>468000</v>
      </c>
    </row>
    <row r="393" spans="1:45" s="101" customFormat="1" x14ac:dyDescent="0.25">
      <c r="A393" s="90" t="s">
        <v>38</v>
      </c>
      <c r="B393" s="90" t="s">
        <v>39</v>
      </c>
      <c r="C393" s="90" t="s">
        <v>39</v>
      </c>
      <c r="D393" s="90" t="s">
        <v>4540</v>
      </c>
      <c r="E393" s="90" t="s">
        <v>4538</v>
      </c>
      <c r="F393" s="91">
        <v>346</v>
      </c>
      <c r="G393" s="92">
        <v>70011850</v>
      </c>
      <c r="H393" s="91">
        <v>70011851</v>
      </c>
      <c r="I393" s="93" t="s">
        <v>63</v>
      </c>
      <c r="J393" s="94" t="s">
        <v>3813</v>
      </c>
      <c r="K393" s="94" t="s">
        <v>509</v>
      </c>
      <c r="L393" s="94" t="s">
        <v>510</v>
      </c>
      <c r="M393" s="95">
        <v>647760</v>
      </c>
      <c r="N393" s="95">
        <v>7000</v>
      </c>
      <c r="O393" s="95">
        <v>10000</v>
      </c>
      <c r="P393" s="96">
        <v>1054990</v>
      </c>
      <c r="Q393" s="152"/>
      <c r="R393" s="95">
        <v>727990</v>
      </c>
      <c r="S393" s="95">
        <f>R393/24</f>
        <v>30332.916666666668</v>
      </c>
      <c r="T393" s="95">
        <v>647760</v>
      </c>
      <c r="U393" s="95">
        <f>T393/24</f>
        <v>26990</v>
      </c>
      <c r="V393" s="95">
        <v>647760</v>
      </c>
      <c r="W393" s="95">
        <f>V393/24</f>
        <v>26990</v>
      </c>
      <c r="X393" s="128"/>
      <c r="Y393" s="95">
        <v>249900</v>
      </c>
      <c r="Z393" s="95">
        <v>48000</v>
      </c>
      <c r="AA393" s="95">
        <f>IFERROR(IF(D393="Premium",0.4*Y393,0),"No Disp")</f>
        <v>99960</v>
      </c>
      <c r="AB393" s="95">
        <f>IFERROR(IF(4*Y393&gt;AC393,1.5*Y393,4*Y393),"No Disp")</f>
        <v>999600</v>
      </c>
      <c r="AC393" s="95">
        <f>IF(Z393="No Disp","No Disp",(Z393*18)+Y393)</f>
        <v>1113900</v>
      </c>
      <c r="AD393" s="95">
        <f>18*Z393-100+Y393</f>
        <v>1113800</v>
      </c>
      <c r="AE393" s="95">
        <v>149900</v>
      </c>
      <c r="AF393" s="95">
        <v>49000</v>
      </c>
      <c r="AG393" s="95">
        <f>IF(AF393="No Disp","No Disp",(AF393*18)+AE393)</f>
        <v>1031900</v>
      </c>
      <c r="AH393" s="98">
        <f>18*AF393-100+AE393</f>
        <v>1031800</v>
      </c>
      <c r="AI393" s="95" t="s">
        <v>4613</v>
      </c>
      <c r="AJ393" s="99"/>
      <c r="AK393" s="100">
        <v>0</v>
      </c>
      <c r="AL393" s="100">
        <v>39000</v>
      </c>
      <c r="AM393" s="100">
        <f>IF(AL393&lt;&gt;"No Disp",AK393+12*AL393,"No Disp")</f>
        <v>468000</v>
      </c>
      <c r="AN393" s="100">
        <v>0</v>
      </c>
      <c r="AO393" s="100">
        <v>39000</v>
      </c>
      <c r="AP393" s="100">
        <f>IF(AO393&lt;&gt;"No Disp",AN393+12*AO393,"No Disp")</f>
        <v>468000</v>
      </c>
      <c r="AQ393" s="100">
        <v>0</v>
      </c>
      <c r="AR393" s="100">
        <v>39000</v>
      </c>
      <c r="AS393" s="100">
        <f>IF(AR393&lt;&gt;"No Disp",AQ393+12*AR393,"No Disp")</f>
        <v>468000</v>
      </c>
    </row>
    <row r="394" spans="1:45" s="101" customFormat="1" x14ac:dyDescent="0.25">
      <c r="A394" s="90" t="s">
        <v>38</v>
      </c>
      <c r="B394" s="90" t="s">
        <v>39</v>
      </c>
      <c r="C394" s="90" t="s">
        <v>39</v>
      </c>
      <c r="D394" s="90" t="s">
        <v>4540</v>
      </c>
      <c r="E394" s="90" t="s">
        <v>4538</v>
      </c>
      <c r="F394" s="91">
        <v>368</v>
      </c>
      <c r="G394" s="92">
        <v>70011853</v>
      </c>
      <c r="H394" s="91">
        <v>70011854</v>
      </c>
      <c r="I394" s="93" t="s">
        <v>63</v>
      </c>
      <c r="J394" s="94" t="s">
        <v>3813</v>
      </c>
      <c r="K394" s="94" t="s">
        <v>3814</v>
      </c>
      <c r="L394" s="94" t="s">
        <v>467</v>
      </c>
      <c r="M394" s="95">
        <v>647760</v>
      </c>
      <c r="N394" s="95">
        <v>7000</v>
      </c>
      <c r="O394" s="95">
        <v>10000</v>
      </c>
      <c r="P394" s="96">
        <v>1054990</v>
      </c>
      <c r="Q394" s="152"/>
      <c r="R394" s="95">
        <v>727990</v>
      </c>
      <c r="S394" s="95">
        <f>R394/24</f>
        <v>30332.916666666668</v>
      </c>
      <c r="T394" s="95">
        <v>647760</v>
      </c>
      <c r="U394" s="95">
        <f>T394/24</f>
        <v>26990</v>
      </c>
      <c r="V394" s="95">
        <v>647760</v>
      </c>
      <c r="W394" s="95">
        <f>V394/24</f>
        <v>26990</v>
      </c>
      <c r="X394" s="128"/>
      <c r="Y394" s="95">
        <v>249900</v>
      </c>
      <c r="Z394" s="95">
        <v>48000</v>
      </c>
      <c r="AA394" s="95">
        <f>IFERROR(IF(D394="Premium",0.4*Y394,0),"No Disp")</f>
        <v>99960</v>
      </c>
      <c r="AB394" s="95">
        <f>IFERROR(IF(4*Y394&gt;AC394,1.5*Y394,4*Y394),"No Disp")</f>
        <v>999600</v>
      </c>
      <c r="AC394" s="95">
        <f>IF(Z394="No Disp","No Disp",(Z394*18)+Y394)</f>
        <v>1113900</v>
      </c>
      <c r="AD394" s="95">
        <f>18*Z394-100+Y394</f>
        <v>1113800</v>
      </c>
      <c r="AE394" s="95">
        <v>149900</v>
      </c>
      <c r="AF394" s="95">
        <v>49000</v>
      </c>
      <c r="AG394" s="95">
        <f>IF(AF394="No Disp","No Disp",(AF394*18)+AE394)</f>
        <v>1031900</v>
      </c>
      <c r="AH394" s="98">
        <f>18*AF394-100+AE394</f>
        <v>1031800</v>
      </c>
      <c r="AI394" s="95" t="s">
        <v>4613</v>
      </c>
      <c r="AJ394" s="99"/>
      <c r="AK394" s="100">
        <v>0</v>
      </c>
      <c r="AL394" s="100">
        <v>39000</v>
      </c>
      <c r="AM394" s="100">
        <f>IF(AL394&lt;&gt;"No Disp",AK394+12*AL394,"No Disp")</f>
        <v>468000</v>
      </c>
      <c r="AN394" s="100">
        <v>0</v>
      </c>
      <c r="AO394" s="100">
        <v>39000</v>
      </c>
      <c r="AP394" s="100">
        <f>IF(AO394&lt;&gt;"No Disp",AN394+12*AO394,"No Disp")</f>
        <v>468000</v>
      </c>
      <c r="AQ394" s="100">
        <v>0</v>
      </c>
      <c r="AR394" s="100">
        <v>39000</v>
      </c>
      <c r="AS394" s="100">
        <f>IF(AR394&lt;&gt;"No Disp",AQ394+12*AR394,"No Disp")</f>
        <v>468000</v>
      </c>
    </row>
    <row r="395" spans="1:45" s="101" customFormat="1" x14ac:dyDescent="0.25">
      <c r="A395" s="90" t="s">
        <v>38</v>
      </c>
      <c r="B395" s="90" t="s">
        <v>39</v>
      </c>
      <c r="C395" s="90" t="s">
        <v>39</v>
      </c>
      <c r="D395" s="90" t="s">
        <v>4540</v>
      </c>
      <c r="E395" s="90" t="s">
        <v>4542</v>
      </c>
      <c r="F395" s="91">
        <v>324</v>
      </c>
      <c r="G395" s="92">
        <v>70011856</v>
      </c>
      <c r="H395" s="91">
        <v>70011857</v>
      </c>
      <c r="I395" s="93" t="s">
        <v>63</v>
      </c>
      <c r="J395" s="94" t="s">
        <v>3815</v>
      </c>
      <c r="K395" s="94" t="s">
        <v>557</v>
      </c>
      <c r="L395" s="94" t="s">
        <v>558</v>
      </c>
      <c r="M395" s="95">
        <v>1064900</v>
      </c>
      <c r="N395" s="95">
        <v>7000</v>
      </c>
      <c r="O395" s="95">
        <v>10000</v>
      </c>
      <c r="P395" s="96">
        <v>0</v>
      </c>
      <c r="Q395" s="152"/>
      <c r="R395" s="95">
        <v>1064900</v>
      </c>
      <c r="S395" s="95">
        <f>R395/24</f>
        <v>44370.833333333336</v>
      </c>
      <c r="T395" s="95">
        <v>1064900</v>
      </c>
      <c r="U395" s="95">
        <f>T395/24</f>
        <v>44370.833333333336</v>
      </c>
      <c r="V395" s="95">
        <v>1064900</v>
      </c>
      <c r="W395" s="95">
        <f>V395/24</f>
        <v>44370.833333333336</v>
      </c>
      <c r="X395" s="128"/>
      <c r="Y395" s="95">
        <v>1039900</v>
      </c>
      <c r="Z395" s="95">
        <v>26000</v>
      </c>
      <c r="AA395" s="95">
        <f>IFERROR(IF(D395="Premium",0.4*Y395,0),"No Disp")</f>
        <v>415960</v>
      </c>
      <c r="AB395" s="95">
        <f>IFERROR(IF(4*Y395&gt;AC395,1.5*Y395,4*Y395),"No Disp")</f>
        <v>1559850</v>
      </c>
      <c r="AC395" s="95">
        <f>IF(Z395="No Disp","No Disp",(Z395*18)+Y395)</f>
        <v>1507900</v>
      </c>
      <c r="AD395" s="95">
        <f>18*Z395-100+Y395</f>
        <v>1507800</v>
      </c>
      <c r="AE395" s="95">
        <v>349900</v>
      </c>
      <c r="AF395" s="95">
        <v>67000</v>
      </c>
      <c r="AG395" s="95">
        <f>IF(AF395="No Disp","No Disp",(AF395*18)+AE395)</f>
        <v>1555900</v>
      </c>
      <c r="AH395" s="98">
        <f>18*AF395-100+AE395</f>
        <v>1555800</v>
      </c>
      <c r="AI395" s="95" t="s">
        <v>4613</v>
      </c>
      <c r="AJ395" s="99"/>
      <c r="AK395" s="100" t="s">
        <v>43</v>
      </c>
      <c r="AL395" s="100" t="s">
        <v>43</v>
      </c>
      <c r="AM395" s="100" t="str">
        <f>IF(AL395&lt;&gt;"No Disp",AK395+12*AL395,"No Disp")</f>
        <v>No Disp</v>
      </c>
      <c r="AN395" s="100" t="s">
        <v>43</v>
      </c>
      <c r="AO395" s="100" t="s">
        <v>43</v>
      </c>
      <c r="AP395" s="100" t="str">
        <f>IF(AO395&lt;&gt;"No Disp",AN395+12*AO395,"No Disp")</f>
        <v>No Disp</v>
      </c>
      <c r="AQ395" s="100" t="s">
        <v>43</v>
      </c>
      <c r="AR395" s="100" t="s">
        <v>43</v>
      </c>
      <c r="AS395" s="100" t="str">
        <f>IF(AR395&lt;&gt;"No Disp",AQ395+12*AR395,"No Disp")</f>
        <v>No Disp</v>
      </c>
    </row>
    <row r="396" spans="1:45" s="101" customFormat="1" x14ac:dyDescent="0.25">
      <c r="A396" s="90" t="s">
        <v>38</v>
      </c>
      <c r="B396" s="90" t="s">
        <v>39</v>
      </c>
      <c r="C396" s="90" t="s">
        <v>39</v>
      </c>
      <c r="D396" s="90" t="s">
        <v>4540</v>
      </c>
      <c r="E396" s="90" t="s">
        <v>4542</v>
      </c>
      <c r="F396" s="91">
        <v>353</v>
      </c>
      <c r="G396" s="92">
        <v>70011859</v>
      </c>
      <c r="H396" s="91">
        <v>70011860</v>
      </c>
      <c r="I396" s="93" t="s">
        <v>63</v>
      </c>
      <c r="J396" s="94" t="s">
        <v>3816</v>
      </c>
      <c r="K396" s="94" t="s">
        <v>495</v>
      </c>
      <c r="L396" s="94" t="s">
        <v>496</v>
      </c>
      <c r="M396" s="95">
        <v>1064900</v>
      </c>
      <c r="N396" s="95">
        <v>7000</v>
      </c>
      <c r="O396" s="95">
        <v>10000</v>
      </c>
      <c r="P396" s="96">
        <v>0</v>
      </c>
      <c r="Q396" s="152"/>
      <c r="R396" s="95">
        <v>1064900</v>
      </c>
      <c r="S396" s="95">
        <f>R396/24</f>
        <v>44370.833333333336</v>
      </c>
      <c r="T396" s="95">
        <v>1064900</v>
      </c>
      <c r="U396" s="95">
        <f>T396/24</f>
        <v>44370.833333333336</v>
      </c>
      <c r="V396" s="95">
        <v>1064900</v>
      </c>
      <c r="W396" s="95">
        <f>V396/24</f>
        <v>44370.833333333336</v>
      </c>
      <c r="X396" s="128"/>
      <c r="Y396" s="95">
        <v>1039900</v>
      </c>
      <c r="Z396" s="95">
        <v>26000</v>
      </c>
      <c r="AA396" s="95">
        <f>IFERROR(IF(D396="Premium",0.4*Y396,0),"No Disp")</f>
        <v>415960</v>
      </c>
      <c r="AB396" s="95">
        <f>IFERROR(IF(4*Y396&gt;AC396,1.5*Y396,4*Y396),"No Disp")</f>
        <v>1559850</v>
      </c>
      <c r="AC396" s="95">
        <f>IF(Z396="No Disp","No Disp",(Z396*18)+Y396)</f>
        <v>1507900</v>
      </c>
      <c r="AD396" s="95">
        <f>18*Z396-100+Y396</f>
        <v>1507800</v>
      </c>
      <c r="AE396" s="95">
        <v>349900</v>
      </c>
      <c r="AF396" s="95">
        <v>67000</v>
      </c>
      <c r="AG396" s="95">
        <f>IF(AF396="No Disp","No Disp",(AF396*18)+AE396)</f>
        <v>1555900</v>
      </c>
      <c r="AH396" s="98">
        <f>18*AF396-100+AE396</f>
        <v>1555800</v>
      </c>
      <c r="AI396" s="95" t="s">
        <v>4613</v>
      </c>
      <c r="AJ396" s="99"/>
      <c r="AK396" s="100" t="s">
        <v>43</v>
      </c>
      <c r="AL396" s="100" t="s">
        <v>43</v>
      </c>
      <c r="AM396" s="100" t="str">
        <f>IF(AL396&lt;&gt;"No Disp",AK396+12*AL396,"No Disp")</f>
        <v>No Disp</v>
      </c>
      <c r="AN396" s="100" t="s">
        <v>43</v>
      </c>
      <c r="AO396" s="100" t="s">
        <v>43</v>
      </c>
      <c r="AP396" s="100" t="str">
        <f>IF(AO396&lt;&gt;"No Disp",AN396+12*AO396,"No Disp")</f>
        <v>No Disp</v>
      </c>
      <c r="AQ396" s="100" t="s">
        <v>43</v>
      </c>
      <c r="AR396" s="100" t="s">
        <v>43</v>
      </c>
      <c r="AS396" s="100" t="str">
        <f>IF(AR396&lt;&gt;"No Disp",AQ396+12*AR396,"No Disp")</f>
        <v>No Disp</v>
      </c>
    </row>
    <row r="397" spans="1:45" s="101" customFormat="1" x14ac:dyDescent="0.25">
      <c r="A397" s="90" t="s">
        <v>38</v>
      </c>
      <c r="B397" s="90" t="s">
        <v>39</v>
      </c>
      <c r="C397" s="90" t="s">
        <v>39</v>
      </c>
      <c r="D397" s="90" t="s">
        <v>4540</v>
      </c>
      <c r="E397" s="90" t="s">
        <v>4542</v>
      </c>
      <c r="F397" s="91">
        <v>369</v>
      </c>
      <c r="G397" s="92">
        <v>70011862</v>
      </c>
      <c r="H397" s="91">
        <v>70011863</v>
      </c>
      <c r="I397" s="93" t="s">
        <v>63</v>
      </c>
      <c r="J397" s="94" t="s">
        <v>3816</v>
      </c>
      <c r="K397" s="94" t="s">
        <v>465</v>
      </c>
      <c r="L397" s="94" t="s">
        <v>466</v>
      </c>
      <c r="M397" s="95">
        <v>1064900</v>
      </c>
      <c r="N397" s="95">
        <v>7000</v>
      </c>
      <c r="O397" s="95">
        <v>10000</v>
      </c>
      <c r="P397" s="96">
        <v>0</v>
      </c>
      <c r="Q397" s="152"/>
      <c r="R397" s="95">
        <v>1064900</v>
      </c>
      <c r="S397" s="95">
        <f>R397/24</f>
        <v>44370.833333333336</v>
      </c>
      <c r="T397" s="95">
        <v>1064900</v>
      </c>
      <c r="U397" s="95">
        <f>T397/24</f>
        <v>44370.833333333336</v>
      </c>
      <c r="V397" s="95">
        <v>1064900</v>
      </c>
      <c r="W397" s="95">
        <f>V397/24</f>
        <v>44370.833333333336</v>
      </c>
      <c r="X397" s="128"/>
      <c r="Y397" s="95">
        <v>1039900</v>
      </c>
      <c r="Z397" s="95">
        <v>26000</v>
      </c>
      <c r="AA397" s="95">
        <f>IFERROR(IF(D397="Premium",0.4*Y397,0),"No Disp")</f>
        <v>415960</v>
      </c>
      <c r="AB397" s="95">
        <f>IFERROR(IF(4*Y397&gt;AC397,1.5*Y397,4*Y397),"No Disp")</f>
        <v>1559850</v>
      </c>
      <c r="AC397" s="95">
        <f>IF(Z397="No Disp","No Disp",(Z397*18)+Y397)</f>
        <v>1507900</v>
      </c>
      <c r="AD397" s="95">
        <f>18*Z397-100+Y397</f>
        <v>1507800</v>
      </c>
      <c r="AE397" s="95">
        <v>349900</v>
      </c>
      <c r="AF397" s="95">
        <v>67000</v>
      </c>
      <c r="AG397" s="95">
        <f>IF(AF397="No Disp","No Disp",(AF397*18)+AE397)</f>
        <v>1555900</v>
      </c>
      <c r="AH397" s="98">
        <f>18*AF397-100+AE397</f>
        <v>1555800</v>
      </c>
      <c r="AI397" s="95" t="s">
        <v>4613</v>
      </c>
      <c r="AJ397" s="99"/>
      <c r="AK397" s="100" t="s">
        <v>43</v>
      </c>
      <c r="AL397" s="100" t="s">
        <v>43</v>
      </c>
      <c r="AM397" s="100" t="str">
        <f>IF(AL397&lt;&gt;"No Disp",AK397+12*AL397,"No Disp")</f>
        <v>No Disp</v>
      </c>
      <c r="AN397" s="100" t="s">
        <v>43</v>
      </c>
      <c r="AO397" s="100" t="s">
        <v>43</v>
      </c>
      <c r="AP397" s="100" t="str">
        <f>IF(AO397&lt;&gt;"No Disp",AN397+12*AO397,"No Disp")</f>
        <v>No Disp</v>
      </c>
      <c r="AQ397" s="100" t="s">
        <v>43</v>
      </c>
      <c r="AR397" s="100" t="s">
        <v>43</v>
      </c>
      <c r="AS397" s="100" t="str">
        <f>IF(AR397&lt;&gt;"No Disp",AQ397+12*AR397,"No Disp")</f>
        <v>No Disp</v>
      </c>
    </row>
    <row r="398" spans="1:45" s="101" customFormat="1" x14ac:dyDescent="0.25">
      <c r="A398" s="90" t="s">
        <v>38</v>
      </c>
      <c r="B398" s="90" t="s">
        <v>39</v>
      </c>
      <c r="C398" s="90" t="s">
        <v>39</v>
      </c>
      <c r="D398" s="90" t="s">
        <v>4540</v>
      </c>
      <c r="E398" s="90" t="s">
        <v>4542</v>
      </c>
      <c r="F398" s="91">
        <v>352</v>
      </c>
      <c r="G398" s="92">
        <v>70011865</v>
      </c>
      <c r="H398" s="91">
        <v>70011866</v>
      </c>
      <c r="I398" s="93" t="s">
        <v>63</v>
      </c>
      <c r="J398" s="94" t="s">
        <v>3816</v>
      </c>
      <c r="K398" s="94" t="s">
        <v>497</v>
      </c>
      <c r="L398" s="94" t="s">
        <v>498</v>
      </c>
      <c r="M398" s="95">
        <v>1064900</v>
      </c>
      <c r="N398" s="95">
        <v>7000</v>
      </c>
      <c r="O398" s="95">
        <v>10000</v>
      </c>
      <c r="P398" s="96">
        <v>0</v>
      </c>
      <c r="Q398" s="152"/>
      <c r="R398" s="95">
        <v>1064900</v>
      </c>
      <c r="S398" s="95">
        <f>R398/24</f>
        <v>44370.833333333336</v>
      </c>
      <c r="T398" s="95">
        <v>1064900</v>
      </c>
      <c r="U398" s="95">
        <f>T398/24</f>
        <v>44370.833333333336</v>
      </c>
      <c r="V398" s="95">
        <v>1064900</v>
      </c>
      <c r="W398" s="95">
        <f>V398/24</f>
        <v>44370.833333333336</v>
      </c>
      <c r="X398" s="128"/>
      <c r="Y398" s="95">
        <v>1039900</v>
      </c>
      <c r="Z398" s="95">
        <v>26000</v>
      </c>
      <c r="AA398" s="95">
        <f>IFERROR(IF(D398="Premium",0.4*Y398,0),"No Disp")</f>
        <v>415960</v>
      </c>
      <c r="AB398" s="95">
        <f>IFERROR(IF(4*Y398&gt;AC398,1.5*Y398,4*Y398),"No Disp")</f>
        <v>1559850</v>
      </c>
      <c r="AC398" s="95">
        <f>IF(Z398="No Disp","No Disp",(Z398*18)+Y398)</f>
        <v>1507900</v>
      </c>
      <c r="AD398" s="95">
        <f>18*Z398-100+Y398</f>
        <v>1507800</v>
      </c>
      <c r="AE398" s="95">
        <v>349900</v>
      </c>
      <c r="AF398" s="95">
        <v>67000</v>
      </c>
      <c r="AG398" s="95">
        <f>IF(AF398="No Disp","No Disp",(AF398*18)+AE398)</f>
        <v>1555900</v>
      </c>
      <c r="AH398" s="98">
        <f>18*AF398-100+AE398</f>
        <v>1555800</v>
      </c>
      <c r="AI398" s="95" t="s">
        <v>4613</v>
      </c>
      <c r="AJ398" s="99"/>
      <c r="AK398" s="100" t="s">
        <v>43</v>
      </c>
      <c r="AL398" s="100" t="s">
        <v>43</v>
      </c>
      <c r="AM398" s="100" t="str">
        <f>IF(AL398&lt;&gt;"No Disp",AK398+12*AL398,"No Disp")</f>
        <v>No Disp</v>
      </c>
      <c r="AN398" s="100" t="s">
        <v>43</v>
      </c>
      <c r="AO398" s="100" t="s">
        <v>43</v>
      </c>
      <c r="AP398" s="100" t="str">
        <f>IF(AO398&lt;&gt;"No Disp",AN398+12*AO398,"No Disp")</f>
        <v>No Disp</v>
      </c>
      <c r="AQ398" s="100" t="s">
        <v>43</v>
      </c>
      <c r="AR398" s="100" t="s">
        <v>43</v>
      </c>
      <c r="AS398" s="100" t="str">
        <f>IF(AR398&lt;&gt;"No Disp",AQ398+12*AR398,"No Disp")</f>
        <v>No Disp</v>
      </c>
    </row>
    <row r="399" spans="1:45" s="101" customFormat="1" x14ac:dyDescent="0.25">
      <c r="A399" s="90" t="s">
        <v>38</v>
      </c>
      <c r="B399" s="90" t="s">
        <v>39</v>
      </c>
      <c r="C399" s="90" t="s">
        <v>39</v>
      </c>
      <c r="D399" s="90" t="s">
        <v>4540</v>
      </c>
      <c r="E399" s="90" t="s">
        <v>4542</v>
      </c>
      <c r="F399" s="91">
        <v>370</v>
      </c>
      <c r="G399" s="92">
        <v>70011868</v>
      </c>
      <c r="H399" s="91">
        <v>70011869</v>
      </c>
      <c r="I399" s="93" t="s">
        <v>63</v>
      </c>
      <c r="J399" s="94" t="s">
        <v>3816</v>
      </c>
      <c r="K399" s="94" t="s">
        <v>463</v>
      </c>
      <c r="L399" s="94" t="s">
        <v>464</v>
      </c>
      <c r="M399" s="95">
        <v>1064900</v>
      </c>
      <c r="N399" s="95">
        <v>7000</v>
      </c>
      <c r="O399" s="95">
        <v>10000</v>
      </c>
      <c r="P399" s="96">
        <v>0</v>
      </c>
      <c r="Q399" s="152"/>
      <c r="R399" s="95">
        <v>1064900</v>
      </c>
      <c r="S399" s="95">
        <f>R399/24</f>
        <v>44370.833333333336</v>
      </c>
      <c r="T399" s="95">
        <v>1064900</v>
      </c>
      <c r="U399" s="95">
        <f>T399/24</f>
        <v>44370.833333333336</v>
      </c>
      <c r="V399" s="95">
        <v>1064900</v>
      </c>
      <c r="W399" s="95">
        <f>V399/24</f>
        <v>44370.833333333336</v>
      </c>
      <c r="X399" s="128"/>
      <c r="Y399" s="95">
        <v>1039900</v>
      </c>
      <c r="Z399" s="95">
        <v>26000</v>
      </c>
      <c r="AA399" s="95">
        <f>IFERROR(IF(D399="Premium",0.4*Y399,0),"No Disp")</f>
        <v>415960</v>
      </c>
      <c r="AB399" s="95">
        <f>IFERROR(IF(4*Y399&gt;AC399,1.5*Y399,4*Y399),"No Disp")</f>
        <v>1559850</v>
      </c>
      <c r="AC399" s="95">
        <f>IF(Z399="No Disp","No Disp",(Z399*18)+Y399)</f>
        <v>1507900</v>
      </c>
      <c r="AD399" s="95">
        <f>18*Z399-100+Y399</f>
        <v>1507800</v>
      </c>
      <c r="AE399" s="95">
        <v>349900</v>
      </c>
      <c r="AF399" s="95">
        <v>67000</v>
      </c>
      <c r="AG399" s="95">
        <f>IF(AF399="No Disp","No Disp",(AF399*18)+AE399)</f>
        <v>1555900</v>
      </c>
      <c r="AH399" s="98">
        <f>18*AF399-100+AE399</f>
        <v>1555800</v>
      </c>
      <c r="AI399" s="95" t="s">
        <v>4613</v>
      </c>
      <c r="AJ399" s="99"/>
      <c r="AK399" s="100" t="s">
        <v>43</v>
      </c>
      <c r="AL399" s="100" t="s">
        <v>43</v>
      </c>
      <c r="AM399" s="100" t="str">
        <f>IF(AL399&lt;&gt;"No Disp",AK399+12*AL399,"No Disp")</f>
        <v>No Disp</v>
      </c>
      <c r="AN399" s="100" t="s">
        <v>43</v>
      </c>
      <c r="AO399" s="100" t="s">
        <v>43</v>
      </c>
      <c r="AP399" s="100" t="str">
        <f>IF(AO399&lt;&gt;"No Disp",AN399+12*AO399,"No Disp")</f>
        <v>No Disp</v>
      </c>
      <c r="AQ399" s="100" t="s">
        <v>43</v>
      </c>
      <c r="AR399" s="100" t="s">
        <v>43</v>
      </c>
      <c r="AS399" s="100" t="str">
        <f>IF(AR399&lt;&gt;"No Disp",AQ399+12*AR399,"No Disp")</f>
        <v>No Disp</v>
      </c>
    </row>
    <row r="400" spans="1:45" s="101" customFormat="1" x14ac:dyDescent="0.25">
      <c r="A400" s="90" t="s">
        <v>38</v>
      </c>
      <c r="B400" s="90" t="s">
        <v>39</v>
      </c>
      <c r="C400" s="90" t="s">
        <v>39</v>
      </c>
      <c r="D400" s="90" t="s">
        <v>4540</v>
      </c>
      <c r="E400" s="90" t="s">
        <v>4542</v>
      </c>
      <c r="F400" s="91">
        <v>329</v>
      </c>
      <c r="G400" s="92">
        <v>70011871</v>
      </c>
      <c r="H400" s="91">
        <v>70011872</v>
      </c>
      <c r="I400" s="93" t="s">
        <v>63</v>
      </c>
      <c r="J400" s="94" t="s">
        <v>3817</v>
      </c>
      <c r="K400" s="94" t="s">
        <v>546</v>
      </c>
      <c r="L400" s="94" t="s">
        <v>547</v>
      </c>
      <c r="M400" s="95">
        <v>1069900</v>
      </c>
      <c r="N400" s="95">
        <v>7000</v>
      </c>
      <c r="O400" s="95">
        <v>10000</v>
      </c>
      <c r="P400" s="96">
        <v>0</v>
      </c>
      <c r="Q400" s="152"/>
      <c r="R400" s="95">
        <v>1069900</v>
      </c>
      <c r="S400" s="95">
        <f>R400/24</f>
        <v>44579.166666666664</v>
      </c>
      <c r="T400" s="95">
        <v>1069900</v>
      </c>
      <c r="U400" s="95">
        <f>T400/24</f>
        <v>44579.166666666664</v>
      </c>
      <c r="V400" s="95">
        <v>1069900</v>
      </c>
      <c r="W400" s="95">
        <f>V400/24</f>
        <v>44579.166666666664</v>
      </c>
      <c r="X400" s="128"/>
      <c r="Y400" s="95">
        <v>1049900</v>
      </c>
      <c r="Z400" s="95">
        <v>25000</v>
      </c>
      <c r="AA400" s="95">
        <f>IFERROR(IF(D400="Premium",0.4*Y400,0),"No Disp")</f>
        <v>419960</v>
      </c>
      <c r="AB400" s="95">
        <f>IFERROR(IF(4*Y400&gt;AC400,1.5*Y400,4*Y400),"No Disp")</f>
        <v>1574850</v>
      </c>
      <c r="AC400" s="95">
        <f>IF(Z400="No Disp","No Disp",(Z400*18)+Y400)</f>
        <v>1499900</v>
      </c>
      <c r="AD400" s="95">
        <f>18*Z400-100+Y400</f>
        <v>1499800</v>
      </c>
      <c r="AE400" s="95">
        <v>349900</v>
      </c>
      <c r="AF400" s="95">
        <v>67000</v>
      </c>
      <c r="AG400" s="95">
        <f>IF(AF400="No Disp","No Disp",(AF400*18)+AE400)</f>
        <v>1555900</v>
      </c>
      <c r="AH400" s="98">
        <f>18*AF400-100+AE400</f>
        <v>1555800</v>
      </c>
      <c r="AI400" s="95" t="s">
        <v>4613</v>
      </c>
      <c r="AJ400" s="99"/>
      <c r="AK400" s="100" t="s">
        <v>43</v>
      </c>
      <c r="AL400" s="100" t="s">
        <v>43</v>
      </c>
      <c r="AM400" s="100" t="str">
        <f>IF(AL400&lt;&gt;"No Disp",AK400+12*AL400,"No Disp")</f>
        <v>No Disp</v>
      </c>
      <c r="AN400" s="100" t="s">
        <v>43</v>
      </c>
      <c r="AO400" s="100" t="s">
        <v>43</v>
      </c>
      <c r="AP400" s="100" t="str">
        <f>IF(AO400&lt;&gt;"No Disp",AN400+12*AO400,"No Disp")</f>
        <v>No Disp</v>
      </c>
      <c r="AQ400" s="100" t="s">
        <v>43</v>
      </c>
      <c r="AR400" s="100" t="s">
        <v>43</v>
      </c>
      <c r="AS400" s="100" t="str">
        <f>IF(AR400&lt;&gt;"No Disp",AQ400+12*AR400,"No Disp")</f>
        <v>No Disp</v>
      </c>
    </row>
    <row r="401" spans="1:45" s="101" customFormat="1" x14ac:dyDescent="0.25">
      <c r="A401" s="90" t="s">
        <v>38</v>
      </c>
      <c r="B401" s="90" t="s">
        <v>39</v>
      </c>
      <c r="C401" s="90" t="s">
        <v>39</v>
      </c>
      <c r="D401" s="90" t="s">
        <v>4540</v>
      </c>
      <c r="E401" s="90" t="s">
        <v>4542</v>
      </c>
      <c r="F401" s="91">
        <v>371</v>
      </c>
      <c r="G401" s="92">
        <v>70011874</v>
      </c>
      <c r="H401" s="91">
        <v>70011875</v>
      </c>
      <c r="I401" s="93" t="s">
        <v>63</v>
      </c>
      <c r="J401" s="94" t="s">
        <v>3817</v>
      </c>
      <c r="K401" s="94" t="s">
        <v>3818</v>
      </c>
      <c r="L401" s="94" t="s">
        <v>462</v>
      </c>
      <c r="M401" s="95">
        <v>1069900</v>
      </c>
      <c r="N401" s="95">
        <v>7000</v>
      </c>
      <c r="O401" s="95">
        <v>10000</v>
      </c>
      <c r="P401" s="96">
        <v>0</v>
      </c>
      <c r="Q401" s="152"/>
      <c r="R401" s="95">
        <v>1069900</v>
      </c>
      <c r="S401" s="95">
        <f>R401/24</f>
        <v>44579.166666666664</v>
      </c>
      <c r="T401" s="95">
        <v>1069900</v>
      </c>
      <c r="U401" s="95">
        <f>T401/24</f>
        <v>44579.166666666664</v>
      </c>
      <c r="V401" s="95">
        <v>1069900</v>
      </c>
      <c r="W401" s="95">
        <f>V401/24</f>
        <v>44579.166666666664</v>
      </c>
      <c r="X401" s="128"/>
      <c r="Y401" s="95">
        <v>1049900</v>
      </c>
      <c r="Z401" s="95">
        <v>25000</v>
      </c>
      <c r="AA401" s="95">
        <f>IFERROR(IF(D401="Premium",0.4*Y401,0),"No Disp")</f>
        <v>419960</v>
      </c>
      <c r="AB401" s="95">
        <f>IFERROR(IF(4*Y401&gt;AC401,1.5*Y401,4*Y401),"No Disp")</f>
        <v>1574850</v>
      </c>
      <c r="AC401" s="95">
        <f>IF(Z401="No Disp","No Disp",(Z401*18)+Y401)</f>
        <v>1499900</v>
      </c>
      <c r="AD401" s="95">
        <f>18*Z401-100+Y401</f>
        <v>1499800</v>
      </c>
      <c r="AE401" s="95">
        <v>349900</v>
      </c>
      <c r="AF401" s="95">
        <v>67000</v>
      </c>
      <c r="AG401" s="95">
        <f>IF(AF401="No Disp","No Disp",(AF401*18)+AE401)</f>
        <v>1555900</v>
      </c>
      <c r="AH401" s="98">
        <f>18*AF401-100+AE401</f>
        <v>1555800</v>
      </c>
      <c r="AI401" s="95" t="s">
        <v>4613</v>
      </c>
      <c r="AJ401" s="99"/>
      <c r="AK401" s="100" t="s">
        <v>43</v>
      </c>
      <c r="AL401" s="100" t="s">
        <v>43</v>
      </c>
      <c r="AM401" s="100" t="str">
        <f>IF(AL401&lt;&gt;"No Disp",AK401+12*AL401,"No Disp")</f>
        <v>No Disp</v>
      </c>
      <c r="AN401" s="100" t="s">
        <v>43</v>
      </c>
      <c r="AO401" s="100" t="s">
        <v>43</v>
      </c>
      <c r="AP401" s="100" t="str">
        <f>IF(AO401&lt;&gt;"No Disp",AN401+12*AO401,"No Disp")</f>
        <v>No Disp</v>
      </c>
      <c r="AQ401" s="100" t="s">
        <v>43</v>
      </c>
      <c r="AR401" s="100" t="s">
        <v>43</v>
      </c>
      <c r="AS401" s="100" t="str">
        <f>IF(AR401&lt;&gt;"No Disp",AQ401+12*AR401,"No Disp")</f>
        <v>No Disp</v>
      </c>
    </row>
    <row r="402" spans="1:45" s="101" customFormat="1" x14ac:dyDescent="0.25">
      <c r="A402" s="90" t="s">
        <v>38</v>
      </c>
      <c r="B402" s="90" t="s">
        <v>39</v>
      </c>
      <c r="C402" s="90" t="s">
        <v>39</v>
      </c>
      <c r="D402" s="90" t="s">
        <v>4540</v>
      </c>
      <c r="E402" s="90" t="s">
        <v>4542</v>
      </c>
      <c r="F402" s="91">
        <v>328</v>
      </c>
      <c r="G402" s="92">
        <v>70011893</v>
      </c>
      <c r="H402" s="91">
        <v>70011894</v>
      </c>
      <c r="I402" s="93" t="s">
        <v>63</v>
      </c>
      <c r="J402" s="94" t="s">
        <v>3817</v>
      </c>
      <c r="K402" s="94" t="s">
        <v>548</v>
      </c>
      <c r="L402" s="94" t="s">
        <v>549</v>
      </c>
      <c r="M402" s="95">
        <v>1069900</v>
      </c>
      <c r="N402" s="95">
        <v>7000</v>
      </c>
      <c r="O402" s="95">
        <v>10000</v>
      </c>
      <c r="P402" s="96">
        <v>0</v>
      </c>
      <c r="Q402" s="152"/>
      <c r="R402" s="95">
        <v>1069900</v>
      </c>
      <c r="S402" s="95">
        <f>R402/24</f>
        <v>44579.166666666664</v>
      </c>
      <c r="T402" s="95">
        <v>1069900</v>
      </c>
      <c r="U402" s="95">
        <f>T402/24</f>
        <v>44579.166666666664</v>
      </c>
      <c r="V402" s="95">
        <v>1069900</v>
      </c>
      <c r="W402" s="95">
        <f>V402/24</f>
        <v>44579.166666666664</v>
      </c>
      <c r="X402" s="128"/>
      <c r="Y402" s="95">
        <v>1049900</v>
      </c>
      <c r="Z402" s="95">
        <v>25000</v>
      </c>
      <c r="AA402" s="95">
        <f>IFERROR(IF(D402="Premium",0.4*Y402,0),"No Disp")</f>
        <v>419960</v>
      </c>
      <c r="AB402" s="95">
        <f>IFERROR(IF(4*Y402&gt;AC402,1.5*Y402,4*Y402),"No Disp")</f>
        <v>1574850</v>
      </c>
      <c r="AC402" s="95">
        <f>IF(Z402="No Disp","No Disp",(Z402*18)+Y402)</f>
        <v>1499900</v>
      </c>
      <c r="AD402" s="95">
        <f>18*Z402-100+Y402</f>
        <v>1499800</v>
      </c>
      <c r="AE402" s="95">
        <v>349900</v>
      </c>
      <c r="AF402" s="95">
        <v>67000</v>
      </c>
      <c r="AG402" s="95">
        <f>IF(AF402="No Disp","No Disp",(AF402*18)+AE402)</f>
        <v>1555900</v>
      </c>
      <c r="AH402" s="98">
        <f>18*AF402-100+AE402</f>
        <v>1555800</v>
      </c>
      <c r="AI402" s="95" t="s">
        <v>4613</v>
      </c>
      <c r="AJ402" s="99"/>
      <c r="AK402" s="100" t="s">
        <v>43</v>
      </c>
      <c r="AL402" s="100" t="s">
        <v>43</v>
      </c>
      <c r="AM402" s="100" t="str">
        <f>IF(AL402&lt;&gt;"No Disp",AK402+12*AL402,"No Disp")</f>
        <v>No Disp</v>
      </c>
      <c r="AN402" s="100" t="s">
        <v>43</v>
      </c>
      <c r="AO402" s="100" t="s">
        <v>43</v>
      </c>
      <c r="AP402" s="100" t="str">
        <f>IF(AO402&lt;&gt;"No Disp",AN402+12*AO402,"No Disp")</f>
        <v>No Disp</v>
      </c>
      <c r="AQ402" s="100" t="s">
        <v>43</v>
      </c>
      <c r="AR402" s="100" t="s">
        <v>43</v>
      </c>
      <c r="AS402" s="100" t="str">
        <f>IF(AR402&lt;&gt;"No Disp",AQ402+12*AR402,"No Disp")</f>
        <v>No Disp</v>
      </c>
    </row>
    <row r="403" spans="1:45" s="101" customFormat="1" x14ac:dyDescent="0.25">
      <c r="A403" s="90" t="s">
        <v>38</v>
      </c>
      <c r="B403" s="90" t="s">
        <v>39</v>
      </c>
      <c r="C403" s="90" t="s">
        <v>39</v>
      </c>
      <c r="D403" s="90" t="s">
        <v>4540</v>
      </c>
      <c r="E403" s="90" t="s">
        <v>4542</v>
      </c>
      <c r="F403" s="91">
        <v>347</v>
      </c>
      <c r="G403" s="92">
        <v>70011896</v>
      </c>
      <c r="H403" s="91">
        <v>70011897</v>
      </c>
      <c r="I403" s="93" t="s">
        <v>63</v>
      </c>
      <c r="J403" s="94" t="s">
        <v>3817</v>
      </c>
      <c r="K403" s="94" t="s">
        <v>507</v>
      </c>
      <c r="L403" s="94" t="s">
        <v>508</v>
      </c>
      <c r="M403" s="95">
        <v>1069900</v>
      </c>
      <c r="N403" s="95">
        <v>7000</v>
      </c>
      <c r="O403" s="95">
        <v>10000</v>
      </c>
      <c r="P403" s="96">
        <v>0</v>
      </c>
      <c r="Q403" s="152"/>
      <c r="R403" s="95">
        <v>1069900</v>
      </c>
      <c r="S403" s="95">
        <f>R403/24</f>
        <v>44579.166666666664</v>
      </c>
      <c r="T403" s="95">
        <v>1069900</v>
      </c>
      <c r="U403" s="95">
        <f>T403/24</f>
        <v>44579.166666666664</v>
      </c>
      <c r="V403" s="95">
        <v>1069900</v>
      </c>
      <c r="W403" s="95">
        <f>V403/24</f>
        <v>44579.166666666664</v>
      </c>
      <c r="X403" s="128"/>
      <c r="Y403" s="95">
        <v>1049900</v>
      </c>
      <c r="Z403" s="95">
        <v>25000</v>
      </c>
      <c r="AA403" s="95">
        <f>IFERROR(IF(D403="Premium",0.4*Y403,0),"No Disp")</f>
        <v>419960</v>
      </c>
      <c r="AB403" s="95">
        <f>IFERROR(IF(4*Y403&gt;AC403,1.5*Y403,4*Y403),"No Disp")</f>
        <v>1574850</v>
      </c>
      <c r="AC403" s="95">
        <f>IF(Z403="No Disp","No Disp",(Z403*18)+Y403)</f>
        <v>1499900</v>
      </c>
      <c r="AD403" s="95">
        <f>18*Z403-100+Y403</f>
        <v>1499800</v>
      </c>
      <c r="AE403" s="95">
        <v>349900</v>
      </c>
      <c r="AF403" s="95">
        <v>67000</v>
      </c>
      <c r="AG403" s="95">
        <f>IF(AF403="No Disp","No Disp",(AF403*18)+AE403)</f>
        <v>1555900</v>
      </c>
      <c r="AH403" s="98">
        <f>18*AF403-100+AE403</f>
        <v>1555800</v>
      </c>
      <c r="AI403" s="95" t="s">
        <v>4613</v>
      </c>
      <c r="AJ403" s="99"/>
      <c r="AK403" s="100" t="s">
        <v>43</v>
      </c>
      <c r="AL403" s="100" t="s">
        <v>43</v>
      </c>
      <c r="AM403" s="100" t="str">
        <f>IF(AL403&lt;&gt;"No Disp",AK403+12*AL403,"No Disp")</f>
        <v>No Disp</v>
      </c>
      <c r="AN403" s="100" t="s">
        <v>43</v>
      </c>
      <c r="AO403" s="100" t="s">
        <v>43</v>
      </c>
      <c r="AP403" s="100" t="str">
        <f>IF(AO403&lt;&gt;"No Disp",AN403+12*AO403,"No Disp")</f>
        <v>No Disp</v>
      </c>
      <c r="AQ403" s="100" t="s">
        <v>43</v>
      </c>
      <c r="AR403" s="100" t="s">
        <v>43</v>
      </c>
      <c r="AS403" s="100" t="str">
        <f>IF(AR403&lt;&gt;"No Disp",AQ403+12*AR403,"No Disp")</f>
        <v>No Disp</v>
      </c>
    </row>
    <row r="404" spans="1:45" s="101" customFormat="1" x14ac:dyDescent="0.25">
      <c r="A404" s="90" t="s">
        <v>38</v>
      </c>
      <c r="B404" s="90" t="s">
        <v>39</v>
      </c>
      <c r="C404" s="90" t="s">
        <v>39</v>
      </c>
      <c r="D404" s="90" t="s">
        <v>4540</v>
      </c>
      <c r="E404" s="90" t="s">
        <v>4542</v>
      </c>
      <c r="F404" s="91">
        <v>372</v>
      </c>
      <c r="G404" s="92">
        <v>70011899</v>
      </c>
      <c r="H404" s="91">
        <v>70011900</v>
      </c>
      <c r="I404" s="93" t="s">
        <v>63</v>
      </c>
      <c r="J404" s="94" t="s">
        <v>3817</v>
      </c>
      <c r="K404" s="94" t="s">
        <v>3819</v>
      </c>
      <c r="L404" s="94" t="s">
        <v>461</v>
      </c>
      <c r="M404" s="95">
        <v>1069900</v>
      </c>
      <c r="N404" s="95">
        <v>7000</v>
      </c>
      <c r="O404" s="95">
        <v>10000</v>
      </c>
      <c r="P404" s="96">
        <v>0</v>
      </c>
      <c r="Q404" s="152"/>
      <c r="R404" s="95">
        <v>1069900</v>
      </c>
      <c r="S404" s="95">
        <f>R404/24</f>
        <v>44579.166666666664</v>
      </c>
      <c r="T404" s="95">
        <v>1069900</v>
      </c>
      <c r="U404" s="95">
        <f>T404/24</f>
        <v>44579.166666666664</v>
      </c>
      <c r="V404" s="95">
        <v>1069900</v>
      </c>
      <c r="W404" s="95">
        <f>V404/24</f>
        <v>44579.166666666664</v>
      </c>
      <c r="X404" s="128"/>
      <c r="Y404" s="95">
        <v>1049900</v>
      </c>
      <c r="Z404" s="95">
        <v>25000</v>
      </c>
      <c r="AA404" s="95">
        <f>IFERROR(IF(D404="Premium",0.4*Y404,0),"No Disp")</f>
        <v>419960</v>
      </c>
      <c r="AB404" s="95">
        <f>IFERROR(IF(4*Y404&gt;AC404,1.5*Y404,4*Y404),"No Disp")</f>
        <v>1574850</v>
      </c>
      <c r="AC404" s="95">
        <f>IF(Z404="No Disp","No Disp",(Z404*18)+Y404)</f>
        <v>1499900</v>
      </c>
      <c r="AD404" s="95">
        <f>18*Z404-100+Y404</f>
        <v>1499800</v>
      </c>
      <c r="AE404" s="95">
        <v>349900</v>
      </c>
      <c r="AF404" s="95">
        <v>67000</v>
      </c>
      <c r="AG404" s="95">
        <f>IF(AF404="No Disp","No Disp",(AF404*18)+AE404)</f>
        <v>1555900</v>
      </c>
      <c r="AH404" s="98">
        <f>18*AF404-100+AE404</f>
        <v>1555800</v>
      </c>
      <c r="AI404" s="95" t="s">
        <v>4613</v>
      </c>
      <c r="AJ404" s="99"/>
      <c r="AK404" s="100" t="s">
        <v>43</v>
      </c>
      <c r="AL404" s="100" t="s">
        <v>43</v>
      </c>
      <c r="AM404" s="100" t="str">
        <f>IF(AL404&lt;&gt;"No Disp",AK404+12*AL404,"No Disp")</f>
        <v>No Disp</v>
      </c>
      <c r="AN404" s="100" t="s">
        <v>43</v>
      </c>
      <c r="AO404" s="100" t="s">
        <v>43</v>
      </c>
      <c r="AP404" s="100" t="str">
        <f>IF(AO404&lt;&gt;"No Disp",AN404+12*AO404,"No Disp")</f>
        <v>No Disp</v>
      </c>
      <c r="AQ404" s="100" t="s">
        <v>43</v>
      </c>
      <c r="AR404" s="100" t="s">
        <v>43</v>
      </c>
      <c r="AS404" s="100" t="str">
        <f>IF(AR404&lt;&gt;"No Disp",AQ404+12*AR404,"No Disp")</f>
        <v>No Disp</v>
      </c>
    </row>
    <row r="405" spans="1:45" s="101" customFormat="1" x14ac:dyDescent="0.25">
      <c r="A405" s="90" t="s">
        <v>38</v>
      </c>
      <c r="B405" s="90" t="s">
        <v>39</v>
      </c>
      <c r="C405" s="90" t="s">
        <v>39</v>
      </c>
      <c r="D405" s="90" t="s">
        <v>4540</v>
      </c>
      <c r="E405" s="90" t="s">
        <v>4542</v>
      </c>
      <c r="F405" s="91">
        <v>331</v>
      </c>
      <c r="G405" s="92">
        <v>70011920</v>
      </c>
      <c r="H405" s="91">
        <v>70011921</v>
      </c>
      <c r="I405" s="93" t="s">
        <v>63</v>
      </c>
      <c r="J405" s="94" t="s">
        <v>490</v>
      </c>
      <c r="K405" s="94" t="s">
        <v>542</v>
      </c>
      <c r="L405" s="94" t="s">
        <v>543</v>
      </c>
      <c r="M405" s="95">
        <v>1039900</v>
      </c>
      <c r="N405" s="95">
        <v>9500</v>
      </c>
      <c r="O405" s="95">
        <v>13500</v>
      </c>
      <c r="P405" s="96">
        <v>0</v>
      </c>
      <c r="Q405" s="152"/>
      <c r="R405" s="95">
        <v>1069990</v>
      </c>
      <c r="S405" s="95">
        <f>R405/24</f>
        <v>44582.916666666664</v>
      </c>
      <c r="T405" s="95">
        <v>1039900</v>
      </c>
      <c r="U405" s="95">
        <f>T405/24</f>
        <v>43329.166666666664</v>
      </c>
      <c r="V405" s="95">
        <v>1039900</v>
      </c>
      <c r="W405" s="95">
        <f>V405/24</f>
        <v>43329.166666666664</v>
      </c>
      <c r="X405" s="128"/>
      <c r="Y405" s="95">
        <v>399900</v>
      </c>
      <c r="Z405" s="95">
        <v>56000</v>
      </c>
      <c r="AA405" s="95">
        <f>IFERROR(IF(D405="Premium",0.4*Y405,0),"No Disp")</f>
        <v>159960</v>
      </c>
      <c r="AB405" s="95">
        <f>IFERROR(IF(4*Y405&gt;AC405,1.5*Y405,4*Y405),"No Disp")</f>
        <v>599850</v>
      </c>
      <c r="AC405" s="95">
        <f>IF(Z405="No Disp","No Disp",(Z405*18)+Y405)</f>
        <v>1407900</v>
      </c>
      <c r="AD405" s="95">
        <f>18*Z405-100+Y405</f>
        <v>1407800</v>
      </c>
      <c r="AE405" s="95">
        <v>299900</v>
      </c>
      <c r="AF405" s="95">
        <v>60000</v>
      </c>
      <c r="AG405" s="95">
        <f>IF(AF405="No Disp","No Disp",(AF405*18)+AE405)</f>
        <v>1379900</v>
      </c>
      <c r="AH405" s="98">
        <f>18*AF405-100+AE405</f>
        <v>1379800</v>
      </c>
      <c r="AI405" s="95" t="s">
        <v>4613</v>
      </c>
      <c r="AJ405" s="99"/>
      <c r="AK405" s="100">
        <v>89900</v>
      </c>
      <c r="AL405" s="100">
        <v>48000</v>
      </c>
      <c r="AM405" s="100">
        <f>IF(AL405&lt;&gt;"No Disp",AK405+12*AL405,"No Disp")</f>
        <v>665900</v>
      </c>
      <c r="AN405" s="100">
        <v>89900</v>
      </c>
      <c r="AO405" s="100">
        <v>48000</v>
      </c>
      <c r="AP405" s="100">
        <f>IF(AO405&lt;&gt;"No Disp",AN405+12*AO405,"No Disp")</f>
        <v>665900</v>
      </c>
      <c r="AQ405" s="100">
        <v>89900</v>
      </c>
      <c r="AR405" s="100">
        <v>48000</v>
      </c>
      <c r="AS405" s="100">
        <f>IF(AR405&lt;&gt;"No Disp",AQ405+12*AR405,"No Disp")</f>
        <v>665900</v>
      </c>
    </row>
    <row r="406" spans="1:45" s="101" customFormat="1" x14ac:dyDescent="0.25">
      <c r="A406" s="90" t="s">
        <v>38</v>
      </c>
      <c r="B406" s="90" t="s">
        <v>39</v>
      </c>
      <c r="C406" s="90" t="s">
        <v>39</v>
      </c>
      <c r="D406" s="90" t="s">
        <v>4540</v>
      </c>
      <c r="E406" s="90" t="s">
        <v>4542</v>
      </c>
      <c r="F406" s="91">
        <v>355</v>
      </c>
      <c r="G406" s="92">
        <v>70011923</v>
      </c>
      <c r="H406" s="91">
        <v>70011924</v>
      </c>
      <c r="I406" s="93" t="s">
        <v>63</v>
      </c>
      <c r="J406" s="94" t="s">
        <v>490</v>
      </c>
      <c r="K406" s="94" t="s">
        <v>491</v>
      </c>
      <c r="L406" s="94" t="s">
        <v>492</v>
      </c>
      <c r="M406" s="95">
        <v>1039900</v>
      </c>
      <c r="N406" s="95">
        <v>9500</v>
      </c>
      <c r="O406" s="95">
        <v>13500</v>
      </c>
      <c r="P406" s="96">
        <v>0</v>
      </c>
      <c r="Q406" s="152"/>
      <c r="R406" s="95">
        <v>1069990</v>
      </c>
      <c r="S406" s="95">
        <f>R406/24</f>
        <v>44582.916666666664</v>
      </c>
      <c r="T406" s="95">
        <v>1039900</v>
      </c>
      <c r="U406" s="95">
        <f>T406/24</f>
        <v>43329.166666666664</v>
      </c>
      <c r="V406" s="95">
        <v>1039900</v>
      </c>
      <c r="W406" s="95">
        <f>V406/24</f>
        <v>43329.166666666664</v>
      </c>
      <c r="X406" s="128"/>
      <c r="Y406" s="95">
        <v>399900</v>
      </c>
      <c r="Z406" s="95">
        <v>56000</v>
      </c>
      <c r="AA406" s="95">
        <f>IFERROR(IF(D406="Premium",0.4*Y406,0),"No Disp")</f>
        <v>159960</v>
      </c>
      <c r="AB406" s="95">
        <f>IFERROR(IF(4*Y406&gt;AC406,1.5*Y406,4*Y406),"No Disp")</f>
        <v>599850</v>
      </c>
      <c r="AC406" s="95">
        <f>IF(Z406="No Disp","No Disp",(Z406*18)+Y406)</f>
        <v>1407900</v>
      </c>
      <c r="AD406" s="95">
        <f>18*Z406-100+Y406</f>
        <v>1407800</v>
      </c>
      <c r="AE406" s="95">
        <v>299900</v>
      </c>
      <c r="AF406" s="95">
        <v>60000</v>
      </c>
      <c r="AG406" s="95">
        <f>IF(AF406="No Disp","No Disp",(AF406*18)+AE406)</f>
        <v>1379900</v>
      </c>
      <c r="AH406" s="98">
        <f>18*AF406-100+AE406</f>
        <v>1379800</v>
      </c>
      <c r="AI406" s="95" t="s">
        <v>4613</v>
      </c>
      <c r="AJ406" s="99"/>
      <c r="AK406" s="100">
        <v>89900</v>
      </c>
      <c r="AL406" s="100">
        <v>48000</v>
      </c>
      <c r="AM406" s="100">
        <f>IF(AL406&lt;&gt;"No Disp",AK406+12*AL406,"No Disp")</f>
        <v>665900</v>
      </c>
      <c r="AN406" s="100">
        <v>89900</v>
      </c>
      <c r="AO406" s="100">
        <v>48000</v>
      </c>
      <c r="AP406" s="100">
        <f>IF(AO406&lt;&gt;"No Disp",AN406+12*AO406,"No Disp")</f>
        <v>665900</v>
      </c>
      <c r="AQ406" s="100">
        <v>89900</v>
      </c>
      <c r="AR406" s="100">
        <v>48000</v>
      </c>
      <c r="AS406" s="100">
        <f>IF(AR406&lt;&gt;"No Disp",AQ406+12*AR406,"No Disp")</f>
        <v>665900</v>
      </c>
    </row>
    <row r="407" spans="1:45" s="101" customFormat="1" x14ac:dyDescent="0.25">
      <c r="A407" s="90" t="s">
        <v>38</v>
      </c>
      <c r="B407" s="90" t="s">
        <v>39</v>
      </c>
      <c r="C407" s="90" t="s">
        <v>39</v>
      </c>
      <c r="D407" s="90" t="s">
        <v>4540</v>
      </c>
      <c r="E407" s="90" t="s">
        <v>4542</v>
      </c>
      <c r="F407" s="91">
        <v>332</v>
      </c>
      <c r="G407" s="92">
        <v>70011926</v>
      </c>
      <c r="H407" s="91">
        <v>70011927</v>
      </c>
      <c r="I407" s="93" t="s">
        <v>63</v>
      </c>
      <c r="J407" s="94" t="s">
        <v>490</v>
      </c>
      <c r="K407" s="94" t="s">
        <v>540</v>
      </c>
      <c r="L407" s="94" t="s">
        <v>541</v>
      </c>
      <c r="M407" s="95">
        <v>1039900</v>
      </c>
      <c r="N407" s="95">
        <v>9500</v>
      </c>
      <c r="O407" s="95">
        <v>13500</v>
      </c>
      <c r="P407" s="96">
        <v>0</v>
      </c>
      <c r="Q407" s="152"/>
      <c r="R407" s="95">
        <v>1069990</v>
      </c>
      <c r="S407" s="95">
        <f>R407/24</f>
        <v>44582.916666666664</v>
      </c>
      <c r="T407" s="95">
        <v>1039900</v>
      </c>
      <c r="U407" s="95">
        <f>T407/24</f>
        <v>43329.166666666664</v>
      </c>
      <c r="V407" s="95">
        <v>1039900</v>
      </c>
      <c r="W407" s="95">
        <f>V407/24</f>
        <v>43329.166666666664</v>
      </c>
      <c r="X407" s="128"/>
      <c r="Y407" s="95">
        <v>399900</v>
      </c>
      <c r="Z407" s="95">
        <v>56000</v>
      </c>
      <c r="AA407" s="95">
        <f>IFERROR(IF(D407="Premium",0.4*Y407,0),"No Disp")</f>
        <v>159960</v>
      </c>
      <c r="AB407" s="95">
        <f>IFERROR(IF(4*Y407&gt;AC407,1.5*Y407,4*Y407),"No Disp")</f>
        <v>599850</v>
      </c>
      <c r="AC407" s="95">
        <f>IF(Z407="No Disp","No Disp",(Z407*18)+Y407)</f>
        <v>1407900</v>
      </c>
      <c r="AD407" s="95">
        <f>18*Z407-100+Y407</f>
        <v>1407800</v>
      </c>
      <c r="AE407" s="95">
        <v>299900</v>
      </c>
      <c r="AF407" s="95">
        <v>60000</v>
      </c>
      <c r="AG407" s="95">
        <f>IF(AF407="No Disp","No Disp",(AF407*18)+AE407)</f>
        <v>1379900</v>
      </c>
      <c r="AH407" s="98">
        <f>18*AF407-100+AE407</f>
        <v>1379800</v>
      </c>
      <c r="AI407" s="95" t="s">
        <v>4613</v>
      </c>
      <c r="AJ407" s="99"/>
      <c r="AK407" s="100">
        <v>89900</v>
      </c>
      <c r="AL407" s="100">
        <v>48000</v>
      </c>
      <c r="AM407" s="100">
        <f>IF(AL407&lt;&gt;"No Disp",AK407+12*AL407,"No Disp")</f>
        <v>665900</v>
      </c>
      <c r="AN407" s="100">
        <v>89900</v>
      </c>
      <c r="AO407" s="100">
        <v>48000</v>
      </c>
      <c r="AP407" s="100">
        <f>IF(AO407&lt;&gt;"No Disp",AN407+12*AO407,"No Disp")</f>
        <v>665900</v>
      </c>
      <c r="AQ407" s="100">
        <v>89900</v>
      </c>
      <c r="AR407" s="100">
        <v>48000</v>
      </c>
      <c r="AS407" s="100">
        <f>IF(AR407&lt;&gt;"No Disp",AQ407+12*AR407,"No Disp")</f>
        <v>665900</v>
      </c>
    </row>
    <row r="408" spans="1:45" s="101" customFormat="1" x14ac:dyDescent="0.25">
      <c r="A408" s="90" t="s">
        <v>38</v>
      </c>
      <c r="B408" s="90" t="s">
        <v>39</v>
      </c>
      <c r="C408" s="90" t="s">
        <v>39</v>
      </c>
      <c r="D408" s="90" t="s">
        <v>4540</v>
      </c>
      <c r="E408" s="90" t="s">
        <v>4542</v>
      </c>
      <c r="F408" s="91">
        <v>330</v>
      </c>
      <c r="G408" s="92">
        <v>70011943</v>
      </c>
      <c r="H408" s="91">
        <v>70011944</v>
      </c>
      <c r="I408" s="93" t="s">
        <v>63</v>
      </c>
      <c r="J408" s="94" t="s">
        <v>490</v>
      </c>
      <c r="K408" s="94" t="s">
        <v>544</v>
      </c>
      <c r="L408" s="94" t="s">
        <v>545</v>
      </c>
      <c r="M408" s="95">
        <v>1039900</v>
      </c>
      <c r="N408" s="95">
        <v>9500</v>
      </c>
      <c r="O408" s="95">
        <v>13500</v>
      </c>
      <c r="P408" s="96">
        <v>0</v>
      </c>
      <c r="Q408" s="152"/>
      <c r="R408" s="95">
        <v>1069990</v>
      </c>
      <c r="S408" s="95">
        <f>R408/24</f>
        <v>44582.916666666664</v>
      </c>
      <c r="T408" s="95">
        <v>1039900</v>
      </c>
      <c r="U408" s="95">
        <f>T408/24</f>
        <v>43329.166666666664</v>
      </c>
      <c r="V408" s="95">
        <v>1039900</v>
      </c>
      <c r="W408" s="95">
        <f>V408/24</f>
        <v>43329.166666666664</v>
      </c>
      <c r="X408" s="128"/>
      <c r="Y408" s="95">
        <v>399900</v>
      </c>
      <c r="Z408" s="95">
        <v>56000</v>
      </c>
      <c r="AA408" s="95">
        <f>IFERROR(IF(D408="Premium",0.4*Y408,0),"No Disp")</f>
        <v>159960</v>
      </c>
      <c r="AB408" s="95">
        <f>IFERROR(IF(4*Y408&gt;AC408,1.5*Y408,4*Y408),"No Disp")</f>
        <v>599850</v>
      </c>
      <c r="AC408" s="95">
        <f>IF(Z408="No Disp","No Disp",(Z408*18)+Y408)</f>
        <v>1407900</v>
      </c>
      <c r="AD408" s="95">
        <f>18*Z408-100+Y408</f>
        <v>1407800</v>
      </c>
      <c r="AE408" s="95">
        <v>299900</v>
      </c>
      <c r="AF408" s="95">
        <v>60000</v>
      </c>
      <c r="AG408" s="95">
        <f>IF(AF408="No Disp","No Disp",(AF408*18)+AE408)</f>
        <v>1379900</v>
      </c>
      <c r="AH408" s="98">
        <f>18*AF408-100+AE408</f>
        <v>1379800</v>
      </c>
      <c r="AI408" s="95" t="s">
        <v>4613</v>
      </c>
      <c r="AJ408" s="99"/>
      <c r="AK408" s="100">
        <v>89900</v>
      </c>
      <c r="AL408" s="100">
        <v>48000</v>
      </c>
      <c r="AM408" s="100">
        <f>IF(AL408&lt;&gt;"No Disp",AK408+12*AL408,"No Disp")</f>
        <v>665900</v>
      </c>
      <c r="AN408" s="100">
        <v>89900</v>
      </c>
      <c r="AO408" s="100">
        <v>48000</v>
      </c>
      <c r="AP408" s="100">
        <f>IF(AO408&lt;&gt;"No Disp",AN408+12*AO408,"No Disp")</f>
        <v>665900</v>
      </c>
      <c r="AQ408" s="100">
        <v>89900</v>
      </c>
      <c r="AR408" s="100">
        <v>48000</v>
      </c>
      <c r="AS408" s="100">
        <f>IF(AR408&lt;&gt;"No Disp",AQ408+12*AR408,"No Disp")</f>
        <v>665900</v>
      </c>
    </row>
    <row r="409" spans="1:45" s="101" customFormat="1" x14ac:dyDescent="0.25">
      <c r="A409" s="90" t="s">
        <v>38</v>
      </c>
      <c r="B409" s="90" t="s">
        <v>39</v>
      </c>
      <c r="C409" s="90" t="s">
        <v>39</v>
      </c>
      <c r="D409" s="90" t="s">
        <v>4540</v>
      </c>
      <c r="E409" s="90" t="s">
        <v>4542</v>
      </c>
      <c r="F409" s="91">
        <v>374</v>
      </c>
      <c r="G409" s="92">
        <v>70011955</v>
      </c>
      <c r="H409" s="91">
        <v>70011946</v>
      </c>
      <c r="I409" s="93" t="s">
        <v>63</v>
      </c>
      <c r="J409" s="94" t="s">
        <v>457</v>
      </c>
      <c r="K409" s="94" t="s">
        <v>3820</v>
      </c>
      <c r="L409" s="94" t="s">
        <v>459</v>
      </c>
      <c r="M409" s="95">
        <v>1309900</v>
      </c>
      <c r="N409" s="95">
        <v>9500</v>
      </c>
      <c r="O409" s="95">
        <v>13500</v>
      </c>
      <c r="P409" s="96">
        <v>0</v>
      </c>
      <c r="Q409" s="152"/>
      <c r="R409" s="95">
        <v>1309900</v>
      </c>
      <c r="S409" s="95">
        <f>R409/24</f>
        <v>54579.166666666664</v>
      </c>
      <c r="T409" s="95">
        <v>1309900</v>
      </c>
      <c r="U409" s="95">
        <f>T409/24</f>
        <v>54579.166666666664</v>
      </c>
      <c r="V409" s="95">
        <v>1309900</v>
      </c>
      <c r="W409" s="95">
        <f>V409/24</f>
        <v>54579.166666666664</v>
      </c>
      <c r="X409" s="128"/>
      <c r="Y409" s="95">
        <v>1269900</v>
      </c>
      <c r="Z409" s="95">
        <v>32000</v>
      </c>
      <c r="AA409" s="95">
        <f>IFERROR(IF(D409="Premium",0.4*Y409,0),"No Disp")</f>
        <v>507960</v>
      </c>
      <c r="AB409" s="95">
        <f>IFERROR(IF(4*Y409&gt;AC409,1.5*Y409,4*Y409),"No Disp")</f>
        <v>1904850</v>
      </c>
      <c r="AC409" s="95">
        <f>IF(Z409="No Disp","No Disp",(Z409*18)+Y409)</f>
        <v>1845900</v>
      </c>
      <c r="AD409" s="95">
        <f>18*Z409-100+Y409</f>
        <v>1845800</v>
      </c>
      <c r="AE409" s="95">
        <v>529900</v>
      </c>
      <c r="AF409" s="95">
        <v>75000</v>
      </c>
      <c r="AG409" s="95">
        <f>IF(AF409="No Disp","No Disp",(AF409*18)+AE409)</f>
        <v>1879900</v>
      </c>
      <c r="AH409" s="98">
        <f>18*AF409-100+AE409</f>
        <v>1879800</v>
      </c>
      <c r="AI409" s="95" t="s">
        <v>4613</v>
      </c>
      <c r="AJ409" s="99"/>
      <c r="AK409" s="100" t="s">
        <v>43</v>
      </c>
      <c r="AL409" s="100" t="s">
        <v>43</v>
      </c>
      <c r="AM409" s="100" t="str">
        <f>IF(AL409&lt;&gt;"No Disp",AK409+12*AL409,"No Disp")</f>
        <v>No Disp</v>
      </c>
      <c r="AN409" s="100" t="s">
        <v>43</v>
      </c>
      <c r="AO409" s="100" t="s">
        <v>43</v>
      </c>
      <c r="AP409" s="100" t="str">
        <f>IF(AO409&lt;&gt;"No Disp",AN409+12*AO409,"No Disp")</f>
        <v>No Disp</v>
      </c>
      <c r="AQ409" s="100" t="s">
        <v>43</v>
      </c>
      <c r="AR409" s="100" t="s">
        <v>43</v>
      </c>
      <c r="AS409" s="100" t="str">
        <f>IF(AR409&lt;&gt;"No Disp",AQ409+12*AR409,"No Disp")</f>
        <v>No Disp</v>
      </c>
    </row>
    <row r="410" spans="1:45" s="101" customFormat="1" x14ac:dyDescent="0.25">
      <c r="A410" s="90" t="s">
        <v>38</v>
      </c>
      <c r="B410" s="90" t="s">
        <v>39</v>
      </c>
      <c r="C410" s="90" t="s">
        <v>39</v>
      </c>
      <c r="D410" s="90" t="s">
        <v>4540</v>
      </c>
      <c r="E410" s="90" t="s">
        <v>4542</v>
      </c>
      <c r="F410" s="91">
        <v>373</v>
      </c>
      <c r="G410" s="92">
        <v>70011949</v>
      </c>
      <c r="H410" s="91">
        <v>70011950</v>
      </c>
      <c r="I410" s="93" t="s">
        <v>63</v>
      </c>
      <c r="J410" s="94" t="s">
        <v>457</v>
      </c>
      <c r="K410" s="94" t="s">
        <v>3821</v>
      </c>
      <c r="L410" s="94" t="s">
        <v>460</v>
      </c>
      <c r="M410" s="95">
        <v>1309900</v>
      </c>
      <c r="N410" s="95">
        <v>9500</v>
      </c>
      <c r="O410" s="95">
        <v>13500</v>
      </c>
      <c r="P410" s="96">
        <v>0</v>
      </c>
      <c r="Q410" s="152"/>
      <c r="R410" s="95">
        <v>1309900</v>
      </c>
      <c r="S410" s="95">
        <f>R410/24</f>
        <v>54579.166666666664</v>
      </c>
      <c r="T410" s="95">
        <v>1309900</v>
      </c>
      <c r="U410" s="95">
        <f>T410/24</f>
        <v>54579.166666666664</v>
      </c>
      <c r="V410" s="95">
        <v>1309900</v>
      </c>
      <c r="W410" s="95">
        <f>V410/24</f>
        <v>54579.166666666664</v>
      </c>
      <c r="X410" s="128"/>
      <c r="Y410" s="95">
        <v>1269900</v>
      </c>
      <c r="Z410" s="95">
        <v>32000</v>
      </c>
      <c r="AA410" s="95">
        <f>IFERROR(IF(D410="Premium",0.4*Y410,0),"No Disp")</f>
        <v>507960</v>
      </c>
      <c r="AB410" s="95">
        <f>IFERROR(IF(4*Y410&gt;AC410,1.5*Y410,4*Y410),"No Disp")</f>
        <v>1904850</v>
      </c>
      <c r="AC410" s="95">
        <f>IF(Z410="No Disp","No Disp",(Z410*18)+Y410)</f>
        <v>1845900</v>
      </c>
      <c r="AD410" s="95">
        <f>18*Z410-100+Y410</f>
        <v>1845800</v>
      </c>
      <c r="AE410" s="95">
        <v>529900</v>
      </c>
      <c r="AF410" s="95">
        <v>75000</v>
      </c>
      <c r="AG410" s="95">
        <f>IF(AF410="No Disp","No Disp",(AF410*18)+AE410)</f>
        <v>1879900</v>
      </c>
      <c r="AH410" s="98">
        <f>18*AF410-100+AE410</f>
        <v>1879800</v>
      </c>
      <c r="AI410" s="95" t="s">
        <v>4613</v>
      </c>
      <c r="AJ410" s="99"/>
      <c r="AK410" s="100" t="s">
        <v>43</v>
      </c>
      <c r="AL410" s="100" t="s">
        <v>43</v>
      </c>
      <c r="AM410" s="100" t="str">
        <f>IF(AL410&lt;&gt;"No Disp",AK410+12*AL410,"No Disp")</f>
        <v>No Disp</v>
      </c>
      <c r="AN410" s="100" t="s">
        <v>43</v>
      </c>
      <c r="AO410" s="100" t="s">
        <v>43</v>
      </c>
      <c r="AP410" s="100" t="str">
        <f>IF(AO410&lt;&gt;"No Disp",AN410+12*AO410,"No Disp")</f>
        <v>No Disp</v>
      </c>
      <c r="AQ410" s="100" t="s">
        <v>43</v>
      </c>
      <c r="AR410" s="100" t="s">
        <v>43</v>
      </c>
      <c r="AS410" s="100" t="str">
        <f>IF(AR410&lt;&gt;"No Disp",AQ410+12*AR410,"No Disp")</f>
        <v>No Disp</v>
      </c>
    </row>
    <row r="411" spans="1:45" s="101" customFormat="1" x14ac:dyDescent="0.25">
      <c r="A411" s="90" t="s">
        <v>38</v>
      </c>
      <c r="B411" s="90" t="s">
        <v>39</v>
      </c>
      <c r="C411" s="90" t="s">
        <v>39</v>
      </c>
      <c r="D411" s="90" t="s">
        <v>4540</v>
      </c>
      <c r="E411" s="90" t="s">
        <v>4542</v>
      </c>
      <c r="F411" s="91">
        <v>354</v>
      </c>
      <c r="G411" s="92">
        <v>70011952</v>
      </c>
      <c r="H411" s="91">
        <v>70011953</v>
      </c>
      <c r="I411" s="93" t="s">
        <v>63</v>
      </c>
      <c r="J411" s="94" t="s">
        <v>457</v>
      </c>
      <c r="K411" s="94" t="s">
        <v>493</v>
      </c>
      <c r="L411" s="94" t="s">
        <v>494</v>
      </c>
      <c r="M411" s="95">
        <v>1309900</v>
      </c>
      <c r="N411" s="95">
        <v>9500</v>
      </c>
      <c r="O411" s="95">
        <v>13500</v>
      </c>
      <c r="P411" s="96">
        <v>0</v>
      </c>
      <c r="Q411" s="152"/>
      <c r="R411" s="95">
        <v>1309900</v>
      </c>
      <c r="S411" s="95">
        <f>R411/24</f>
        <v>54579.166666666664</v>
      </c>
      <c r="T411" s="95">
        <v>1309900</v>
      </c>
      <c r="U411" s="95">
        <f>T411/24</f>
        <v>54579.166666666664</v>
      </c>
      <c r="V411" s="95">
        <v>1309900</v>
      </c>
      <c r="W411" s="95">
        <f>V411/24</f>
        <v>54579.166666666664</v>
      </c>
      <c r="X411" s="128"/>
      <c r="Y411" s="95">
        <v>1269900</v>
      </c>
      <c r="Z411" s="95">
        <v>32000</v>
      </c>
      <c r="AA411" s="95">
        <f>IFERROR(IF(D411="Premium",0.4*Y411,0),"No Disp")</f>
        <v>507960</v>
      </c>
      <c r="AB411" s="95">
        <f>IFERROR(IF(4*Y411&gt;AC411,1.5*Y411,4*Y411),"No Disp")</f>
        <v>1904850</v>
      </c>
      <c r="AC411" s="95">
        <f>IF(Z411="No Disp","No Disp",(Z411*18)+Y411)</f>
        <v>1845900</v>
      </c>
      <c r="AD411" s="95">
        <f>18*Z411-100+Y411</f>
        <v>1845800</v>
      </c>
      <c r="AE411" s="95">
        <v>529900</v>
      </c>
      <c r="AF411" s="95">
        <v>75000</v>
      </c>
      <c r="AG411" s="95">
        <f>IF(AF411="No Disp","No Disp",(AF411*18)+AE411)</f>
        <v>1879900</v>
      </c>
      <c r="AH411" s="98">
        <f>18*AF411-100+AE411</f>
        <v>1879800</v>
      </c>
      <c r="AI411" s="95" t="s">
        <v>4613</v>
      </c>
      <c r="AJ411" s="99"/>
      <c r="AK411" s="100" t="s">
        <v>43</v>
      </c>
      <c r="AL411" s="100" t="s">
        <v>43</v>
      </c>
      <c r="AM411" s="100" t="str">
        <f>IF(AL411&lt;&gt;"No Disp",AK411+12*AL411,"No Disp")</f>
        <v>No Disp</v>
      </c>
      <c r="AN411" s="100" t="s">
        <v>43</v>
      </c>
      <c r="AO411" s="100" t="s">
        <v>43</v>
      </c>
      <c r="AP411" s="100" t="str">
        <f>IF(AO411&lt;&gt;"No Disp",AN411+12*AO411,"No Disp")</f>
        <v>No Disp</v>
      </c>
      <c r="AQ411" s="100" t="s">
        <v>43</v>
      </c>
      <c r="AR411" s="100" t="s">
        <v>43</v>
      </c>
      <c r="AS411" s="100" t="str">
        <f>IF(AR411&lt;&gt;"No Disp",AQ411+12*AR411,"No Disp")</f>
        <v>No Disp</v>
      </c>
    </row>
    <row r="412" spans="1:45" s="101" customFormat="1" x14ac:dyDescent="0.25">
      <c r="A412" s="90" t="s">
        <v>38</v>
      </c>
      <c r="B412" s="90" t="s">
        <v>39</v>
      </c>
      <c r="C412" s="90" t="s">
        <v>39</v>
      </c>
      <c r="D412" s="90" t="s">
        <v>4540</v>
      </c>
      <c r="E412" s="90" t="s">
        <v>4542</v>
      </c>
      <c r="F412" s="91">
        <v>375</v>
      </c>
      <c r="G412" s="92">
        <v>70011958</v>
      </c>
      <c r="H412" s="91">
        <v>70011959</v>
      </c>
      <c r="I412" s="93" t="s">
        <v>63</v>
      </c>
      <c r="J412" s="94" t="s">
        <v>457</v>
      </c>
      <c r="K412" s="94" t="s">
        <v>3822</v>
      </c>
      <c r="L412" s="94" t="s">
        <v>458</v>
      </c>
      <c r="M412" s="95">
        <v>1309900</v>
      </c>
      <c r="N412" s="95">
        <v>9500</v>
      </c>
      <c r="O412" s="95">
        <v>13500</v>
      </c>
      <c r="P412" s="96">
        <v>0</v>
      </c>
      <c r="Q412" s="152"/>
      <c r="R412" s="95">
        <v>1309900</v>
      </c>
      <c r="S412" s="95">
        <f>R412/24</f>
        <v>54579.166666666664</v>
      </c>
      <c r="T412" s="95">
        <v>1309900</v>
      </c>
      <c r="U412" s="95">
        <f>T412/24</f>
        <v>54579.166666666664</v>
      </c>
      <c r="V412" s="95">
        <v>1309900</v>
      </c>
      <c r="W412" s="95">
        <f>V412/24</f>
        <v>54579.166666666664</v>
      </c>
      <c r="X412" s="128"/>
      <c r="Y412" s="95">
        <v>1269900</v>
      </c>
      <c r="Z412" s="95">
        <v>32000</v>
      </c>
      <c r="AA412" s="95">
        <f>IFERROR(IF(D412="Premium",0.4*Y412,0),"No Disp")</f>
        <v>507960</v>
      </c>
      <c r="AB412" s="95">
        <f>IFERROR(IF(4*Y412&gt;AC412,1.5*Y412,4*Y412),"No Disp")</f>
        <v>1904850</v>
      </c>
      <c r="AC412" s="95">
        <f>IF(Z412="No Disp","No Disp",(Z412*18)+Y412)</f>
        <v>1845900</v>
      </c>
      <c r="AD412" s="95">
        <f>18*Z412-100+Y412</f>
        <v>1845800</v>
      </c>
      <c r="AE412" s="95">
        <v>529900</v>
      </c>
      <c r="AF412" s="95">
        <v>75000</v>
      </c>
      <c r="AG412" s="95">
        <f>IF(AF412="No Disp","No Disp",(AF412*18)+AE412)</f>
        <v>1879900</v>
      </c>
      <c r="AH412" s="98">
        <f>18*AF412-100+AE412</f>
        <v>1879800</v>
      </c>
      <c r="AI412" s="95" t="s">
        <v>4613</v>
      </c>
      <c r="AJ412" s="99"/>
      <c r="AK412" s="100" t="s">
        <v>43</v>
      </c>
      <c r="AL412" s="100" t="s">
        <v>43</v>
      </c>
      <c r="AM412" s="100" t="str">
        <f>IF(AL412&lt;&gt;"No Disp",AK412+12*AL412,"No Disp")</f>
        <v>No Disp</v>
      </c>
      <c r="AN412" s="100" t="s">
        <v>43</v>
      </c>
      <c r="AO412" s="100" t="s">
        <v>43</v>
      </c>
      <c r="AP412" s="100" t="str">
        <f>IF(AO412&lt;&gt;"No Disp",AN412+12*AO412,"No Disp")</f>
        <v>No Disp</v>
      </c>
      <c r="AQ412" s="100" t="s">
        <v>43</v>
      </c>
      <c r="AR412" s="100" t="s">
        <v>43</v>
      </c>
      <c r="AS412" s="100" t="str">
        <f>IF(AR412&lt;&gt;"No Disp",AQ412+12*AR412,"No Disp")</f>
        <v>No Disp</v>
      </c>
    </row>
    <row r="413" spans="1:45" s="101" customFormat="1" x14ac:dyDescent="0.25">
      <c r="A413" s="90" t="s">
        <v>38</v>
      </c>
      <c r="B413" s="90" t="s">
        <v>39</v>
      </c>
      <c r="C413" s="90" t="s">
        <v>39</v>
      </c>
      <c r="D413" s="90" t="s">
        <v>4540</v>
      </c>
      <c r="E413" s="90" t="s">
        <v>4542</v>
      </c>
      <c r="F413" s="91">
        <v>325</v>
      </c>
      <c r="G413" s="92">
        <v>70011984</v>
      </c>
      <c r="H413" s="91">
        <v>70011985</v>
      </c>
      <c r="I413" s="93" t="s">
        <v>63</v>
      </c>
      <c r="J413" s="94" t="s">
        <v>552</v>
      </c>
      <c r="K413" s="94" t="s">
        <v>555</v>
      </c>
      <c r="L413" s="94" t="s">
        <v>556</v>
      </c>
      <c r="M413" s="95">
        <v>1339900</v>
      </c>
      <c r="N413" s="95">
        <v>9500</v>
      </c>
      <c r="O413" s="95">
        <v>13500</v>
      </c>
      <c r="P413" s="96">
        <v>0</v>
      </c>
      <c r="Q413" s="152"/>
      <c r="R413" s="95">
        <v>1339900</v>
      </c>
      <c r="S413" s="95">
        <f>R413/24</f>
        <v>55829.166666666664</v>
      </c>
      <c r="T413" s="95">
        <v>1339900</v>
      </c>
      <c r="U413" s="95">
        <f>T413/24</f>
        <v>55829.166666666664</v>
      </c>
      <c r="V413" s="95">
        <v>1339900</v>
      </c>
      <c r="W413" s="95">
        <f>V413/24</f>
        <v>55829.166666666664</v>
      </c>
      <c r="X413" s="128"/>
      <c r="Y413" s="95">
        <v>1299900</v>
      </c>
      <c r="Z413" s="95">
        <v>33000</v>
      </c>
      <c r="AA413" s="95">
        <f>IFERROR(IF(D413="Premium",0.4*Y413,0),"No Disp")</f>
        <v>519960</v>
      </c>
      <c r="AB413" s="95">
        <f>IFERROR(IF(4*Y413&gt;AC413,1.5*Y413,4*Y413),"No Disp")</f>
        <v>1949850</v>
      </c>
      <c r="AC413" s="95">
        <f>IF(Z413="No Disp","No Disp",(Z413*18)+Y413)</f>
        <v>1893900</v>
      </c>
      <c r="AD413" s="95">
        <f>18*Z413-100+Y413</f>
        <v>1893800</v>
      </c>
      <c r="AE413" s="95">
        <v>529900</v>
      </c>
      <c r="AF413" s="95">
        <v>78000</v>
      </c>
      <c r="AG413" s="95">
        <f>IF(AF413="No Disp","No Disp",(AF413*18)+AE413)</f>
        <v>1933900</v>
      </c>
      <c r="AH413" s="98">
        <f>18*AF413-100+AE413</f>
        <v>1933800</v>
      </c>
      <c r="AI413" s="95" t="s">
        <v>4613</v>
      </c>
      <c r="AJ413" s="99"/>
      <c r="AK413" s="100" t="s">
        <v>43</v>
      </c>
      <c r="AL413" s="100" t="s">
        <v>43</v>
      </c>
      <c r="AM413" s="100" t="str">
        <f>IF(AL413&lt;&gt;"No Disp",AK413+12*AL413,"No Disp")</f>
        <v>No Disp</v>
      </c>
      <c r="AN413" s="100" t="s">
        <v>43</v>
      </c>
      <c r="AO413" s="100" t="s">
        <v>43</v>
      </c>
      <c r="AP413" s="100" t="str">
        <f>IF(AO413&lt;&gt;"No Disp",AN413+12*AO413,"No Disp")</f>
        <v>No Disp</v>
      </c>
      <c r="AQ413" s="100" t="s">
        <v>43</v>
      </c>
      <c r="AR413" s="100" t="s">
        <v>43</v>
      </c>
      <c r="AS413" s="100" t="str">
        <f>IF(AR413&lt;&gt;"No Disp",AQ413+12*AR413,"No Disp")</f>
        <v>No Disp</v>
      </c>
    </row>
    <row r="414" spans="1:45" s="101" customFormat="1" x14ac:dyDescent="0.25">
      <c r="A414" s="90" t="s">
        <v>38</v>
      </c>
      <c r="B414" s="90" t="s">
        <v>39</v>
      </c>
      <c r="C414" s="90" t="s">
        <v>39</v>
      </c>
      <c r="D414" s="90" t="s">
        <v>4540</v>
      </c>
      <c r="E414" s="90" t="s">
        <v>4542</v>
      </c>
      <c r="F414" s="91">
        <v>333</v>
      </c>
      <c r="G414" s="92">
        <v>70011987</v>
      </c>
      <c r="H414" s="91">
        <v>70011988</v>
      </c>
      <c r="I414" s="93" t="s">
        <v>63</v>
      </c>
      <c r="J414" s="94" t="s">
        <v>3823</v>
      </c>
      <c r="K414" s="94" t="s">
        <v>538</v>
      </c>
      <c r="L414" s="94" t="s">
        <v>539</v>
      </c>
      <c r="M414" s="95">
        <v>1339900</v>
      </c>
      <c r="N414" s="95">
        <v>9500</v>
      </c>
      <c r="O414" s="95">
        <v>13500</v>
      </c>
      <c r="P414" s="96">
        <v>0</v>
      </c>
      <c r="Q414" s="152"/>
      <c r="R414" s="95">
        <v>1339900</v>
      </c>
      <c r="S414" s="95">
        <f>R414/24</f>
        <v>55829.166666666664</v>
      </c>
      <c r="T414" s="95">
        <v>1339900</v>
      </c>
      <c r="U414" s="95">
        <f>T414/24</f>
        <v>55829.166666666664</v>
      </c>
      <c r="V414" s="95">
        <v>1339900</v>
      </c>
      <c r="W414" s="95">
        <f>V414/24</f>
        <v>55829.166666666664</v>
      </c>
      <c r="X414" s="128"/>
      <c r="Y414" s="95">
        <v>1299900</v>
      </c>
      <c r="Z414" s="95">
        <v>33000</v>
      </c>
      <c r="AA414" s="95">
        <f>IFERROR(IF(D414="Premium",0.4*Y414,0),"No Disp")</f>
        <v>519960</v>
      </c>
      <c r="AB414" s="95">
        <f>IFERROR(IF(4*Y414&gt;AC414,1.5*Y414,4*Y414),"No Disp")</f>
        <v>1949850</v>
      </c>
      <c r="AC414" s="95">
        <f>IF(Z414="No Disp","No Disp",(Z414*18)+Y414)</f>
        <v>1893900</v>
      </c>
      <c r="AD414" s="95">
        <f>18*Z414-100+Y414</f>
        <v>1893800</v>
      </c>
      <c r="AE414" s="95">
        <v>529900</v>
      </c>
      <c r="AF414" s="95">
        <v>78000</v>
      </c>
      <c r="AG414" s="95">
        <f>IF(AF414="No Disp","No Disp",(AF414*18)+AE414)</f>
        <v>1933900</v>
      </c>
      <c r="AH414" s="98">
        <f>18*AF414-100+AE414</f>
        <v>1933800</v>
      </c>
      <c r="AI414" s="95" t="s">
        <v>4613</v>
      </c>
      <c r="AJ414" s="99"/>
      <c r="AK414" s="100" t="s">
        <v>43</v>
      </c>
      <c r="AL414" s="100" t="s">
        <v>43</v>
      </c>
      <c r="AM414" s="100" t="str">
        <f>IF(AL414&lt;&gt;"No Disp",AK414+12*AL414,"No Disp")</f>
        <v>No Disp</v>
      </c>
      <c r="AN414" s="100" t="s">
        <v>43</v>
      </c>
      <c r="AO414" s="100" t="s">
        <v>43</v>
      </c>
      <c r="AP414" s="100" t="str">
        <f>IF(AO414&lt;&gt;"No Disp",AN414+12*AO414,"No Disp")</f>
        <v>No Disp</v>
      </c>
      <c r="AQ414" s="100" t="s">
        <v>43</v>
      </c>
      <c r="AR414" s="100" t="s">
        <v>43</v>
      </c>
      <c r="AS414" s="100" t="str">
        <f>IF(AR414&lt;&gt;"No Disp",AQ414+12*AR414,"No Disp")</f>
        <v>No Disp</v>
      </c>
    </row>
    <row r="415" spans="1:45" s="101" customFormat="1" x14ac:dyDescent="0.25">
      <c r="A415" s="90" t="s">
        <v>38</v>
      </c>
      <c r="B415" s="90" t="s">
        <v>39</v>
      </c>
      <c r="C415" s="90" t="s">
        <v>39</v>
      </c>
      <c r="D415" s="90" t="s">
        <v>4540</v>
      </c>
      <c r="E415" s="90" t="s">
        <v>4542</v>
      </c>
      <c r="F415" s="91">
        <v>326</v>
      </c>
      <c r="G415" s="92">
        <v>70011990</v>
      </c>
      <c r="H415" s="91">
        <v>70011991</v>
      </c>
      <c r="I415" s="93" t="s">
        <v>63</v>
      </c>
      <c r="J415" s="94" t="s">
        <v>552</v>
      </c>
      <c r="K415" s="94" t="s">
        <v>553</v>
      </c>
      <c r="L415" s="94" t="s">
        <v>554</v>
      </c>
      <c r="M415" s="95">
        <v>1339900</v>
      </c>
      <c r="N415" s="95">
        <v>9500</v>
      </c>
      <c r="O415" s="95">
        <v>13500</v>
      </c>
      <c r="P415" s="96">
        <v>0</v>
      </c>
      <c r="Q415" s="152"/>
      <c r="R415" s="95">
        <v>1339900</v>
      </c>
      <c r="S415" s="95">
        <f>R415/24</f>
        <v>55829.166666666664</v>
      </c>
      <c r="T415" s="95">
        <v>1339900</v>
      </c>
      <c r="U415" s="95">
        <f>T415/24</f>
        <v>55829.166666666664</v>
      </c>
      <c r="V415" s="95">
        <v>1339900</v>
      </c>
      <c r="W415" s="95">
        <f>V415/24</f>
        <v>55829.166666666664</v>
      </c>
      <c r="X415" s="128"/>
      <c r="Y415" s="95">
        <v>1299900</v>
      </c>
      <c r="Z415" s="95">
        <v>33000</v>
      </c>
      <c r="AA415" s="95">
        <f>IFERROR(IF(D415="Premium",0.4*Y415,0),"No Disp")</f>
        <v>519960</v>
      </c>
      <c r="AB415" s="95">
        <f>IFERROR(IF(4*Y415&gt;AC415,1.5*Y415,4*Y415),"No Disp")</f>
        <v>1949850</v>
      </c>
      <c r="AC415" s="95">
        <f>IF(Z415="No Disp","No Disp",(Z415*18)+Y415)</f>
        <v>1893900</v>
      </c>
      <c r="AD415" s="95">
        <f>18*Z415-100+Y415</f>
        <v>1893800</v>
      </c>
      <c r="AE415" s="95">
        <v>529900</v>
      </c>
      <c r="AF415" s="95">
        <v>78000</v>
      </c>
      <c r="AG415" s="95">
        <f>IF(AF415="No Disp","No Disp",(AF415*18)+AE415)</f>
        <v>1933900</v>
      </c>
      <c r="AH415" s="98">
        <f>18*AF415-100+AE415</f>
        <v>1933800</v>
      </c>
      <c r="AI415" s="95" t="s">
        <v>4613</v>
      </c>
      <c r="AJ415" s="99"/>
      <c r="AK415" s="100" t="s">
        <v>43</v>
      </c>
      <c r="AL415" s="100" t="s">
        <v>43</v>
      </c>
      <c r="AM415" s="100" t="str">
        <f>IF(AL415&lt;&gt;"No Disp",AK415+12*AL415,"No Disp")</f>
        <v>No Disp</v>
      </c>
      <c r="AN415" s="100" t="s">
        <v>43</v>
      </c>
      <c r="AO415" s="100" t="s">
        <v>43</v>
      </c>
      <c r="AP415" s="100" t="str">
        <f>IF(AO415&lt;&gt;"No Disp",AN415+12*AO415,"No Disp")</f>
        <v>No Disp</v>
      </c>
      <c r="AQ415" s="100" t="s">
        <v>43</v>
      </c>
      <c r="AR415" s="100" t="s">
        <v>43</v>
      </c>
      <c r="AS415" s="100" t="str">
        <f>IF(AR415&lt;&gt;"No Disp",AQ415+12*AR415,"No Disp")</f>
        <v>No Disp</v>
      </c>
    </row>
    <row r="416" spans="1:45" s="101" customFormat="1" x14ac:dyDescent="0.25">
      <c r="A416" s="90" t="s">
        <v>38</v>
      </c>
      <c r="B416" s="90" t="s">
        <v>39</v>
      </c>
      <c r="C416" s="90" t="s">
        <v>39</v>
      </c>
      <c r="D416" s="90" t="s">
        <v>4540</v>
      </c>
      <c r="E416" s="90" t="s">
        <v>4542</v>
      </c>
      <c r="F416" s="91">
        <v>334</v>
      </c>
      <c r="G416" s="92">
        <v>70011993</v>
      </c>
      <c r="H416" s="91">
        <v>70011994</v>
      </c>
      <c r="I416" s="93" t="s">
        <v>63</v>
      </c>
      <c r="J416" s="94" t="s">
        <v>3823</v>
      </c>
      <c r="K416" s="94" t="s">
        <v>536</v>
      </c>
      <c r="L416" s="94" t="s">
        <v>537</v>
      </c>
      <c r="M416" s="95">
        <v>1339900</v>
      </c>
      <c r="N416" s="95">
        <v>9500</v>
      </c>
      <c r="O416" s="95">
        <v>13500</v>
      </c>
      <c r="P416" s="96">
        <v>0</v>
      </c>
      <c r="Q416" s="152"/>
      <c r="R416" s="95">
        <v>1339900</v>
      </c>
      <c r="S416" s="95">
        <f>R416/24</f>
        <v>55829.166666666664</v>
      </c>
      <c r="T416" s="95">
        <v>1339900</v>
      </c>
      <c r="U416" s="95">
        <f>T416/24</f>
        <v>55829.166666666664</v>
      </c>
      <c r="V416" s="95">
        <v>1339900</v>
      </c>
      <c r="W416" s="95">
        <f>V416/24</f>
        <v>55829.166666666664</v>
      </c>
      <c r="X416" s="128"/>
      <c r="Y416" s="95">
        <v>1299900</v>
      </c>
      <c r="Z416" s="95">
        <v>33000</v>
      </c>
      <c r="AA416" s="95">
        <f>IFERROR(IF(D416="Premium",0.4*Y416,0),"No Disp")</f>
        <v>519960</v>
      </c>
      <c r="AB416" s="95">
        <f>IFERROR(IF(4*Y416&gt;AC416,1.5*Y416,4*Y416),"No Disp")</f>
        <v>1949850</v>
      </c>
      <c r="AC416" s="95">
        <f>IF(Z416="No Disp","No Disp",(Z416*18)+Y416)</f>
        <v>1893900</v>
      </c>
      <c r="AD416" s="95">
        <f>18*Z416-100+Y416</f>
        <v>1893800</v>
      </c>
      <c r="AE416" s="95">
        <v>529900</v>
      </c>
      <c r="AF416" s="95">
        <v>78000</v>
      </c>
      <c r="AG416" s="95">
        <f>IF(AF416="No Disp","No Disp",(AF416*18)+AE416)</f>
        <v>1933900</v>
      </c>
      <c r="AH416" s="98">
        <f>18*AF416-100+AE416</f>
        <v>1933800</v>
      </c>
      <c r="AI416" s="95" t="s">
        <v>4613</v>
      </c>
      <c r="AJ416" s="99"/>
      <c r="AK416" s="100" t="s">
        <v>43</v>
      </c>
      <c r="AL416" s="100" t="s">
        <v>43</v>
      </c>
      <c r="AM416" s="100" t="str">
        <f>IF(AL416&lt;&gt;"No Disp",AK416+12*AL416,"No Disp")</f>
        <v>No Disp</v>
      </c>
      <c r="AN416" s="100" t="s">
        <v>43</v>
      </c>
      <c r="AO416" s="100" t="s">
        <v>43</v>
      </c>
      <c r="AP416" s="100" t="str">
        <f>IF(AO416&lt;&gt;"No Disp",AN416+12*AO416,"No Disp")</f>
        <v>No Disp</v>
      </c>
      <c r="AQ416" s="100" t="s">
        <v>43</v>
      </c>
      <c r="AR416" s="100" t="s">
        <v>43</v>
      </c>
      <c r="AS416" s="100" t="str">
        <f>IF(AR416&lt;&gt;"No Disp",AQ416+12*AR416,"No Disp")</f>
        <v>No Disp</v>
      </c>
    </row>
    <row r="417" spans="1:45" s="101" customFormat="1" x14ac:dyDescent="0.25">
      <c r="A417" s="90" t="s">
        <v>38</v>
      </c>
      <c r="B417" s="90" t="s">
        <v>39</v>
      </c>
      <c r="C417" s="90" t="s">
        <v>39</v>
      </c>
      <c r="D417" s="90" t="s">
        <v>4540</v>
      </c>
      <c r="E417" s="90" t="s">
        <v>4542</v>
      </c>
      <c r="F417" s="91">
        <v>388</v>
      </c>
      <c r="G417" s="92">
        <v>70011996</v>
      </c>
      <c r="H417" s="91">
        <v>70011997</v>
      </c>
      <c r="I417" s="93" t="s">
        <v>63</v>
      </c>
      <c r="J417" s="94" t="s">
        <v>3824</v>
      </c>
      <c r="K417" s="94" t="s">
        <v>3825</v>
      </c>
      <c r="L417" s="94" t="s">
        <v>430</v>
      </c>
      <c r="M417" s="95">
        <v>1649900</v>
      </c>
      <c r="N417" s="95">
        <v>9500</v>
      </c>
      <c r="O417" s="95">
        <v>13500</v>
      </c>
      <c r="P417" s="96">
        <v>0</v>
      </c>
      <c r="Q417" s="152"/>
      <c r="R417" s="95">
        <v>1679900</v>
      </c>
      <c r="S417" s="95">
        <f>R417/24</f>
        <v>69995.833333333328</v>
      </c>
      <c r="T417" s="95">
        <v>1649900</v>
      </c>
      <c r="U417" s="95">
        <f>T417/24</f>
        <v>68745.833333333328</v>
      </c>
      <c r="V417" s="95">
        <v>1649900</v>
      </c>
      <c r="W417" s="95">
        <f>V417/24</f>
        <v>68745.833333333328</v>
      </c>
      <c r="X417" s="128"/>
      <c r="Y417" s="95">
        <v>1599900</v>
      </c>
      <c r="Z417" s="95">
        <v>40000</v>
      </c>
      <c r="AA417" s="95">
        <f>IFERROR(IF(D417="Premium",0.4*Y417,0),"No Disp")</f>
        <v>639960</v>
      </c>
      <c r="AB417" s="95">
        <f>IFERROR(IF(4*Y417&gt;AC417,1.5*Y417,4*Y417),"No Disp")</f>
        <v>2399850</v>
      </c>
      <c r="AC417" s="95">
        <f>IF(Z417="No Disp","No Disp",(Z417*18)+Y417)</f>
        <v>2319900</v>
      </c>
      <c r="AD417" s="95">
        <f>18*Z417-100+Y417</f>
        <v>2319800</v>
      </c>
      <c r="AE417" s="95">
        <v>649900</v>
      </c>
      <c r="AF417" s="95">
        <v>96000</v>
      </c>
      <c r="AG417" s="95">
        <f>IF(AF417="No Disp","No Disp",(AF417*18)+AE417)</f>
        <v>2377900</v>
      </c>
      <c r="AH417" s="98">
        <f>18*AF417-100+AE417</f>
        <v>2377800</v>
      </c>
      <c r="AI417" s="95" t="s">
        <v>4613</v>
      </c>
      <c r="AJ417" s="99"/>
      <c r="AK417" s="100" t="s">
        <v>43</v>
      </c>
      <c r="AL417" s="100" t="s">
        <v>43</v>
      </c>
      <c r="AM417" s="100" t="str">
        <f>IF(AL417&lt;&gt;"No Disp",AK417+12*AL417,"No Disp")</f>
        <v>No Disp</v>
      </c>
      <c r="AN417" s="100" t="s">
        <v>43</v>
      </c>
      <c r="AO417" s="100" t="s">
        <v>43</v>
      </c>
      <c r="AP417" s="100" t="str">
        <f>IF(AO417&lt;&gt;"No Disp",AN417+12*AO417,"No Disp")</f>
        <v>No Disp</v>
      </c>
      <c r="AQ417" s="100" t="s">
        <v>43</v>
      </c>
      <c r="AR417" s="100" t="s">
        <v>43</v>
      </c>
      <c r="AS417" s="100" t="str">
        <f>IF(AR417&lt;&gt;"No Disp",AQ417+12*AR417,"No Disp")</f>
        <v>No Disp</v>
      </c>
    </row>
    <row r="418" spans="1:45" s="101" customFormat="1" x14ac:dyDescent="0.25">
      <c r="A418" s="90" t="s">
        <v>38</v>
      </c>
      <c r="B418" s="90" t="s">
        <v>39</v>
      </c>
      <c r="C418" s="90" t="s">
        <v>39</v>
      </c>
      <c r="D418" s="90" t="s">
        <v>4540</v>
      </c>
      <c r="E418" s="90" t="s">
        <v>4542</v>
      </c>
      <c r="F418" s="91">
        <v>389</v>
      </c>
      <c r="G418" s="92">
        <v>70011999</v>
      </c>
      <c r="H418" s="91">
        <v>70012000</v>
      </c>
      <c r="I418" s="93" t="s">
        <v>63</v>
      </c>
      <c r="J418" s="94" t="s">
        <v>3824</v>
      </c>
      <c r="K418" s="94" t="s">
        <v>3826</v>
      </c>
      <c r="L418" s="94" t="s">
        <v>429</v>
      </c>
      <c r="M418" s="95">
        <v>1649900</v>
      </c>
      <c r="N418" s="95">
        <v>9500</v>
      </c>
      <c r="O418" s="95">
        <v>13500</v>
      </c>
      <c r="P418" s="96">
        <v>0</v>
      </c>
      <c r="Q418" s="152"/>
      <c r="R418" s="95">
        <v>1679900</v>
      </c>
      <c r="S418" s="95">
        <f>R418/24</f>
        <v>69995.833333333328</v>
      </c>
      <c r="T418" s="95">
        <v>1649900</v>
      </c>
      <c r="U418" s="95">
        <f>T418/24</f>
        <v>68745.833333333328</v>
      </c>
      <c r="V418" s="95">
        <v>1649900</v>
      </c>
      <c r="W418" s="95">
        <f>V418/24</f>
        <v>68745.833333333328</v>
      </c>
      <c r="X418" s="128"/>
      <c r="Y418" s="95">
        <v>1599900</v>
      </c>
      <c r="Z418" s="95">
        <v>40000</v>
      </c>
      <c r="AA418" s="95">
        <f>IFERROR(IF(D418="Premium",0.4*Y418,0),"No Disp")</f>
        <v>639960</v>
      </c>
      <c r="AB418" s="95">
        <f>IFERROR(IF(4*Y418&gt;AC418,1.5*Y418,4*Y418),"No Disp")</f>
        <v>2399850</v>
      </c>
      <c r="AC418" s="95">
        <f>IF(Z418="No Disp","No Disp",(Z418*18)+Y418)</f>
        <v>2319900</v>
      </c>
      <c r="AD418" s="95">
        <f>18*Z418-100+Y418</f>
        <v>2319800</v>
      </c>
      <c r="AE418" s="95">
        <v>649900</v>
      </c>
      <c r="AF418" s="95">
        <v>96000</v>
      </c>
      <c r="AG418" s="95">
        <f>IF(AF418="No Disp","No Disp",(AF418*18)+AE418)</f>
        <v>2377900</v>
      </c>
      <c r="AH418" s="98">
        <f>18*AF418-100+AE418</f>
        <v>2377800</v>
      </c>
      <c r="AI418" s="95" t="s">
        <v>4613</v>
      </c>
      <c r="AJ418" s="99"/>
      <c r="AK418" s="100" t="s">
        <v>43</v>
      </c>
      <c r="AL418" s="100" t="s">
        <v>43</v>
      </c>
      <c r="AM418" s="100" t="str">
        <f>IF(AL418&lt;&gt;"No Disp",AK418+12*AL418,"No Disp")</f>
        <v>No Disp</v>
      </c>
      <c r="AN418" s="100" t="s">
        <v>43</v>
      </c>
      <c r="AO418" s="100" t="s">
        <v>43</v>
      </c>
      <c r="AP418" s="100" t="str">
        <f>IF(AO418&lt;&gt;"No Disp",AN418+12*AO418,"No Disp")</f>
        <v>No Disp</v>
      </c>
      <c r="AQ418" s="100" t="s">
        <v>43</v>
      </c>
      <c r="AR418" s="100" t="s">
        <v>43</v>
      </c>
      <c r="AS418" s="100" t="str">
        <f>IF(AR418&lt;&gt;"No Disp",AQ418+12*AR418,"No Disp")</f>
        <v>No Disp</v>
      </c>
    </row>
    <row r="419" spans="1:45" s="101" customFormat="1" x14ac:dyDescent="0.25">
      <c r="A419" s="90" t="s">
        <v>38</v>
      </c>
      <c r="B419" s="90" t="s">
        <v>39</v>
      </c>
      <c r="C419" s="90" t="s">
        <v>39</v>
      </c>
      <c r="D419" s="90" t="s">
        <v>4540</v>
      </c>
      <c r="E419" s="90" t="s">
        <v>4542</v>
      </c>
      <c r="F419" s="91">
        <v>391</v>
      </c>
      <c r="G419" s="92">
        <v>70012002</v>
      </c>
      <c r="H419" s="91">
        <v>70012003</v>
      </c>
      <c r="I419" s="93" t="s">
        <v>63</v>
      </c>
      <c r="J419" s="94" t="s">
        <v>3824</v>
      </c>
      <c r="K419" s="94" t="s">
        <v>3827</v>
      </c>
      <c r="L419" s="94" t="s">
        <v>426</v>
      </c>
      <c r="M419" s="95">
        <v>1649900</v>
      </c>
      <c r="N419" s="95">
        <v>9500</v>
      </c>
      <c r="O419" s="95">
        <v>13500</v>
      </c>
      <c r="P419" s="96">
        <v>0</v>
      </c>
      <c r="Q419" s="152"/>
      <c r="R419" s="95">
        <v>1679900</v>
      </c>
      <c r="S419" s="95">
        <f>R419/24</f>
        <v>69995.833333333328</v>
      </c>
      <c r="T419" s="95">
        <v>1649900</v>
      </c>
      <c r="U419" s="95">
        <f>T419/24</f>
        <v>68745.833333333328</v>
      </c>
      <c r="V419" s="95">
        <v>1649900</v>
      </c>
      <c r="W419" s="95">
        <f>V419/24</f>
        <v>68745.833333333328</v>
      </c>
      <c r="X419" s="128"/>
      <c r="Y419" s="95">
        <v>1599900</v>
      </c>
      <c r="Z419" s="95">
        <v>40000</v>
      </c>
      <c r="AA419" s="95">
        <f>IFERROR(IF(D419="Premium",0.4*Y419,0),"No Disp")</f>
        <v>639960</v>
      </c>
      <c r="AB419" s="95">
        <f>IFERROR(IF(4*Y419&gt;AC419,1.5*Y419,4*Y419),"No Disp")</f>
        <v>2399850</v>
      </c>
      <c r="AC419" s="95">
        <f>IF(Z419="No Disp","No Disp",(Z419*18)+Y419)</f>
        <v>2319900</v>
      </c>
      <c r="AD419" s="95">
        <f>18*Z419-100+Y419</f>
        <v>2319800</v>
      </c>
      <c r="AE419" s="95">
        <v>649900</v>
      </c>
      <c r="AF419" s="95">
        <v>96000</v>
      </c>
      <c r="AG419" s="95">
        <f>IF(AF419="No Disp","No Disp",(AF419*18)+AE419)</f>
        <v>2377900</v>
      </c>
      <c r="AH419" s="98">
        <f>18*AF419-100+AE419</f>
        <v>2377800</v>
      </c>
      <c r="AI419" s="95" t="s">
        <v>4613</v>
      </c>
      <c r="AJ419" s="99"/>
      <c r="AK419" s="100" t="s">
        <v>43</v>
      </c>
      <c r="AL419" s="100" t="s">
        <v>43</v>
      </c>
      <c r="AM419" s="100" t="str">
        <f>IF(AL419&lt;&gt;"No Disp",AK419+12*AL419,"No Disp")</f>
        <v>No Disp</v>
      </c>
      <c r="AN419" s="100" t="s">
        <v>43</v>
      </c>
      <c r="AO419" s="100" t="s">
        <v>43</v>
      </c>
      <c r="AP419" s="100" t="str">
        <f>IF(AO419&lt;&gt;"No Disp",AN419+12*AO419,"No Disp")</f>
        <v>No Disp</v>
      </c>
      <c r="AQ419" s="100" t="s">
        <v>43</v>
      </c>
      <c r="AR419" s="100" t="s">
        <v>43</v>
      </c>
      <c r="AS419" s="100" t="str">
        <f>IF(AR419&lt;&gt;"No Disp",AQ419+12*AR419,"No Disp")</f>
        <v>No Disp</v>
      </c>
    </row>
    <row r="420" spans="1:45" s="101" customFormat="1" x14ac:dyDescent="0.25">
      <c r="A420" s="90" t="s">
        <v>38</v>
      </c>
      <c r="B420" s="90" t="s">
        <v>39</v>
      </c>
      <c r="C420" s="90" t="s">
        <v>39</v>
      </c>
      <c r="D420" s="90" t="s">
        <v>4540</v>
      </c>
      <c r="E420" s="90" t="s">
        <v>4542</v>
      </c>
      <c r="F420" s="91">
        <v>394</v>
      </c>
      <c r="G420" s="92">
        <v>70012005</v>
      </c>
      <c r="H420" s="91">
        <v>70012006</v>
      </c>
      <c r="I420" s="93" t="s">
        <v>63</v>
      </c>
      <c r="J420" s="94" t="s">
        <v>3824</v>
      </c>
      <c r="K420" s="94" t="s">
        <v>3828</v>
      </c>
      <c r="L420" s="94" t="s">
        <v>421</v>
      </c>
      <c r="M420" s="95">
        <v>1649900</v>
      </c>
      <c r="N420" s="95">
        <v>9500</v>
      </c>
      <c r="O420" s="95">
        <v>13500</v>
      </c>
      <c r="P420" s="96">
        <v>0</v>
      </c>
      <c r="Q420" s="152"/>
      <c r="R420" s="95">
        <v>1679900</v>
      </c>
      <c r="S420" s="95">
        <f>R420/24</f>
        <v>69995.833333333328</v>
      </c>
      <c r="T420" s="95">
        <v>1649900</v>
      </c>
      <c r="U420" s="95">
        <f>T420/24</f>
        <v>68745.833333333328</v>
      </c>
      <c r="V420" s="95">
        <v>1649900</v>
      </c>
      <c r="W420" s="95">
        <f>V420/24</f>
        <v>68745.833333333328</v>
      </c>
      <c r="X420" s="128"/>
      <c r="Y420" s="95">
        <v>1599900</v>
      </c>
      <c r="Z420" s="95">
        <v>40000</v>
      </c>
      <c r="AA420" s="95">
        <f>IFERROR(IF(D420="Premium",0.4*Y420,0),"No Disp")</f>
        <v>639960</v>
      </c>
      <c r="AB420" s="95">
        <f>IFERROR(IF(4*Y420&gt;AC420,1.5*Y420,4*Y420),"No Disp")</f>
        <v>2399850</v>
      </c>
      <c r="AC420" s="95">
        <f>IF(Z420="No Disp","No Disp",(Z420*18)+Y420)</f>
        <v>2319900</v>
      </c>
      <c r="AD420" s="95">
        <f>18*Z420-100+Y420</f>
        <v>2319800</v>
      </c>
      <c r="AE420" s="95">
        <v>649900</v>
      </c>
      <c r="AF420" s="95">
        <v>96000</v>
      </c>
      <c r="AG420" s="95">
        <f>IF(AF420="No Disp","No Disp",(AF420*18)+AE420)</f>
        <v>2377900</v>
      </c>
      <c r="AH420" s="98">
        <f>18*AF420-100+AE420</f>
        <v>2377800</v>
      </c>
      <c r="AI420" s="95" t="s">
        <v>4613</v>
      </c>
      <c r="AJ420" s="99"/>
      <c r="AK420" s="100" t="s">
        <v>43</v>
      </c>
      <c r="AL420" s="100" t="s">
        <v>43</v>
      </c>
      <c r="AM420" s="100" t="str">
        <f>IF(AL420&lt;&gt;"No Disp",AK420+12*AL420,"No Disp")</f>
        <v>No Disp</v>
      </c>
      <c r="AN420" s="100" t="s">
        <v>43</v>
      </c>
      <c r="AO420" s="100" t="s">
        <v>43</v>
      </c>
      <c r="AP420" s="100" t="str">
        <f>IF(AO420&lt;&gt;"No Disp",AN420+12*AO420,"No Disp")</f>
        <v>No Disp</v>
      </c>
      <c r="AQ420" s="100" t="s">
        <v>43</v>
      </c>
      <c r="AR420" s="100" t="s">
        <v>43</v>
      </c>
      <c r="AS420" s="100" t="str">
        <f>IF(AR420&lt;&gt;"No Disp",AQ420+12*AR420,"No Disp")</f>
        <v>No Disp</v>
      </c>
    </row>
    <row r="421" spans="1:45" s="101" customFormat="1" x14ac:dyDescent="0.25">
      <c r="A421" s="90" t="s">
        <v>38</v>
      </c>
      <c r="B421" s="90" t="s">
        <v>39</v>
      </c>
      <c r="C421" s="90" t="s">
        <v>40</v>
      </c>
      <c r="D421" s="90" t="s">
        <v>4539</v>
      </c>
      <c r="E421" s="90" t="s">
        <v>4542</v>
      </c>
      <c r="F421" s="91">
        <v>322</v>
      </c>
      <c r="G421" s="92">
        <v>70012017</v>
      </c>
      <c r="H421" s="91">
        <v>70012018</v>
      </c>
      <c r="I421" s="93" t="s">
        <v>41</v>
      </c>
      <c r="J421" s="94" t="s">
        <v>562</v>
      </c>
      <c r="K421" s="94" t="s">
        <v>563</v>
      </c>
      <c r="L421" s="94" t="s">
        <v>564</v>
      </c>
      <c r="M421" s="95">
        <v>209900</v>
      </c>
      <c r="N421" s="95">
        <v>2500</v>
      </c>
      <c r="O421" s="95">
        <v>4000</v>
      </c>
      <c r="P421" s="96">
        <v>349990</v>
      </c>
      <c r="Q421" s="152"/>
      <c r="R421" s="95">
        <v>229990</v>
      </c>
      <c r="S421" s="95">
        <f>R421/24</f>
        <v>9582.9166666666661</v>
      </c>
      <c r="T421" s="95">
        <v>209900</v>
      </c>
      <c r="U421" s="95">
        <f>T421/24</f>
        <v>8745.8333333333339</v>
      </c>
      <c r="V421" s="95">
        <v>209900</v>
      </c>
      <c r="W421" s="95">
        <f>V421/24</f>
        <v>8745.8333333333339</v>
      </c>
      <c r="X421" s="128"/>
      <c r="Y421" s="95">
        <v>0</v>
      </c>
      <c r="Z421" s="95">
        <v>17500</v>
      </c>
      <c r="AA421" s="95">
        <f>IFERROR(IF(D421="Premium",0.4*Y421,0),"No Disp")</f>
        <v>0</v>
      </c>
      <c r="AB421" s="95">
        <f>IFERROR(IF(4*Y421&gt;AC421,1.5*Y421,4*Y421),"No Disp")</f>
        <v>0</v>
      </c>
      <c r="AC421" s="95">
        <f>IF(Z421="No Disp","No Disp",(Z421*18)+Y421)</f>
        <v>315000</v>
      </c>
      <c r="AD421" s="95">
        <f>18*Z421-100+Y421</f>
        <v>314900</v>
      </c>
      <c r="AE421" s="95">
        <v>0</v>
      </c>
      <c r="AF421" s="95">
        <v>15500</v>
      </c>
      <c r="AG421" s="95">
        <f>IF(AF421="No Disp","No Disp",(AF421*18)+AE421)</f>
        <v>279000</v>
      </c>
      <c r="AH421" s="98">
        <f>18*AF421-100+AE421</f>
        <v>278900</v>
      </c>
      <c r="AI421" s="95" t="s">
        <v>4613</v>
      </c>
      <c r="AJ421" s="99"/>
      <c r="AK421" s="100" t="s">
        <v>43</v>
      </c>
      <c r="AL421" s="100" t="s">
        <v>43</v>
      </c>
      <c r="AM421" s="100" t="str">
        <f>IF(AL421&lt;&gt;"No Disp",AK421+12*AL421,"No Disp")</f>
        <v>No Disp</v>
      </c>
      <c r="AN421" s="100" t="s">
        <v>43</v>
      </c>
      <c r="AO421" s="100" t="s">
        <v>43</v>
      </c>
      <c r="AP421" s="100" t="str">
        <f>IF(AO421&lt;&gt;"No Disp",AN421+12*AO421,"No Disp")</f>
        <v>No Disp</v>
      </c>
      <c r="AQ421" s="100" t="s">
        <v>43</v>
      </c>
      <c r="AR421" s="100" t="s">
        <v>43</v>
      </c>
      <c r="AS421" s="100" t="str">
        <f>IF(AR421&lt;&gt;"No Disp",AQ421+12*AR421,"No Disp")</f>
        <v>No Disp</v>
      </c>
    </row>
    <row r="422" spans="1:45" s="101" customFormat="1" x14ac:dyDescent="0.25">
      <c r="A422" s="90" t="s">
        <v>38</v>
      </c>
      <c r="B422" s="90" t="s">
        <v>39</v>
      </c>
      <c r="C422" s="90" t="s">
        <v>40</v>
      </c>
      <c r="D422" s="90" t="s">
        <v>4539</v>
      </c>
      <c r="E422" s="90" t="s">
        <v>4542</v>
      </c>
      <c r="F422" s="91">
        <v>383</v>
      </c>
      <c r="G422" s="92">
        <v>70012066</v>
      </c>
      <c r="H422" s="91">
        <v>70012043</v>
      </c>
      <c r="I422" s="93" t="s">
        <v>131</v>
      </c>
      <c r="J422" s="94" t="s">
        <v>3829</v>
      </c>
      <c r="K422" s="94" t="s">
        <v>440</v>
      </c>
      <c r="L422" s="94" t="s">
        <v>441</v>
      </c>
      <c r="M422" s="95">
        <v>232900</v>
      </c>
      <c r="N422" s="95">
        <v>4000</v>
      </c>
      <c r="O422" s="95">
        <v>6000</v>
      </c>
      <c r="P422" s="96">
        <v>0</v>
      </c>
      <c r="Q422" s="152"/>
      <c r="R422" s="95">
        <v>232900</v>
      </c>
      <c r="S422" s="95">
        <f>R422/24</f>
        <v>9704.1666666666661</v>
      </c>
      <c r="T422" s="95">
        <v>232900</v>
      </c>
      <c r="U422" s="95">
        <f>T422/24</f>
        <v>9704.1666666666661</v>
      </c>
      <c r="V422" s="95">
        <v>232900</v>
      </c>
      <c r="W422" s="95">
        <f>V422/24</f>
        <v>9704.1666666666661</v>
      </c>
      <c r="X422" s="128"/>
      <c r="Y422" s="95">
        <v>109900</v>
      </c>
      <c r="Z422" s="95">
        <v>13500</v>
      </c>
      <c r="AA422" s="95">
        <f>IFERROR(IF(D422="Premium",0.4*Y422,0),"No Disp")</f>
        <v>0</v>
      </c>
      <c r="AB422" s="95">
        <f>IFERROR(IF(4*Y422&gt;AC422,1.5*Y422,4*Y422),"No Disp")</f>
        <v>164850</v>
      </c>
      <c r="AC422" s="95">
        <f>IF(Z422="No Disp","No Disp",(Z422*18)+Y422)</f>
        <v>352900</v>
      </c>
      <c r="AD422" s="95">
        <f>18*Z422-100+Y422</f>
        <v>352800</v>
      </c>
      <c r="AE422" s="95">
        <v>19900</v>
      </c>
      <c r="AF422" s="95">
        <v>18500</v>
      </c>
      <c r="AG422" s="95">
        <f>IF(AF422="No Disp","No Disp",(AF422*18)+AE422)</f>
        <v>352900</v>
      </c>
      <c r="AH422" s="98">
        <f>18*AF422-100+AE422</f>
        <v>352800</v>
      </c>
      <c r="AI422" s="95" t="s">
        <v>4613</v>
      </c>
      <c r="AJ422" s="99"/>
      <c r="AK422" s="100" t="s">
        <v>43</v>
      </c>
      <c r="AL422" s="100" t="s">
        <v>43</v>
      </c>
      <c r="AM422" s="100" t="str">
        <f>IF(AL422&lt;&gt;"No Disp",AK422+12*AL422,"No Disp")</f>
        <v>No Disp</v>
      </c>
      <c r="AN422" s="100" t="s">
        <v>43</v>
      </c>
      <c r="AO422" s="100" t="s">
        <v>43</v>
      </c>
      <c r="AP422" s="100" t="str">
        <f>IF(AO422&lt;&gt;"No Disp",AN422+12*AO422,"No Disp")</f>
        <v>No Disp</v>
      </c>
      <c r="AQ422" s="100" t="s">
        <v>43</v>
      </c>
      <c r="AR422" s="100" t="s">
        <v>43</v>
      </c>
      <c r="AS422" s="100" t="str">
        <f>IF(AR422&lt;&gt;"No Disp",AQ422+12*AR422,"No Disp")</f>
        <v>No Disp</v>
      </c>
    </row>
    <row r="423" spans="1:45" s="101" customFormat="1" x14ac:dyDescent="0.25">
      <c r="A423" s="90" t="s">
        <v>102</v>
      </c>
      <c r="B423" s="90" t="s">
        <v>39</v>
      </c>
      <c r="C423" s="90" t="s">
        <v>40</v>
      </c>
      <c r="D423" s="90" t="s">
        <v>4541</v>
      </c>
      <c r="E423" s="90" t="s">
        <v>4542</v>
      </c>
      <c r="F423" s="91">
        <v>496</v>
      </c>
      <c r="G423" s="92">
        <v>70012027</v>
      </c>
      <c r="H423" s="91">
        <v>70012048</v>
      </c>
      <c r="I423" s="93" t="s">
        <v>112</v>
      </c>
      <c r="J423" s="94" t="s">
        <v>3830</v>
      </c>
      <c r="K423" s="94" t="s">
        <v>227</v>
      </c>
      <c r="L423" s="94" t="s">
        <v>228</v>
      </c>
      <c r="M423" s="95">
        <v>74900</v>
      </c>
      <c r="N423" s="95">
        <v>2500</v>
      </c>
      <c r="O423" s="95">
        <v>4000</v>
      </c>
      <c r="P423" s="96">
        <v>0</v>
      </c>
      <c r="Q423" s="152"/>
      <c r="R423" s="95">
        <v>74900</v>
      </c>
      <c r="S423" s="95">
        <f>R423/24</f>
        <v>3120.8333333333335</v>
      </c>
      <c r="T423" s="95">
        <v>74900</v>
      </c>
      <c r="U423" s="95">
        <f>T423/24</f>
        <v>3120.8333333333335</v>
      </c>
      <c r="V423" s="95">
        <v>74900</v>
      </c>
      <c r="W423" s="95">
        <f>V423/24</f>
        <v>3120.8333333333335</v>
      </c>
      <c r="X423" s="128"/>
      <c r="Y423" s="95">
        <v>39900</v>
      </c>
      <c r="Z423" s="95">
        <v>4000</v>
      </c>
      <c r="AA423" s="95">
        <f>IFERROR(IF(D423="Premium",0.4*Y423,0),"No Disp")</f>
        <v>0</v>
      </c>
      <c r="AB423" s="95">
        <f>IFERROR(IF(4*Y423&gt;AC423,1.5*Y423,4*Y423),"No Disp")</f>
        <v>59850</v>
      </c>
      <c r="AC423" s="95">
        <f>IF(Z423="No Disp","No Disp",(Z423*18)+Y423)</f>
        <v>111900</v>
      </c>
      <c r="AD423" s="95">
        <f>18*Z423-100+Y423</f>
        <v>111800</v>
      </c>
      <c r="AE423" s="95">
        <v>19900</v>
      </c>
      <c r="AF423" s="95">
        <v>4500</v>
      </c>
      <c r="AG423" s="95">
        <f>IF(AF423="No Disp","No Disp",(AF423*18)+AE423)</f>
        <v>100900</v>
      </c>
      <c r="AH423" s="98">
        <f>18*AF423-100+AE423</f>
        <v>100800</v>
      </c>
      <c r="AI423" s="95" t="s">
        <v>4613</v>
      </c>
      <c r="AJ423" s="99"/>
      <c r="AK423" s="100" t="s">
        <v>43</v>
      </c>
      <c r="AL423" s="100" t="s">
        <v>43</v>
      </c>
      <c r="AM423" s="100" t="str">
        <f>IF(AL423&lt;&gt;"No Disp",AK423+12*AL423,"No Disp")</f>
        <v>No Disp</v>
      </c>
      <c r="AN423" s="100" t="s">
        <v>43</v>
      </c>
      <c r="AO423" s="100" t="s">
        <v>43</v>
      </c>
      <c r="AP423" s="100" t="str">
        <f>IF(AO423&lt;&gt;"No Disp",AN423+12*AO423,"No Disp")</f>
        <v>No Disp</v>
      </c>
      <c r="AQ423" s="100" t="s">
        <v>43</v>
      </c>
      <c r="AR423" s="100" t="s">
        <v>43</v>
      </c>
      <c r="AS423" s="100" t="str">
        <f>IF(AR423&lt;&gt;"No Disp",AQ423+12*AR423,"No Disp")</f>
        <v>No Disp</v>
      </c>
    </row>
    <row r="424" spans="1:45" s="101" customFormat="1" x14ac:dyDescent="0.25">
      <c r="A424" s="90" t="s">
        <v>102</v>
      </c>
      <c r="B424" s="90" t="s">
        <v>39</v>
      </c>
      <c r="C424" s="90" t="s">
        <v>40</v>
      </c>
      <c r="D424" s="90" t="s">
        <v>4541</v>
      </c>
      <c r="E424" s="90" t="s">
        <v>4542</v>
      </c>
      <c r="F424" s="91">
        <v>479</v>
      </c>
      <c r="G424" s="92">
        <v>70012050</v>
      </c>
      <c r="H424" s="91">
        <v>70012051</v>
      </c>
      <c r="I424" s="93" t="s">
        <v>229</v>
      </c>
      <c r="J424" s="94" t="s">
        <v>3831</v>
      </c>
      <c r="K424" s="94" t="s">
        <v>260</v>
      </c>
      <c r="L424" s="94" t="s">
        <v>261</v>
      </c>
      <c r="M424" s="95">
        <v>116900</v>
      </c>
      <c r="N424" s="95">
        <v>2500</v>
      </c>
      <c r="O424" s="95">
        <v>4000</v>
      </c>
      <c r="P424" s="96">
        <v>0</v>
      </c>
      <c r="Q424" s="152"/>
      <c r="R424" s="95">
        <v>116900</v>
      </c>
      <c r="S424" s="95">
        <f>R424/24</f>
        <v>4870.833333333333</v>
      </c>
      <c r="T424" s="95">
        <v>116900</v>
      </c>
      <c r="U424" s="95">
        <f>T424/24</f>
        <v>4870.833333333333</v>
      </c>
      <c r="V424" s="95">
        <v>116900</v>
      </c>
      <c r="W424" s="95">
        <f>V424/24</f>
        <v>4870.833333333333</v>
      </c>
      <c r="X424" s="128"/>
      <c r="Y424" s="95">
        <v>49900</v>
      </c>
      <c r="Z424" s="95">
        <v>7000</v>
      </c>
      <c r="AA424" s="95">
        <f>IFERROR(IF(D424="Premium",0.4*Y424,0),"No Disp")</f>
        <v>0</v>
      </c>
      <c r="AB424" s="95">
        <f>IFERROR(IF(4*Y424&gt;AC424,1.5*Y424,4*Y424),"No Disp")</f>
        <v>74850</v>
      </c>
      <c r="AC424" s="95">
        <f>IF(Z424="No Disp","No Disp",(Z424*18)+Y424)</f>
        <v>175900</v>
      </c>
      <c r="AD424" s="95">
        <f>18*Z424-100+Y424</f>
        <v>175800</v>
      </c>
      <c r="AE424" s="95">
        <v>19900</v>
      </c>
      <c r="AF424" s="95">
        <v>8500</v>
      </c>
      <c r="AG424" s="95">
        <f>IF(AF424="No Disp","No Disp",(AF424*18)+AE424)</f>
        <v>172900</v>
      </c>
      <c r="AH424" s="98">
        <f>18*AF424-100+AE424</f>
        <v>172800</v>
      </c>
      <c r="AI424" s="95" t="s">
        <v>4613</v>
      </c>
      <c r="AJ424" s="99"/>
      <c r="AK424" s="100" t="s">
        <v>43</v>
      </c>
      <c r="AL424" s="100" t="s">
        <v>43</v>
      </c>
      <c r="AM424" s="100" t="str">
        <f>IF(AL424&lt;&gt;"No Disp",AK424+12*AL424,"No Disp")</f>
        <v>No Disp</v>
      </c>
      <c r="AN424" s="100" t="s">
        <v>43</v>
      </c>
      <c r="AO424" s="100" t="s">
        <v>43</v>
      </c>
      <c r="AP424" s="100" t="str">
        <f>IF(AO424&lt;&gt;"No Disp",AN424+12*AO424,"No Disp")</f>
        <v>No Disp</v>
      </c>
      <c r="AQ424" s="100" t="s">
        <v>43</v>
      </c>
      <c r="AR424" s="100" t="s">
        <v>43</v>
      </c>
      <c r="AS424" s="100" t="str">
        <f>IF(AR424&lt;&gt;"No Disp",AQ424+12*AR424,"No Disp")</f>
        <v>No Disp</v>
      </c>
    </row>
    <row r="425" spans="1:45" s="101" customFormat="1" x14ac:dyDescent="0.25">
      <c r="A425" s="90" t="s">
        <v>38</v>
      </c>
      <c r="B425" s="90" t="s">
        <v>39</v>
      </c>
      <c r="C425" s="90" t="s">
        <v>40</v>
      </c>
      <c r="D425" s="90" t="s">
        <v>4540</v>
      </c>
      <c r="E425" s="90" t="s">
        <v>4542</v>
      </c>
      <c r="F425" s="91">
        <v>405</v>
      </c>
      <c r="G425" s="92">
        <v>70012060</v>
      </c>
      <c r="H425" s="91">
        <v>70012061</v>
      </c>
      <c r="I425" s="93" t="s">
        <v>46</v>
      </c>
      <c r="J425" s="94" t="s">
        <v>3832</v>
      </c>
      <c r="K425" s="94" t="s">
        <v>397</v>
      </c>
      <c r="L425" s="94" t="s">
        <v>398</v>
      </c>
      <c r="M425" s="95">
        <v>215760</v>
      </c>
      <c r="N425" s="95">
        <v>6000</v>
      </c>
      <c r="O425" s="95">
        <v>8500</v>
      </c>
      <c r="P425" s="96">
        <v>749990</v>
      </c>
      <c r="Q425" s="152"/>
      <c r="R425" s="95">
        <v>215760</v>
      </c>
      <c r="S425" s="95">
        <f>R425/24</f>
        <v>8990</v>
      </c>
      <c r="T425" s="95">
        <v>215760</v>
      </c>
      <c r="U425" s="95">
        <f>T425/24</f>
        <v>8990</v>
      </c>
      <c r="V425" s="95">
        <v>215760</v>
      </c>
      <c r="W425" s="95">
        <f>V425/24</f>
        <v>8990</v>
      </c>
      <c r="X425" s="128"/>
      <c r="Y425" s="95">
        <v>499900</v>
      </c>
      <c r="Z425" s="95">
        <v>19500</v>
      </c>
      <c r="AA425" s="95">
        <f>IFERROR(IF(D425="Premium",0.4*Y425,0),"No Disp")</f>
        <v>199960</v>
      </c>
      <c r="AB425" s="95">
        <f>IFERROR(IF(4*Y425&gt;AC425,1.5*Y425,4*Y425),"No Disp")</f>
        <v>749850</v>
      </c>
      <c r="AC425" s="95">
        <f>IF(Z425="No Disp","No Disp",(Z425*18)+Y425)</f>
        <v>850900</v>
      </c>
      <c r="AD425" s="95">
        <f>18*Z425-100+Y425</f>
        <v>850800</v>
      </c>
      <c r="AE425" s="95">
        <v>149900</v>
      </c>
      <c r="AF425" s="95">
        <v>38500</v>
      </c>
      <c r="AG425" s="95">
        <f>IF(AF425="No Disp","No Disp",(AF425*18)+AE425)</f>
        <v>842900</v>
      </c>
      <c r="AH425" s="98">
        <f>18*AF425-100+AE425</f>
        <v>842800</v>
      </c>
      <c r="AI425" s="95" t="s">
        <v>4613</v>
      </c>
      <c r="AJ425" s="99"/>
      <c r="AK425" s="100" t="s">
        <v>43</v>
      </c>
      <c r="AL425" s="100" t="s">
        <v>43</v>
      </c>
      <c r="AM425" s="100" t="str">
        <f>IF(AL425&lt;&gt;"No Disp",AK425+12*AL425,"No Disp")</f>
        <v>No Disp</v>
      </c>
      <c r="AN425" s="100" t="s">
        <v>43</v>
      </c>
      <c r="AO425" s="100" t="s">
        <v>43</v>
      </c>
      <c r="AP425" s="100" t="str">
        <f>IF(AO425&lt;&gt;"No Disp",AN425+12*AO425,"No Disp")</f>
        <v>No Disp</v>
      </c>
      <c r="AQ425" s="100" t="s">
        <v>43</v>
      </c>
      <c r="AR425" s="100" t="s">
        <v>43</v>
      </c>
      <c r="AS425" s="100" t="str">
        <f>IF(AR425&lt;&gt;"No Disp",AQ425+12*AR425,"No Disp")</f>
        <v>No Disp</v>
      </c>
    </row>
    <row r="426" spans="1:45" s="101" customFormat="1" x14ac:dyDescent="0.25">
      <c r="A426" s="90" t="s">
        <v>38</v>
      </c>
      <c r="B426" s="90" t="s">
        <v>39</v>
      </c>
      <c r="C426" s="90" t="s">
        <v>40</v>
      </c>
      <c r="D426" s="90" t="s">
        <v>4539</v>
      </c>
      <c r="E426" s="90" t="s">
        <v>4542</v>
      </c>
      <c r="F426" s="91">
        <v>382</v>
      </c>
      <c r="G426" s="92">
        <v>70012063</v>
      </c>
      <c r="H426" s="91">
        <v>70012064</v>
      </c>
      <c r="I426" s="93" t="s">
        <v>131</v>
      </c>
      <c r="J426" s="94" t="s">
        <v>3829</v>
      </c>
      <c r="K426" s="94" t="s">
        <v>442</v>
      </c>
      <c r="L426" s="94" t="s">
        <v>443</v>
      </c>
      <c r="M426" s="95">
        <v>232900</v>
      </c>
      <c r="N426" s="95">
        <v>4000</v>
      </c>
      <c r="O426" s="95">
        <v>6000</v>
      </c>
      <c r="P426" s="96">
        <v>0</v>
      </c>
      <c r="Q426" s="152"/>
      <c r="R426" s="95">
        <v>232900</v>
      </c>
      <c r="S426" s="95">
        <f>R426/24</f>
        <v>9704.1666666666661</v>
      </c>
      <c r="T426" s="95">
        <v>232900</v>
      </c>
      <c r="U426" s="95">
        <f>T426/24</f>
        <v>9704.1666666666661</v>
      </c>
      <c r="V426" s="95">
        <v>232900</v>
      </c>
      <c r="W426" s="95">
        <f>V426/24</f>
        <v>9704.1666666666661</v>
      </c>
      <c r="X426" s="128"/>
      <c r="Y426" s="95">
        <v>109900</v>
      </c>
      <c r="Z426" s="95">
        <v>13500</v>
      </c>
      <c r="AA426" s="95">
        <f>IFERROR(IF(D426="Premium",0.4*Y426,0),"No Disp")</f>
        <v>0</v>
      </c>
      <c r="AB426" s="95">
        <f>IFERROR(IF(4*Y426&gt;AC426,1.5*Y426,4*Y426),"No Disp")</f>
        <v>164850</v>
      </c>
      <c r="AC426" s="95">
        <f>IF(Z426="No Disp","No Disp",(Z426*18)+Y426)</f>
        <v>352900</v>
      </c>
      <c r="AD426" s="95">
        <f>18*Z426-100+Y426</f>
        <v>352800</v>
      </c>
      <c r="AE426" s="95">
        <v>19900</v>
      </c>
      <c r="AF426" s="95">
        <v>18500</v>
      </c>
      <c r="AG426" s="95">
        <f>IF(AF426="No Disp","No Disp",(AF426*18)+AE426)</f>
        <v>352900</v>
      </c>
      <c r="AH426" s="98">
        <f>18*AF426-100+AE426</f>
        <v>352800</v>
      </c>
      <c r="AI426" s="95" t="s">
        <v>4613</v>
      </c>
      <c r="AJ426" s="99"/>
      <c r="AK426" s="100" t="s">
        <v>43</v>
      </c>
      <c r="AL426" s="100" t="s">
        <v>43</v>
      </c>
      <c r="AM426" s="100" t="str">
        <f>IF(AL426&lt;&gt;"No Disp",AK426+12*AL426,"No Disp")</f>
        <v>No Disp</v>
      </c>
      <c r="AN426" s="100" t="s">
        <v>43</v>
      </c>
      <c r="AO426" s="100" t="s">
        <v>43</v>
      </c>
      <c r="AP426" s="100" t="str">
        <f>IF(AO426&lt;&gt;"No Disp",AN426+12*AO426,"No Disp")</f>
        <v>No Disp</v>
      </c>
      <c r="AQ426" s="100" t="s">
        <v>43</v>
      </c>
      <c r="AR426" s="100" t="s">
        <v>43</v>
      </c>
      <c r="AS426" s="100" t="str">
        <f>IF(AR426&lt;&gt;"No Disp",AQ426+12*AR426,"No Disp")</f>
        <v>No Disp</v>
      </c>
    </row>
    <row r="427" spans="1:45" s="101" customFormat="1" x14ac:dyDescent="0.25">
      <c r="A427" s="90" t="s">
        <v>38</v>
      </c>
      <c r="B427" s="90" t="s">
        <v>39</v>
      </c>
      <c r="C427" s="90" t="s">
        <v>40</v>
      </c>
      <c r="D427" s="90" t="s">
        <v>4541</v>
      </c>
      <c r="E427" s="90" t="s">
        <v>4542</v>
      </c>
      <c r="F427" s="91">
        <v>351</v>
      </c>
      <c r="G427" s="92">
        <v>70012071</v>
      </c>
      <c r="H427" s="91">
        <v>70012072</v>
      </c>
      <c r="I427" s="93" t="s">
        <v>131</v>
      </c>
      <c r="J427" s="94" t="s">
        <v>3833</v>
      </c>
      <c r="K427" s="94" t="s">
        <v>499</v>
      </c>
      <c r="L427" s="94" t="s">
        <v>500</v>
      </c>
      <c r="M427" s="95">
        <v>79900</v>
      </c>
      <c r="N427" s="95">
        <v>2500</v>
      </c>
      <c r="O427" s="95">
        <v>4000</v>
      </c>
      <c r="P427" s="96">
        <v>0</v>
      </c>
      <c r="Q427" s="152"/>
      <c r="R427" s="95">
        <v>79900</v>
      </c>
      <c r="S427" s="95">
        <f>R427/24</f>
        <v>3329.1666666666665</v>
      </c>
      <c r="T427" s="95">
        <v>79900</v>
      </c>
      <c r="U427" s="95">
        <f>T427/24</f>
        <v>3329.1666666666665</v>
      </c>
      <c r="V427" s="95">
        <v>79900</v>
      </c>
      <c r="W427" s="95">
        <f>V427/24</f>
        <v>3329.1666666666665</v>
      </c>
      <c r="X427" s="128"/>
      <c r="Y427" s="95">
        <v>36900</v>
      </c>
      <c r="Z427" s="95">
        <v>5000</v>
      </c>
      <c r="AA427" s="95">
        <f>IFERROR(IF(D427="Premium",0.4*Y427,0),"No Disp")</f>
        <v>0</v>
      </c>
      <c r="AB427" s="95">
        <f>IFERROR(IF(4*Y427&gt;AC427,1.5*Y427,4*Y427),"No Disp")</f>
        <v>55350</v>
      </c>
      <c r="AC427" s="95">
        <f>IF(Z427="No Disp","No Disp",(Z427*18)+Y427)</f>
        <v>126900</v>
      </c>
      <c r="AD427" s="95">
        <f>18*Z427-100+Y427</f>
        <v>126800</v>
      </c>
      <c r="AE427" s="95">
        <v>9900</v>
      </c>
      <c r="AF427" s="95">
        <v>6500</v>
      </c>
      <c r="AG427" s="95">
        <f>IF(AF427="No Disp","No Disp",(AF427*18)+AE427)</f>
        <v>126900</v>
      </c>
      <c r="AH427" s="98">
        <f>18*AF427-100+AE427</f>
        <v>126800</v>
      </c>
      <c r="AI427" s="95" t="s">
        <v>4613</v>
      </c>
      <c r="AJ427" s="99"/>
      <c r="AK427" s="100" t="s">
        <v>43</v>
      </c>
      <c r="AL427" s="100" t="s">
        <v>43</v>
      </c>
      <c r="AM427" s="100" t="str">
        <f>IF(AL427&lt;&gt;"No Disp",AK427+12*AL427,"No Disp")</f>
        <v>No Disp</v>
      </c>
      <c r="AN427" s="100" t="s">
        <v>43</v>
      </c>
      <c r="AO427" s="100" t="s">
        <v>43</v>
      </c>
      <c r="AP427" s="100" t="str">
        <f>IF(AO427&lt;&gt;"No Disp",AN427+12*AO427,"No Disp")</f>
        <v>No Disp</v>
      </c>
      <c r="AQ427" s="100" t="s">
        <v>43</v>
      </c>
      <c r="AR427" s="100" t="s">
        <v>43</v>
      </c>
      <c r="AS427" s="100" t="str">
        <f>IF(AR427&lt;&gt;"No Disp",AQ427+12*AR427,"No Disp")</f>
        <v>No Disp</v>
      </c>
    </row>
    <row r="428" spans="1:45" s="101" customFormat="1" x14ac:dyDescent="0.25">
      <c r="A428" s="90" t="s">
        <v>38</v>
      </c>
      <c r="B428" s="90" t="s">
        <v>39</v>
      </c>
      <c r="C428" s="90" t="s">
        <v>40</v>
      </c>
      <c r="D428" s="90" t="s">
        <v>4540</v>
      </c>
      <c r="E428" s="90" t="s">
        <v>4542</v>
      </c>
      <c r="F428" s="91">
        <v>337</v>
      </c>
      <c r="G428" s="92">
        <v>70012074</v>
      </c>
      <c r="H428" s="91">
        <v>70012075</v>
      </c>
      <c r="I428" s="93" t="s">
        <v>46</v>
      </c>
      <c r="J428" s="94" t="s">
        <v>526</v>
      </c>
      <c r="K428" s="94" t="s">
        <v>529</v>
      </c>
      <c r="L428" s="94" t="s">
        <v>530</v>
      </c>
      <c r="M428" s="95">
        <v>519900</v>
      </c>
      <c r="N428" s="95">
        <v>6000</v>
      </c>
      <c r="O428" s="95">
        <v>8500</v>
      </c>
      <c r="P428" s="96">
        <v>0</v>
      </c>
      <c r="Q428" s="152"/>
      <c r="R428" s="95">
        <v>519900</v>
      </c>
      <c r="S428" s="95">
        <f>R428/24</f>
        <v>21662.5</v>
      </c>
      <c r="T428" s="95">
        <v>519900</v>
      </c>
      <c r="U428" s="95">
        <f>T428/24</f>
        <v>21662.5</v>
      </c>
      <c r="V428" s="95">
        <v>519900</v>
      </c>
      <c r="W428" s="95">
        <f>V428/24</f>
        <v>21662.5</v>
      </c>
      <c r="X428" s="128"/>
      <c r="Y428" s="95">
        <v>449900</v>
      </c>
      <c r="Z428" s="95">
        <v>26000</v>
      </c>
      <c r="AA428" s="95">
        <f>IFERROR(IF(D428="Premium",0.4*Y428,0),"No Disp")</f>
        <v>179960</v>
      </c>
      <c r="AB428" s="95">
        <f>IFERROR(IF(4*Y428&gt;AC428,1.5*Y428,4*Y428),"No Disp")</f>
        <v>674850</v>
      </c>
      <c r="AC428" s="95">
        <f>IF(Z428="No Disp","No Disp",(Z428*18)+Y428)</f>
        <v>917900</v>
      </c>
      <c r="AD428" s="95">
        <f>18*Z428-100+Y428</f>
        <v>917800</v>
      </c>
      <c r="AE428" s="95">
        <v>99900</v>
      </c>
      <c r="AF428" s="95">
        <v>45000</v>
      </c>
      <c r="AG428" s="95">
        <f>IF(AF428="No Disp","No Disp",(AF428*18)+AE428)</f>
        <v>909900</v>
      </c>
      <c r="AH428" s="98">
        <f>18*AF428-100+AE428</f>
        <v>909800</v>
      </c>
      <c r="AI428" s="95" t="s">
        <v>4613</v>
      </c>
      <c r="AJ428" s="99"/>
      <c r="AK428" s="100" t="s">
        <v>43</v>
      </c>
      <c r="AL428" s="100" t="s">
        <v>43</v>
      </c>
      <c r="AM428" s="100" t="str">
        <f>IF(AL428&lt;&gt;"No Disp",AK428+12*AL428,"No Disp")</f>
        <v>No Disp</v>
      </c>
      <c r="AN428" s="100" t="s">
        <v>43</v>
      </c>
      <c r="AO428" s="100" t="s">
        <v>43</v>
      </c>
      <c r="AP428" s="100" t="str">
        <f>IF(AO428&lt;&gt;"No Disp",AN428+12*AO428,"No Disp")</f>
        <v>No Disp</v>
      </c>
      <c r="AQ428" s="100" t="s">
        <v>43</v>
      </c>
      <c r="AR428" s="100" t="s">
        <v>43</v>
      </c>
      <c r="AS428" s="100" t="str">
        <f>IF(AR428&lt;&gt;"No Disp",AQ428+12*AR428,"No Disp")</f>
        <v>No Disp</v>
      </c>
    </row>
    <row r="429" spans="1:45" s="101" customFormat="1" x14ac:dyDescent="0.25">
      <c r="A429" s="90" t="s">
        <v>38</v>
      </c>
      <c r="B429" s="90" t="s">
        <v>39</v>
      </c>
      <c r="C429" s="90" t="s">
        <v>40</v>
      </c>
      <c r="D429" s="90" t="s">
        <v>4539</v>
      </c>
      <c r="E429" s="90" t="s">
        <v>4542</v>
      </c>
      <c r="F429" s="91">
        <v>343</v>
      </c>
      <c r="G429" s="92">
        <v>70012078</v>
      </c>
      <c r="H429" s="91">
        <v>70012079</v>
      </c>
      <c r="I429" s="93" t="s">
        <v>131</v>
      </c>
      <c r="J429" s="94" t="s">
        <v>511</v>
      </c>
      <c r="K429" s="94" t="s">
        <v>516</v>
      </c>
      <c r="L429" s="94" t="s">
        <v>517</v>
      </c>
      <c r="M429" s="95">
        <v>99900</v>
      </c>
      <c r="N429" s="95">
        <v>2500</v>
      </c>
      <c r="O429" s="95">
        <v>4000</v>
      </c>
      <c r="P429" s="96">
        <v>0</v>
      </c>
      <c r="Q429" s="152"/>
      <c r="R429" s="95">
        <v>99900</v>
      </c>
      <c r="S429" s="95">
        <f>R429/24</f>
        <v>4162.5</v>
      </c>
      <c r="T429" s="95">
        <v>99900</v>
      </c>
      <c r="U429" s="95">
        <f>T429/24</f>
        <v>4162.5</v>
      </c>
      <c r="V429" s="95">
        <v>99900</v>
      </c>
      <c r="W429" s="95">
        <f>V429/24</f>
        <v>4162.5</v>
      </c>
      <c r="X429" s="128"/>
      <c r="Y429" s="95">
        <v>69900</v>
      </c>
      <c r="Z429" s="95">
        <v>9000</v>
      </c>
      <c r="AA429" s="95">
        <f>IFERROR(IF(D429="Premium",0.4*Y429,0),"No Disp")</f>
        <v>0</v>
      </c>
      <c r="AB429" s="95">
        <f>IFERROR(IF(4*Y429&gt;AC429,1.5*Y429,4*Y429),"No Disp")</f>
        <v>104850</v>
      </c>
      <c r="AC429" s="95">
        <f>IF(Z429="No Disp","No Disp",(Z429*18)+Y429)</f>
        <v>231900</v>
      </c>
      <c r="AD429" s="95">
        <f>18*Z429-100+Y429</f>
        <v>231800</v>
      </c>
      <c r="AE429" s="95">
        <v>9900</v>
      </c>
      <c r="AF429" s="95">
        <v>12500</v>
      </c>
      <c r="AG429" s="95">
        <f>IF(AF429="No Disp","No Disp",(AF429*18)+AE429)</f>
        <v>234900</v>
      </c>
      <c r="AH429" s="98">
        <f>18*AF429-100+AE429</f>
        <v>234800</v>
      </c>
      <c r="AI429" s="95" t="s">
        <v>4613</v>
      </c>
      <c r="AJ429" s="99"/>
      <c r="AK429" s="100" t="s">
        <v>43</v>
      </c>
      <c r="AL429" s="100" t="s">
        <v>43</v>
      </c>
      <c r="AM429" s="100" t="str">
        <f>IF(AL429&lt;&gt;"No Disp",AK429+12*AL429,"No Disp")</f>
        <v>No Disp</v>
      </c>
      <c r="AN429" s="100" t="s">
        <v>43</v>
      </c>
      <c r="AO429" s="100" t="s">
        <v>43</v>
      </c>
      <c r="AP429" s="100" t="str">
        <f>IF(AO429&lt;&gt;"No Disp",AN429+12*AO429,"No Disp")</f>
        <v>No Disp</v>
      </c>
      <c r="AQ429" s="100" t="s">
        <v>43</v>
      </c>
      <c r="AR429" s="100" t="s">
        <v>43</v>
      </c>
      <c r="AS429" s="100" t="str">
        <f>IF(AR429&lt;&gt;"No Disp",AQ429+12*AR429,"No Disp")</f>
        <v>No Disp</v>
      </c>
    </row>
    <row r="430" spans="1:45" s="101" customFormat="1" x14ac:dyDescent="0.25">
      <c r="A430" s="90" t="s">
        <v>38</v>
      </c>
      <c r="B430" s="90" t="s">
        <v>39</v>
      </c>
      <c r="C430" s="90" t="s">
        <v>40</v>
      </c>
      <c r="D430" s="90" t="s">
        <v>4539</v>
      </c>
      <c r="E430" s="90" t="s">
        <v>4542</v>
      </c>
      <c r="F430" s="91">
        <v>344</v>
      </c>
      <c r="G430" s="92">
        <v>70012081</v>
      </c>
      <c r="H430" s="91">
        <v>70012082</v>
      </c>
      <c r="I430" s="93" t="s">
        <v>131</v>
      </c>
      <c r="J430" s="94" t="s">
        <v>511</v>
      </c>
      <c r="K430" s="94" t="s">
        <v>514</v>
      </c>
      <c r="L430" s="94" t="s">
        <v>515</v>
      </c>
      <c r="M430" s="95">
        <v>99900</v>
      </c>
      <c r="N430" s="95">
        <v>2500</v>
      </c>
      <c r="O430" s="95">
        <v>4000</v>
      </c>
      <c r="P430" s="96">
        <v>0</v>
      </c>
      <c r="Q430" s="152"/>
      <c r="R430" s="95">
        <v>99900</v>
      </c>
      <c r="S430" s="95">
        <f>R430/24</f>
        <v>4162.5</v>
      </c>
      <c r="T430" s="95">
        <v>99900</v>
      </c>
      <c r="U430" s="95">
        <f>T430/24</f>
        <v>4162.5</v>
      </c>
      <c r="V430" s="95">
        <v>99900</v>
      </c>
      <c r="W430" s="95">
        <f>V430/24</f>
        <v>4162.5</v>
      </c>
      <c r="X430" s="128"/>
      <c r="Y430" s="95">
        <v>69900</v>
      </c>
      <c r="Z430" s="95">
        <v>9000</v>
      </c>
      <c r="AA430" s="95">
        <f>IFERROR(IF(D430="Premium",0.4*Y430,0),"No Disp")</f>
        <v>0</v>
      </c>
      <c r="AB430" s="95">
        <f>IFERROR(IF(4*Y430&gt;AC430,1.5*Y430,4*Y430),"No Disp")</f>
        <v>104850</v>
      </c>
      <c r="AC430" s="95">
        <f>IF(Z430="No Disp","No Disp",(Z430*18)+Y430)</f>
        <v>231900</v>
      </c>
      <c r="AD430" s="95">
        <f>18*Z430-100+Y430</f>
        <v>231800</v>
      </c>
      <c r="AE430" s="95">
        <v>9900</v>
      </c>
      <c r="AF430" s="95">
        <v>12500</v>
      </c>
      <c r="AG430" s="95">
        <f>IF(AF430="No Disp","No Disp",(AF430*18)+AE430)</f>
        <v>234900</v>
      </c>
      <c r="AH430" s="98">
        <f>18*AF430-100+AE430</f>
        <v>234800</v>
      </c>
      <c r="AI430" s="95" t="s">
        <v>4613</v>
      </c>
      <c r="AJ430" s="99"/>
      <c r="AK430" s="100" t="s">
        <v>43</v>
      </c>
      <c r="AL430" s="100" t="s">
        <v>43</v>
      </c>
      <c r="AM430" s="100" t="str">
        <f>IF(AL430&lt;&gt;"No Disp",AK430+12*AL430,"No Disp")</f>
        <v>No Disp</v>
      </c>
      <c r="AN430" s="100" t="s">
        <v>43</v>
      </c>
      <c r="AO430" s="100" t="s">
        <v>43</v>
      </c>
      <c r="AP430" s="100" t="str">
        <f>IF(AO430&lt;&gt;"No Disp",AN430+12*AO430,"No Disp")</f>
        <v>No Disp</v>
      </c>
      <c r="AQ430" s="100" t="s">
        <v>43</v>
      </c>
      <c r="AR430" s="100" t="s">
        <v>43</v>
      </c>
      <c r="AS430" s="100" t="str">
        <f>IF(AR430&lt;&gt;"No Disp",AQ430+12*AR430,"No Disp")</f>
        <v>No Disp</v>
      </c>
    </row>
    <row r="431" spans="1:45" s="101" customFormat="1" x14ac:dyDescent="0.25">
      <c r="A431" s="90" t="s">
        <v>38</v>
      </c>
      <c r="B431" s="90" t="s">
        <v>39</v>
      </c>
      <c r="C431" s="90" t="s">
        <v>40</v>
      </c>
      <c r="D431" s="90" t="s">
        <v>4539</v>
      </c>
      <c r="E431" s="90" t="s">
        <v>4542</v>
      </c>
      <c r="F431" s="91">
        <v>345</v>
      </c>
      <c r="G431" s="92">
        <v>70012084</v>
      </c>
      <c r="H431" s="91">
        <v>70012085</v>
      </c>
      <c r="I431" s="93" t="s">
        <v>131</v>
      </c>
      <c r="J431" s="94" t="s">
        <v>511</v>
      </c>
      <c r="K431" s="94" t="s">
        <v>512</v>
      </c>
      <c r="L431" s="94" t="s">
        <v>513</v>
      </c>
      <c r="M431" s="95">
        <v>99900</v>
      </c>
      <c r="N431" s="95">
        <v>2500</v>
      </c>
      <c r="O431" s="95">
        <v>4000</v>
      </c>
      <c r="P431" s="96">
        <v>0</v>
      </c>
      <c r="Q431" s="152"/>
      <c r="R431" s="95">
        <v>99900</v>
      </c>
      <c r="S431" s="95">
        <f>R431/24</f>
        <v>4162.5</v>
      </c>
      <c r="T431" s="95">
        <v>99900</v>
      </c>
      <c r="U431" s="95">
        <f>T431/24</f>
        <v>4162.5</v>
      </c>
      <c r="V431" s="95">
        <v>99900</v>
      </c>
      <c r="W431" s="95">
        <f>V431/24</f>
        <v>4162.5</v>
      </c>
      <c r="X431" s="128"/>
      <c r="Y431" s="95">
        <v>69900</v>
      </c>
      <c r="Z431" s="95">
        <v>9000</v>
      </c>
      <c r="AA431" s="95">
        <f>IFERROR(IF(D431="Premium",0.4*Y431,0),"No Disp")</f>
        <v>0</v>
      </c>
      <c r="AB431" s="95">
        <f>IFERROR(IF(4*Y431&gt;AC431,1.5*Y431,4*Y431),"No Disp")</f>
        <v>104850</v>
      </c>
      <c r="AC431" s="95">
        <f>IF(Z431="No Disp","No Disp",(Z431*18)+Y431)</f>
        <v>231900</v>
      </c>
      <c r="AD431" s="95">
        <f>18*Z431-100+Y431</f>
        <v>231800</v>
      </c>
      <c r="AE431" s="95">
        <v>9900</v>
      </c>
      <c r="AF431" s="95">
        <v>12500</v>
      </c>
      <c r="AG431" s="95">
        <f>IF(AF431="No Disp","No Disp",(AF431*18)+AE431)</f>
        <v>234900</v>
      </c>
      <c r="AH431" s="98">
        <f>18*AF431-100+AE431</f>
        <v>234800</v>
      </c>
      <c r="AI431" s="95" t="s">
        <v>4613</v>
      </c>
      <c r="AJ431" s="99"/>
      <c r="AK431" s="100" t="s">
        <v>43</v>
      </c>
      <c r="AL431" s="100" t="s">
        <v>43</v>
      </c>
      <c r="AM431" s="100" t="str">
        <f>IF(AL431&lt;&gt;"No Disp",AK431+12*AL431,"No Disp")</f>
        <v>No Disp</v>
      </c>
      <c r="AN431" s="100" t="s">
        <v>43</v>
      </c>
      <c r="AO431" s="100" t="s">
        <v>43</v>
      </c>
      <c r="AP431" s="100" t="str">
        <f>IF(AO431&lt;&gt;"No Disp",AN431+12*AO431,"No Disp")</f>
        <v>No Disp</v>
      </c>
      <c r="AQ431" s="100" t="s">
        <v>43</v>
      </c>
      <c r="AR431" s="100" t="s">
        <v>43</v>
      </c>
      <c r="AS431" s="100" t="str">
        <f>IF(AR431&lt;&gt;"No Disp",AQ431+12*AR431,"No Disp")</f>
        <v>No Disp</v>
      </c>
    </row>
    <row r="432" spans="1:45" s="101" customFormat="1" x14ac:dyDescent="0.25">
      <c r="A432" s="90" t="s">
        <v>38</v>
      </c>
      <c r="B432" s="90" t="s">
        <v>39</v>
      </c>
      <c r="C432" s="90" t="s">
        <v>40</v>
      </c>
      <c r="D432" s="90" t="s">
        <v>4539</v>
      </c>
      <c r="E432" s="90" t="s">
        <v>4542</v>
      </c>
      <c r="F432" s="91">
        <v>348</v>
      </c>
      <c r="G432" s="92">
        <v>70012087</v>
      </c>
      <c r="H432" s="91">
        <v>70012088</v>
      </c>
      <c r="I432" s="93" t="s">
        <v>131</v>
      </c>
      <c r="J432" s="94" t="s">
        <v>433</v>
      </c>
      <c r="K432" s="94" t="s">
        <v>505</v>
      </c>
      <c r="L432" s="94" t="s">
        <v>506</v>
      </c>
      <c r="M432" s="95">
        <v>182900</v>
      </c>
      <c r="N432" s="95">
        <v>2500</v>
      </c>
      <c r="O432" s="95">
        <v>4000</v>
      </c>
      <c r="P432" s="96">
        <v>0</v>
      </c>
      <c r="Q432" s="152"/>
      <c r="R432" s="95">
        <v>182900</v>
      </c>
      <c r="S432" s="95">
        <f>R432/24</f>
        <v>7620.833333333333</v>
      </c>
      <c r="T432" s="95">
        <v>182900</v>
      </c>
      <c r="U432" s="95">
        <f>T432/24</f>
        <v>7620.833333333333</v>
      </c>
      <c r="V432" s="95">
        <v>182900</v>
      </c>
      <c r="W432" s="95">
        <f>V432/24</f>
        <v>7620.833333333333</v>
      </c>
      <c r="X432" s="128"/>
      <c r="Y432" s="95">
        <v>82900</v>
      </c>
      <c r="Z432" s="95">
        <v>10000</v>
      </c>
      <c r="AA432" s="95">
        <f>IFERROR(IF(D432="Premium",0.4*Y432,0),"No Disp")</f>
        <v>0</v>
      </c>
      <c r="AB432" s="95">
        <f>IFERROR(IF(4*Y432&gt;AC432,1.5*Y432,4*Y432),"No Disp")</f>
        <v>124350</v>
      </c>
      <c r="AC432" s="95">
        <f>IF(Z432="No Disp","No Disp",(Z432*18)+Y432)</f>
        <v>262900</v>
      </c>
      <c r="AD432" s="95">
        <f>18*Z432-100+Y432</f>
        <v>262800</v>
      </c>
      <c r="AE432" s="95">
        <v>19900</v>
      </c>
      <c r="AF432" s="95">
        <v>14500</v>
      </c>
      <c r="AG432" s="95">
        <f>IF(AF432="No Disp","No Disp",(AF432*18)+AE432)</f>
        <v>280900</v>
      </c>
      <c r="AH432" s="98">
        <f>18*AF432-100+AE432</f>
        <v>280800</v>
      </c>
      <c r="AI432" s="95" t="s">
        <v>4613</v>
      </c>
      <c r="AJ432" s="99"/>
      <c r="AK432" s="100" t="s">
        <v>43</v>
      </c>
      <c r="AL432" s="100" t="s">
        <v>43</v>
      </c>
      <c r="AM432" s="100" t="str">
        <f>IF(AL432&lt;&gt;"No Disp",AK432+12*AL432,"No Disp")</f>
        <v>No Disp</v>
      </c>
      <c r="AN432" s="100" t="s">
        <v>43</v>
      </c>
      <c r="AO432" s="100" t="s">
        <v>43</v>
      </c>
      <c r="AP432" s="100" t="str">
        <f>IF(AO432&lt;&gt;"No Disp",AN432+12*AO432,"No Disp")</f>
        <v>No Disp</v>
      </c>
      <c r="AQ432" s="100" t="s">
        <v>43</v>
      </c>
      <c r="AR432" s="100" t="s">
        <v>43</v>
      </c>
      <c r="AS432" s="100" t="str">
        <f>IF(AR432&lt;&gt;"No Disp",AQ432+12*AR432,"No Disp")</f>
        <v>No Disp</v>
      </c>
    </row>
    <row r="433" spans="1:45" s="101" customFormat="1" x14ac:dyDescent="0.25">
      <c r="A433" s="90" t="s">
        <v>38</v>
      </c>
      <c r="B433" s="90" t="s">
        <v>39</v>
      </c>
      <c r="C433" s="90" t="s">
        <v>40</v>
      </c>
      <c r="D433" s="90" t="s">
        <v>4539</v>
      </c>
      <c r="E433" s="90" t="s">
        <v>4542</v>
      </c>
      <c r="F433" s="91">
        <v>349</v>
      </c>
      <c r="G433" s="92">
        <v>70012057</v>
      </c>
      <c r="H433" s="91">
        <v>70012098</v>
      </c>
      <c r="I433" s="93" t="s">
        <v>131</v>
      </c>
      <c r="J433" s="94" t="s">
        <v>433</v>
      </c>
      <c r="K433" s="94" t="s">
        <v>503</v>
      </c>
      <c r="L433" s="94" t="s">
        <v>504</v>
      </c>
      <c r="M433" s="95">
        <v>182900</v>
      </c>
      <c r="N433" s="95">
        <v>2500</v>
      </c>
      <c r="O433" s="95">
        <v>4000</v>
      </c>
      <c r="P433" s="96">
        <v>0</v>
      </c>
      <c r="Q433" s="152"/>
      <c r="R433" s="95">
        <v>182900</v>
      </c>
      <c r="S433" s="95">
        <f>R433/24</f>
        <v>7620.833333333333</v>
      </c>
      <c r="T433" s="95">
        <v>182900</v>
      </c>
      <c r="U433" s="95">
        <f>T433/24</f>
        <v>7620.833333333333</v>
      </c>
      <c r="V433" s="95">
        <v>182900</v>
      </c>
      <c r="W433" s="95">
        <f>V433/24</f>
        <v>7620.833333333333</v>
      </c>
      <c r="X433" s="128"/>
      <c r="Y433" s="95">
        <v>82900</v>
      </c>
      <c r="Z433" s="95">
        <v>10000</v>
      </c>
      <c r="AA433" s="95">
        <f>IFERROR(IF(D433="Premium",0.4*Y433,0),"No Disp")</f>
        <v>0</v>
      </c>
      <c r="AB433" s="95">
        <f>IFERROR(IF(4*Y433&gt;AC433,1.5*Y433,4*Y433),"No Disp")</f>
        <v>124350</v>
      </c>
      <c r="AC433" s="95">
        <f>IF(Z433="No Disp","No Disp",(Z433*18)+Y433)</f>
        <v>262900</v>
      </c>
      <c r="AD433" s="95">
        <f>18*Z433-100+Y433</f>
        <v>262800</v>
      </c>
      <c r="AE433" s="95">
        <v>19900</v>
      </c>
      <c r="AF433" s="95">
        <v>14500</v>
      </c>
      <c r="AG433" s="95">
        <f>IF(AF433="No Disp","No Disp",(AF433*18)+AE433)</f>
        <v>280900</v>
      </c>
      <c r="AH433" s="98">
        <f>18*AF433-100+AE433</f>
        <v>280800</v>
      </c>
      <c r="AI433" s="95" t="s">
        <v>4613</v>
      </c>
      <c r="AJ433" s="99"/>
      <c r="AK433" s="100" t="s">
        <v>43</v>
      </c>
      <c r="AL433" s="100" t="s">
        <v>43</v>
      </c>
      <c r="AM433" s="100" t="str">
        <f>IF(AL433&lt;&gt;"No Disp",AK433+12*AL433,"No Disp")</f>
        <v>No Disp</v>
      </c>
      <c r="AN433" s="100" t="s">
        <v>43</v>
      </c>
      <c r="AO433" s="100" t="s">
        <v>43</v>
      </c>
      <c r="AP433" s="100" t="str">
        <f>IF(AO433&lt;&gt;"No Disp",AN433+12*AO433,"No Disp")</f>
        <v>No Disp</v>
      </c>
      <c r="AQ433" s="100" t="s">
        <v>43</v>
      </c>
      <c r="AR433" s="100" t="s">
        <v>43</v>
      </c>
      <c r="AS433" s="100" t="str">
        <f>IF(AR433&lt;&gt;"No Disp",AQ433+12*AR433,"No Disp")</f>
        <v>No Disp</v>
      </c>
    </row>
    <row r="434" spans="1:45" s="101" customFormat="1" x14ac:dyDescent="0.25">
      <c r="A434" s="90" t="s">
        <v>38</v>
      </c>
      <c r="B434" s="90" t="s">
        <v>39</v>
      </c>
      <c r="C434" s="90" t="s">
        <v>40</v>
      </c>
      <c r="D434" s="90" t="s">
        <v>4539</v>
      </c>
      <c r="E434" s="90" t="s">
        <v>4542</v>
      </c>
      <c r="F434" s="91">
        <v>350</v>
      </c>
      <c r="G434" s="92">
        <v>70012100</v>
      </c>
      <c r="H434" s="91">
        <v>70012101</v>
      </c>
      <c r="I434" s="93" t="s">
        <v>131</v>
      </c>
      <c r="J434" s="94" t="s">
        <v>433</v>
      </c>
      <c r="K434" s="94" t="s">
        <v>501</v>
      </c>
      <c r="L434" s="94" t="s">
        <v>502</v>
      </c>
      <c r="M434" s="95">
        <v>182900</v>
      </c>
      <c r="N434" s="95">
        <v>2500</v>
      </c>
      <c r="O434" s="95">
        <v>4000</v>
      </c>
      <c r="P434" s="96">
        <v>0</v>
      </c>
      <c r="Q434" s="152"/>
      <c r="R434" s="95">
        <v>182900</v>
      </c>
      <c r="S434" s="95">
        <f>R434/24</f>
        <v>7620.833333333333</v>
      </c>
      <c r="T434" s="95">
        <v>182900</v>
      </c>
      <c r="U434" s="95">
        <f>T434/24</f>
        <v>7620.833333333333</v>
      </c>
      <c r="V434" s="95">
        <v>182900</v>
      </c>
      <c r="W434" s="95">
        <f>V434/24</f>
        <v>7620.833333333333</v>
      </c>
      <c r="X434" s="128"/>
      <c r="Y434" s="95">
        <v>82900</v>
      </c>
      <c r="Z434" s="95">
        <v>10000</v>
      </c>
      <c r="AA434" s="95">
        <f>IFERROR(IF(D434="Premium",0.4*Y434,0),"No Disp")</f>
        <v>0</v>
      </c>
      <c r="AB434" s="95">
        <f>IFERROR(IF(4*Y434&gt;AC434,1.5*Y434,4*Y434),"No Disp")</f>
        <v>124350</v>
      </c>
      <c r="AC434" s="95">
        <f>IF(Z434="No Disp","No Disp",(Z434*18)+Y434)</f>
        <v>262900</v>
      </c>
      <c r="AD434" s="95">
        <f>18*Z434-100+Y434</f>
        <v>262800</v>
      </c>
      <c r="AE434" s="95">
        <v>19900</v>
      </c>
      <c r="AF434" s="95">
        <v>14500</v>
      </c>
      <c r="AG434" s="95">
        <f>IF(AF434="No Disp","No Disp",(AF434*18)+AE434)</f>
        <v>280900</v>
      </c>
      <c r="AH434" s="98">
        <f>18*AF434-100+AE434</f>
        <v>280800</v>
      </c>
      <c r="AI434" s="95" t="s">
        <v>4613</v>
      </c>
      <c r="AJ434" s="99"/>
      <c r="AK434" s="100" t="s">
        <v>43</v>
      </c>
      <c r="AL434" s="100" t="s">
        <v>43</v>
      </c>
      <c r="AM434" s="100" t="str">
        <f>IF(AL434&lt;&gt;"No Disp",AK434+12*AL434,"No Disp")</f>
        <v>No Disp</v>
      </c>
      <c r="AN434" s="100" t="s">
        <v>43</v>
      </c>
      <c r="AO434" s="100" t="s">
        <v>43</v>
      </c>
      <c r="AP434" s="100" t="str">
        <f>IF(AO434&lt;&gt;"No Disp",AN434+12*AO434,"No Disp")</f>
        <v>No Disp</v>
      </c>
      <c r="AQ434" s="100" t="s">
        <v>43</v>
      </c>
      <c r="AR434" s="100" t="s">
        <v>43</v>
      </c>
      <c r="AS434" s="100" t="str">
        <f>IF(AR434&lt;&gt;"No Disp",AQ434+12*AR434,"No Disp")</f>
        <v>No Disp</v>
      </c>
    </row>
    <row r="435" spans="1:45" s="101" customFormat="1" x14ac:dyDescent="0.25">
      <c r="A435" s="90" t="s">
        <v>38</v>
      </c>
      <c r="B435" s="90" t="s">
        <v>39</v>
      </c>
      <c r="C435" s="90" t="s">
        <v>40</v>
      </c>
      <c r="D435" s="90" t="s">
        <v>4540</v>
      </c>
      <c r="E435" s="90" t="s">
        <v>4542</v>
      </c>
      <c r="F435" s="91">
        <v>406</v>
      </c>
      <c r="G435" s="92">
        <v>70012120</v>
      </c>
      <c r="H435" s="91">
        <v>70012121</v>
      </c>
      <c r="I435" s="93" t="s">
        <v>46</v>
      </c>
      <c r="J435" s="94" t="s">
        <v>3832</v>
      </c>
      <c r="K435" s="94" t="s">
        <v>395</v>
      </c>
      <c r="L435" s="94" t="s">
        <v>396</v>
      </c>
      <c r="M435" s="95">
        <v>215760</v>
      </c>
      <c r="N435" s="95">
        <v>6000</v>
      </c>
      <c r="O435" s="95">
        <v>8500</v>
      </c>
      <c r="P435" s="96">
        <v>749990</v>
      </c>
      <c r="Q435" s="152"/>
      <c r="R435" s="95">
        <v>215760</v>
      </c>
      <c r="S435" s="95">
        <f>R435/24</f>
        <v>8990</v>
      </c>
      <c r="T435" s="95">
        <v>215760</v>
      </c>
      <c r="U435" s="95">
        <f>T435/24</f>
        <v>8990</v>
      </c>
      <c r="V435" s="95">
        <v>215760</v>
      </c>
      <c r="W435" s="95">
        <f>V435/24</f>
        <v>8990</v>
      </c>
      <c r="X435" s="128"/>
      <c r="Y435" s="95">
        <v>499900</v>
      </c>
      <c r="Z435" s="95">
        <v>19500</v>
      </c>
      <c r="AA435" s="95">
        <f>IFERROR(IF(D435="Premium",0.4*Y435,0),"No Disp")</f>
        <v>199960</v>
      </c>
      <c r="AB435" s="95">
        <f>IFERROR(IF(4*Y435&gt;AC435,1.5*Y435,4*Y435),"No Disp")</f>
        <v>749850</v>
      </c>
      <c r="AC435" s="95">
        <f>IF(Z435="No Disp","No Disp",(Z435*18)+Y435)</f>
        <v>850900</v>
      </c>
      <c r="AD435" s="95">
        <f>18*Z435-100+Y435</f>
        <v>850800</v>
      </c>
      <c r="AE435" s="95">
        <v>149900</v>
      </c>
      <c r="AF435" s="95">
        <v>38500</v>
      </c>
      <c r="AG435" s="95">
        <f>IF(AF435="No Disp","No Disp",(AF435*18)+AE435)</f>
        <v>842900</v>
      </c>
      <c r="AH435" s="98">
        <f>18*AF435-100+AE435</f>
        <v>842800</v>
      </c>
      <c r="AI435" s="95" t="s">
        <v>4613</v>
      </c>
      <c r="AJ435" s="99"/>
      <c r="AK435" s="100" t="s">
        <v>43</v>
      </c>
      <c r="AL435" s="100" t="s">
        <v>43</v>
      </c>
      <c r="AM435" s="100" t="str">
        <f>IF(AL435&lt;&gt;"No Disp",AK435+12*AL435,"No Disp")</f>
        <v>No Disp</v>
      </c>
      <c r="AN435" s="100" t="s">
        <v>43</v>
      </c>
      <c r="AO435" s="100" t="s">
        <v>43</v>
      </c>
      <c r="AP435" s="100" t="str">
        <f>IF(AO435&lt;&gt;"No Disp",AN435+12*AO435,"No Disp")</f>
        <v>No Disp</v>
      </c>
      <c r="AQ435" s="100" t="s">
        <v>43</v>
      </c>
      <c r="AR435" s="100" t="s">
        <v>43</v>
      </c>
      <c r="AS435" s="100" t="str">
        <f>IF(AR435&lt;&gt;"No Disp",AQ435+12*AR435,"No Disp")</f>
        <v>No Disp</v>
      </c>
    </row>
    <row r="436" spans="1:45" s="101" customFormat="1" x14ac:dyDescent="0.25">
      <c r="A436" s="90" t="s">
        <v>38</v>
      </c>
      <c r="B436" s="90" t="s">
        <v>39</v>
      </c>
      <c r="C436" s="90" t="s">
        <v>40</v>
      </c>
      <c r="D436" s="90" t="s">
        <v>4540</v>
      </c>
      <c r="E436" s="90" t="s">
        <v>4542</v>
      </c>
      <c r="F436" s="91">
        <v>407</v>
      </c>
      <c r="G436" s="92">
        <v>70012123</v>
      </c>
      <c r="H436" s="91">
        <v>70012124</v>
      </c>
      <c r="I436" s="93" t="s">
        <v>46</v>
      </c>
      <c r="J436" s="94" t="s">
        <v>3832</v>
      </c>
      <c r="K436" s="94" t="s">
        <v>393</v>
      </c>
      <c r="L436" s="94" t="s">
        <v>394</v>
      </c>
      <c r="M436" s="95">
        <v>215760</v>
      </c>
      <c r="N436" s="95">
        <v>6000</v>
      </c>
      <c r="O436" s="95">
        <v>8500</v>
      </c>
      <c r="P436" s="96">
        <v>749990</v>
      </c>
      <c r="Q436" s="152"/>
      <c r="R436" s="95">
        <v>215760</v>
      </c>
      <c r="S436" s="95">
        <f>R436/24</f>
        <v>8990</v>
      </c>
      <c r="T436" s="95">
        <v>215760</v>
      </c>
      <c r="U436" s="95">
        <f>T436/24</f>
        <v>8990</v>
      </c>
      <c r="V436" s="95">
        <v>215760</v>
      </c>
      <c r="W436" s="95">
        <f>V436/24</f>
        <v>8990</v>
      </c>
      <c r="X436" s="128"/>
      <c r="Y436" s="95">
        <v>499900</v>
      </c>
      <c r="Z436" s="95">
        <v>19500</v>
      </c>
      <c r="AA436" s="95">
        <f>IFERROR(IF(D436="Premium",0.4*Y436,0),"No Disp")</f>
        <v>199960</v>
      </c>
      <c r="AB436" s="95">
        <f>IFERROR(IF(4*Y436&gt;AC436,1.5*Y436,4*Y436),"No Disp")</f>
        <v>749850</v>
      </c>
      <c r="AC436" s="95">
        <f>IF(Z436="No Disp","No Disp",(Z436*18)+Y436)</f>
        <v>850900</v>
      </c>
      <c r="AD436" s="95">
        <f>18*Z436-100+Y436</f>
        <v>850800</v>
      </c>
      <c r="AE436" s="95">
        <v>149900</v>
      </c>
      <c r="AF436" s="95">
        <v>38500</v>
      </c>
      <c r="AG436" s="95">
        <f>IF(AF436="No Disp","No Disp",(AF436*18)+AE436)</f>
        <v>842900</v>
      </c>
      <c r="AH436" s="98">
        <f>18*AF436-100+AE436</f>
        <v>842800</v>
      </c>
      <c r="AI436" s="95" t="s">
        <v>4613</v>
      </c>
      <c r="AJ436" s="99"/>
      <c r="AK436" s="100" t="s">
        <v>43</v>
      </c>
      <c r="AL436" s="100" t="s">
        <v>43</v>
      </c>
      <c r="AM436" s="100" t="str">
        <f>IF(AL436&lt;&gt;"No Disp",AK436+12*AL436,"No Disp")</f>
        <v>No Disp</v>
      </c>
      <c r="AN436" s="100" t="s">
        <v>43</v>
      </c>
      <c r="AO436" s="100" t="s">
        <v>43</v>
      </c>
      <c r="AP436" s="100" t="str">
        <f>IF(AO436&lt;&gt;"No Disp",AN436+12*AO436,"No Disp")</f>
        <v>No Disp</v>
      </c>
      <c r="AQ436" s="100" t="s">
        <v>43</v>
      </c>
      <c r="AR436" s="100" t="s">
        <v>43</v>
      </c>
      <c r="AS436" s="100" t="str">
        <f>IF(AR436&lt;&gt;"No Disp",AQ436+12*AR436,"No Disp")</f>
        <v>No Disp</v>
      </c>
    </row>
    <row r="437" spans="1:45" s="101" customFormat="1" x14ac:dyDescent="0.25">
      <c r="A437" s="90" t="s">
        <v>38</v>
      </c>
      <c r="B437" s="90" t="s">
        <v>39</v>
      </c>
      <c r="C437" s="90" t="s">
        <v>40</v>
      </c>
      <c r="D437" s="90" t="s">
        <v>4540</v>
      </c>
      <c r="E437" s="90" t="s">
        <v>4542</v>
      </c>
      <c r="F437" s="91">
        <v>340</v>
      </c>
      <c r="G437" s="92">
        <v>70012141</v>
      </c>
      <c r="H437" s="91">
        <v>70012142</v>
      </c>
      <c r="I437" s="93" t="s">
        <v>46</v>
      </c>
      <c r="J437" s="94" t="s">
        <v>3832</v>
      </c>
      <c r="K437" s="94" t="s">
        <v>522</v>
      </c>
      <c r="L437" s="94" t="s">
        <v>523</v>
      </c>
      <c r="M437" s="95">
        <v>215760</v>
      </c>
      <c r="N437" s="95">
        <v>6000</v>
      </c>
      <c r="O437" s="95">
        <v>8500</v>
      </c>
      <c r="P437" s="96">
        <v>749990</v>
      </c>
      <c r="Q437" s="152"/>
      <c r="R437" s="95">
        <v>215760</v>
      </c>
      <c r="S437" s="95">
        <f>R437/24</f>
        <v>8990</v>
      </c>
      <c r="T437" s="95">
        <v>215760</v>
      </c>
      <c r="U437" s="95">
        <f>T437/24</f>
        <v>8990</v>
      </c>
      <c r="V437" s="95">
        <v>215760</v>
      </c>
      <c r="W437" s="95">
        <f>V437/24</f>
        <v>8990</v>
      </c>
      <c r="X437" s="128"/>
      <c r="Y437" s="95">
        <v>499900</v>
      </c>
      <c r="Z437" s="95">
        <v>19500</v>
      </c>
      <c r="AA437" s="95">
        <f>IFERROR(IF(D437="Premium",0.4*Y437,0),"No Disp")</f>
        <v>199960</v>
      </c>
      <c r="AB437" s="95">
        <f>IFERROR(IF(4*Y437&gt;AC437,1.5*Y437,4*Y437),"No Disp")</f>
        <v>749850</v>
      </c>
      <c r="AC437" s="95">
        <f>IF(Z437="No Disp","No Disp",(Z437*18)+Y437)</f>
        <v>850900</v>
      </c>
      <c r="AD437" s="95">
        <f>18*Z437-100+Y437</f>
        <v>850800</v>
      </c>
      <c r="AE437" s="95">
        <v>149900</v>
      </c>
      <c r="AF437" s="95">
        <v>38500</v>
      </c>
      <c r="AG437" s="95">
        <f>IF(AF437="No Disp","No Disp",(AF437*18)+AE437)</f>
        <v>842900</v>
      </c>
      <c r="AH437" s="98">
        <f>18*AF437-100+AE437</f>
        <v>842800</v>
      </c>
      <c r="AI437" s="95" t="s">
        <v>4613</v>
      </c>
      <c r="AJ437" s="99"/>
      <c r="AK437" s="100" t="s">
        <v>43</v>
      </c>
      <c r="AL437" s="100" t="s">
        <v>43</v>
      </c>
      <c r="AM437" s="100" t="str">
        <f>IF(AL437&lt;&gt;"No Disp",AK437+12*AL437,"No Disp")</f>
        <v>No Disp</v>
      </c>
      <c r="AN437" s="100" t="s">
        <v>43</v>
      </c>
      <c r="AO437" s="100" t="s">
        <v>43</v>
      </c>
      <c r="AP437" s="100" t="str">
        <f>IF(AO437&lt;&gt;"No Disp",AN437+12*AO437,"No Disp")</f>
        <v>No Disp</v>
      </c>
      <c r="AQ437" s="100" t="s">
        <v>43</v>
      </c>
      <c r="AR437" s="100" t="s">
        <v>43</v>
      </c>
      <c r="AS437" s="100" t="str">
        <f>IF(AR437&lt;&gt;"No Disp",AQ437+12*AR437,"No Disp")</f>
        <v>No Disp</v>
      </c>
    </row>
    <row r="438" spans="1:45" s="101" customFormat="1" x14ac:dyDescent="0.25">
      <c r="A438" s="90" t="s">
        <v>38</v>
      </c>
      <c r="B438" s="90" t="s">
        <v>39</v>
      </c>
      <c r="C438" s="90" t="s">
        <v>40</v>
      </c>
      <c r="D438" s="90" t="s">
        <v>4540</v>
      </c>
      <c r="E438" s="90" t="s">
        <v>4542</v>
      </c>
      <c r="F438" s="91">
        <v>341</v>
      </c>
      <c r="G438" s="92">
        <v>70012144</v>
      </c>
      <c r="H438" s="91">
        <v>70012145</v>
      </c>
      <c r="I438" s="93" t="s">
        <v>46</v>
      </c>
      <c r="J438" s="94" t="s">
        <v>3832</v>
      </c>
      <c r="K438" s="94" t="s">
        <v>520</v>
      </c>
      <c r="L438" s="94" t="s">
        <v>521</v>
      </c>
      <c r="M438" s="95">
        <v>215760</v>
      </c>
      <c r="N438" s="95">
        <v>6000</v>
      </c>
      <c r="O438" s="95">
        <v>8500</v>
      </c>
      <c r="P438" s="96">
        <v>749990</v>
      </c>
      <c r="Q438" s="152"/>
      <c r="R438" s="95">
        <v>215760</v>
      </c>
      <c r="S438" s="95">
        <f>R438/24</f>
        <v>8990</v>
      </c>
      <c r="T438" s="95">
        <v>215760</v>
      </c>
      <c r="U438" s="95">
        <f>T438/24</f>
        <v>8990</v>
      </c>
      <c r="V438" s="95">
        <v>215760</v>
      </c>
      <c r="W438" s="95">
        <f>V438/24</f>
        <v>8990</v>
      </c>
      <c r="X438" s="128"/>
      <c r="Y438" s="95">
        <v>499900</v>
      </c>
      <c r="Z438" s="95">
        <v>19500</v>
      </c>
      <c r="AA438" s="95">
        <f>IFERROR(IF(D438="Premium",0.4*Y438,0),"No Disp")</f>
        <v>199960</v>
      </c>
      <c r="AB438" s="95">
        <f>IFERROR(IF(4*Y438&gt;AC438,1.5*Y438,4*Y438),"No Disp")</f>
        <v>749850</v>
      </c>
      <c r="AC438" s="95">
        <f>IF(Z438="No Disp","No Disp",(Z438*18)+Y438)</f>
        <v>850900</v>
      </c>
      <c r="AD438" s="95">
        <f>18*Z438-100+Y438</f>
        <v>850800</v>
      </c>
      <c r="AE438" s="95">
        <v>149900</v>
      </c>
      <c r="AF438" s="95">
        <v>38500</v>
      </c>
      <c r="AG438" s="95">
        <f>IF(AF438="No Disp","No Disp",(AF438*18)+AE438)</f>
        <v>842900</v>
      </c>
      <c r="AH438" s="98">
        <f>18*AF438-100+AE438</f>
        <v>842800</v>
      </c>
      <c r="AI438" s="95" t="s">
        <v>4613</v>
      </c>
      <c r="AJ438" s="99"/>
      <c r="AK438" s="100" t="s">
        <v>43</v>
      </c>
      <c r="AL438" s="100" t="s">
        <v>43</v>
      </c>
      <c r="AM438" s="100" t="str">
        <f>IF(AL438&lt;&gt;"No Disp",AK438+12*AL438,"No Disp")</f>
        <v>No Disp</v>
      </c>
      <c r="AN438" s="100" t="s">
        <v>43</v>
      </c>
      <c r="AO438" s="100" t="s">
        <v>43</v>
      </c>
      <c r="AP438" s="100" t="str">
        <f>IF(AO438&lt;&gt;"No Disp",AN438+12*AO438,"No Disp")</f>
        <v>No Disp</v>
      </c>
      <c r="AQ438" s="100" t="s">
        <v>43</v>
      </c>
      <c r="AR438" s="100" t="s">
        <v>43</v>
      </c>
      <c r="AS438" s="100" t="str">
        <f>IF(AR438&lt;&gt;"No Disp",AQ438+12*AR438,"No Disp")</f>
        <v>No Disp</v>
      </c>
    </row>
    <row r="439" spans="1:45" s="101" customFormat="1" x14ac:dyDescent="0.25">
      <c r="A439" s="90" t="s">
        <v>38</v>
      </c>
      <c r="B439" s="90" t="s">
        <v>39</v>
      </c>
      <c r="C439" s="90" t="s">
        <v>40</v>
      </c>
      <c r="D439" s="90" t="s">
        <v>4540</v>
      </c>
      <c r="E439" s="90" t="s">
        <v>4542</v>
      </c>
      <c r="F439" s="91">
        <v>336</v>
      </c>
      <c r="G439" s="92">
        <v>70012150</v>
      </c>
      <c r="H439" s="91">
        <v>70012151</v>
      </c>
      <c r="I439" s="93" t="s">
        <v>46</v>
      </c>
      <c r="J439" s="94" t="s">
        <v>526</v>
      </c>
      <c r="K439" s="94" t="s">
        <v>531</v>
      </c>
      <c r="L439" s="94" t="s">
        <v>532</v>
      </c>
      <c r="M439" s="95">
        <v>519900</v>
      </c>
      <c r="N439" s="95">
        <v>6000</v>
      </c>
      <c r="O439" s="95">
        <v>8500</v>
      </c>
      <c r="P439" s="96">
        <v>0</v>
      </c>
      <c r="Q439" s="152"/>
      <c r="R439" s="95">
        <v>519900</v>
      </c>
      <c r="S439" s="95">
        <f>R439/24</f>
        <v>21662.5</v>
      </c>
      <c r="T439" s="95">
        <v>519900</v>
      </c>
      <c r="U439" s="95">
        <f>T439/24</f>
        <v>21662.5</v>
      </c>
      <c r="V439" s="95">
        <v>519900</v>
      </c>
      <c r="W439" s="95">
        <f>V439/24</f>
        <v>21662.5</v>
      </c>
      <c r="X439" s="128"/>
      <c r="Y439" s="95">
        <v>449900</v>
      </c>
      <c r="Z439" s="95">
        <v>26000</v>
      </c>
      <c r="AA439" s="95">
        <f>IFERROR(IF(D439="Premium",0.4*Y439,0),"No Disp")</f>
        <v>179960</v>
      </c>
      <c r="AB439" s="95">
        <f>IFERROR(IF(4*Y439&gt;AC439,1.5*Y439,4*Y439),"No Disp")</f>
        <v>674850</v>
      </c>
      <c r="AC439" s="95">
        <f>IF(Z439="No Disp","No Disp",(Z439*18)+Y439)</f>
        <v>917900</v>
      </c>
      <c r="AD439" s="95">
        <f>18*Z439-100+Y439</f>
        <v>917800</v>
      </c>
      <c r="AE439" s="95">
        <v>99900</v>
      </c>
      <c r="AF439" s="95">
        <v>45000</v>
      </c>
      <c r="AG439" s="95">
        <f>IF(AF439="No Disp","No Disp",(AF439*18)+AE439)</f>
        <v>909900</v>
      </c>
      <c r="AH439" s="98">
        <f>18*AF439-100+AE439</f>
        <v>909800</v>
      </c>
      <c r="AI439" s="95" t="s">
        <v>4613</v>
      </c>
      <c r="AJ439" s="99"/>
      <c r="AK439" s="100" t="s">
        <v>43</v>
      </c>
      <c r="AL439" s="100" t="s">
        <v>43</v>
      </c>
      <c r="AM439" s="100" t="str">
        <f>IF(AL439&lt;&gt;"No Disp",AK439+12*AL439,"No Disp")</f>
        <v>No Disp</v>
      </c>
      <c r="AN439" s="100" t="s">
        <v>43</v>
      </c>
      <c r="AO439" s="100" t="s">
        <v>43</v>
      </c>
      <c r="AP439" s="100" t="str">
        <f>IF(AO439&lt;&gt;"No Disp",AN439+12*AO439,"No Disp")</f>
        <v>No Disp</v>
      </c>
      <c r="AQ439" s="100" t="s">
        <v>43</v>
      </c>
      <c r="AR439" s="100" t="s">
        <v>43</v>
      </c>
      <c r="AS439" s="100" t="str">
        <f>IF(AR439&lt;&gt;"No Disp",AQ439+12*AR439,"No Disp")</f>
        <v>No Disp</v>
      </c>
    </row>
    <row r="440" spans="1:45" s="101" customFormat="1" x14ac:dyDescent="0.25">
      <c r="A440" s="90" t="s">
        <v>38</v>
      </c>
      <c r="B440" s="90" t="s">
        <v>39</v>
      </c>
      <c r="C440" s="90" t="s">
        <v>40</v>
      </c>
      <c r="D440" s="90" t="s">
        <v>4540</v>
      </c>
      <c r="E440" s="90" t="s">
        <v>4542</v>
      </c>
      <c r="F440" s="91">
        <v>338</v>
      </c>
      <c r="G440" s="92">
        <v>70012153</v>
      </c>
      <c r="H440" s="91">
        <v>70012154</v>
      </c>
      <c r="I440" s="93" t="s">
        <v>46</v>
      </c>
      <c r="J440" s="94" t="s">
        <v>526</v>
      </c>
      <c r="K440" s="94" t="s">
        <v>527</v>
      </c>
      <c r="L440" s="94" t="s">
        <v>528</v>
      </c>
      <c r="M440" s="95">
        <v>519900</v>
      </c>
      <c r="N440" s="95">
        <v>6000</v>
      </c>
      <c r="O440" s="95">
        <v>8500</v>
      </c>
      <c r="P440" s="96">
        <v>0</v>
      </c>
      <c r="Q440" s="152"/>
      <c r="R440" s="95">
        <v>519900</v>
      </c>
      <c r="S440" s="95">
        <f>R440/24</f>
        <v>21662.5</v>
      </c>
      <c r="T440" s="95">
        <v>519900</v>
      </c>
      <c r="U440" s="95">
        <f>T440/24</f>
        <v>21662.5</v>
      </c>
      <c r="V440" s="95">
        <v>519900</v>
      </c>
      <c r="W440" s="95">
        <f>V440/24</f>
        <v>21662.5</v>
      </c>
      <c r="X440" s="128"/>
      <c r="Y440" s="95">
        <v>449900</v>
      </c>
      <c r="Z440" s="95">
        <v>26000</v>
      </c>
      <c r="AA440" s="95">
        <f>IFERROR(IF(D440="Premium",0.4*Y440,0),"No Disp")</f>
        <v>179960</v>
      </c>
      <c r="AB440" s="95">
        <f>IFERROR(IF(4*Y440&gt;AC440,1.5*Y440,4*Y440),"No Disp")</f>
        <v>674850</v>
      </c>
      <c r="AC440" s="95">
        <f>IF(Z440="No Disp","No Disp",(Z440*18)+Y440)</f>
        <v>917900</v>
      </c>
      <c r="AD440" s="95">
        <f>18*Z440-100+Y440</f>
        <v>917800</v>
      </c>
      <c r="AE440" s="95">
        <v>99900</v>
      </c>
      <c r="AF440" s="95">
        <v>45000</v>
      </c>
      <c r="AG440" s="95">
        <f>IF(AF440="No Disp","No Disp",(AF440*18)+AE440)</f>
        <v>909900</v>
      </c>
      <c r="AH440" s="98">
        <f>18*AF440-100+AE440</f>
        <v>909800</v>
      </c>
      <c r="AI440" s="95" t="s">
        <v>4613</v>
      </c>
      <c r="AJ440" s="99"/>
      <c r="AK440" s="100" t="s">
        <v>43</v>
      </c>
      <c r="AL440" s="100" t="s">
        <v>43</v>
      </c>
      <c r="AM440" s="100" t="str">
        <f>IF(AL440&lt;&gt;"No Disp",AK440+12*AL440,"No Disp")</f>
        <v>No Disp</v>
      </c>
      <c r="AN440" s="100" t="s">
        <v>43</v>
      </c>
      <c r="AO440" s="100" t="s">
        <v>43</v>
      </c>
      <c r="AP440" s="100" t="str">
        <f>IF(AO440&lt;&gt;"No Disp",AN440+12*AO440,"No Disp")</f>
        <v>No Disp</v>
      </c>
      <c r="AQ440" s="100" t="s">
        <v>43</v>
      </c>
      <c r="AR440" s="100" t="s">
        <v>43</v>
      </c>
      <c r="AS440" s="100" t="str">
        <f>IF(AR440&lt;&gt;"No Disp",AQ440+12*AR440,"No Disp")</f>
        <v>No Disp</v>
      </c>
    </row>
    <row r="441" spans="1:45" s="101" customFormat="1" x14ac:dyDescent="0.25">
      <c r="A441" s="90" t="s">
        <v>38</v>
      </c>
      <c r="B441" s="90" t="s">
        <v>39</v>
      </c>
      <c r="C441" s="90" t="s">
        <v>40</v>
      </c>
      <c r="D441" s="90" t="s">
        <v>4540</v>
      </c>
      <c r="E441" s="90" t="s">
        <v>4542</v>
      </c>
      <c r="F441" s="91">
        <v>339</v>
      </c>
      <c r="G441" s="92">
        <v>70012156</v>
      </c>
      <c r="H441" s="91">
        <v>70012157</v>
      </c>
      <c r="I441" s="93" t="s">
        <v>46</v>
      </c>
      <c r="J441" s="94" t="s">
        <v>3832</v>
      </c>
      <c r="K441" s="94" t="s">
        <v>524</v>
      </c>
      <c r="L441" s="94" t="s">
        <v>525</v>
      </c>
      <c r="M441" s="95">
        <v>215760</v>
      </c>
      <c r="N441" s="95">
        <v>6000</v>
      </c>
      <c r="O441" s="95">
        <v>8500</v>
      </c>
      <c r="P441" s="96">
        <v>749990</v>
      </c>
      <c r="Q441" s="152"/>
      <c r="R441" s="95">
        <v>215760</v>
      </c>
      <c r="S441" s="95">
        <f>R441/24</f>
        <v>8990</v>
      </c>
      <c r="T441" s="95">
        <v>215760</v>
      </c>
      <c r="U441" s="95">
        <f>T441/24</f>
        <v>8990</v>
      </c>
      <c r="V441" s="95">
        <v>215760</v>
      </c>
      <c r="W441" s="95">
        <f>V441/24</f>
        <v>8990</v>
      </c>
      <c r="X441" s="128"/>
      <c r="Y441" s="95">
        <v>499900</v>
      </c>
      <c r="Z441" s="95">
        <v>19500</v>
      </c>
      <c r="AA441" s="95">
        <f>IFERROR(IF(D441="Premium",0.4*Y441,0),"No Disp")</f>
        <v>199960</v>
      </c>
      <c r="AB441" s="95">
        <f>IFERROR(IF(4*Y441&gt;AC441,1.5*Y441,4*Y441),"No Disp")</f>
        <v>749850</v>
      </c>
      <c r="AC441" s="95">
        <f>IF(Z441="No Disp","No Disp",(Z441*18)+Y441)</f>
        <v>850900</v>
      </c>
      <c r="AD441" s="95">
        <f>18*Z441-100+Y441</f>
        <v>850800</v>
      </c>
      <c r="AE441" s="95">
        <v>149900</v>
      </c>
      <c r="AF441" s="95">
        <v>38500</v>
      </c>
      <c r="AG441" s="95">
        <f>IF(AF441="No Disp","No Disp",(AF441*18)+AE441)</f>
        <v>842900</v>
      </c>
      <c r="AH441" s="98">
        <f>18*AF441-100+AE441</f>
        <v>842800</v>
      </c>
      <c r="AI441" s="95" t="s">
        <v>4613</v>
      </c>
      <c r="AJ441" s="99"/>
      <c r="AK441" s="100" t="s">
        <v>43</v>
      </c>
      <c r="AL441" s="100" t="s">
        <v>43</v>
      </c>
      <c r="AM441" s="100" t="str">
        <f>IF(AL441&lt;&gt;"No Disp",AK441+12*AL441,"No Disp")</f>
        <v>No Disp</v>
      </c>
      <c r="AN441" s="100" t="s">
        <v>43</v>
      </c>
      <c r="AO441" s="100" t="s">
        <v>43</v>
      </c>
      <c r="AP441" s="100" t="str">
        <f>IF(AO441&lt;&gt;"No Disp",AN441+12*AO441,"No Disp")</f>
        <v>No Disp</v>
      </c>
      <c r="AQ441" s="100" t="s">
        <v>43</v>
      </c>
      <c r="AR441" s="100" t="s">
        <v>43</v>
      </c>
      <c r="AS441" s="100" t="str">
        <f>IF(AR441&lt;&gt;"No Disp",AQ441+12*AR441,"No Disp")</f>
        <v>No Disp</v>
      </c>
    </row>
    <row r="442" spans="1:45" s="101" customFormat="1" x14ac:dyDescent="0.25">
      <c r="A442" s="90" t="s">
        <v>38</v>
      </c>
      <c r="B442" s="90" t="s">
        <v>39</v>
      </c>
      <c r="C442" s="90" t="s">
        <v>40</v>
      </c>
      <c r="D442" s="90" t="s">
        <v>4540</v>
      </c>
      <c r="E442" s="90" t="s">
        <v>4542</v>
      </c>
      <c r="F442" s="91">
        <v>342</v>
      </c>
      <c r="G442" s="92">
        <v>70012147</v>
      </c>
      <c r="H442" s="91">
        <v>70012158</v>
      </c>
      <c r="I442" s="93" t="s">
        <v>46</v>
      </c>
      <c r="J442" s="94" t="s">
        <v>3832</v>
      </c>
      <c r="K442" s="94" t="s">
        <v>518</v>
      </c>
      <c r="L442" s="94" t="s">
        <v>519</v>
      </c>
      <c r="M442" s="95">
        <v>215760</v>
      </c>
      <c r="N442" s="95">
        <v>6000</v>
      </c>
      <c r="O442" s="95">
        <v>8500</v>
      </c>
      <c r="P442" s="96">
        <v>749990</v>
      </c>
      <c r="Q442" s="152"/>
      <c r="R442" s="95">
        <v>215760</v>
      </c>
      <c r="S442" s="95">
        <f>R442/24</f>
        <v>8990</v>
      </c>
      <c r="T442" s="95">
        <v>215760</v>
      </c>
      <c r="U442" s="95">
        <f>T442/24</f>
        <v>8990</v>
      </c>
      <c r="V442" s="95">
        <v>215760</v>
      </c>
      <c r="W442" s="95">
        <f>V442/24</f>
        <v>8990</v>
      </c>
      <c r="X442" s="128"/>
      <c r="Y442" s="95">
        <v>499900</v>
      </c>
      <c r="Z442" s="95">
        <v>19500</v>
      </c>
      <c r="AA442" s="95">
        <f>IFERROR(IF(D442="Premium",0.4*Y442,0),"No Disp")</f>
        <v>199960</v>
      </c>
      <c r="AB442" s="95">
        <f>IFERROR(IF(4*Y442&gt;AC442,1.5*Y442,4*Y442),"No Disp")</f>
        <v>749850</v>
      </c>
      <c r="AC442" s="95">
        <f>IF(Z442="No Disp","No Disp",(Z442*18)+Y442)</f>
        <v>850900</v>
      </c>
      <c r="AD442" s="95">
        <f>18*Z442-100+Y442</f>
        <v>850800</v>
      </c>
      <c r="AE442" s="95">
        <v>149900</v>
      </c>
      <c r="AF442" s="95">
        <v>38500</v>
      </c>
      <c r="AG442" s="95">
        <f>IF(AF442="No Disp","No Disp",(AF442*18)+AE442)</f>
        <v>842900</v>
      </c>
      <c r="AH442" s="98">
        <f>18*AF442-100+AE442</f>
        <v>842800</v>
      </c>
      <c r="AI442" s="95" t="s">
        <v>4613</v>
      </c>
      <c r="AJ442" s="99"/>
      <c r="AK442" s="100" t="s">
        <v>43</v>
      </c>
      <c r="AL442" s="100" t="s">
        <v>43</v>
      </c>
      <c r="AM442" s="100" t="str">
        <f>IF(AL442&lt;&gt;"No Disp",AK442+12*AL442,"No Disp")</f>
        <v>No Disp</v>
      </c>
      <c r="AN442" s="100" t="s">
        <v>43</v>
      </c>
      <c r="AO442" s="100" t="s">
        <v>43</v>
      </c>
      <c r="AP442" s="100" t="str">
        <f>IF(AO442&lt;&gt;"No Disp",AN442+12*AO442,"No Disp")</f>
        <v>No Disp</v>
      </c>
      <c r="AQ442" s="100" t="s">
        <v>43</v>
      </c>
      <c r="AR442" s="100" t="s">
        <v>43</v>
      </c>
      <c r="AS442" s="100" t="str">
        <f>IF(AR442&lt;&gt;"No Disp",AQ442+12*AR442,"No Disp")</f>
        <v>No Disp</v>
      </c>
    </row>
    <row r="443" spans="1:45" s="101" customFormat="1" x14ac:dyDescent="0.25">
      <c r="A443" s="90" t="s">
        <v>38</v>
      </c>
      <c r="B443" s="90" t="s">
        <v>40</v>
      </c>
      <c r="C443" s="90" t="s">
        <v>40</v>
      </c>
      <c r="D443" s="90" t="s">
        <v>4540</v>
      </c>
      <c r="E443" s="90" t="s">
        <v>4542</v>
      </c>
      <c r="F443" s="91">
        <v>359</v>
      </c>
      <c r="G443" s="92">
        <v>70012171</v>
      </c>
      <c r="H443" s="91">
        <v>70012172</v>
      </c>
      <c r="I443" s="93" t="s">
        <v>46</v>
      </c>
      <c r="J443" s="94" t="s">
        <v>3793</v>
      </c>
      <c r="K443" s="94" t="s">
        <v>482</v>
      </c>
      <c r="L443" s="94" t="s">
        <v>483</v>
      </c>
      <c r="M443" s="95">
        <v>1299900</v>
      </c>
      <c r="N443" s="95">
        <v>7000</v>
      </c>
      <c r="O443" s="95">
        <v>10000</v>
      </c>
      <c r="P443" s="96">
        <v>0</v>
      </c>
      <c r="Q443" s="152"/>
      <c r="R443" s="95">
        <v>1299900</v>
      </c>
      <c r="S443" s="95">
        <f>R443/24</f>
        <v>54162.5</v>
      </c>
      <c r="T443" s="95">
        <v>1299900</v>
      </c>
      <c r="U443" s="95">
        <f>T443/24</f>
        <v>54162.5</v>
      </c>
      <c r="V443" s="95">
        <v>1299900</v>
      </c>
      <c r="W443" s="95">
        <f>V443/24</f>
        <v>54162.5</v>
      </c>
      <c r="X443" s="128"/>
      <c r="Y443" s="95">
        <v>929900</v>
      </c>
      <c r="Z443" s="95">
        <v>40000</v>
      </c>
      <c r="AA443" s="95">
        <f>IFERROR(IF(D443="Premium",0.4*Y443,0),"No Disp")</f>
        <v>371960</v>
      </c>
      <c r="AB443" s="95">
        <f>IFERROR(IF(4*Y443&gt;AC443,1.5*Y443,4*Y443),"No Disp")</f>
        <v>1394850</v>
      </c>
      <c r="AC443" s="95">
        <f>IF(Z443="No Disp","No Disp",(Z443*18)+Y443)</f>
        <v>1649900</v>
      </c>
      <c r="AD443" s="95">
        <f>18*Z443-100+Y443</f>
        <v>1649800</v>
      </c>
      <c r="AE443" s="95">
        <v>599900</v>
      </c>
      <c r="AF443" s="95">
        <v>58000</v>
      </c>
      <c r="AG443" s="95">
        <f>IF(AF443="No Disp","No Disp",(AF443*18)+AE443)</f>
        <v>1643900</v>
      </c>
      <c r="AH443" s="98">
        <f>18*AF443-100+AE443</f>
        <v>1643800</v>
      </c>
      <c r="AI443" s="95" t="s">
        <v>4613</v>
      </c>
      <c r="AJ443" s="99"/>
      <c r="AK443" s="100" t="s">
        <v>43</v>
      </c>
      <c r="AL443" s="100" t="s">
        <v>43</v>
      </c>
      <c r="AM443" s="100" t="str">
        <f>IF(AL443&lt;&gt;"No Disp",AK443+12*AL443,"No Disp")</f>
        <v>No Disp</v>
      </c>
      <c r="AN443" s="100" t="s">
        <v>43</v>
      </c>
      <c r="AO443" s="100" t="s">
        <v>43</v>
      </c>
      <c r="AP443" s="100" t="str">
        <f>IF(AO443&lt;&gt;"No Disp",AN443+12*AO443,"No Disp")</f>
        <v>No Disp</v>
      </c>
      <c r="AQ443" s="100" t="s">
        <v>43</v>
      </c>
      <c r="AR443" s="100" t="s">
        <v>43</v>
      </c>
      <c r="AS443" s="100" t="str">
        <f>IF(AR443&lt;&gt;"No Disp",AQ443+12*AR443,"No Disp")</f>
        <v>No Disp</v>
      </c>
    </row>
    <row r="444" spans="1:45" s="101" customFormat="1" x14ac:dyDescent="0.25">
      <c r="A444" s="90" t="s">
        <v>38</v>
      </c>
      <c r="B444" s="90" t="s">
        <v>39</v>
      </c>
      <c r="C444" s="90" t="s">
        <v>39</v>
      </c>
      <c r="D444" s="90" t="s">
        <v>4540</v>
      </c>
      <c r="E444" s="90" t="s">
        <v>4542</v>
      </c>
      <c r="F444" s="91">
        <v>357</v>
      </c>
      <c r="G444" s="92">
        <v>70012175</v>
      </c>
      <c r="H444" s="91">
        <v>70012176</v>
      </c>
      <c r="I444" s="93" t="s">
        <v>112</v>
      </c>
      <c r="J444" s="94" t="s">
        <v>3834</v>
      </c>
      <c r="K444" s="94" t="s">
        <v>486</v>
      </c>
      <c r="L444" s="94" t="s">
        <v>487</v>
      </c>
      <c r="M444" s="95">
        <v>749900</v>
      </c>
      <c r="N444" s="95">
        <v>6000</v>
      </c>
      <c r="O444" s="95">
        <v>8500</v>
      </c>
      <c r="P444" s="96">
        <v>0</v>
      </c>
      <c r="Q444" s="152"/>
      <c r="R444" s="95">
        <v>749900</v>
      </c>
      <c r="S444" s="95">
        <f>R444/24</f>
        <v>31245.833333333332</v>
      </c>
      <c r="T444" s="95">
        <v>749900</v>
      </c>
      <c r="U444" s="95">
        <f>T444/24</f>
        <v>31245.833333333332</v>
      </c>
      <c r="V444" s="95">
        <v>749900</v>
      </c>
      <c r="W444" s="95">
        <f>V444/24</f>
        <v>31245.833333333332</v>
      </c>
      <c r="X444" s="128"/>
      <c r="Y444" s="95">
        <v>500000</v>
      </c>
      <c r="Z444" s="95">
        <v>28000</v>
      </c>
      <c r="AA444" s="95">
        <f>IFERROR(IF(D444="Premium",0.4*Y444,0),"No Disp")</f>
        <v>200000</v>
      </c>
      <c r="AB444" s="95">
        <f>IFERROR(IF(4*Y444&gt;AC444,1.5*Y444,4*Y444),"No Disp")</f>
        <v>750000</v>
      </c>
      <c r="AC444" s="95">
        <f>IF(Z444="No Disp","No Disp",(Z444*18)+Y444)</f>
        <v>1004000</v>
      </c>
      <c r="AD444" s="95">
        <f>18*Z444-100+Y444</f>
        <v>1003900</v>
      </c>
      <c r="AE444" s="95">
        <v>199900</v>
      </c>
      <c r="AF444" s="95">
        <v>46000</v>
      </c>
      <c r="AG444" s="95">
        <f>IF(AF444="No Disp","No Disp",(AF444*18)+AE444)</f>
        <v>1027900</v>
      </c>
      <c r="AH444" s="98">
        <f>18*AF444-100+AE444</f>
        <v>1027800</v>
      </c>
      <c r="AI444" s="95" t="s">
        <v>4613</v>
      </c>
      <c r="AJ444" s="99"/>
      <c r="AK444" s="100" t="s">
        <v>43</v>
      </c>
      <c r="AL444" s="100" t="s">
        <v>43</v>
      </c>
      <c r="AM444" s="100" t="str">
        <f>IF(AL444&lt;&gt;"No Disp",AK444+12*AL444,"No Disp")</f>
        <v>No Disp</v>
      </c>
      <c r="AN444" s="100" t="s">
        <v>43</v>
      </c>
      <c r="AO444" s="100" t="s">
        <v>43</v>
      </c>
      <c r="AP444" s="100" t="str">
        <f>IF(AO444&lt;&gt;"No Disp",AN444+12*AO444,"No Disp")</f>
        <v>No Disp</v>
      </c>
      <c r="AQ444" s="100" t="s">
        <v>43</v>
      </c>
      <c r="AR444" s="100" t="s">
        <v>43</v>
      </c>
      <c r="AS444" s="100" t="str">
        <f>IF(AR444&lt;&gt;"No Disp",AQ444+12*AR444,"No Disp")</f>
        <v>No Disp</v>
      </c>
    </row>
    <row r="445" spans="1:45" s="101" customFormat="1" x14ac:dyDescent="0.25">
      <c r="A445" s="90" t="s">
        <v>38</v>
      </c>
      <c r="B445" s="90" t="s">
        <v>39</v>
      </c>
      <c r="C445" s="90" t="s">
        <v>40</v>
      </c>
      <c r="D445" s="90" t="s">
        <v>4539</v>
      </c>
      <c r="E445" s="90" t="s">
        <v>4542</v>
      </c>
      <c r="F445" s="91">
        <v>356</v>
      </c>
      <c r="G445" s="92">
        <v>70012167</v>
      </c>
      <c r="H445" s="91">
        <v>70012178</v>
      </c>
      <c r="I445" s="93" t="s">
        <v>112</v>
      </c>
      <c r="J445" s="94" t="s">
        <v>3835</v>
      </c>
      <c r="K445" s="94" t="s">
        <v>488</v>
      </c>
      <c r="L445" s="94" t="s">
        <v>489</v>
      </c>
      <c r="M445" s="95">
        <v>179900</v>
      </c>
      <c r="N445" s="95">
        <v>4000</v>
      </c>
      <c r="O445" s="95">
        <v>6000</v>
      </c>
      <c r="P445" s="96">
        <v>299990</v>
      </c>
      <c r="Q445" s="152"/>
      <c r="R445" s="95">
        <v>199990</v>
      </c>
      <c r="S445" s="95">
        <f>R445/24</f>
        <v>8332.9166666666661</v>
      </c>
      <c r="T445" s="95">
        <v>179900</v>
      </c>
      <c r="U445" s="95">
        <f>T445/24</f>
        <v>7495.833333333333</v>
      </c>
      <c r="V445" s="95">
        <v>179900</v>
      </c>
      <c r="W445" s="95">
        <f>V445/24</f>
        <v>7495.833333333333</v>
      </c>
      <c r="X445" s="128"/>
      <c r="Y445" s="95">
        <v>0</v>
      </c>
      <c r="Z445" s="95">
        <v>16500</v>
      </c>
      <c r="AA445" s="95">
        <f>IFERROR(IF(D445="Premium",0.4*Y445,0),"No Disp")</f>
        <v>0</v>
      </c>
      <c r="AB445" s="95">
        <f>IFERROR(IF(4*Y445&gt;AC445,1.5*Y445,4*Y445),"No Disp")</f>
        <v>0</v>
      </c>
      <c r="AC445" s="95">
        <f>IF(Z445="No Disp","No Disp",(Z445*18)+Y445)</f>
        <v>297000</v>
      </c>
      <c r="AD445" s="95">
        <f>18*Z445-100+Y445</f>
        <v>296900</v>
      </c>
      <c r="AE445" s="95">
        <v>0</v>
      </c>
      <c r="AF445" s="95">
        <v>15000</v>
      </c>
      <c r="AG445" s="95">
        <f>IF(AF445="No Disp","No Disp",(AF445*18)+AE445)</f>
        <v>270000</v>
      </c>
      <c r="AH445" s="98">
        <f>18*AF445-100+AE445</f>
        <v>269900</v>
      </c>
      <c r="AI445" s="95" t="s">
        <v>4613</v>
      </c>
      <c r="AJ445" s="99"/>
      <c r="AK445" s="100" t="s">
        <v>43</v>
      </c>
      <c r="AL445" s="100" t="s">
        <v>43</v>
      </c>
      <c r="AM445" s="100" t="str">
        <f>IF(AL445&lt;&gt;"No Disp",AK445+12*AL445,"No Disp")</f>
        <v>No Disp</v>
      </c>
      <c r="AN445" s="100" t="s">
        <v>43</v>
      </c>
      <c r="AO445" s="100" t="s">
        <v>43</v>
      </c>
      <c r="AP445" s="100" t="str">
        <f>IF(AO445&lt;&gt;"No Disp",AN445+12*AO445,"No Disp")</f>
        <v>No Disp</v>
      </c>
      <c r="AQ445" s="100" t="s">
        <v>43</v>
      </c>
      <c r="AR445" s="100" t="s">
        <v>43</v>
      </c>
      <c r="AS445" s="100" t="str">
        <f>IF(AR445&lt;&gt;"No Disp",AQ445+12*AR445,"No Disp")</f>
        <v>No Disp</v>
      </c>
    </row>
    <row r="446" spans="1:45" s="101" customFormat="1" x14ac:dyDescent="0.25">
      <c r="A446" s="90" t="s">
        <v>38</v>
      </c>
      <c r="B446" s="90" t="s">
        <v>40</v>
      </c>
      <c r="C446" s="90" t="s">
        <v>40</v>
      </c>
      <c r="D446" s="90" t="s">
        <v>4541</v>
      </c>
      <c r="E446" s="90" t="s">
        <v>4542</v>
      </c>
      <c r="F446" s="91">
        <v>361</v>
      </c>
      <c r="G446" s="92">
        <v>70012189</v>
      </c>
      <c r="H446" s="91">
        <v>70012190</v>
      </c>
      <c r="I446" s="93" t="s">
        <v>171</v>
      </c>
      <c r="J446" s="94" t="s">
        <v>479</v>
      </c>
      <c r="K446" s="94" t="s">
        <v>480</v>
      </c>
      <c r="L446" s="94" t="s">
        <v>3836</v>
      </c>
      <c r="M446" s="95">
        <v>59900</v>
      </c>
      <c r="N446" s="95">
        <v>2500</v>
      </c>
      <c r="O446" s="95">
        <v>4000</v>
      </c>
      <c r="P446" s="96">
        <v>0</v>
      </c>
      <c r="Q446" s="152"/>
      <c r="R446" s="95">
        <v>59900</v>
      </c>
      <c r="S446" s="95">
        <f>R446/24</f>
        <v>2495.8333333333335</v>
      </c>
      <c r="T446" s="95">
        <v>59900</v>
      </c>
      <c r="U446" s="95">
        <f>T446/24</f>
        <v>2495.8333333333335</v>
      </c>
      <c r="V446" s="95">
        <v>59900</v>
      </c>
      <c r="W446" s="95">
        <f>V446/24</f>
        <v>2495.8333333333335</v>
      </c>
      <c r="X446" s="128"/>
      <c r="Y446" s="95">
        <v>49900</v>
      </c>
      <c r="Z446" s="95">
        <v>3000</v>
      </c>
      <c r="AA446" s="95">
        <f>IFERROR(IF(D446="Premium",0.4*Y446,0),"No Disp")</f>
        <v>0</v>
      </c>
      <c r="AB446" s="95">
        <f>IFERROR(IF(4*Y446&gt;AC446,1.5*Y446,4*Y446),"No Disp")</f>
        <v>74850</v>
      </c>
      <c r="AC446" s="95">
        <f>IF(Z446="No Disp","No Disp",(Z446*18)+Y446)</f>
        <v>103900</v>
      </c>
      <c r="AD446" s="95">
        <f>18*Z446-100+Y446</f>
        <v>103800</v>
      </c>
      <c r="AE446" s="95">
        <v>19900</v>
      </c>
      <c r="AF446" s="95">
        <v>4000</v>
      </c>
      <c r="AG446" s="95">
        <f>IF(AF446="No Disp","No Disp",(AF446*18)+AE446)</f>
        <v>91900</v>
      </c>
      <c r="AH446" s="98">
        <f>18*AF446-100+AE446</f>
        <v>91800</v>
      </c>
      <c r="AI446" s="95" t="s">
        <v>4613</v>
      </c>
      <c r="AJ446" s="99"/>
      <c r="AK446" s="100" t="s">
        <v>43</v>
      </c>
      <c r="AL446" s="100" t="s">
        <v>43</v>
      </c>
      <c r="AM446" s="100" t="str">
        <f>IF(AL446&lt;&gt;"No Disp",AK446+12*AL446,"No Disp")</f>
        <v>No Disp</v>
      </c>
      <c r="AN446" s="100" t="s">
        <v>43</v>
      </c>
      <c r="AO446" s="100" t="s">
        <v>43</v>
      </c>
      <c r="AP446" s="100" t="str">
        <f>IF(AO446&lt;&gt;"No Disp",AN446+12*AO446,"No Disp")</f>
        <v>No Disp</v>
      </c>
      <c r="AQ446" s="100" t="s">
        <v>43</v>
      </c>
      <c r="AR446" s="100" t="s">
        <v>43</v>
      </c>
      <c r="AS446" s="100" t="str">
        <f>IF(AR446&lt;&gt;"No Disp",AQ446+12*AR446,"No Disp")</f>
        <v>No Disp</v>
      </c>
    </row>
    <row r="447" spans="1:45" s="101" customFormat="1" x14ac:dyDescent="0.25">
      <c r="A447" s="90" t="s">
        <v>38</v>
      </c>
      <c r="B447" s="90" t="s">
        <v>40</v>
      </c>
      <c r="C447" s="90" t="s">
        <v>40</v>
      </c>
      <c r="D447" s="90" t="s">
        <v>4541</v>
      </c>
      <c r="E447" s="90" t="s">
        <v>4542</v>
      </c>
      <c r="F447" s="91">
        <v>360</v>
      </c>
      <c r="G447" s="92">
        <v>70012192</v>
      </c>
      <c r="H447" s="91">
        <v>70012193</v>
      </c>
      <c r="I447" s="93" t="s">
        <v>171</v>
      </c>
      <c r="J447" s="94" t="s">
        <v>479</v>
      </c>
      <c r="K447" s="94" t="s">
        <v>481</v>
      </c>
      <c r="L447" s="94" t="s">
        <v>3837</v>
      </c>
      <c r="M447" s="95">
        <v>59900</v>
      </c>
      <c r="N447" s="95">
        <v>2500</v>
      </c>
      <c r="O447" s="95">
        <v>4000</v>
      </c>
      <c r="P447" s="96">
        <v>0</v>
      </c>
      <c r="Q447" s="152"/>
      <c r="R447" s="95">
        <v>59900</v>
      </c>
      <c r="S447" s="95">
        <f>R447/24</f>
        <v>2495.8333333333335</v>
      </c>
      <c r="T447" s="95">
        <v>59900</v>
      </c>
      <c r="U447" s="95">
        <f>T447/24</f>
        <v>2495.8333333333335</v>
      </c>
      <c r="V447" s="95">
        <v>59900</v>
      </c>
      <c r="W447" s="95">
        <f>V447/24</f>
        <v>2495.8333333333335</v>
      </c>
      <c r="X447" s="128"/>
      <c r="Y447" s="95">
        <v>49900</v>
      </c>
      <c r="Z447" s="95">
        <v>3000</v>
      </c>
      <c r="AA447" s="95">
        <f>IFERROR(IF(D447="Premium",0.4*Y447,0),"No Disp")</f>
        <v>0</v>
      </c>
      <c r="AB447" s="95">
        <f>IFERROR(IF(4*Y447&gt;AC447,1.5*Y447,4*Y447),"No Disp")</f>
        <v>74850</v>
      </c>
      <c r="AC447" s="95">
        <f>IF(Z447="No Disp","No Disp",(Z447*18)+Y447)</f>
        <v>103900</v>
      </c>
      <c r="AD447" s="95">
        <f>18*Z447-100+Y447</f>
        <v>103800</v>
      </c>
      <c r="AE447" s="95">
        <v>19900</v>
      </c>
      <c r="AF447" s="95">
        <v>4000</v>
      </c>
      <c r="AG447" s="95">
        <f>IF(AF447="No Disp","No Disp",(AF447*18)+AE447)</f>
        <v>91900</v>
      </c>
      <c r="AH447" s="98">
        <f>18*AF447-100+AE447</f>
        <v>91800</v>
      </c>
      <c r="AI447" s="95" t="s">
        <v>4613</v>
      </c>
      <c r="AJ447" s="99"/>
      <c r="AK447" s="100" t="s">
        <v>43</v>
      </c>
      <c r="AL447" s="100" t="s">
        <v>43</v>
      </c>
      <c r="AM447" s="100" t="str">
        <f>IF(AL447&lt;&gt;"No Disp",AK447+12*AL447,"No Disp")</f>
        <v>No Disp</v>
      </c>
      <c r="AN447" s="100" t="s">
        <v>43</v>
      </c>
      <c r="AO447" s="100" t="s">
        <v>43</v>
      </c>
      <c r="AP447" s="100" t="str">
        <f>IF(AO447&lt;&gt;"No Disp",AN447+12*AO447,"No Disp")</f>
        <v>No Disp</v>
      </c>
      <c r="AQ447" s="100" t="s">
        <v>43</v>
      </c>
      <c r="AR447" s="100" t="s">
        <v>43</v>
      </c>
      <c r="AS447" s="100" t="str">
        <f>IF(AR447&lt;&gt;"No Disp",AQ447+12*AR447,"No Disp")</f>
        <v>No Disp</v>
      </c>
    </row>
    <row r="448" spans="1:45" s="101" customFormat="1" x14ac:dyDescent="0.25">
      <c r="A448" s="90" t="s">
        <v>38</v>
      </c>
      <c r="B448" s="90" t="s">
        <v>39</v>
      </c>
      <c r="C448" s="90" t="s">
        <v>40</v>
      </c>
      <c r="D448" s="90" t="s">
        <v>4539</v>
      </c>
      <c r="E448" s="90" t="s">
        <v>4542</v>
      </c>
      <c r="F448" s="91">
        <v>381</v>
      </c>
      <c r="G448" s="92">
        <v>70012196</v>
      </c>
      <c r="H448" s="91">
        <v>70012197</v>
      </c>
      <c r="I448" s="93" t="s">
        <v>131</v>
      </c>
      <c r="J448" s="94" t="s">
        <v>3804</v>
      </c>
      <c r="K448" s="94" t="s">
        <v>3838</v>
      </c>
      <c r="L448" s="94" t="s">
        <v>444</v>
      </c>
      <c r="M448" s="95">
        <v>272900</v>
      </c>
      <c r="N448" s="95">
        <v>4000</v>
      </c>
      <c r="O448" s="95">
        <v>6000</v>
      </c>
      <c r="P448" s="96">
        <v>0</v>
      </c>
      <c r="Q448" s="152"/>
      <c r="R448" s="95">
        <v>272900</v>
      </c>
      <c r="S448" s="95">
        <f>R448/24</f>
        <v>11370.833333333334</v>
      </c>
      <c r="T448" s="95">
        <v>272900</v>
      </c>
      <c r="U448" s="95">
        <f>T448/24</f>
        <v>11370.833333333334</v>
      </c>
      <c r="V448" s="95">
        <v>272900</v>
      </c>
      <c r="W448" s="95">
        <f>V448/24</f>
        <v>11370.833333333334</v>
      </c>
      <c r="X448" s="128"/>
      <c r="Y448" s="95">
        <v>121900</v>
      </c>
      <c r="Z448" s="95">
        <v>16500</v>
      </c>
      <c r="AA448" s="95">
        <f>IFERROR(IF(D448="Premium",0.4*Y448,0),"No Disp")</f>
        <v>0</v>
      </c>
      <c r="AB448" s="95">
        <f>IFERROR(IF(4*Y448&gt;AC448,1.5*Y448,4*Y448),"No Disp")</f>
        <v>182850</v>
      </c>
      <c r="AC448" s="95">
        <f>IF(Z448="No Disp","No Disp",(Z448*18)+Y448)</f>
        <v>418900</v>
      </c>
      <c r="AD448" s="95">
        <f>18*Z448-100+Y448</f>
        <v>418800</v>
      </c>
      <c r="AE448" s="95">
        <v>19900</v>
      </c>
      <c r="AF448" s="95">
        <v>22000</v>
      </c>
      <c r="AG448" s="95">
        <f>IF(AF448="No Disp","No Disp",(AF448*18)+AE448)</f>
        <v>415900</v>
      </c>
      <c r="AH448" s="98">
        <f>18*AF448-100+AE448</f>
        <v>415800</v>
      </c>
      <c r="AI448" s="95" t="s">
        <v>4613</v>
      </c>
      <c r="AJ448" s="99"/>
      <c r="AK448" s="100" t="s">
        <v>43</v>
      </c>
      <c r="AL448" s="100" t="s">
        <v>43</v>
      </c>
      <c r="AM448" s="100" t="str">
        <f>IF(AL448&lt;&gt;"No Disp",AK448+12*AL448,"No Disp")</f>
        <v>No Disp</v>
      </c>
      <c r="AN448" s="100" t="s">
        <v>43</v>
      </c>
      <c r="AO448" s="100" t="s">
        <v>43</v>
      </c>
      <c r="AP448" s="100" t="str">
        <f>IF(AO448&lt;&gt;"No Disp",AN448+12*AO448,"No Disp")</f>
        <v>No Disp</v>
      </c>
      <c r="AQ448" s="100" t="s">
        <v>43</v>
      </c>
      <c r="AR448" s="100" t="s">
        <v>43</v>
      </c>
      <c r="AS448" s="100" t="str">
        <f>IF(AR448&lt;&gt;"No Disp",AQ448+12*AR448,"No Disp")</f>
        <v>No Disp</v>
      </c>
    </row>
    <row r="449" spans="1:45" s="101" customFormat="1" x14ac:dyDescent="0.25">
      <c r="A449" s="90" t="s">
        <v>38</v>
      </c>
      <c r="B449" s="90" t="s">
        <v>39</v>
      </c>
      <c r="C449" s="90" t="s">
        <v>40</v>
      </c>
      <c r="D449" s="90" t="s">
        <v>4539</v>
      </c>
      <c r="E449" s="90" t="s">
        <v>4542</v>
      </c>
      <c r="F449" s="91">
        <v>362</v>
      </c>
      <c r="G449" s="92">
        <v>70012205</v>
      </c>
      <c r="H449" s="91">
        <v>70012205</v>
      </c>
      <c r="I449" s="93" t="s">
        <v>131</v>
      </c>
      <c r="J449" s="94" t="s">
        <v>3932</v>
      </c>
      <c r="K449" s="94" t="s">
        <v>477</v>
      </c>
      <c r="L449" s="94" t="s">
        <v>478</v>
      </c>
      <c r="M449" s="95">
        <v>155760</v>
      </c>
      <c r="N449" s="95">
        <v>2500</v>
      </c>
      <c r="O449" s="95">
        <v>4000</v>
      </c>
      <c r="P449" s="96">
        <v>0</v>
      </c>
      <c r="Q449" s="152"/>
      <c r="R449" s="95">
        <v>155760</v>
      </c>
      <c r="S449" s="95">
        <f>R449/24</f>
        <v>6490</v>
      </c>
      <c r="T449" s="95">
        <v>155760</v>
      </c>
      <c r="U449" s="95">
        <f>T449/24</f>
        <v>6490</v>
      </c>
      <c r="V449" s="95">
        <v>155760</v>
      </c>
      <c r="W449" s="95">
        <f>V449/24</f>
        <v>6490</v>
      </c>
      <c r="X449" s="128"/>
      <c r="Y449" s="95">
        <v>74900</v>
      </c>
      <c r="Z449" s="95">
        <v>9000</v>
      </c>
      <c r="AA449" s="95">
        <f>IFERROR(IF(D449="Premium",0.4*Y449,0),"No Disp")</f>
        <v>0</v>
      </c>
      <c r="AB449" s="95">
        <f>IFERROR(IF(4*Y449&gt;AC449,1.5*Y449,4*Y449),"No Disp")</f>
        <v>112350</v>
      </c>
      <c r="AC449" s="95">
        <f>IF(Z449="No Disp","No Disp",(Z449*18)+Y449)</f>
        <v>236900</v>
      </c>
      <c r="AD449" s="95">
        <f>18*Z449-100+Y449</f>
        <v>236800</v>
      </c>
      <c r="AE449" s="95">
        <v>0</v>
      </c>
      <c r="AF449" s="95">
        <v>13500</v>
      </c>
      <c r="AG449" s="95">
        <f>IF(AF449="No Disp","No Disp",(AF449*18)+AE449)</f>
        <v>243000</v>
      </c>
      <c r="AH449" s="98">
        <f>18*AF449-100+AE449</f>
        <v>242900</v>
      </c>
      <c r="AI449" s="95" t="s">
        <v>4613</v>
      </c>
      <c r="AJ449" s="99"/>
      <c r="AK449" s="100" t="s">
        <v>43</v>
      </c>
      <c r="AL449" s="100" t="s">
        <v>43</v>
      </c>
      <c r="AM449" s="100" t="str">
        <f>IF(AL449&lt;&gt;"No Disp",AK449+12*AL449,"No Disp")</f>
        <v>No Disp</v>
      </c>
      <c r="AN449" s="100" t="s">
        <v>43</v>
      </c>
      <c r="AO449" s="100" t="s">
        <v>43</v>
      </c>
      <c r="AP449" s="100" t="str">
        <f>IF(AO449&lt;&gt;"No Disp",AN449+12*AO449,"No Disp")</f>
        <v>No Disp</v>
      </c>
      <c r="AQ449" s="100" t="s">
        <v>43</v>
      </c>
      <c r="AR449" s="100" t="s">
        <v>43</v>
      </c>
      <c r="AS449" s="100" t="str">
        <f>IF(AR449&lt;&gt;"No Disp",AQ449+12*AR449,"No Disp")</f>
        <v>No Disp</v>
      </c>
    </row>
    <row r="450" spans="1:45" s="101" customFormat="1" x14ac:dyDescent="0.25">
      <c r="A450" s="90" t="s">
        <v>38</v>
      </c>
      <c r="B450" s="90" t="s">
        <v>39</v>
      </c>
      <c r="C450" s="90" t="s">
        <v>40</v>
      </c>
      <c r="D450" s="90" t="s">
        <v>4539</v>
      </c>
      <c r="E450" s="90" t="s">
        <v>4542</v>
      </c>
      <c r="F450" s="91">
        <v>363</v>
      </c>
      <c r="G450" s="92">
        <v>70012206</v>
      </c>
      <c r="H450" s="91">
        <v>70012206</v>
      </c>
      <c r="I450" s="93" t="s">
        <v>46</v>
      </c>
      <c r="J450" s="94" t="s">
        <v>3931</v>
      </c>
      <c r="K450" s="94" t="s">
        <v>475</v>
      </c>
      <c r="L450" s="94" t="s">
        <v>476</v>
      </c>
      <c r="M450" s="95">
        <v>107760</v>
      </c>
      <c r="N450" s="95">
        <v>4000</v>
      </c>
      <c r="O450" s="95">
        <v>6000</v>
      </c>
      <c r="P450" s="96">
        <v>0</v>
      </c>
      <c r="Q450" s="152"/>
      <c r="R450" s="95">
        <v>107760</v>
      </c>
      <c r="S450" s="95">
        <f>R450/24</f>
        <v>4490</v>
      </c>
      <c r="T450" s="95">
        <v>107760</v>
      </c>
      <c r="U450" s="95">
        <f>T450/24</f>
        <v>4490</v>
      </c>
      <c r="V450" s="95">
        <v>107760</v>
      </c>
      <c r="W450" s="95">
        <f>V450/24</f>
        <v>4490</v>
      </c>
      <c r="X450" s="128"/>
      <c r="Y450" s="95">
        <v>199900</v>
      </c>
      <c r="Z450" s="95">
        <v>14000</v>
      </c>
      <c r="AA450" s="95">
        <f>IFERROR(IF(D450="Premium",0.4*Y450,0),"No Disp")</f>
        <v>0</v>
      </c>
      <c r="AB450" s="95">
        <f>IFERROR(IF(4*Y450&gt;AC450,1.5*Y450,4*Y450),"No Disp")</f>
        <v>299850</v>
      </c>
      <c r="AC450" s="95">
        <f>IF(Z450="No Disp","No Disp",(Z450*18)+Y450)</f>
        <v>451900</v>
      </c>
      <c r="AD450" s="95">
        <f>18*Z450-100+Y450</f>
        <v>451800</v>
      </c>
      <c r="AE450" s="95">
        <v>99900</v>
      </c>
      <c r="AF450" s="95">
        <v>19000</v>
      </c>
      <c r="AG450" s="95">
        <f>IF(AF450="No Disp","No Disp",(AF450*18)+AE450)</f>
        <v>441900</v>
      </c>
      <c r="AH450" s="98">
        <f>18*AF450-100+AE450</f>
        <v>441800</v>
      </c>
      <c r="AI450" s="95" t="s">
        <v>4613</v>
      </c>
      <c r="AJ450" s="99"/>
      <c r="AK450" s="100" t="s">
        <v>43</v>
      </c>
      <c r="AL450" s="100" t="s">
        <v>43</v>
      </c>
      <c r="AM450" s="100" t="str">
        <f>IF(AL450&lt;&gt;"No Disp",AK450+12*AL450,"No Disp")</f>
        <v>No Disp</v>
      </c>
      <c r="AN450" s="100" t="s">
        <v>43</v>
      </c>
      <c r="AO450" s="100" t="s">
        <v>43</v>
      </c>
      <c r="AP450" s="100" t="str">
        <f>IF(AO450&lt;&gt;"No Disp",AN450+12*AO450,"No Disp")</f>
        <v>No Disp</v>
      </c>
      <c r="AQ450" s="100" t="s">
        <v>43</v>
      </c>
      <c r="AR450" s="100" t="s">
        <v>43</v>
      </c>
      <c r="AS450" s="100" t="str">
        <f>IF(AR450&lt;&gt;"No Disp",AQ450+12*AR450,"No Disp")</f>
        <v>No Disp</v>
      </c>
    </row>
    <row r="451" spans="1:45" s="101" customFormat="1" x14ac:dyDescent="0.25">
      <c r="A451" s="90" t="s">
        <v>38</v>
      </c>
      <c r="B451" s="90" t="s">
        <v>39</v>
      </c>
      <c r="C451" s="90" t="s">
        <v>40</v>
      </c>
      <c r="D451" s="90" t="s">
        <v>4539</v>
      </c>
      <c r="E451" s="90" t="s">
        <v>4542</v>
      </c>
      <c r="F451" s="91">
        <v>364</v>
      </c>
      <c r="G451" s="92">
        <v>70012207</v>
      </c>
      <c r="H451" s="91">
        <v>70012207</v>
      </c>
      <c r="I451" s="93" t="s">
        <v>41</v>
      </c>
      <c r="J451" s="94" t="s">
        <v>3930</v>
      </c>
      <c r="K451" s="94" t="s">
        <v>473</v>
      </c>
      <c r="L451" s="94" t="s">
        <v>474</v>
      </c>
      <c r="M451" s="95">
        <v>189900</v>
      </c>
      <c r="N451" s="95">
        <v>4000</v>
      </c>
      <c r="O451" s="95">
        <v>6000</v>
      </c>
      <c r="P451" s="96">
        <v>0</v>
      </c>
      <c r="Q451" s="152"/>
      <c r="R451" s="95">
        <v>189900</v>
      </c>
      <c r="S451" s="95">
        <f>R451/24</f>
        <v>7912.5</v>
      </c>
      <c r="T451" s="95">
        <v>189900</v>
      </c>
      <c r="U451" s="95">
        <f>T451/24</f>
        <v>7912.5</v>
      </c>
      <c r="V451" s="95">
        <v>189900</v>
      </c>
      <c r="W451" s="95">
        <f>V451/24</f>
        <v>7912.5</v>
      </c>
      <c r="X451" s="128"/>
      <c r="Y451" s="95">
        <v>89900</v>
      </c>
      <c r="Z451" s="95">
        <v>11500</v>
      </c>
      <c r="AA451" s="95">
        <f>IFERROR(IF(D451="Premium",0.4*Y451,0),"No Disp")</f>
        <v>0</v>
      </c>
      <c r="AB451" s="95">
        <f>IFERROR(IF(4*Y451&gt;AC451,1.5*Y451,4*Y451),"No Disp")</f>
        <v>134850</v>
      </c>
      <c r="AC451" s="95">
        <f>IF(Z451="No Disp","No Disp",(Z451*18)+Y451)</f>
        <v>296900</v>
      </c>
      <c r="AD451" s="95">
        <f>18*Z451-100+Y451</f>
        <v>296800</v>
      </c>
      <c r="AE451" s="95">
        <v>0</v>
      </c>
      <c r="AF451" s="95">
        <v>16500</v>
      </c>
      <c r="AG451" s="95">
        <f>IF(AF451="No Disp","No Disp",(AF451*18)+AE451)</f>
        <v>297000</v>
      </c>
      <c r="AH451" s="98">
        <f>18*AF451-100+AE451</f>
        <v>296900</v>
      </c>
      <c r="AI451" s="95" t="s">
        <v>4613</v>
      </c>
      <c r="AJ451" s="99"/>
      <c r="AK451" s="100" t="s">
        <v>43</v>
      </c>
      <c r="AL451" s="100" t="s">
        <v>43</v>
      </c>
      <c r="AM451" s="100" t="str">
        <f>IF(AL451&lt;&gt;"No Disp",AK451+12*AL451,"No Disp")</f>
        <v>No Disp</v>
      </c>
      <c r="AN451" s="100" t="s">
        <v>43</v>
      </c>
      <c r="AO451" s="100" t="s">
        <v>43</v>
      </c>
      <c r="AP451" s="100" t="str">
        <f>IF(AO451&lt;&gt;"No Disp",AN451+12*AO451,"No Disp")</f>
        <v>No Disp</v>
      </c>
      <c r="AQ451" s="100" t="s">
        <v>43</v>
      </c>
      <c r="AR451" s="100" t="s">
        <v>43</v>
      </c>
      <c r="AS451" s="100" t="str">
        <f>IF(AR451&lt;&gt;"No Disp",AQ451+12*AR451,"No Disp")</f>
        <v>No Disp</v>
      </c>
    </row>
    <row r="452" spans="1:45" s="101" customFormat="1" x14ac:dyDescent="0.25">
      <c r="A452" s="90" t="s">
        <v>38</v>
      </c>
      <c r="B452" s="90" t="s">
        <v>39</v>
      </c>
      <c r="C452" s="90" t="s">
        <v>40</v>
      </c>
      <c r="D452" s="90" t="s">
        <v>4537</v>
      </c>
      <c r="E452" s="90" t="s">
        <v>4542</v>
      </c>
      <c r="F452" s="91">
        <v>365</v>
      </c>
      <c r="G452" s="92">
        <v>70012218</v>
      </c>
      <c r="H452" s="91">
        <v>70012218</v>
      </c>
      <c r="I452" s="93" t="s">
        <v>46</v>
      </c>
      <c r="J452" s="94" t="s">
        <v>3929</v>
      </c>
      <c r="K452" s="94" t="s">
        <v>471</v>
      </c>
      <c r="L452" s="94" t="s">
        <v>472</v>
      </c>
      <c r="M452" s="95">
        <v>449900</v>
      </c>
      <c r="N452" s="95">
        <v>4000</v>
      </c>
      <c r="O452" s="95">
        <v>6000</v>
      </c>
      <c r="P452" s="96">
        <v>0</v>
      </c>
      <c r="Q452" s="152"/>
      <c r="R452" s="95">
        <v>459900</v>
      </c>
      <c r="S452" s="95">
        <f>R452/24</f>
        <v>19162.5</v>
      </c>
      <c r="T452" s="95">
        <v>449900</v>
      </c>
      <c r="U452" s="95">
        <f>T452/24</f>
        <v>18745.833333333332</v>
      </c>
      <c r="V452" s="95">
        <v>449900</v>
      </c>
      <c r="W452" s="95">
        <f>V452/24</f>
        <v>18745.833333333332</v>
      </c>
      <c r="X452" s="128"/>
      <c r="Y452" s="95">
        <v>249900</v>
      </c>
      <c r="Z452" s="95">
        <v>20000</v>
      </c>
      <c r="AA452" s="95">
        <f>IFERROR(IF(D452="Premium",0.4*Y452,0),"No Disp")</f>
        <v>0</v>
      </c>
      <c r="AB452" s="95">
        <f>IFERROR(IF(4*Y452&gt;AC452,1.5*Y452,4*Y452),"No Disp")</f>
        <v>374850</v>
      </c>
      <c r="AC452" s="95">
        <f>IF(Z452="No Disp","No Disp",(Z452*18)+Y452)</f>
        <v>609900</v>
      </c>
      <c r="AD452" s="95">
        <f>18*Z452-100+Y452</f>
        <v>609800</v>
      </c>
      <c r="AE452" s="95">
        <v>0</v>
      </c>
      <c r="AF452" s="95">
        <v>35000</v>
      </c>
      <c r="AG452" s="95">
        <f>IF(AF452="No Disp","No Disp",(AF452*18)+AE452)</f>
        <v>630000</v>
      </c>
      <c r="AH452" s="98">
        <f>18*AF452-100+AE452</f>
        <v>629900</v>
      </c>
      <c r="AI452" s="95" t="s">
        <v>4613</v>
      </c>
      <c r="AJ452" s="99"/>
      <c r="AK452" s="100" t="s">
        <v>43</v>
      </c>
      <c r="AL452" s="100" t="s">
        <v>43</v>
      </c>
      <c r="AM452" s="100" t="str">
        <f>IF(AL452&lt;&gt;"No Disp",AK452+12*AL452,"No Disp")</f>
        <v>No Disp</v>
      </c>
      <c r="AN452" s="100" t="s">
        <v>43</v>
      </c>
      <c r="AO452" s="100" t="s">
        <v>43</v>
      </c>
      <c r="AP452" s="100" t="str">
        <f>IF(AO452&lt;&gt;"No Disp",AN452+12*AO452,"No Disp")</f>
        <v>No Disp</v>
      </c>
      <c r="AQ452" s="100" t="s">
        <v>43</v>
      </c>
      <c r="AR452" s="100" t="s">
        <v>43</v>
      </c>
      <c r="AS452" s="100" t="str">
        <f>IF(AR452&lt;&gt;"No Disp",AQ452+12*AR452,"No Disp")</f>
        <v>No Disp</v>
      </c>
    </row>
    <row r="453" spans="1:45" s="101" customFormat="1" x14ac:dyDescent="0.25">
      <c r="A453" s="90" t="s">
        <v>38</v>
      </c>
      <c r="B453" s="90" t="s">
        <v>39</v>
      </c>
      <c r="C453" s="90" t="s">
        <v>40</v>
      </c>
      <c r="D453" s="90" t="s">
        <v>4540</v>
      </c>
      <c r="E453" s="90" t="s">
        <v>4542</v>
      </c>
      <c r="F453" s="91">
        <v>366</v>
      </c>
      <c r="G453" s="92">
        <v>70012219</v>
      </c>
      <c r="H453" s="91">
        <v>70012219</v>
      </c>
      <c r="I453" s="93" t="s">
        <v>46</v>
      </c>
      <c r="J453" s="94" t="s">
        <v>3927</v>
      </c>
      <c r="K453" s="94" t="s">
        <v>470</v>
      </c>
      <c r="L453" s="94" t="s">
        <v>3928</v>
      </c>
      <c r="M453" s="95">
        <v>519900</v>
      </c>
      <c r="N453" s="95">
        <v>6000</v>
      </c>
      <c r="O453" s="95">
        <v>8500</v>
      </c>
      <c r="P453" s="96">
        <v>0</v>
      </c>
      <c r="Q453" s="152"/>
      <c r="R453" s="95">
        <v>519900</v>
      </c>
      <c r="S453" s="95">
        <f>R453/24</f>
        <v>21662.5</v>
      </c>
      <c r="T453" s="95">
        <v>519900</v>
      </c>
      <c r="U453" s="95">
        <f>T453/24</f>
        <v>21662.5</v>
      </c>
      <c r="V453" s="95">
        <v>519900</v>
      </c>
      <c r="W453" s="95">
        <f>V453/24</f>
        <v>21662.5</v>
      </c>
      <c r="X453" s="128"/>
      <c r="Y453" s="95">
        <v>449900</v>
      </c>
      <c r="Z453" s="95">
        <v>26500</v>
      </c>
      <c r="AA453" s="95">
        <f>IFERROR(IF(D453="Premium",0.4*Y453,0),"No Disp")</f>
        <v>179960</v>
      </c>
      <c r="AB453" s="95">
        <f>IFERROR(IF(4*Y453&gt;AC453,1.5*Y453,4*Y453),"No Disp")</f>
        <v>674850</v>
      </c>
      <c r="AC453" s="95">
        <f>IF(Z453="No Disp","No Disp",(Z453*18)+Y453)</f>
        <v>926900</v>
      </c>
      <c r="AD453" s="95">
        <f>18*Z453-100+Y453</f>
        <v>926800</v>
      </c>
      <c r="AE453" s="95">
        <v>0</v>
      </c>
      <c r="AF453" s="95">
        <v>51500</v>
      </c>
      <c r="AG453" s="95">
        <f>IF(AF453="No Disp","No Disp",(AF453*18)+AE453)</f>
        <v>927000</v>
      </c>
      <c r="AH453" s="98">
        <f>18*AF453-100+AE453</f>
        <v>926900</v>
      </c>
      <c r="AI453" s="95" t="s">
        <v>4613</v>
      </c>
      <c r="AJ453" s="99"/>
      <c r="AK453" s="100" t="s">
        <v>43</v>
      </c>
      <c r="AL453" s="100" t="s">
        <v>43</v>
      </c>
      <c r="AM453" s="100" t="str">
        <f>IF(AL453&lt;&gt;"No Disp",AK453+12*AL453,"No Disp")</f>
        <v>No Disp</v>
      </c>
      <c r="AN453" s="100" t="s">
        <v>43</v>
      </c>
      <c r="AO453" s="100" t="s">
        <v>43</v>
      </c>
      <c r="AP453" s="100" t="str">
        <f>IF(AO453&lt;&gt;"No Disp",AN453+12*AO453,"No Disp")</f>
        <v>No Disp</v>
      </c>
      <c r="AQ453" s="100" t="s">
        <v>43</v>
      </c>
      <c r="AR453" s="100" t="s">
        <v>43</v>
      </c>
      <c r="AS453" s="100" t="str">
        <f>IF(AR453&lt;&gt;"No Disp",AQ453+12*AR453,"No Disp")</f>
        <v>No Disp</v>
      </c>
    </row>
    <row r="454" spans="1:45" s="101" customFormat="1" x14ac:dyDescent="0.25">
      <c r="A454" s="90" t="s">
        <v>38</v>
      </c>
      <c r="B454" s="90" t="s">
        <v>39</v>
      </c>
      <c r="C454" s="90" t="s">
        <v>40</v>
      </c>
      <c r="D454" s="90" t="s">
        <v>4539</v>
      </c>
      <c r="E454" s="90" t="s">
        <v>4542</v>
      </c>
      <c r="F454" s="91">
        <v>376</v>
      </c>
      <c r="G454" s="92">
        <v>70012233</v>
      </c>
      <c r="H454" s="91">
        <v>70012234</v>
      </c>
      <c r="I454" s="93" t="s">
        <v>41</v>
      </c>
      <c r="J454" s="94" t="s">
        <v>452</v>
      </c>
      <c r="K454" s="94" t="s">
        <v>455</v>
      </c>
      <c r="L454" s="94" t="s">
        <v>456</v>
      </c>
      <c r="M454" s="95">
        <v>259900</v>
      </c>
      <c r="N454" s="95">
        <v>4000</v>
      </c>
      <c r="O454" s="95">
        <v>6000</v>
      </c>
      <c r="P454" s="96">
        <v>319990</v>
      </c>
      <c r="Q454" s="152"/>
      <c r="R454" s="95">
        <v>289990</v>
      </c>
      <c r="S454" s="95">
        <f>R454/24</f>
        <v>12082.916666666666</v>
      </c>
      <c r="T454" s="95">
        <v>259900</v>
      </c>
      <c r="U454" s="95">
        <f>T454/24</f>
        <v>10829.166666666666</v>
      </c>
      <c r="V454" s="95">
        <v>259900</v>
      </c>
      <c r="W454" s="95">
        <f>V454/24</f>
        <v>10829.166666666666</v>
      </c>
      <c r="X454" s="128"/>
      <c r="Y454" s="95">
        <v>0</v>
      </c>
      <c r="Z454" s="95">
        <v>24000</v>
      </c>
      <c r="AA454" s="95">
        <f>IFERROR(IF(D454="Premium",0.4*Y454,0),"No Disp")</f>
        <v>0</v>
      </c>
      <c r="AB454" s="95">
        <f>IFERROR(IF(4*Y454&gt;AC454,1.5*Y454,4*Y454),"No Disp")</f>
        <v>0</v>
      </c>
      <c r="AC454" s="95">
        <f>IF(Z454="No Disp","No Disp",(Z454*18)+Y454)</f>
        <v>432000</v>
      </c>
      <c r="AD454" s="95">
        <f>18*Z454-100+Y454</f>
        <v>431900</v>
      </c>
      <c r="AE454" s="95">
        <v>0</v>
      </c>
      <c r="AF454" s="95">
        <v>22000</v>
      </c>
      <c r="AG454" s="95">
        <f>IF(AF454="No Disp","No Disp",(AF454*18)+AE454)</f>
        <v>396000</v>
      </c>
      <c r="AH454" s="98">
        <f>18*AF454-100+AE454</f>
        <v>395900</v>
      </c>
      <c r="AI454" s="95" t="s">
        <v>4613</v>
      </c>
      <c r="AJ454" s="99"/>
      <c r="AK454" s="100" t="s">
        <v>43</v>
      </c>
      <c r="AL454" s="100" t="s">
        <v>43</v>
      </c>
      <c r="AM454" s="100" t="str">
        <f>IF(AL454&lt;&gt;"No Disp",AK454+12*AL454,"No Disp")</f>
        <v>No Disp</v>
      </c>
      <c r="AN454" s="100" t="s">
        <v>43</v>
      </c>
      <c r="AO454" s="100" t="s">
        <v>43</v>
      </c>
      <c r="AP454" s="100" t="str">
        <f>IF(AO454&lt;&gt;"No Disp",AN454+12*AO454,"No Disp")</f>
        <v>No Disp</v>
      </c>
      <c r="AQ454" s="100" t="s">
        <v>43</v>
      </c>
      <c r="AR454" s="100" t="s">
        <v>43</v>
      </c>
      <c r="AS454" s="100" t="str">
        <f>IF(AR454&lt;&gt;"No Disp",AQ454+12*AR454,"No Disp")</f>
        <v>No Disp</v>
      </c>
    </row>
    <row r="455" spans="1:45" s="101" customFormat="1" x14ac:dyDescent="0.25">
      <c r="A455" s="90" t="s">
        <v>38</v>
      </c>
      <c r="B455" s="90" t="s">
        <v>39</v>
      </c>
      <c r="C455" s="90" t="s">
        <v>40</v>
      </c>
      <c r="D455" s="90" t="s">
        <v>4539</v>
      </c>
      <c r="E455" s="90" t="s">
        <v>4542</v>
      </c>
      <c r="F455" s="91">
        <v>377</v>
      </c>
      <c r="G455" s="92">
        <v>70012236</v>
      </c>
      <c r="H455" s="91">
        <v>70012237</v>
      </c>
      <c r="I455" s="93" t="s">
        <v>41</v>
      </c>
      <c r="J455" s="94" t="s">
        <v>452</v>
      </c>
      <c r="K455" s="94" t="s">
        <v>453</v>
      </c>
      <c r="L455" s="94" t="s">
        <v>454</v>
      </c>
      <c r="M455" s="95">
        <v>259900</v>
      </c>
      <c r="N455" s="95">
        <v>4000</v>
      </c>
      <c r="O455" s="95">
        <v>6000</v>
      </c>
      <c r="P455" s="96">
        <v>319990</v>
      </c>
      <c r="Q455" s="152"/>
      <c r="R455" s="95">
        <v>289990</v>
      </c>
      <c r="S455" s="95">
        <f>R455/24</f>
        <v>12082.916666666666</v>
      </c>
      <c r="T455" s="95">
        <v>259900</v>
      </c>
      <c r="U455" s="95">
        <f>T455/24</f>
        <v>10829.166666666666</v>
      </c>
      <c r="V455" s="95">
        <v>259900</v>
      </c>
      <c r="W455" s="95">
        <f>V455/24</f>
        <v>10829.166666666666</v>
      </c>
      <c r="X455" s="128"/>
      <c r="Y455" s="95">
        <v>0</v>
      </c>
      <c r="Z455" s="95">
        <v>24000</v>
      </c>
      <c r="AA455" s="95">
        <f>IFERROR(IF(D455="Premium",0.4*Y455,0),"No Disp")</f>
        <v>0</v>
      </c>
      <c r="AB455" s="95">
        <f>IFERROR(IF(4*Y455&gt;AC455,1.5*Y455,4*Y455),"No Disp")</f>
        <v>0</v>
      </c>
      <c r="AC455" s="95">
        <f>IF(Z455="No Disp","No Disp",(Z455*18)+Y455)</f>
        <v>432000</v>
      </c>
      <c r="AD455" s="95">
        <f>18*Z455-100+Y455</f>
        <v>431900</v>
      </c>
      <c r="AE455" s="95">
        <v>0</v>
      </c>
      <c r="AF455" s="95">
        <v>22000</v>
      </c>
      <c r="AG455" s="95">
        <f>IF(AF455="No Disp","No Disp",(AF455*18)+AE455)</f>
        <v>396000</v>
      </c>
      <c r="AH455" s="98">
        <f>18*AF455-100+AE455</f>
        <v>395900</v>
      </c>
      <c r="AI455" s="95" t="s">
        <v>4613</v>
      </c>
      <c r="AJ455" s="99"/>
      <c r="AK455" s="100" t="s">
        <v>43</v>
      </c>
      <c r="AL455" s="100" t="s">
        <v>43</v>
      </c>
      <c r="AM455" s="100" t="str">
        <f>IF(AL455&lt;&gt;"No Disp",AK455+12*AL455,"No Disp")</f>
        <v>No Disp</v>
      </c>
      <c r="AN455" s="100" t="s">
        <v>43</v>
      </c>
      <c r="AO455" s="100" t="s">
        <v>43</v>
      </c>
      <c r="AP455" s="100" t="str">
        <f>IF(AO455&lt;&gt;"No Disp",AN455+12*AO455,"No Disp")</f>
        <v>No Disp</v>
      </c>
      <c r="AQ455" s="100" t="s">
        <v>43</v>
      </c>
      <c r="AR455" s="100" t="s">
        <v>43</v>
      </c>
      <c r="AS455" s="100" t="str">
        <f>IF(AR455&lt;&gt;"No Disp",AQ455+12*AR455,"No Disp")</f>
        <v>No Disp</v>
      </c>
    </row>
    <row r="456" spans="1:45" s="101" customFormat="1" x14ac:dyDescent="0.25">
      <c r="A456" s="90" t="s">
        <v>38</v>
      </c>
      <c r="B456" s="90" t="s">
        <v>39</v>
      </c>
      <c r="C456" s="90" t="s">
        <v>40</v>
      </c>
      <c r="D456" s="90" t="s">
        <v>4539</v>
      </c>
      <c r="E456" s="90" t="s">
        <v>4542</v>
      </c>
      <c r="F456" s="91">
        <v>379</v>
      </c>
      <c r="G456" s="92">
        <v>70012259</v>
      </c>
      <c r="H456" s="91">
        <v>70012260</v>
      </c>
      <c r="I456" s="93" t="s">
        <v>41</v>
      </c>
      <c r="J456" s="94" t="s">
        <v>447</v>
      </c>
      <c r="K456" s="94" t="s">
        <v>448</v>
      </c>
      <c r="L456" s="94" t="s">
        <v>449</v>
      </c>
      <c r="M456" s="95">
        <v>139900</v>
      </c>
      <c r="N456" s="95">
        <v>2500</v>
      </c>
      <c r="O456" s="95">
        <v>4000</v>
      </c>
      <c r="P456" s="96">
        <v>199990</v>
      </c>
      <c r="Q456" s="152"/>
      <c r="R456" s="95">
        <v>149990</v>
      </c>
      <c r="S456" s="95">
        <f>R456/24</f>
        <v>6249.583333333333</v>
      </c>
      <c r="T456" s="95">
        <v>139900</v>
      </c>
      <c r="U456" s="95">
        <f>T456/24</f>
        <v>5829.166666666667</v>
      </c>
      <c r="V456" s="95">
        <v>139900</v>
      </c>
      <c r="W456" s="95">
        <f>V456/24</f>
        <v>5829.166666666667</v>
      </c>
      <c r="X456" s="128"/>
      <c r="Y456" s="95">
        <v>0</v>
      </c>
      <c r="Z456" s="95">
        <v>14000</v>
      </c>
      <c r="AA456" s="95">
        <f>IFERROR(IF(D456="Premium",0.4*Y456,0),"No Disp")</f>
        <v>0</v>
      </c>
      <c r="AB456" s="95">
        <f>IFERROR(IF(4*Y456&gt;AC456,1.5*Y456,4*Y456),"No Disp")</f>
        <v>0</v>
      </c>
      <c r="AC456" s="95">
        <f>IF(Z456="No Disp","No Disp",(Z456*18)+Y456)</f>
        <v>252000</v>
      </c>
      <c r="AD456" s="95">
        <f>18*Z456-100+Y456</f>
        <v>251900</v>
      </c>
      <c r="AE456" s="95">
        <v>0</v>
      </c>
      <c r="AF456" s="95">
        <v>12500</v>
      </c>
      <c r="AG456" s="95">
        <f>IF(AF456="No Disp","No Disp",(AF456*18)+AE456)</f>
        <v>225000</v>
      </c>
      <c r="AH456" s="98">
        <f>18*AF456-100+AE456</f>
        <v>224900</v>
      </c>
      <c r="AI456" s="95" t="s">
        <v>4613</v>
      </c>
      <c r="AJ456" s="99"/>
      <c r="AK456" s="100" t="s">
        <v>43</v>
      </c>
      <c r="AL456" s="100" t="s">
        <v>43</v>
      </c>
      <c r="AM456" s="100" t="str">
        <f>IF(AL456&lt;&gt;"No Disp",AK456+12*AL456,"No Disp")</f>
        <v>No Disp</v>
      </c>
      <c r="AN456" s="100" t="s">
        <v>43</v>
      </c>
      <c r="AO456" s="100" t="s">
        <v>43</v>
      </c>
      <c r="AP456" s="100" t="str">
        <f>IF(AO456&lt;&gt;"No Disp",AN456+12*AO456,"No Disp")</f>
        <v>No Disp</v>
      </c>
      <c r="AQ456" s="100" t="s">
        <v>43</v>
      </c>
      <c r="AR456" s="100" t="s">
        <v>43</v>
      </c>
      <c r="AS456" s="100" t="str">
        <f>IF(AR456&lt;&gt;"No Disp",AQ456+12*AR456,"No Disp")</f>
        <v>No Disp</v>
      </c>
    </row>
    <row r="457" spans="1:45" s="101" customFormat="1" x14ac:dyDescent="0.25">
      <c r="A457" s="90" t="s">
        <v>102</v>
      </c>
      <c r="B457" s="90" t="s">
        <v>39</v>
      </c>
      <c r="C457" s="90" t="s">
        <v>40</v>
      </c>
      <c r="D457" s="90" t="s">
        <v>4541</v>
      </c>
      <c r="E457" s="90" t="s">
        <v>4542</v>
      </c>
      <c r="F457" s="91">
        <v>432</v>
      </c>
      <c r="G457" s="92">
        <v>70012262</v>
      </c>
      <c r="H457" s="91">
        <v>70012263</v>
      </c>
      <c r="I457" s="93" t="s">
        <v>46</v>
      </c>
      <c r="J457" s="94" t="s">
        <v>357</v>
      </c>
      <c r="K457" s="94" t="s">
        <v>364</v>
      </c>
      <c r="L457" s="94" t="s">
        <v>365</v>
      </c>
      <c r="M457" s="95">
        <v>79900</v>
      </c>
      <c r="N457" s="95">
        <v>2500</v>
      </c>
      <c r="O457" s="95">
        <v>4000</v>
      </c>
      <c r="P457" s="96">
        <v>129990</v>
      </c>
      <c r="Q457" s="152"/>
      <c r="R457" s="95">
        <v>89990</v>
      </c>
      <c r="S457" s="95">
        <f>R457/24</f>
        <v>3749.5833333333335</v>
      </c>
      <c r="T457" s="95">
        <v>79900</v>
      </c>
      <c r="U457" s="95">
        <f>T457/24</f>
        <v>3329.1666666666665</v>
      </c>
      <c r="V457" s="95">
        <v>79900</v>
      </c>
      <c r="W457" s="95">
        <f>V457/24</f>
        <v>3329.1666666666665</v>
      </c>
      <c r="X457" s="128"/>
      <c r="Y457" s="95">
        <v>0</v>
      </c>
      <c r="Z457" s="95">
        <v>11000</v>
      </c>
      <c r="AA457" s="95">
        <f>IFERROR(IF(D457="Premium",0.4*Y457,0),"No Disp")</f>
        <v>0</v>
      </c>
      <c r="AB457" s="95">
        <f>IFERROR(IF(4*Y457&gt;AC457,1.5*Y457,4*Y457),"No Disp")</f>
        <v>0</v>
      </c>
      <c r="AC457" s="95">
        <f>IF(Z457="No Disp","No Disp",(Z457*18)+Y457)</f>
        <v>198000</v>
      </c>
      <c r="AD457" s="95">
        <f>18*Z457-100+Y457</f>
        <v>197900</v>
      </c>
      <c r="AE457" s="95">
        <v>0</v>
      </c>
      <c r="AF457" s="95">
        <v>10000</v>
      </c>
      <c r="AG457" s="95">
        <f>IF(AF457="No Disp","No Disp",(AF457*18)+AE457)</f>
        <v>180000</v>
      </c>
      <c r="AH457" s="98">
        <f>18*AF457-100+AE457</f>
        <v>179900</v>
      </c>
      <c r="AI457" s="95" t="s">
        <v>4613</v>
      </c>
      <c r="AJ457" s="99"/>
      <c r="AK457" s="100" t="s">
        <v>43</v>
      </c>
      <c r="AL457" s="100" t="s">
        <v>43</v>
      </c>
      <c r="AM457" s="100" t="str">
        <f>IF(AL457&lt;&gt;"No Disp",AK457+12*AL457,"No Disp")</f>
        <v>No Disp</v>
      </c>
      <c r="AN457" s="100" t="s">
        <v>43</v>
      </c>
      <c r="AO457" s="100" t="s">
        <v>43</v>
      </c>
      <c r="AP457" s="100" t="str">
        <f>IF(AO457&lt;&gt;"No Disp",AN457+12*AO457,"No Disp")</f>
        <v>No Disp</v>
      </c>
      <c r="AQ457" s="100" t="s">
        <v>43</v>
      </c>
      <c r="AR457" s="100" t="s">
        <v>43</v>
      </c>
      <c r="AS457" s="100" t="str">
        <f>IF(AR457&lt;&gt;"No Disp",AQ457+12*AR457,"No Disp")</f>
        <v>No Disp</v>
      </c>
    </row>
    <row r="458" spans="1:45" s="101" customFormat="1" x14ac:dyDescent="0.25">
      <c r="A458" s="90" t="s">
        <v>102</v>
      </c>
      <c r="B458" s="90" t="s">
        <v>39</v>
      </c>
      <c r="C458" s="90" t="s">
        <v>40</v>
      </c>
      <c r="D458" s="90" t="s">
        <v>4541</v>
      </c>
      <c r="E458" s="90" t="s">
        <v>4542</v>
      </c>
      <c r="F458" s="91">
        <v>433</v>
      </c>
      <c r="G458" s="92">
        <v>70012265</v>
      </c>
      <c r="H458" s="91">
        <v>70012266</v>
      </c>
      <c r="I458" s="93" t="s">
        <v>46</v>
      </c>
      <c r="J458" s="94" t="s">
        <v>357</v>
      </c>
      <c r="K458" s="94" t="s">
        <v>362</v>
      </c>
      <c r="L458" s="94" t="s">
        <v>363</v>
      </c>
      <c r="M458" s="95">
        <v>79900</v>
      </c>
      <c r="N458" s="95">
        <v>2500</v>
      </c>
      <c r="O458" s="95">
        <v>4000</v>
      </c>
      <c r="P458" s="96">
        <v>129990</v>
      </c>
      <c r="Q458" s="152"/>
      <c r="R458" s="95">
        <v>89990</v>
      </c>
      <c r="S458" s="95">
        <f>R458/24</f>
        <v>3749.5833333333335</v>
      </c>
      <c r="T458" s="95">
        <v>79900</v>
      </c>
      <c r="U458" s="95">
        <f>T458/24</f>
        <v>3329.1666666666665</v>
      </c>
      <c r="V458" s="95">
        <v>79900</v>
      </c>
      <c r="W458" s="95">
        <f>V458/24</f>
        <v>3329.1666666666665</v>
      </c>
      <c r="X458" s="128"/>
      <c r="Y458" s="95">
        <v>0</v>
      </c>
      <c r="Z458" s="95">
        <v>11000</v>
      </c>
      <c r="AA458" s="95">
        <f>IFERROR(IF(D458="Premium",0.4*Y458,0),"No Disp")</f>
        <v>0</v>
      </c>
      <c r="AB458" s="95">
        <f>IFERROR(IF(4*Y458&gt;AC458,1.5*Y458,4*Y458),"No Disp")</f>
        <v>0</v>
      </c>
      <c r="AC458" s="95">
        <f>IF(Z458="No Disp","No Disp",(Z458*18)+Y458)</f>
        <v>198000</v>
      </c>
      <c r="AD458" s="95">
        <f>18*Z458-100+Y458</f>
        <v>197900</v>
      </c>
      <c r="AE458" s="95">
        <v>0</v>
      </c>
      <c r="AF458" s="95">
        <v>10000</v>
      </c>
      <c r="AG458" s="95">
        <f>IF(AF458="No Disp","No Disp",(AF458*18)+AE458)</f>
        <v>180000</v>
      </c>
      <c r="AH458" s="98">
        <f>18*AF458-100+AE458</f>
        <v>179900</v>
      </c>
      <c r="AI458" s="95" t="s">
        <v>4613</v>
      </c>
      <c r="AJ458" s="99"/>
      <c r="AK458" s="100" t="s">
        <v>43</v>
      </c>
      <c r="AL458" s="100" t="s">
        <v>43</v>
      </c>
      <c r="AM458" s="100" t="str">
        <f>IF(AL458&lt;&gt;"No Disp",AK458+12*AL458,"No Disp")</f>
        <v>No Disp</v>
      </c>
      <c r="AN458" s="100" t="s">
        <v>43</v>
      </c>
      <c r="AO458" s="100" t="s">
        <v>43</v>
      </c>
      <c r="AP458" s="100" t="str">
        <f>IF(AO458&lt;&gt;"No Disp",AN458+12*AO458,"No Disp")</f>
        <v>No Disp</v>
      </c>
      <c r="AQ458" s="100" t="s">
        <v>43</v>
      </c>
      <c r="AR458" s="100" t="s">
        <v>43</v>
      </c>
      <c r="AS458" s="100" t="str">
        <f>IF(AR458&lt;&gt;"No Disp",AQ458+12*AR458,"No Disp")</f>
        <v>No Disp</v>
      </c>
    </row>
    <row r="459" spans="1:45" s="101" customFormat="1" x14ac:dyDescent="0.25">
      <c r="A459" s="90" t="s">
        <v>38</v>
      </c>
      <c r="B459" s="90" t="s">
        <v>39</v>
      </c>
      <c r="C459" s="90" t="s">
        <v>40</v>
      </c>
      <c r="D459" s="90" t="s">
        <v>4541</v>
      </c>
      <c r="E459" s="90" t="s">
        <v>4542</v>
      </c>
      <c r="F459" s="91">
        <v>395</v>
      </c>
      <c r="G459" s="92">
        <v>70012247</v>
      </c>
      <c r="H459" s="91">
        <v>70012278</v>
      </c>
      <c r="I459" s="93" t="s">
        <v>46</v>
      </c>
      <c r="J459" s="94" t="s">
        <v>3789</v>
      </c>
      <c r="K459" s="94" t="s">
        <v>419</v>
      </c>
      <c r="L459" s="94" t="s">
        <v>420</v>
      </c>
      <c r="M459" s="95">
        <v>94900</v>
      </c>
      <c r="N459" s="95">
        <v>2500</v>
      </c>
      <c r="O459" s="95">
        <v>4000</v>
      </c>
      <c r="P459" s="96">
        <v>249990</v>
      </c>
      <c r="Q459" s="152"/>
      <c r="R459" s="95">
        <v>104990</v>
      </c>
      <c r="S459" s="95">
        <f>R459/24</f>
        <v>4374.583333333333</v>
      </c>
      <c r="T459" s="95">
        <v>94900</v>
      </c>
      <c r="U459" s="95">
        <f>T459/24</f>
        <v>3954.1666666666665</v>
      </c>
      <c r="V459" s="95">
        <v>94900</v>
      </c>
      <c r="W459" s="95">
        <f>V459/24</f>
        <v>3954.1666666666665</v>
      </c>
      <c r="X459" s="128"/>
      <c r="Y459" s="95">
        <v>0</v>
      </c>
      <c r="Z459" s="95">
        <v>12000</v>
      </c>
      <c r="AA459" s="95">
        <f>IFERROR(IF(D459="Premium",0.4*Y459,0),"No Disp")</f>
        <v>0</v>
      </c>
      <c r="AB459" s="95">
        <f>IFERROR(IF(4*Y459&gt;AC459,1.5*Y459,4*Y459),"No Disp")</f>
        <v>0</v>
      </c>
      <c r="AC459" s="95">
        <f>IF(Z459="No Disp","No Disp",(Z459*18)+Y459)</f>
        <v>216000</v>
      </c>
      <c r="AD459" s="95">
        <f>18*Z459-100+Y459</f>
        <v>215900</v>
      </c>
      <c r="AE459" s="95">
        <v>0</v>
      </c>
      <c r="AF459" s="95">
        <v>12000</v>
      </c>
      <c r="AG459" s="95">
        <f>IF(AF459="No Disp","No Disp",(AF459*18)+AE459)</f>
        <v>216000</v>
      </c>
      <c r="AH459" s="98">
        <f>18*AF459-100+AE459</f>
        <v>215900</v>
      </c>
      <c r="AI459" s="95" t="s">
        <v>4613</v>
      </c>
      <c r="AJ459" s="99"/>
      <c r="AK459" s="100" t="s">
        <v>43</v>
      </c>
      <c r="AL459" s="100" t="s">
        <v>43</v>
      </c>
      <c r="AM459" s="100" t="str">
        <f>IF(AL459&lt;&gt;"No Disp",AK459+12*AL459,"No Disp")</f>
        <v>No Disp</v>
      </c>
      <c r="AN459" s="100" t="s">
        <v>43</v>
      </c>
      <c r="AO459" s="100" t="s">
        <v>43</v>
      </c>
      <c r="AP459" s="100" t="str">
        <f>IF(AO459&lt;&gt;"No Disp",AN459+12*AO459,"No Disp")</f>
        <v>No Disp</v>
      </c>
      <c r="AQ459" s="100" t="s">
        <v>43</v>
      </c>
      <c r="AR459" s="100" t="s">
        <v>43</v>
      </c>
      <c r="AS459" s="100" t="str">
        <f>IF(AR459&lt;&gt;"No Disp",AQ459+12*AR459,"No Disp")</f>
        <v>No Disp</v>
      </c>
    </row>
    <row r="460" spans="1:45" s="101" customFormat="1" x14ac:dyDescent="0.25">
      <c r="A460" s="90" t="s">
        <v>102</v>
      </c>
      <c r="B460" s="90" t="s">
        <v>39</v>
      </c>
      <c r="C460" s="90" t="s">
        <v>40</v>
      </c>
      <c r="D460" s="90" t="s">
        <v>4541</v>
      </c>
      <c r="E460" s="90" t="s">
        <v>4542</v>
      </c>
      <c r="F460" s="91">
        <v>434</v>
      </c>
      <c r="G460" s="92">
        <v>70012281</v>
      </c>
      <c r="H460" s="91">
        <v>70012282</v>
      </c>
      <c r="I460" s="93" t="s">
        <v>46</v>
      </c>
      <c r="J460" s="94" t="s">
        <v>357</v>
      </c>
      <c r="K460" s="94" t="s">
        <v>360</v>
      </c>
      <c r="L460" s="94" t="s">
        <v>361</v>
      </c>
      <c r="M460" s="95">
        <v>79900</v>
      </c>
      <c r="N460" s="95">
        <v>2500</v>
      </c>
      <c r="O460" s="95">
        <v>4000</v>
      </c>
      <c r="P460" s="96">
        <v>129990</v>
      </c>
      <c r="Q460" s="152"/>
      <c r="R460" s="95">
        <v>89990</v>
      </c>
      <c r="S460" s="95">
        <f>R460/24</f>
        <v>3749.5833333333335</v>
      </c>
      <c r="T460" s="95">
        <v>79900</v>
      </c>
      <c r="U460" s="95">
        <f>T460/24</f>
        <v>3329.1666666666665</v>
      </c>
      <c r="V460" s="95">
        <v>79900</v>
      </c>
      <c r="W460" s="95">
        <f>V460/24</f>
        <v>3329.1666666666665</v>
      </c>
      <c r="X460" s="128"/>
      <c r="Y460" s="95">
        <v>0</v>
      </c>
      <c r="Z460" s="95">
        <v>11000</v>
      </c>
      <c r="AA460" s="95">
        <f>IFERROR(IF(D460="Premium",0.4*Y460,0),"No Disp")</f>
        <v>0</v>
      </c>
      <c r="AB460" s="95">
        <f>IFERROR(IF(4*Y460&gt;AC460,1.5*Y460,4*Y460),"No Disp")</f>
        <v>0</v>
      </c>
      <c r="AC460" s="95">
        <f>IF(Z460="No Disp","No Disp",(Z460*18)+Y460)</f>
        <v>198000</v>
      </c>
      <c r="AD460" s="95">
        <f>18*Z460-100+Y460</f>
        <v>197900</v>
      </c>
      <c r="AE460" s="95">
        <v>0</v>
      </c>
      <c r="AF460" s="95">
        <v>10000</v>
      </c>
      <c r="AG460" s="95">
        <f>IF(AF460="No Disp","No Disp",(AF460*18)+AE460)</f>
        <v>180000</v>
      </c>
      <c r="AH460" s="98">
        <f>18*AF460-100+AE460</f>
        <v>179900</v>
      </c>
      <c r="AI460" s="95" t="s">
        <v>4613</v>
      </c>
      <c r="AJ460" s="99"/>
      <c r="AK460" s="100" t="s">
        <v>43</v>
      </c>
      <c r="AL460" s="100" t="s">
        <v>43</v>
      </c>
      <c r="AM460" s="100" t="str">
        <f>IF(AL460&lt;&gt;"No Disp",AK460+12*AL460,"No Disp")</f>
        <v>No Disp</v>
      </c>
      <c r="AN460" s="100" t="s">
        <v>43</v>
      </c>
      <c r="AO460" s="100" t="s">
        <v>43</v>
      </c>
      <c r="AP460" s="100" t="str">
        <f>IF(AO460&lt;&gt;"No Disp",AN460+12*AO460,"No Disp")</f>
        <v>No Disp</v>
      </c>
      <c r="AQ460" s="100" t="s">
        <v>43</v>
      </c>
      <c r="AR460" s="100" t="s">
        <v>43</v>
      </c>
      <c r="AS460" s="100" t="str">
        <f>IF(AR460&lt;&gt;"No Disp",AQ460+12*AR460,"No Disp")</f>
        <v>No Disp</v>
      </c>
    </row>
    <row r="461" spans="1:45" s="101" customFormat="1" x14ac:dyDescent="0.25">
      <c r="A461" s="90" t="s">
        <v>102</v>
      </c>
      <c r="B461" s="90" t="s">
        <v>39</v>
      </c>
      <c r="C461" s="90" t="s">
        <v>40</v>
      </c>
      <c r="D461" s="90" t="s">
        <v>4541</v>
      </c>
      <c r="E461" s="90" t="s">
        <v>4542</v>
      </c>
      <c r="F461" s="91">
        <v>435</v>
      </c>
      <c r="G461" s="92">
        <v>70012284</v>
      </c>
      <c r="H461" s="91">
        <v>70012285</v>
      </c>
      <c r="I461" s="93" t="s">
        <v>46</v>
      </c>
      <c r="J461" s="94" t="s">
        <v>357</v>
      </c>
      <c r="K461" s="94" t="s">
        <v>358</v>
      </c>
      <c r="L461" s="94" t="s">
        <v>359</v>
      </c>
      <c r="M461" s="95">
        <v>79900</v>
      </c>
      <c r="N461" s="95">
        <v>2500</v>
      </c>
      <c r="O461" s="95">
        <v>4000</v>
      </c>
      <c r="P461" s="96">
        <v>129990</v>
      </c>
      <c r="Q461" s="152"/>
      <c r="R461" s="95">
        <v>89990</v>
      </c>
      <c r="S461" s="95">
        <f>R461/24</f>
        <v>3749.5833333333335</v>
      </c>
      <c r="T461" s="95">
        <v>79900</v>
      </c>
      <c r="U461" s="95">
        <f>T461/24</f>
        <v>3329.1666666666665</v>
      </c>
      <c r="V461" s="95">
        <v>79900</v>
      </c>
      <c r="W461" s="95">
        <f>V461/24</f>
        <v>3329.1666666666665</v>
      </c>
      <c r="X461" s="128"/>
      <c r="Y461" s="95">
        <v>0</v>
      </c>
      <c r="Z461" s="95">
        <v>11000</v>
      </c>
      <c r="AA461" s="95">
        <f>IFERROR(IF(D461="Premium",0.4*Y461,0),"No Disp")</f>
        <v>0</v>
      </c>
      <c r="AB461" s="95">
        <f>IFERROR(IF(4*Y461&gt;AC461,1.5*Y461,4*Y461),"No Disp")</f>
        <v>0</v>
      </c>
      <c r="AC461" s="95">
        <f>IF(Z461="No Disp","No Disp",(Z461*18)+Y461)</f>
        <v>198000</v>
      </c>
      <c r="AD461" s="95">
        <f>18*Z461-100+Y461</f>
        <v>197900</v>
      </c>
      <c r="AE461" s="95">
        <v>0</v>
      </c>
      <c r="AF461" s="95">
        <v>10000</v>
      </c>
      <c r="AG461" s="95">
        <f>IF(AF461="No Disp","No Disp",(AF461*18)+AE461)</f>
        <v>180000</v>
      </c>
      <c r="AH461" s="98">
        <f>18*AF461-100+AE461</f>
        <v>179900</v>
      </c>
      <c r="AI461" s="95" t="s">
        <v>4613</v>
      </c>
      <c r="AJ461" s="99"/>
      <c r="AK461" s="100" t="s">
        <v>43</v>
      </c>
      <c r="AL461" s="100" t="s">
        <v>43</v>
      </c>
      <c r="AM461" s="100" t="str">
        <f>IF(AL461&lt;&gt;"No Disp",AK461+12*AL461,"No Disp")</f>
        <v>No Disp</v>
      </c>
      <c r="AN461" s="100" t="s">
        <v>43</v>
      </c>
      <c r="AO461" s="100" t="s">
        <v>43</v>
      </c>
      <c r="AP461" s="100" t="str">
        <f>IF(AO461&lt;&gt;"No Disp",AN461+12*AO461,"No Disp")</f>
        <v>No Disp</v>
      </c>
      <c r="AQ461" s="100" t="s">
        <v>43</v>
      </c>
      <c r="AR461" s="100" t="s">
        <v>43</v>
      </c>
      <c r="AS461" s="100" t="str">
        <f>IF(AR461&lt;&gt;"No Disp",AQ461+12*AR461,"No Disp")</f>
        <v>No Disp</v>
      </c>
    </row>
    <row r="462" spans="1:45" s="101" customFormat="1" x14ac:dyDescent="0.25">
      <c r="A462" s="90" t="s">
        <v>38</v>
      </c>
      <c r="B462" s="90" t="s">
        <v>39</v>
      </c>
      <c r="C462" s="90" t="s">
        <v>40</v>
      </c>
      <c r="D462" s="90" t="s">
        <v>4541</v>
      </c>
      <c r="E462" s="90" t="s">
        <v>4542</v>
      </c>
      <c r="F462" s="91">
        <v>437</v>
      </c>
      <c r="G462" s="92">
        <v>70012288</v>
      </c>
      <c r="H462" s="91">
        <v>70012289</v>
      </c>
      <c r="I462" s="93" t="s">
        <v>46</v>
      </c>
      <c r="J462" s="94" t="s">
        <v>348</v>
      </c>
      <c r="K462" s="94" t="s">
        <v>353</v>
      </c>
      <c r="L462" s="94" t="s">
        <v>354</v>
      </c>
      <c r="M462" s="95">
        <v>119900</v>
      </c>
      <c r="N462" s="95">
        <v>2500</v>
      </c>
      <c r="O462" s="95">
        <v>4000</v>
      </c>
      <c r="P462" s="96">
        <v>239990</v>
      </c>
      <c r="Q462" s="152"/>
      <c r="R462" s="95">
        <v>129990</v>
      </c>
      <c r="S462" s="95">
        <f>R462/24</f>
        <v>5416.25</v>
      </c>
      <c r="T462" s="95">
        <v>119900</v>
      </c>
      <c r="U462" s="95">
        <f>T462/24</f>
        <v>4995.833333333333</v>
      </c>
      <c r="V462" s="95">
        <v>119900</v>
      </c>
      <c r="W462" s="95">
        <f>V462/24</f>
        <v>4995.833333333333</v>
      </c>
      <c r="X462" s="128"/>
      <c r="Y462" s="95">
        <v>0</v>
      </c>
      <c r="Z462" s="95">
        <v>19000</v>
      </c>
      <c r="AA462" s="95">
        <f>IFERROR(IF(D462="Premium",0.4*Y462,0),"No Disp")</f>
        <v>0</v>
      </c>
      <c r="AB462" s="95">
        <f>IFERROR(IF(4*Y462&gt;AC462,1.5*Y462,4*Y462),"No Disp")</f>
        <v>0</v>
      </c>
      <c r="AC462" s="95">
        <f>IF(Z462="No Disp","No Disp",(Z462*18)+Y462)</f>
        <v>342000</v>
      </c>
      <c r="AD462" s="95">
        <f>18*Z462-100+Y462</f>
        <v>341900</v>
      </c>
      <c r="AE462" s="95">
        <v>0</v>
      </c>
      <c r="AF462" s="95">
        <v>16500</v>
      </c>
      <c r="AG462" s="95">
        <f>IF(AF462="No Disp","No Disp",(AF462*18)+AE462)</f>
        <v>297000</v>
      </c>
      <c r="AH462" s="98">
        <f>18*AF462-100+AE462</f>
        <v>296900</v>
      </c>
      <c r="AI462" s="95" t="s">
        <v>4613</v>
      </c>
      <c r="AJ462" s="99"/>
      <c r="AK462" s="100" t="s">
        <v>43</v>
      </c>
      <c r="AL462" s="100" t="s">
        <v>43</v>
      </c>
      <c r="AM462" s="100" t="str">
        <f>IF(AL462&lt;&gt;"No Disp",AK462+12*AL462,"No Disp")</f>
        <v>No Disp</v>
      </c>
      <c r="AN462" s="100" t="s">
        <v>43</v>
      </c>
      <c r="AO462" s="100" t="s">
        <v>43</v>
      </c>
      <c r="AP462" s="100" t="str">
        <f>IF(AO462&lt;&gt;"No Disp",AN462+12*AO462,"No Disp")</f>
        <v>No Disp</v>
      </c>
      <c r="AQ462" s="100" t="s">
        <v>43</v>
      </c>
      <c r="AR462" s="100" t="s">
        <v>43</v>
      </c>
      <c r="AS462" s="100" t="str">
        <f>IF(AR462&lt;&gt;"No Disp",AQ462+12*AR462,"No Disp")</f>
        <v>No Disp</v>
      </c>
    </row>
    <row r="463" spans="1:45" s="101" customFormat="1" x14ac:dyDescent="0.25">
      <c r="A463" s="90" t="s">
        <v>38</v>
      </c>
      <c r="B463" s="90" t="s">
        <v>39</v>
      </c>
      <c r="C463" s="90" t="s">
        <v>40</v>
      </c>
      <c r="D463" s="90" t="s">
        <v>4541</v>
      </c>
      <c r="E463" s="90" t="s">
        <v>4542</v>
      </c>
      <c r="F463" s="91">
        <v>438</v>
      </c>
      <c r="G463" s="92">
        <v>70012291</v>
      </c>
      <c r="H463" s="91">
        <v>70012292</v>
      </c>
      <c r="I463" s="93" t="s">
        <v>46</v>
      </c>
      <c r="J463" s="94" t="s">
        <v>348</v>
      </c>
      <c r="K463" s="94" t="s">
        <v>351</v>
      </c>
      <c r="L463" s="94" t="s">
        <v>352</v>
      </c>
      <c r="M463" s="95">
        <v>119900</v>
      </c>
      <c r="N463" s="95">
        <v>2500</v>
      </c>
      <c r="O463" s="95">
        <v>4000</v>
      </c>
      <c r="P463" s="96">
        <v>239990</v>
      </c>
      <c r="Q463" s="152"/>
      <c r="R463" s="95">
        <v>129990</v>
      </c>
      <c r="S463" s="95">
        <f>R463/24</f>
        <v>5416.25</v>
      </c>
      <c r="T463" s="95">
        <v>119900</v>
      </c>
      <c r="U463" s="95">
        <f>T463/24</f>
        <v>4995.833333333333</v>
      </c>
      <c r="V463" s="95">
        <v>119900</v>
      </c>
      <c r="W463" s="95">
        <f>V463/24</f>
        <v>4995.833333333333</v>
      </c>
      <c r="X463" s="128"/>
      <c r="Y463" s="95">
        <v>0</v>
      </c>
      <c r="Z463" s="95">
        <v>19000</v>
      </c>
      <c r="AA463" s="95">
        <f>IFERROR(IF(D463="Premium",0.4*Y463,0),"No Disp")</f>
        <v>0</v>
      </c>
      <c r="AB463" s="95">
        <f>IFERROR(IF(4*Y463&gt;AC463,1.5*Y463,4*Y463),"No Disp")</f>
        <v>0</v>
      </c>
      <c r="AC463" s="95">
        <f>IF(Z463="No Disp","No Disp",(Z463*18)+Y463)</f>
        <v>342000</v>
      </c>
      <c r="AD463" s="95">
        <f>18*Z463-100+Y463</f>
        <v>341900</v>
      </c>
      <c r="AE463" s="95">
        <v>0</v>
      </c>
      <c r="AF463" s="95">
        <v>16500</v>
      </c>
      <c r="AG463" s="95">
        <f>IF(AF463="No Disp","No Disp",(AF463*18)+AE463)</f>
        <v>297000</v>
      </c>
      <c r="AH463" s="98">
        <f>18*AF463-100+AE463</f>
        <v>296900</v>
      </c>
      <c r="AI463" s="95" t="s">
        <v>4613</v>
      </c>
      <c r="AJ463" s="99"/>
      <c r="AK463" s="100" t="s">
        <v>43</v>
      </c>
      <c r="AL463" s="100" t="s">
        <v>43</v>
      </c>
      <c r="AM463" s="100" t="str">
        <f>IF(AL463&lt;&gt;"No Disp",AK463+12*AL463,"No Disp")</f>
        <v>No Disp</v>
      </c>
      <c r="AN463" s="100" t="s">
        <v>43</v>
      </c>
      <c r="AO463" s="100" t="s">
        <v>43</v>
      </c>
      <c r="AP463" s="100" t="str">
        <f>IF(AO463&lt;&gt;"No Disp",AN463+12*AO463,"No Disp")</f>
        <v>No Disp</v>
      </c>
      <c r="AQ463" s="100" t="s">
        <v>43</v>
      </c>
      <c r="AR463" s="100" t="s">
        <v>43</v>
      </c>
      <c r="AS463" s="100" t="str">
        <f>IF(AR463&lt;&gt;"No Disp",AQ463+12*AR463,"No Disp")</f>
        <v>No Disp</v>
      </c>
    </row>
    <row r="464" spans="1:45" s="101" customFormat="1" x14ac:dyDescent="0.25">
      <c r="A464" s="90" t="s">
        <v>38</v>
      </c>
      <c r="B464" s="90" t="s">
        <v>39</v>
      </c>
      <c r="C464" s="90" t="s">
        <v>40</v>
      </c>
      <c r="D464" s="90" t="s">
        <v>4541</v>
      </c>
      <c r="E464" s="90" t="s">
        <v>4542</v>
      </c>
      <c r="F464" s="91">
        <v>439</v>
      </c>
      <c r="G464" s="92">
        <v>70012294</v>
      </c>
      <c r="H464" s="91">
        <v>70012295</v>
      </c>
      <c r="I464" s="93" t="s">
        <v>46</v>
      </c>
      <c r="J464" s="94" t="s">
        <v>348</v>
      </c>
      <c r="K464" s="94" t="s">
        <v>349</v>
      </c>
      <c r="L464" s="94" t="s">
        <v>350</v>
      </c>
      <c r="M464" s="95">
        <v>119900</v>
      </c>
      <c r="N464" s="95">
        <v>2500</v>
      </c>
      <c r="O464" s="95">
        <v>4000</v>
      </c>
      <c r="P464" s="96">
        <v>239990</v>
      </c>
      <c r="Q464" s="152"/>
      <c r="R464" s="95">
        <v>129990</v>
      </c>
      <c r="S464" s="95">
        <f>R464/24</f>
        <v>5416.25</v>
      </c>
      <c r="T464" s="95">
        <v>119900</v>
      </c>
      <c r="U464" s="95">
        <f>T464/24</f>
        <v>4995.833333333333</v>
      </c>
      <c r="V464" s="95">
        <v>119900</v>
      </c>
      <c r="W464" s="95">
        <f>V464/24</f>
        <v>4995.833333333333</v>
      </c>
      <c r="X464" s="128"/>
      <c r="Y464" s="95">
        <v>0</v>
      </c>
      <c r="Z464" s="95">
        <v>19000</v>
      </c>
      <c r="AA464" s="95">
        <f>IFERROR(IF(D464="Premium",0.4*Y464,0),"No Disp")</f>
        <v>0</v>
      </c>
      <c r="AB464" s="95">
        <f>IFERROR(IF(4*Y464&gt;AC464,1.5*Y464,4*Y464),"No Disp")</f>
        <v>0</v>
      </c>
      <c r="AC464" s="95">
        <f>IF(Z464="No Disp","No Disp",(Z464*18)+Y464)</f>
        <v>342000</v>
      </c>
      <c r="AD464" s="95">
        <f>18*Z464-100+Y464</f>
        <v>341900</v>
      </c>
      <c r="AE464" s="95">
        <v>0</v>
      </c>
      <c r="AF464" s="95">
        <v>16500</v>
      </c>
      <c r="AG464" s="95">
        <f>IF(AF464="No Disp","No Disp",(AF464*18)+AE464)</f>
        <v>297000</v>
      </c>
      <c r="AH464" s="98">
        <f>18*AF464-100+AE464</f>
        <v>296900</v>
      </c>
      <c r="AI464" s="95" t="s">
        <v>4613</v>
      </c>
      <c r="AJ464" s="99"/>
      <c r="AK464" s="100" t="s">
        <v>43</v>
      </c>
      <c r="AL464" s="100" t="s">
        <v>43</v>
      </c>
      <c r="AM464" s="100" t="str">
        <f>IF(AL464&lt;&gt;"No Disp",AK464+12*AL464,"No Disp")</f>
        <v>No Disp</v>
      </c>
      <c r="AN464" s="100" t="s">
        <v>43</v>
      </c>
      <c r="AO464" s="100" t="s">
        <v>43</v>
      </c>
      <c r="AP464" s="100" t="str">
        <f>IF(AO464&lt;&gt;"No Disp",AN464+12*AO464,"No Disp")</f>
        <v>No Disp</v>
      </c>
      <c r="AQ464" s="100" t="s">
        <v>43</v>
      </c>
      <c r="AR464" s="100" t="s">
        <v>43</v>
      </c>
      <c r="AS464" s="100" t="str">
        <f>IF(AR464&lt;&gt;"No Disp",AQ464+12*AR464,"No Disp")</f>
        <v>No Disp</v>
      </c>
    </row>
    <row r="465" spans="1:45" s="101" customFormat="1" x14ac:dyDescent="0.25">
      <c r="A465" s="90" t="s">
        <v>38</v>
      </c>
      <c r="B465" s="90" t="s">
        <v>39</v>
      </c>
      <c r="C465" s="90" t="s">
        <v>40</v>
      </c>
      <c r="D465" s="90" t="s">
        <v>4541</v>
      </c>
      <c r="E465" s="90" t="s">
        <v>4542</v>
      </c>
      <c r="F465" s="91">
        <v>436</v>
      </c>
      <c r="G465" s="92">
        <v>70012287</v>
      </c>
      <c r="H465" s="91">
        <v>70012298</v>
      </c>
      <c r="I465" s="93" t="s">
        <v>46</v>
      </c>
      <c r="J465" s="94" t="s">
        <v>3839</v>
      </c>
      <c r="K465" s="94" t="s">
        <v>355</v>
      </c>
      <c r="L465" s="94" t="s">
        <v>356</v>
      </c>
      <c r="M465" s="95">
        <v>119900</v>
      </c>
      <c r="N465" s="95">
        <v>4000</v>
      </c>
      <c r="O465" s="95">
        <v>6000</v>
      </c>
      <c r="P465" s="96">
        <v>279990</v>
      </c>
      <c r="Q465" s="152"/>
      <c r="R465" s="95">
        <v>129990</v>
      </c>
      <c r="S465" s="95">
        <f>R465/24</f>
        <v>5416.25</v>
      </c>
      <c r="T465" s="95">
        <v>119900</v>
      </c>
      <c r="U465" s="95">
        <f>T465/24</f>
        <v>4995.833333333333</v>
      </c>
      <c r="V465" s="95">
        <v>119900</v>
      </c>
      <c r="W465" s="95">
        <f>V465/24</f>
        <v>4995.833333333333</v>
      </c>
      <c r="X465" s="128"/>
      <c r="Y465" s="95">
        <v>0</v>
      </c>
      <c r="Z465" s="95">
        <v>19500</v>
      </c>
      <c r="AA465" s="95">
        <f>IFERROR(IF(D465="Premium",0.4*Y465,0),"No Disp")</f>
        <v>0</v>
      </c>
      <c r="AB465" s="95">
        <f>IFERROR(IF(4*Y465&gt;AC465,1.5*Y465,4*Y465),"No Disp")</f>
        <v>0</v>
      </c>
      <c r="AC465" s="95">
        <f>IF(Z465="No Disp","No Disp",(Z465*18)+Y465)</f>
        <v>351000</v>
      </c>
      <c r="AD465" s="95">
        <f>18*Z465-100+Y465</f>
        <v>350900</v>
      </c>
      <c r="AE465" s="95">
        <v>0</v>
      </c>
      <c r="AF465" s="95">
        <v>16500</v>
      </c>
      <c r="AG465" s="95">
        <f>IF(AF465="No Disp","No Disp",(AF465*18)+AE465)</f>
        <v>297000</v>
      </c>
      <c r="AH465" s="98">
        <f>18*AF465-100+AE465</f>
        <v>296900</v>
      </c>
      <c r="AI465" s="95" t="s">
        <v>4613</v>
      </c>
      <c r="AJ465" s="99"/>
      <c r="AK465" s="100" t="s">
        <v>43</v>
      </c>
      <c r="AL465" s="100" t="s">
        <v>43</v>
      </c>
      <c r="AM465" s="100" t="str">
        <f>IF(AL465&lt;&gt;"No Disp",AK465+12*AL465,"No Disp")</f>
        <v>No Disp</v>
      </c>
      <c r="AN465" s="100" t="s">
        <v>43</v>
      </c>
      <c r="AO465" s="100" t="s">
        <v>43</v>
      </c>
      <c r="AP465" s="100" t="str">
        <f>IF(AO465&lt;&gt;"No Disp",AN465+12*AO465,"No Disp")</f>
        <v>No Disp</v>
      </c>
      <c r="AQ465" s="100" t="s">
        <v>43</v>
      </c>
      <c r="AR465" s="100" t="s">
        <v>43</v>
      </c>
      <c r="AS465" s="100" t="str">
        <f>IF(AR465&lt;&gt;"No Disp",AQ465+12*AR465,"No Disp")</f>
        <v>No Disp</v>
      </c>
    </row>
    <row r="466" spans="1:45" s="101" customFormat="1" x14ac:dyDescent="0.25">
      <c r="A466" s="90" t="s">
        <v>38</v>
      </c>
      <c r="B466" s="90" t="s">
        <v>39</v>
      </c>
      <c r="C466" s="90" t="s">
        <v>40</v>
      </c>
      <c r="D466" s="90" t="s">
        <v>4541</v>
      </c>
      <c r="E466" s="90" t="s">
        <v>4542</v>
      </c>
      <c r="F466" s="91">
        <v>441</v>
      </c>
      <c r="G466" s="92">
        <v>70012300</v>
      </c>
      <c r="H466" s="91">
        <v>70012301</v>
      </c>
      <c r="I466" s="93" t="s">
        <v>46</v>
      </c>
      <c r="J466" s="94" t="s">
        <v>3839</v>
      </c>
      <c r="K466" s="94" t="s">
        <v>344</v>
      </c>
      <c r="L466" s="94" t="s">
        <v>345</v>
      </c>
      <c r="M466" s="95">
        <v>119900</v>
      </c>
      <c r="N466" s="95">
        <v>4000</v>
      </c>
      <c r="O466" s="95">
        <v>6000</v>
      </c>
      <c r="P466" s="96">
        <v>279990</v>
      </c>
      <c r="Q466" s="152"/>
      <c r="R466" s="95">
        <v>129990</v>
      </c>
      <c r="S466" s="95">
        <f>R466/24</f>
        <v>5416.25</v>
      </c>
      <c r="T466" s="95">
        <v>119900</v>
      </c>
      <c r="U466" s="95">
        <f>T466/24</f>
        <v>4995.833333333333</v>
      </c>
      <c r="V466" s="95">
        <v>119900</v>
      </c>
      <c r="W466" s="95">
        <f>V466/24</f>
        <v>4995.833333333333</v>
      </c>
      <c r="X466" s="128"/>
      <c r="Y466" s="95">
        <v>0</v>
      </c>
      <c r="Z466" s="95">
        <v>19500</v>
      </c>
      <c r="AA466" s="95">
        <f>IFERROR(IF(D466="Premium",0.4*Y466,0),"No Disp")</f>
        <v>0</v>
      </c>
      <c r="AB466" s="95">
        <f>IFERROR(IF(4*Y466&gt;AC466,1.5*Y466,4*Y466),"No Disp")</f>
        <v>0</v>
      </c>
      <c r="AC466" s="95">
        <f>IF(Z466="No Disp","No Disp",(Z466*18)+Y466)</f>
        <v>351000</v>
      </c>
      <c r="AD466" s="95">
        <f>18*Z466-100+Y466</f>
        <v>350900</v>
      </c>
      <c r="AE466" s="95">
        <v>0</v>
      </c>
      <c r="AF466" s="95">
        <v>16500</v>
      </c>
      <c r="AG466" s="95">
        <f>IF(AF466="No Disp","No Disp",(AF466*18)+AE466)</f>
        <v>297000</v>
      </c>
      <c r="AH466" s="98">
        <f>18*AF466-100+AE466</f>
        <v>296900</v>
      </c>
      <c r="AI466" s="95" t="s">
        <v>4613</v>
      </c>
      <c r="AJ466" s="99"/>
      <c r="AK466" s="100" t="s">
        <v>43</v>
      </c>
      <c r="AL466" s="100" t="s">
        <v>43</v>
      </c>
      <c r="AM466" s="100" t="str">
        <f>IF(AL466&lt;&gt;"No Disp",AK466+12*AL466,"No Disp")</f>
        <v>No Disp</v>
      </c>
      <c r="AN466" s="100" t="s">
        <v>43</v>
      </c>
      <c r="AO466" s="100" t="s">
        <v>43</v>
      </c>
      <c r="AP466" s="100" t="str">
        <f>IF(AO466&lt;&gt;"No Disp",AN466+12*AO466,"No Disp")</f>
        <v>No Disp</v>
      </c>
      <c r="AQ466" s="100" t="s">
        <v>43</v>
      </c>
      <c r="AR466" s="100" t="s">
        <v>43</v>
      </c>
      <c r="AS466" s="100" t="str">
        <f>IF(AR466&lt;&gt;"No Disp",AQ466+12*AR466,"No Disp")</f>
        <v>No Disp</v>
      </c>
    </row>
    <row r="467" spans="1:45" s="101" customFormat="1" x14ac:dyDescent="0.25">
      <c r="A467" s="90" t="s">
        <v>38</v>
      </c>
      <c r="B467" s="90" t="s">
        <v>39</v>
      </c>
      <c r="C467" s="90" t="s">
        <v>40</v>
      </c>
      <c r="D467" s="90" t="s">
        <v>4541</v>
      </c>
      <c r="E467" s="90" t="s">
        <v>4542</v>
      </c>
      <c r="F467" s="91">
        <v>442</v>
      </c>
      <c r="G467" s="92">
        <v>70012303</v>
      </c>
      <c r="H467" s="91">
        <v>70012304</v>
      </c>
      <c r="I467" s="93" t="s">
        <v>46</v>
      </c>
      <c r="J467" s="94" t="s">
        <v>3839</v>
      </c>
      <c r="K467" s="94" t="s">
        <v>342</v>
      </c>
      <c r="L467" s="94" t="s">
        <v>343</v>
      </c>
      <c r="M467" s="95">
        <v>119900</v>
      </c>
      <c r="N467" s="95">
        <v>4000</v>
      </c>
      <c r="O467" s="95">
        <v>6000</v>
      </c>
      <c r="P467" s="96">
        <v>279990</v>
      </c>
      <c r="Q467" s="152"/>
      <c r="R467" s="95">
        <v>129990</v>
      </c>
      <c r="S467" s="95">
        <f>R467/24</f>
        <v>5416.25</v>
      </c>
      <c r="T467" s="95">
        <v>119900</v>
      </c>
      <c r="U467" s="95">
        <f>T467/24</f>
        <v>4995.833333333333</v>
      </c>
      <c r="V467" s="95">
        <v>119900</v>
      </c>
      <c r="W467" s="95">
        <f>V467/24</f>
        <v>4995.833333333333</v>
      </c>
      <c r="X467" s="128"/>
      <c r="Y467" s="95">
        <v>0</v>
      </c>
      <c r="Z467" s="95">
        <v>19500</v>
      </c>
      <c r="AA467" s="95">
        <f>IFERROR(IF(D467="Premium",0.4*Y467,0),"No Disp")</f>
        <v>0</v>
      </c>
      <c r="AB467" s="95">
        <f>IFERROR(IF(4*Y467&gt;AC467,1.5*Y467,4*Y467),"No Disp")</f>
        <v>0</v>
      </c>
      <c r="AC467" s="95">
        <f>IF(Z467="No Disp","No Disp",(Z467*18)+Y467)</f>
        <v>351000</v>
      </c>
      <c r="AD467" s="95">
        <f>18*Z467-100+Y467</f>
        <v>350900</v>
      </c>
      <c r="AE467" s="95">
        <v>0</v>
      </c>
      <c r="AF467" s="95">
        <v>16500</v>
      </c>
      <c r="AG467" s="95">
        <f>IF(AF467="No Disp","No Disp",(AF467*18)+AE467)</f>
        <v>297000</v>
      </c>
      <c r="AH467" s="98">
        <f>18*AF467-100+AE467</f>
        <v>296900</v>
      </c>
      <c r="AI467" s="95" t="s">
        <v>4613</v>
      </c>
      <c r="AJ467" s="99"/>
      <c r="AK467" s="100" t="s">
        <v>43</v>
      </c>
      <c r="AL467" s="100" t="s">
        <v>43</v>
      </c>
      <c r="AM467" s="100" t="str">
        <f>IF(AL467&lt;&gt;"No Disp",AK467+12*AL467,"No Disp")</f>
        <v>No Disp</v>
      </c>
      <c r="AN467" s="100" t="s">
        <v>43</v>
      </c>
      <c r="AO467" s="100" t="s">
        <v>43</v>
      </c>
      <c r="AP467" s="100" t="str">
        <f>IF(AO467&lt;&gt;"No Disp",AN467+12*AO467,"No Disp")</f>
        <v>No Disp</v>
      </c>
      <c r="AQ467" s="100" t="s">
        <v>43</v>
      </c>
      <c r="AR467" s="100" t="s">
        <v>43</v>
      </c>
      <c r="AS467" s="100" t="str">
        <f>IF(AR467&lt;&gt;"No Disp",AQ467+12*AR467,"No Disp")</f>
        <v>No Disp</v>
      </c>
    </row>
    <row r="468" spans="1:45" s="101" customFormat="1" x14ac:dyDescent="0.25">
      <c r="A468" s="90" t="s">
        <v>38</v>
      </c>
      <c r="B468" s="90" t="s">
        <v>39</v>
      </c>
      <c r="C468" s="90" t="s">
        <v>40</v>
      </c>
      <c r="D468" s="90" t="s">
        <v>4539</v>
      </c>
      <c r="E468" s="90" t="s">
        <v>4542</v>
      </c>
      <c r="F468" s="91">
        <v>443</v>
      </c>
      <c r="G468" s="92">
        <v>70012306</v>
      </c>
      <c r="H468" s="91">
        <v>70012307</v>
      </c>
      <c r="I468" s="93" t="s">
        <v>46</v>
      </c>
      <c r="J468" s="94" t="s">
        <v>3840</v>
      </c>
      <c r="K468" s="94" t="s">
        <v>340</v>
      </c>
      <c r="L468" s="94" t="s">
        <v>341</v>
      </c>
      <c r="M468" s="95">
        <v>249900</v>
      </c>
      <c r="N468" s="95">
        <v>4000</v>
      </c>
      <c r="O468" s="95">
        <v>6000</v>
      </c>
      <c r="P468" s="96">
        <v>349990</v>
      </c>
      <c r="Q468" s="152"/>
      <c r="R468" s="95">
        <v>279990</v>
      </c>
      <c r="S468" s="95">
        <f>R468/24</f>
        <v>11666.25</v>
      </c>
      <c r="T468" s="95">
        <v>249900</v>
      </c>
      <c r="U468" s="95">
        <f>T468/24</f>
        <v>10412.5</v>
      </c>
      <c r="V468" s="95">
        <v>249900</v>
      </c>
      <c r="W468" s="95">
        <f>V468/24</f>
        <v>10412.5</v>
      </c>
      <c r="X468" s="128"/>
      <c r="Y468" s="95">
        <v>0</v>
      </c>
      <c r="Z468" s="95">
        <v>28000</v>
      </c>
      <c r="AA468" s="95">
        <f>IFERROR(IF(D468="Premium",0.4*Y468,0),"No Disp")</f>
        <v>0</v>
      </c>
      <c r="AB468" s="95">
        <f>IFERROR(IF(4*Y468&gt;AC468,1.5*Y468,4*Y468),"No Disp")</f>
        <v>0</v>
      </c>
      <c r="AC468" s="95">
        <f>IF(Z468="No Disp","No Disp",(Z468*18)+Y468)</f>
        <v>504000</v>
      </c>
      <c r="AD468" s="95">
        <f>18*Z468-100+Y468</f>
        <v>503900</v>
      </c>
      <c r="AE468" s="95">
        <v>0</v>
      </c>
      <c r="AF468" s="95">
        <v>24000</v>
      </c>
      <c r="AG468" s="95">
        <f>IF(AF468="No Disp","No Disp",(AF468*18)+AE468)</f>
        <v>432000</v>
      </c>
      <c r="AH468" s="98">
        <f>18*AF468-100+AE468</f>
        <v>431900</v>
      </c>
      <c r="AI468" s="95" t="s">
        <v>4613</v>
      </c>
      <c r="AJ468" s="99"/>
      <c r="AK468" s="100" t="s">
        <v>43</v>
      </c>
      <c r="AL468" s="100" t="s">
        <v>43</v>
      </c>
      <c r="AM468" s="100" t="str">
        <f>IF(AL468&lt;&gt;"No Disp",AK468+12*AL468,"No Disp")</f>
        <v>No Disp</v>
      </c>
      <c r="AN468" s="100" t="s">
        <v>43</v>
      </c>
      <c r="AO468" s="100" t="s">
        <v>43</v>
      </c>
      <c r="AP468" s="100" t="str">
        <f>IF(AO468&lt;&gt;"No Disp",AN468+12*AO468,"No Disp")</f>
        <v>No Disp</v>
      </c>
      <c r="AQ468" s="100" t="s">
        <v>43</v>
      </c>
      <c r="AR468" s="100" t="s">
        <v>43</v>
      </c>
      <c r="AS468" s="100" t="str">
        <f>IF(AR468&lt;&gt;"No Disp",AQ468+12*AR468,"No Disp")</f>
        <v>No Disp</v>
      </c>
    </row>
    <row r="469" spans="1:45" s="101" customFormat="1" x14ac:dyDescent="0.25">
      <c r="A469" s="90" t="s">
        <v>38</v>
      </c>
      <c r="B469" s="90" t="s">
        <v>39</v>
      </c>
      <c r="C469" s="90" t="s">
        <v>40</v>
      </c>
      <c r="D469" s="90" t="s">
        <v>4539</v>
      </c>
      <c r="E469" s="90" t="s">
        <v>4542</v>
      </c>
      <c r="F469" s="91">
        <v>444</v>
      </c>
      <c r="G469" s="92">
        <v>70012309</v>
      </c>
      <c r="H469" s="91">
        <v>70012310</v>
      </c>
      <c r="I469" s="93" t="s">
        <v>46</v>
      </c>
      <c r="J469" s="94" t="s">
        <v>3840</v>
      </c>
      <c r="K469" s="94" t="s">
        <v>338</v>
      </c>
      <c r="L469" s="94" t="s">
        <v>339</v>
      </c>
      <c r="M469" s="95">
        <v>249900</v>
      </c>
      <c r="N469" s="95">
        <v>4000</v>
      </c>
      <c r="O469" s="95">
        <v>6000</v>
      </c>
      <c r="P469" s="96">
        <v>349990</v>
      </c>
      <c r="Q469" s="152"/>
      <c r="R469" s="95">
        <v>279990</v>
      </c>
      <c r="S469" s="95">
        <f>R469/24</f>
        <v>11666.25</v>
      </c>
      <c r="T469" s="95">
        <v>249900</v>
      </c>
      <c r="U469" s="95">
        <f>T469/24</f>
        <v>10412.5</v>
      </c>
      <c r="V469" s="95">
        <v>249900</v>
      </c>
      <c r="W469" s="95">
        <f>V469/24</f>
        <v>10412.5</v>
      </c>
      <c r="X469" s="128"/>
      <c r="Y469" s="95">
        <v>0</v>
      </c>
      <c r="Z469" s="95">
        <v>28000</v>
      </c>
      <c r="AA469" s="95">
        <f>IFERROR(IF(D469="Premium",0.4*Y469,0),"No Disp")</f>
        <v>0</v>
      </c>
      <c r="AB469" s="95">
        <f>IFERROR(IF(4*Y469&gt;AC469,1.5*Y469,4*Y469),"No Disp")</f>
        <v>0</v>
      </c>
      <c r="AC469" s="95">
        <f>IF(Z469="No Disp","No Disp",(Z469*18)+Y469)</f>
        <v>504000</v>
      </c>
      <c r="AD469" s="95">
        <f>18*Z469-100+Y469</f>
        <v>503900</v>
      </c>
      <c r="AE469" s="95">
        <v>0</v>
      </c>
      <c r="AF469" s="95">
        <v>24000</v>
      </c>
      <c r="AG469" s="95">
        <f>IF(AF469="No Disp","No Disp",(AF469*18)+AE469)</f>
        <v>432000</v>
      </c>
      <c r="AH469" s="98">
        <f>18*AF469-100+AE469</f>
        <v>431900</v>
      </c>
      <c r="AI469" s="95" t="s">
        <v>4613</v>
      </c>
      <c r="AJ469" s="99"/>
      <c r="AK469" s="100" t="s">
        <v>43</v>
      </c>
      <c r="AL469" s="100" t="s">
        <v>43</v>
      </c>
      <c r="AM469" s="100" t="str">
        <f>IF(AL469&lt;&gt;"No Disp",AK469+12*AL469,"No Disp")</f>
        <v>No Disp</v>
      </c>
      <c r="AN469" s="100" t="s">
        <v>43</v>
      </c>
      <c r="AO469" s="100" t="s">
        <v>43</v>
      </c>
      <c r="AP469" s="100" t="str">
        <f>IF(AO469&lt;&gt;"No Disp",AN469+12*AO469,"No Disp")</f>
        <v>No Disp</v>
      </c>
      <c r="AQ469" s="100" t="s">
        <v>43</v>
      </c>
      <c r="AR469" s="100" t="s">
        <v>43</v>
      </c>
      <c r="AS469" s="100" t="str">
        <f>IF(AR469&lt;&gt;"No Disp",AQ469+12*AR469,"No Disp")</f>
        <v>No Disp</v>
      </c>
    </row>
    <row r="470" spans="1:45" s="101" customFormat="1" x14ac:dyDescent="0.25">
      <c r="A470" s="90" t="s">
        <v>38</v>
      </c>
      <c r="B470" s="90" t="s">
        <v>39</v>
      </c>
      <c r="C470" s="90" t="s">
        <v>40</v>
      </c>
      <c r="D470" s="90" t="s">
        <v>4540</v>
      </c>
      <c r="E470" s="90" t="s">
        <v>4542</v>
      </c>
      <c r="F470" s="91">
        <v>408</v>
      </c>
      <c r="G470" s="92">
        <v>70012312</v>
      </c>
      <c r="H470" s="91">
        <v>70012313</v>
      </c>
      <c r="I470" s="93" t="s">
        <v>46</v>
      </c>
      <c r="J470" s="94" t="s">
        <v>3841</v>
      </c>
      <c r="K470" s="94" t="s">
        <v>3842</v>
      </c>
      <c r="L470" s="94" t="s">
        <v>392</v>
      </c>
      <c r="M470" s="95">
        <v>549900</v>
      </c>
      <c r="N470" s="95">
        <v>7000</v>
      </c>
      <c r="O470" s="95">
        <v>10000</v>
      </c>
      <c r="P470" s="96">
        <v>979990</v>
      </c>
      <c r="Q470" s="152"/>
      <c r="R470" s="95">
        <v>619990</v>
      </c>
      <c r="S470" s="95">
        <f>R470/24</f>
        <v>25832.916666666668</v>
      </c>
      <c r="T470" s="95">
        <v>549900</v>
      </c>
      <c r="U470" s="95">
        <f>T470/24</f>
        <v>22912.5</v>
      </c>
      <c r="V470" s="95">
        <v>549900</v>
      </c>
      <c r="W470" s="95">
        <f>V470/24</f>
        <v>22912.5</v>
      </c>
      <c r="X470" s="128"/>
      <c r="Y470" s="95">
        <v>149900</v>
      </c>
      <c r="Z470" s="95">
        <v>50000</v>
      </c>
      <c r="AA470" s="95">
        <f>IFERROR(IF(D470="Premium",0.4*Y470,0),"No Disp")</f>
        <v>59960</v>
      </c>
      <c r="AB470" s="95">
        <f>IFERROR(IF(4*Y470&gt;AC470,1.5*Y470,4*Y470),"No Disp")</f>
        <v>599600</v>
      </c>
      <c r="AC470" s="95">
        <f>IF(Z470="No Disp","No Disp",(Z470*18)+Y470)</f>
        <v>1049900</v>
      </c>
      <c r="AD470" s="95">
        <f>18*Z470-100+Y470</f>
        <v>1049800</v>
      </c>
      <c r="AE470" s="95">
        <v>49900</v>
      </c>
      <c r="AF470" s="95">
        <v>36000</v>
      </c>
      <c r="AG470" s="95">
        <f>IF(AF470="No Disp","No Disp",(AF470*18)+AE470)</f>
        <v>697900</v>
      </c>
      <c r="AH470" s="98">
        <f>18*AF470-100+AE470</f>
        <v>697800</v>
      </c>
      <c r="AI470" s="95" t="s">
        <v>4613</v>
      </c>
      <c r="AJ470" s="99"/>
      <c r="AK470" s="100">
        <v>0</v>
      </c>
      <c r="AL470" s="100">
        <v>35000</v>
      </c>
      <c r="AM470" s="100">
        <f>IF(AL470&lt;&gt;"No Disp",AK470+12*AL470,"No Disp")</f>
        <v>420000</v>
      </c>
      <c r="AN470" s="100">
        <v>0</v>
      </c>
      <c r="AO470" s="100">
        <v>35000</v>
      </c>
      <c r="AP470" s="100">
        <f>IF(AO470&lt;&gt;"No Disp",AN470+12*AO470,"No Disp")</f>
        <v>420000</v>
      </c>
      <c r="AQ470" s="100">
        <v>0</v>
      </c>
      <c r="AR470" s="100">
        <v>35000</v>
      </c>
      <c r="AS470" s="100">
        <f>IF(AR470&lt;&gt;"No Disp",AQ470+12*AR470,"No Disp")</f>
        <v>420000</v>
      </c>
    </row>
    <row r="471" spans="1:45" s="101" customFormat="1" x14ac:dyDescent="0.25">
      <c r="A471" s="90" t="s">
        <v>38</v>
      </c>
      <c r="B471" s="90" t="s">
        <v>39</v>
      </c>
      <c r="C471" s="90" t="s">
        <v>40</v>
      </c>
      <c r="D471" s="90" t="s">
        <v>4540</v>
      </c>
      <c r="E471" s="90" t="s">
        <v>4542</v>
      </c>
      <c r="F471" s="91">
        <v>409</v>
      </c>
      <c r="G471" s="92">
        <v>70012315</v>
      </c>
      <c r="H471" s="91">
        <v>70012316</v>
      </c>
      <c r="I471" s="93" t="s">
        <v>46</v>
      </c>
      <c r="J471" s="94" t="s">
        <v>3841</v>
      </c>
      <c r="K471" s="94" t="s">
        <v>3843</v>
      </c>
      <c r="L471" s="94" t="s">
        <v>391</v>
      </c>
      <c r="M471" s="95">
        <v>549900</v>
      </c>
      <c r="N471" s="95">
        <v>7000</v>
      </c>
      <c r="O471" s="95">
        <v>10000</v>
      </c>
      <c r="P471" s="96">
        <v>979990</v>
      </c>
      <c r="Q471" s="152"/>
      <c r="R471" s="95">
        <v>619990</v>
      </c>
      <c r="S471" s="95">
        <f>R471/24</f>
        <v>25832.916666666668</v>
      </c>
      <c r="T471" s="95">
        <v>549900</v>
      </c>
      <c r="U471" s="95">
        <f>T471/24</f>
        <v>22912.5</v>
      </c>
      <c r="V471" s="95">
        <v>549900</v>
      </c>
      <c r="W471" s="95">
        <f>V471/24</f>
        <v>22912.5</v>
      </c>
      <c r="X471" s="128"/>
      <c r="Y471" s="95">
        <v>149900</v>
      </c>
      <c r="Z471" s="95">
        <v>50000</v>
      </c>
      <c r="AA471" s="95">
        <f>IFERROR(IF(D471="Premium",0.4*Y471,0),"No Disp")</f>
        <v>59960</v>
      </c>
      <c r="AB471" s="95">
        <f>IFERROR(IF(4*Y471&gt;AC471,1.5*Y471,4*Y471),"No Disp")</f>
        <v>599600</v>
      </c>
      <c r="AC471" s="95">
        <f>IF(Z471="No Disp","No Disp",(Z471*18)+Y471)</f>
        <v>1049900</v>
      </c>
      <c r="AD471" s="95">
        <f>18*Z471-100+Y471</f>
        <v>1049800</v>
      </c>
      <c r="AE471" s="95">
        <v>49900</v>
      </c>
      <c r="AF471" s="95">
        <v>36000</v>
      </c>
      <c r="AG471" s="95">
        <f>IF(AF471="No Disp","No Disp",(AF471*18)+AE471)</f>
        <v>697900</v>
      </c>
      <c r="AH471" s="98">
        <f>18*AF471-100+AE471</f>
        <v>697800</v>
      </c>
      <c r="AI471" s="95" t="s">
        <v>4613</v>
      </c>
      <c r="AJ471" s="99"/>
      <c r="AK471" s="100">
        <v>0</v>
      </c>
      <c r="AL471" s="100">
        <v>35000</v>
      </c>
      <c r="AM471" s="100">
        <f>IF(AL471&lt;&gt;"No Disp",AK471+12*AL471,"No Disp")</f>
        <v>420000</v>
      </c>
      <c r="AN471" s="100">
        <v>0</v>
      </c>
      <c r="AO471" s="100">
        <v>35000</v>
      </c>
      <c r="AP471" s="100">
        <f>IF(AO471&lt;&gt;"No Disp",AN471+12*AO471,"No Disp")</f>
        <v>420000</v>
      </c>
      <c r="AQ471" s="100">
        <v>0</v>
      </c>
      <c r="AR471" s="100">
        <v>35000</v>
      </c>
      <c r="AS471" s="100">
        <f>IF(AR471&lt;&gt;"No Disp",AQ471+12*AR471,"No Disp")</f>
        <v>420000</v>
      </c>
    </row>
    <row r="472" spans="1:45" s="101" customFormat="1" x14ac:dyDescent="0.25">
      <c r="A472" s="90" t="s">
        <v>38</v>
      </c>
      <c r="B472" s="90" t="s">
        <v>39</v>
      </c>
      <c r="C472" s="90" t="s">
        <v>40</v>
      </c>
      <c r="D472" s="90" t="s">
        <v>4539</v>
      </c>
      <c r="E472" s="90" t="s">
        <v>4542</v>
      </c>
      <c r="F472" s="91">
        <v>440</v>
      </c>
      <c r="G472" s="92">
        <v>70012297</v>
      </c>
      <c r="H472" s="91">
        <v>70012318</v>
      </c>
      <c r="I472" s="93" t="s">
        <v>46</v>
      </c>
      <c r="J472" s="94" t="s">
        <v>3840</v>
      </c>
      <c r="K472" s="94" t="s">
        <v>346</v>
      </c>
      <c r="L472" s="94" t="s">
        <v>347</v>
      </c>
      <c r="M472" s="95">
        <v>249900</v>
      </c>
      <c r="N472" s="95">
        <v>4000</v>
      </c>
      <c r="O472" s="95">
        <v>6000</v>
      </c>
      <c r="P472" s="96">
        <v>349990</v>
      </c>
      <c r="Q472" s="152"/>
      <c r="R472" s="95">
        <v>279990</v>
      </c>
      <c r="S472" s="95">
        <f>R472/24</f>
        <v>11666.25</v>
      </c>
      <c r="T472" s="95">
        <v>249900</v>
      </c>
      <c r="U472" s="95">
        <f>T472/24</f>
        <v>10412.5</v>
      </c>
      <c r="V472" s="95">
        <v>249900</v>
      </c>
      <c r="W472" s="95">
        <f>V472/24</f>
        <v>10412.5</v>
      </c>
      <c r="X472" s="128"/>
      <c r="Y472" s="95">
        <v>0</v>
      </c>
      <c r="Z472" s="95">
        <v>28000</v>
      </c>
      <c r="AA472" s="95">
        <f>IFERROR(IF(D472="Premium",0.4*Y472,0),"No Disp")</f>
        <v>0</v>
      </c>
      <c r="AB472" s="95">
        <f>IFERROR(IF(4*Y472&gt;AC472,1.5*Y472,4*Y472),"No Disp")</f>
        <v>0</v>
      </c>
      <c r="AC472" s="95">
        <f>IF(Z472="No Disp","No Disp",(Z472*18)+Y472)</f>
        <v>504000</v>
      </c>
      <c r="AD472" s="95">
        <f>18*Z472-100+Y472</f>
        <v>503900</v>
      </c>
      <c r="AE472" s="95">
        <v>0</v>
      </c>
      <c r="AF472" s="95">
        <v>24000</v>
      </c>
      <c r="AG472" s="95">
        <f>IF(AF472="No Disp","No Disp",(AF472*18)+AE472)</f>
        <v>432000</v>
      </c>
      <c r="AH472" s="98">
        <f>18*AF472-100+AE472</f>
        <v>431900</v>
      </c>
      <c r="AI472" s="95" t="s">
        <v>4613</v>
      </c>
      <c r="AJ472" s="99"/>
      <c r="AK472" s="100" t="s">
        <v>43</v>
      </c>
      <c r="AL472" s="100" t="s">
        <v>43</v>
      </c>
      <c r="AM472" s="100" t="str">
        <f>IF(AL472&lt;&gt;"No Disp",AK472+12*AL472,"No Disp")</f>
        <v>No Disp</v>
      </c>
      <c r="AN472" s="100" t="s">
        <v>43</v>
      </c>
      <c r="AO472" s="100" t="s">
        <v>43</v>
      </c>
      <c r="AP472" s="100" t="str">
        <f>IF(AO472&lt;&gt;"No Disp",AN472+12*AO472,"No Disp")</f>
        <v>No Disp</v>
      </c>
      <c r="AQ472" s="100" t="s">
        <v>43</v>
      </c>
      <c r="AR472" s="100" t="s">
        <v>43</v>
      </c>
      <c r="AS472" s="100" t="str">
        <f>IF(AR472&lt;&gt;"No Disp",AQ472+12*AR472,"No Disp")</f>
        <v>No Disp</v>
      </c>
    </row>
    <row r="473" spans="1:45" s="101" customFormat="1" x14ac:dyDescent="0.25">
      <c r="A473" s="90" t="s">
        <v>38</v>
      </c>
      <c r="B473" s="90" t="s">
        <v>39</v>
      </c>
      <c r="C473" s="90" t="s">
        <v>40</v>
      </c>
      <c r="D473" s="90" t="s">
        <v>4540</v>
      </c>
      <c r="E473" s="90" t="s">
        <v>4542</v>
      </c>
      <c r="F473" s="91">
        <v>410</v>
      </c>
      <c r="G473" s="92">
        <v>70012320</v>
      </c>
      <c r="H473" s="91">
        <v>70012321</v>
      </c>
      <c r="I473" s="93" t="s">
        <v>46</v>
      </c>
      <c r="J473" s="94" t="s">
        <v>3841</v>
      </c>
      <c r="K473" s="94" t="s">
        <v>3844</v>
      </c>
      <c r="L473" s="94" t="s">
        <v>390</v>
      </c>
      <c r="M473" s="95">
        <v>549900</v>
      </c>
      <c r="N473" s="95">
        <v>7000</v>
      </c>
      <c r="O473" s="95">
        <v>10000</v>
      </c>
      <c r="P473" s="96">
        <v>979990</v>
      </c>
      <c r="Q473" s="152"/>
      <c r="R473" s="95">
        <v>619990</v>
      </c>
      <c r="S473" s="95">
        <f>R473/24</f>
        <v>25832.916666666668</v>
      </c>
      <c r="T473" s="95">
        <v>549900</v>
      </c>
      <c r="U473" s="95">
        <f>T473/24</f>
        <v>22912.5</v>
      </c>
      <c r="V473" s="95">
        <v>549900</v>
      </c>
      <c r="W473" s="95">
        <f>V473/24</f>
        <v>22912.5</v>
      </c>
      <c r="X473" s="128"/>
      <c r="Y473" s="95">
        <v>149900</v>
      </c>
      <c r="Z473" s="95">
        <v>50000</v>
      </c>
      <c r="AA473" s="95">
        <f>IFERROR(IF(D473="Premium",0.4*Y473,0),"No Disp")</f>
        <v>59960</v>
      </c>
      <c r="AB473" s="95">
        <f>IFERROR(IF(4*Y473&gt;AC473,1.5*Y473,4*Y473),"No Disp")</f>
        <v>599600</v>
      </c>
      <c r="AC473" s="95">
        <f>IF(Z473="No Disp","No Disp",(Z473*18)+Y473)</f>
        <v>1049900</v>
      </c>
      <c r="AD473" s="95">
        <f>18*Z473-100+Y473</f>
        <v>1049800</v>
      </c>
      <c r="AE473" s="95">
        <v>49900</v>
      </c>
      <c r="AF473" s="95">
        <v>36000</v>
      </c>
      <c r="AG473" s="95">
        <f>IF(AF473="No Disp","No Disp",(AF473*18)+AE473)</f>
        <v>697900</v>
      </c>
      <c r="AH473" s="98">
        <f>18*AF473-100+AE473</f>
        <v>697800</v>
      </c>
      <c r="AI473" s="95" t="s">
        <v>4613</v>
      </c>
      <c r="AJ473" s="99"/>
      <c r="AK473" s="100">
        <v>0</v>
      </c>
      <c r="AL473" s="100">
        <v>35000</v>
      </c>
      <c r="AM473" s="100">
        <f>IF(AL473&lt;&gt;"No Disp",AK473+12*AL473,"No Disp")</f>
        <v>420000</v>
      </c>
      <c r="AN473" s="100">
        <v>0</v>
      </c>
      <c r="AO473" s="100">
        <v>35000</v>
      </c>
      <c r="AP473" s="100">
        <f>IF(AO473&lt;&gt;"No Disp",AN473+12*AO473,"No Disp")</f>
        <v>420000</v>
      </c>
      <c r="AQ473" s="100">
        <v>0</v>
      </c>
      <c r="AR473" s="100">
        <v>35000</v>
      </c>
      <c r="AS473" s="100">
        <f>IF(AR473&lt;&gt;"No Disp",AQ473+12*AR473,"No Disp")</f>
        <v>420000</v>
      </c>
    </row>
    <row r="474" spans="1:45" s="101" customFormat="1" x14ac:dyDescent="0.25">
      <c r="A474" s="90" t="s">
        <v>38</v>
      </c>
      <c r="B474" s="90" t="s">
        <v>39</v>
      </c>
      <c r="C474" s="90" t="s">
        <v>40</v>
      </c>
      <c r="D474" s="90" t="s">
        <v>4540</v>
      </c>
      <c r="E474" s="90" t="s">
        <v>4542</v>
      </c>
      <c r="F474" s="91">
        <v>411</v>
      </c>
      <c r="G474" s="92">
        <v>70012323</v>
      </c>
      <c r="H474" s="91">
        <v>70012324</v>
      </c>
      <c r="I474" s="93" t="s">
        <v>46</v>
      </c>
      <c r="J474" s="94" t="s">
        <v>3841</v>
      </c>
      <c r="K474" s="94" t="s">
        <v>3845</v>
      </c>
      <c r="L474" s="94" t="s">
        <v>389</v>
      </c>
      <c r="M474" s="95">
        <v>549900</v>
      </c>
      <c r="N474" s="95">
        <v>7000</v>
      </c>
      <c r="O474" s="95">
        <v>10000</v>
      </c>
      <c r="P474" s="96">
        <v>979990</v>
      </c>
      <c r="Q474" s="152"/>
      <c r="R474" s="95">
        <v>619990</v>
      </c>
      <c r="S474" s="95">
        <f>R474/24</f>
        <v>25832.916666666668</v>
      </c>
      <c r="T474" s="95">
        <v>549900</v>
      </c>
      <c r="U474" s="95">
        <f>T474/24</f>
        <v>22912.5</v>
      </c>
      <c r="V474" s="95">
        <v>549900</v>
      </c>
      <c r="W474" s="95">
        <f>V474/24</f>
        <v>22912.5</v>
      </c>
      <c r="X474" s="128"/>
      <c r="Y474" s="95">
        <v>149900</v>
      </c>
      <c r="Z474" s="95">
        <v>50000</v>
      </c>
      <c r="AA474" s="95">
        <f>IFERROR(IF(D474="Premium",0.4*Y474,0),"No Disp")</f>
        <v>59960</v>
      </c>
      <c r="AB474" s="95">
        <f>IFERROR(IF(4*Y474&gt;AC474,1.5*Y474,4*Y474),"No Disp")</f>
        <v>599600</v>
      </c>
      <c r="AC474" s="95">
        <f>IF(Z474="No Disp","No Disp",(Z474*18)+Y474)</f>
        <v>1049900</v>
      </c>
      <c r="AD474" s="95">
        <f>18*Z474-100+Y474</f>
        <v>1049800</v>
      </c>
      <c r="AE474" s="95">
        <v>49900</v>
      </c>
      <c r="AF474" s="95">
        <v>36000</v>
      </c>
      <c r="AG474" s="95">
        <f>IF(AF474="No Disp","No Disp",(AF474*18)+AE474)</f>
        <v>697900</v>
      </c>
      <c r="AH474" s="98">
        <f>18*AF474-100+AE474</f>
        <v>697800</v>
      </c>
      <c r="AI474" s="95" t="s">
        <v>4613</v>
      </c>
      <c r="AJ474" s="99"/>
      <c r="AK474" s="100">
        <v>0</v>
      </c>
      <c r="AL474" s="100">
        <v>35000</v>
      </c>
      <c r="AM474" s="100">
        <f>IF(AL474&lt;&gt;"No Disp",AK474+12*AL474,"No Disp")</f>
        <v>420000</v>
      </c>
      <c r="AN474" s="100">
        <v>0</v>
      </c>
      <c r="AO474" s="100">
        <v>35000</v>
      </c>
      <c r="AP474" s="100">
        <f>IF(AO474&lt;&gt;"No Disp",AN474+12*AO474,"No Disp")</f>
        <v>420000</v>
      </c>
      <c r="AQ474" s="100">
        <v>0</v>
      </c>
      <c r="AR474" s="100">
        <v>35000</v>
      </c>
      <c r="AS474" s="100">
        <f>IF(AR474&lt;&gt;"No Disp",AQ474+12*AR474,"No Disp")</f>
        <v>420000</v>
      </c>
    </row>
    <row r="475" spans="1:45" s="101" customFormat="1" x14ac:dyDescent="0.25">
      <c r="A475" s="90" t="s">
        <v>38</v>
      </c>
      <c r="B475" s="90" t="s">
        <v>39</v>
      </c>
      <c r="C475" s="90" t="s">
        <v>40</v>
      </c>
      <c r="D475" s="90" t="s">
        <v>4540</v>
      </c>
      <c r="E475" s="90" t="s">
        <v>4542</v>
      </c>
      <c r="F475" s="91">
        <v>412</v>
      </c>
      <c r="G475" s="92">
        <v>70012326</v>
      </c>
      <c r="H475" s="91">
        <v>70012327</v>
      </c>
      <c r="I475" s="93" t="s">
        <v>46</v>
      </c>
      <c r="J475" s="94" t="s">
        <v>3846</v>
      </c>
      <c r="K475" s="94" t="s">
        <v>3847</v>
      </c>
      <c r="L475" s="94" t="s">
        <v>388</v>
      </c>
      <c r="M475" s="95">
        <v>1199760</v>
      </c>
      <c r="N475" s="95">
        <v>9500</v>
      </c>
      <c r="O475" s="95">
        <v>13500</v>
      </c>
      <c r="P475" s="96">
        <v>1699990</v>
      </c>
      <c r="Q475" s="152"/>
      <c r="R475" s="95">
        <v>1349990</v>
      </c>
      <c r="S475" s="95">
        <f>R475/24</f>
        <v>56249.583333333336</v>
      </c>
      <c r="T475" s="95">
        <v>1199760</v>
      </c>
      <c r="U475" s="95">
        <f>T475/24</f>
        <v>49990</v>
      </c>
      <c r="V475" s="95">
        <v>1199760</v>
      </c>
      <c r="W475" s="95">
        <f>V475/24</f>
        <v>49990</v>
      </c>
      <c r="X475" s="128"/>
      <c r="Y475" s="95">
        <v>549900</v>
      </c>
      <c r="Z475" s="95">
        <v>75000</v>
      </c>
      <c r="AA475" s="95">
        <f>IFERROR(IF(D475="Premium",0.4*Y475,0),"No Disp")</f>
        <v>219960</v>
      </c>
      <c r="AB475" s="95">
        <f>IFERROR(IF(4*Y475&gt;AC475,1.5*Y475,4*Y475),"No Disp")</f>
        <v>824850</v>
      </c>
      <c r="AC475" s="95">
        <f>IF(Z475="No Disp","No Disp",(Z475*18)+Y475)</f>
        <v>1899900</v>
      </c>
      <c r="AD475" s="95">
        <f>18*Z475-100+Y475</f>
        <v>1899800</v>
      </c>
      <c r="AE475" s="95">
        <v>369900</v>
      </c>
      <c r="AF475" s="95">
        <v>77000</v>
      </c>
      <c r="AG475" s="95">
        <f>IF(AF475="No Disp","No Disp",(AF475*18)+AE475)</f>
        <v>1755900</v>
      </c>
      <c r="AH475" s="98">
        <f>18*AF475-100+AE475</f>
        <v>1755800</v>
      </c>
      <c r="AI475" s="95" t="s">
        <v>4613</v>
      </c>
      <c r="AJ475" s="99"/>
      <c r="AK475" s="100">
        <v>0</v>
      </c>
      <c r="AL475" s="100">
        <v>65000</v>
      </c>
      <c r="AM475" s="100">
        <f>IF(AL475&lt;&gt;"No Disp",AK475+12*AL475,"No Disp")</f>
        <v>780000</v>
      </c>
      <c r="AN475" s="100">
        <v>0</v>
      </c>
      <c r="AO475" s="100">
        <v>65000</v>
      </c>
      <c r="AP475" s="100">
        <f>IF(AO475&lt;&gt;"No Disp",AN475+12*AO475,"No Disp")</f>
        <v>780000</v>
      </c>
      <c r="AQ475" s="100">
        <v>0</v>
      </c>
      <c r="AR475" s="100">
        <v>65000</v>
      </c>
      <c r="AS475" s="100">
        <f>IF(AR475&lt;&gt;"No Disp",AQ475+12*AR475,"No Disp")</f>
        <v>780000</v>
      </c>
    </row>
    <row r="476" spans="1:45" s="101" customFormat="1" x14ac:dyDescent="0.25">
      <c r="A476" s="90" t="s">
        <v>38</v>
      </c>
      <c r="B476" s="90" t="s">
        <v>39</v>
      </c>
      <c r="C476" s="90" t="s">
        <v>40</v>
      </c>
      <c r="D476" s="90" t="s">
        <v>4540</v>
      </c>
      <c r="E476" s="90" t="s">
        <v>4542</v>
      </c>
      <c r="F476" s="91">
        <v>413</v>
      </c>
      <c r="G476" s="92">
        <v>70012328</v>
      </c>
      <c r="H476" s="91">
        <v>70012329</v>
      </c>
      <c r="I476" s="93" t="s">
        <v>46</v>
      </c>
      <c r="J476" s="94" t="s">
        <v>382</v>
      </c>
      <c r="K476" s="94" t="s">
        <v>3848</v>
      </c>
      <c r="L476" s="94" t="s">
        <v>387</v>
      </c>
      <c r="M476" s="95">
        <v>589900</v>
      </c>
      <c r="N476" s="95">
        <v>7000</v>
      </c>
      <c r="O476" s="95">
        <v>10000</v>
      </c>
      <c r="P476" s="96">
        <v>1099990</v>
      </c>
      <c r="Q476" s="152"/>
      <c r="R476" s="95">
        <v>659990</v>
      </c>
      <c r="S476" s="95">
        <f>R476/24</f>
        <v>27499.583333333332</v>
      </c>
      <c r="T476" s="95">
        <v>589900</v>
      </c>
      <c r="U476" s="95">
        <f>T476/24</f>
        <v>24579.166666666668</v>
      </c>
      <c r="V476" s="95">
        <v>589900</v>
      </c>
      <c r="W476" s="95">
        <f>V476/24</f>
        <v>24579.166666666668</v>
      </c>
      <c r="X476" s="128"/>
      <c r="Y476" s="95">
        <v>149900</v>
      </c>
      <c r="Z476" s="95">
        <v>48000</v>
      </c>
      <c r="AA476" s="95">
        <f>IFERROR(IF(D476="Premium",0.4*Y476,0),"No Disp")</f>
        <v>59960</v>
      </c>
      <c r="AB476" s="95">
        <f>IFERROR(IF(4*Y476&gt;AC476,1.5*Y476,4*Y476),"No Disp")</f>
        <v>599600</v>
      </c>
      <c r="AC476" s="95">
        <f>IF(Z476="No Disp","No Disp",(Z476*18)+Y476)</f>
        <v>1013900</v>
      </c>
      <c r="AD476" s="95">
        <f>18*Z476-100+Y476</f>
        <v>1013800</v>
      </c>
      <c r="AE476" s="95">
        <v>69900</v>
      </c>
      <c r="AF476" s="95">
        <v>49500</v>
      </c>
      <c r="AG476" s="95">
        <f>IF(AF476="No Disp","No Disp",(AF476*18)+AE476)</f>
        <v>960900</v>
      </c>
      <c r="AH476" s="98">
        <f>18*AF476-100+AE476</f>
        <v>960800</v>
      </c>
      <c r="AI476" s="95" t="s">
        <v>4613</v>
      </c>
      <c r="AJ476" s="99"/>
      <c r="AK476" s="100">
        <v>0</v>
      </c>
      <c r="AL476" s="100">
        <v>32000</v>
      </c>
      <c r="AM476" s="100">
        <f>IF(AL476&lt;&gt;"No Disp",AK476+12*AL476,"No Disp")</f>
        <v>384000</v>
      </c>
      <c r="AN476" s="100">
        <v>0</v>
      </c>
      <c r="AO476" s="100">
        <v>32000</v>
      </c>
      <c r="AP476" s="100">
        <f>IF(AO476&lt;&gt;"No Disp",AN476+12*AO476,"No Disp")</f>
        <v>384000</v>
      </c>
      <c r="AQ476" s="100">
        <v>0</v>
      </c>
      <c r="AR476" s="100">
        <v>32000</v>
      </c>
      <c r="AS476" s="100">
        <f>IF(AR476&lt;&gt;"No Disp",AQ476+12*AR476,"No Disp")</f>
        <v>384000</v>
      </c>
    </row>
    <row r="477" spans="1:45" s="101" customFormat="1" x14ac:dyDescent="0.25">
      <c r="A477" s="90" t="s">
        <v>38</v>
      </c>
      <c r="B477" s="90" t="s">
        <v>39</v>
      </c>
      <c r="C477" s="90" t="s">
        <v>40</v>
      </c>
      <c r="D477" s="90" t="s">
        <v>4540</v>
      </c>
      <c r="E477" s="90" t="s">
        <v>4542</v>
      </c>
      <c r="F477" s="91">
        <v>414</v>
      </c>
      <c r="G477" s="92">
        <v>70012331</v>
      </c>
      <c r="H477" s="91">
        <v>70012332</v>
      </c>
      <c r="I477" s="93" t="s">
        <v>46</v>
      </c>
      <c r="J477" s="94" t="s">
        <v>382</v>
      </c>
      <c r="K477" s="94" t="s">
        <v>3849</v>
      </c>
      <c r="L477" s="94" t="s">
        <v>386</v>
      </c>
      <c r="M477" s="95">
        <v>589900</v>
      </c>
      <c r="N477" s="95">
        <v>7000</v>
      </c>
      <c r="O477" s="95">
        <v>10000</v>
      </c>
      <c r="P477" s="96">
        <v>1099990</v>
      </c>
      <c r="Q477" s="152"/>
      <c r="R477" s="95">
        <v>659990</v>
      </c>
      <c r="S477" s="95">
        <f>R477/24</f>
        <v>27499.583333333332</v>
      </c>
      <c r="T477" s="95">
        <v>589900</v>
      </c>
      <c r="U477" s="95">
        <f>T477/24</f>
        <v>24579.166666666668</v>
      </c>
      <c r="V477" s="95">
        <v>589900</v>
      </c>
      <c r="W477" s="95">
        <f>V477/24</f>
        <v>24579.166666666668</v>
      </c>
      <c r="X477" s="128"/>
      <c r="Y477" s="95">
        <v>149900</v>
      </c>
      <c r="Z477" s="95">
        <v>48000</v>
      </c>
      <c r="AA477" s="95">
        <f>IFERROR(IF(D477="Premium",0.4*Y477,0),"No Disp")</f>
        <v>59960</v>
      </c>
      <c r="AB477" s="95">
        <f>IFERROR(IF(4*Y477&gt;AC477,1.5*Y477,4*Y477),"No Disp")</f>
        <v>599600</v>
      </c>
      <c r="AC477" s="95">
        <f>IF(Z477="No Disp","No Disp",(Z477*18)+Y477)</f>
        <v>1013900</v>
      </c>
      <c r="AD477" s="95">
        <f>18*Z477-100+Y477</f>
        <v>1013800</v>
      </c>
      <c r="AE477" s="95">
        <v>69900</v>
      </c>
      <c r="AF477" s="95">
        <v>49500</v>
      </c>
      <c r="AG477" s="95">
        <f>IF(AF477="No Disp","No Disp",(AF477*18)+AE477)</f>
        <v>960900</v>
      </c>
      <c r="AH477" s="98">
        <f>18*AF477-100+AE477</f>
        <v>960800</v>
      </c>
      <c r="AI477" s="95" t="s">
        <v>4613</v>
      </c>
      <c r="AJ477" s="99"/>
      <c r="AK477" s="100">
        <v>0</v>
      </c>
      <c r="AL477" s="100">
        <v>32000</v>
      </c>
      <c r="AM477" s="100">
        <f>IF(AL477&lt;&gt;"No Disp",AK477+12*AL477,"No Disp")</f>
        <v>384000</v>
      </c>
      <c r="AN477" s="100">
        <v>0</v>
      </c>
      <c r="AO477" s="100">
        <v>32000</v>
      </c>
      <c r="AP477" s="100">
        <f>IF(AO477&lt;&gt;"No Disp",AN477+12*AO477,"No Disp")</f>
        <v>384000</v>
      </c>
      <c r="AQ477" s="100">
        <v>0</v>
      </c>
      <c r="AR477" s="100">
        <v>32000</v>
      </c>
      <c r="AS477" s="100">
        <f>IF(AR477&lt;&gt;"No Disp",AQ477+12*AR477,"No Disp")</f>
        <v>384000</v>
      </c>
    </row>
    <row r="478" spans="1:45" s="101" customFormat="1" x14ac:dyDescent="0.25">
      <c r="A478" s="90" t="s">
        <v>38</v>
      </c>
      <c r="B478" s="90" t="s">
        <v>39</v>
      </c>
      <c r="C478" s="90" t="s">
        <v>40</v>
      </c>
      <c r="D478" s="90" t="s">
        <v>4540</v>
      </c>
      <c r="E478" s="90" t="s">
        <v>4542</v>
      </c>
      <c r="F478" s="91">
        <v>415</v>
      </c>
      <c r="G478" s="92">
        <v>70012334</v>
      </c>
      <c r="H478" s="91">
        <v>70012335</v>
      </c>
      <c r="I478" s="93" t="s">
        <v>46</v>
      </c>
      <c r="J478" s="94" t="s">
        <v>382</v>
      </c>
      <c r="K478" s="94" t="s">
        <v>3850</v>
      </c>
      <c r="L478" s="94" t="s">
        <v>385</v>
      </c>
      <c r="M478" s="95">
        <v>589900</v>
      </c>
      <c r="N478" s="95">
        <v>7000</v>
      </c>
      <c r="O478" s="95">
        <v>10000</v>
      </c>
      <c r="P478" s="96">
        <v>1099990</v>
      </c>
      <c r="Q478" s="152"/>
      <c r="R478" s="95">
        <v>659990</v>
      </c>
      <c r="S478" s="95">
        <f>R478/24</f>
        <v>27499.583333333332</v>
      </c>
      <c r="T478" s="95">
        <v>589900</v>
      </c>
      <c r="U478" s="95">
        <f>T478/24</f>
        <v>24579.166666666668</v>
      </c>
      <c r="V478" s="95">
        <v>589900</v>
      </c>
      <c r="W478" s="95">
        <f>V478/24</f>
        <v>24579.166666666668</v>
      </c>
      <c r="X478" s="128"/>
      <c r="Y478" s="95">
        <v>149900</v>
      </c>
      <c r="Z478" s="95">
        <v>48000</v>
      </c>
      <c r="AA478" s="95">
        <f>IFERROR(IF(D478="Premium",0.4*Y478,0),"No Disp")</f>
        <v>59960</v>
      </c>
      <c r="AB478" s="95">
        <f>IFERROR(IF(4*Y478&gt;AC478,1.5*Y478,4*Y478),"No Disp")</f>
        <v>599600</v>
      </c>
      <c r="AC478" s="95">
        <f>IF(Z478="No Disp","No Disp",(Z478*18)+Y478)</f>
        <v>1013900</v>
      </c>
      <c r="AD478" s="95">
        <f>18*Z478-100+Y478</f>
        <v>1013800</v>
      </c>
      <c r="AE478" s="95">
        <v>69900</v>
      </c>
      <c r="AF478" s="95">
        <v>49500</v>
      </c>
      <c r="AG478" s="95">
        <f>IF(AF478="No Disp","No Disp",(AF478*18)+AE478)</f>
        <v>960900</v>
      </c>
      <c r="AH478" s="98">
        <f>18*AF478-100+AE478</f>
        <v>960800</v>
      </c>
      <c r="AI478" s="95" t="s">
        <v>4613</v>
      </c>
      <c r="AJ478" s="99"/>
      <c r="AK478" s="100">
        <v>0</v>
      </c>
      <c r="AL478" s="100">
        <v>32000</v>
      </c>
      <c r="AM478" s="100">
        <f>IF(AL478&lt;&gt;"No Disp",AK478+12*AL478,"No Disp")</f>
        <v>384000</v>
      </c>
      <c r="AN478" s="100">
        <v>0</v>
      </c>
      <c r="AO478" s="100">
        <v>32000</v>
      </c>
      <c r="AP478" s="100">
        <f>IF(AO478&lt;&gt;"No Disp",AN478+12*AO478,"No Disp")</f>
        <v>384000</v>
      </c>
      <c r="AQ478" s="100">
        <v>0</v>
      </c>
      <c r="AR478" s="100">
        <v>32000</v>
      </c>
      <c r="AS478" s="100">
        <f>IF(AR478&lt;&gt;"No Disp",AQ478+12*AR478,"No Disp")</f>
        <v>384000</v>
      </c>
    </row>
    <row r="479" spans="1:45" s="101" customFormat="1" x14ac:dyDescent="0.25">
      <c r="A479" s="90" t="s">
        <v>38</v>
      </c>
      <c r="B479" s="90" t="s">
        <v>39</v>
      </c>
      <c r="C479" s="90" t="s">
        <v>40</v>
      </c>
      <c r="D479" s="90" t="s">
        <v>4540</v>
      </c>
      <c r="E479" s="90" t="s">
        <v>4542</v>
      </c>
      <c r="F479" s="91">
        <v>417</v>
      </c>
      <c r="G479" s="92">
        <v>70012339</v>
      </c>
      <c r="H479" s="91">
        <v>70012340</v>
      </c>
      <c r="I479" s="93" t="s">
        <v>46</v>
      </c>
      <c r="J479" s="94" t="s">
        <v>382</v>
      </c>
      <c r="K479" s="94" t="s">
        <v>3851</v>
      </c>
      <c r="L479" s="94" t="s">
        <v>383</v>
      </c>
      <c r="M479" s="95">
        <v>589900</v>
      </c>
      <c r="N479" s="95">
        <v>7000</v>
      </c>
      <c r="O479" s="95">
        <v>10000</v>
      </c>
      <c r="P479" s="96">
        <v>1099990</v>
      </c>
      <c r="Q479" s="152"/>
      <c r="R479" s="95">
        <v>659990</v>
      </c>
      <c r="S479" s="95">
        <f>R479/24</f>
        <v>27499.583333333332</v>
      </c>
      <c r="T479" s="95">
        <v>589900</v>
      </c>
      <c r="U479" s="95">
        <f>T479/24</f>
        <v>24579.166666666668</v>
      </c>
      <c r="V479" s="95">
        <v>589900</v>
      </c>
      <c r="W479" s="95">
        <f>V479/24</f>
        <v>24579.166666666668</v>
      </c>
      <c r="X479" s="128"/>
      <c r="Y479" s="95">
        <v>149900</v>
      </c>
      <c r="Z479" s="95">
        <v>48000</v>
      </c>
      <c r="AA479" s="95">
        <f>IFERROR(IF(D479="Premium",0.4*Y479,0),"No Disp")</f>
        <v>59960</v>
      </c>
      <c r="AB479" s="95">
        <f>IFERROR(IF(4*Y479&gt;AC479,1.5*Y479,4*Y479),"No Disp")</f>
        <v>599600</v>
      </c>
      <c r="AC479" s="95">
        <f>IF(Z479="No Disp","No Disp",(Z479*18)+Y479)</f>
        <v>1013900</v>
      </c>
      <c r="AD479" s="95">
        <f>18*Z479-100+Y479</f>
        <v>1013800</v>
      </c>
      <c r="AE479" s="95">
        <v>69900</v>
      </c>
      <c r="AF479" s="95">
        <v>49500</v>
      </c>
      <c r="AG479" s="95">
        <f>IF(AF479="No Disp","No Disp",(AF479*18)+AE479)</f>
        <v>960900</v>
      </c>
      <c r="AH479" s="98">
        <f>18*AF479-100+AE479</f>
        <v>960800</v>
      </c>
      <c r="AI479" s="95" t="s">
        <v>4613</v>
      </c>
      <c r="AJ479" s="99"/>
      <c r="AK479" s="100">
        <v>0</v>
      </c>
      <c r="AL479" s="100">
        <v>32000</v>
      </c>
      <c r="AM479" s="100">
        <f>IF(AL479&lt;&gt;"No Disp",AK479+12*AL479,"No Disp")</f>
        <v>384000</v>
      </c>
      <c r="AN479" s="100">
        <v>0</v>
      </c>
      <c r="AO479" s="100">
        <v>32000</v>
      </c>
      <c r="AP479" s="100">
        <f>IF(AO479&lt;&gt;"No Disp",AN479+12*AO479,"No Disp")</f>
        <v>384000</v>
      </c>
      <c r="AQ479" s="100">
        <v>0</v>
      </c>
      <c r="AR479" s="100">
        <v>32000</v>
      </c>
      <c r="AS479" s="100">
        <f>IF(AR479&lt;&gt;"No Disp",AQ479+12*AR479,"No Disp")</f>
        <v>384000</v>
      </c>
    </row>
    <row r="480" spans="1:45" s="101" customFormat="1" x14ac:dyDescent="0.25">
      <c r="A480" s="90" t="s">
        <v>38</v>
      </c>
      <c r="B480" s="90" t="s">
        <v>39</v>
      </c>
      <c r="C480" s="90" t="s">
        <v>40</v>
      </c>
      <c r="D480" s="90" t="s">
        <v>4540</v>
      </c>
      <c r="E480" s="90" t="s">
        <v>4542</v>
      </c>
      <c r="F480" s="91">
        <v>418</v>
      </c>
      <c r="G480" s="92">
        <v>70012342</v>
      </c>
      <c r="H480" s="91">
        <v>70012343</v>
      </c>
      <c r="I480" s="93" t="s">
        <v>46</v>
      </c>
      <c r="J480" s="94" t="s">
        <v>378</v>
      </c>
      <c r="K480" s="94" t="s">
        <v>3852</v>
      </c>
      <c r="L480" s="94" t="s">
        <v>381</v>
      </c>
      <c r="M480" s="95">
        <v>949900</v>
      </c>
      <c r="N480" s="95">
        <v>9500</v>
      </c>
      <c r="O480" s="95">
        <v>13500</v>
      </c>
      <c r="P480" s="96">
        <v>1469990</v>
      </c>
      <c r="Q480" s="152"/>
      <c r="R480" s="95">
        <v>1069990</v>
      </c>
      <c r="S480" s="95">
        <f>R480/24</f>
        <v>44582.916666666664</v>
      </c>
      <c r="T480" s="95">
        <v>949900</v>
      </c>
      <c r="U480" s="95">
        <f>T480/24</f>
        <v>39579.166666666664</v>
      </c>
      <c r="V480" s="95">
        <v>949900</v>
      </c>
      <c r="W480" s="95">
        <f>V480/24</f>
        <v>39579.166666666664</v>
      </c>
      <c r="X480" s="128"/>
      <c r="Y480" s="95">
        <v>399900</v>
      </c>
      <c r="Z480" s="95">
        <v>69000</v>
      </c>
      <c r="AA480" s="95">
        <f>IFERROR(IF(D480="Premium",0.4*Y480,0),"No Disp")</f>
        <v>159960</v>
      </c>
      <c r="AB480" s="95">
        <f>IFERROR(IF(4*Y480&gt;AC480,1.5*Y480,4*Y480),"No Disp")</f>
        <v>1599600</v>
      </c>
      <c r="AC480" s="95">
        <f>IF(Z480="No Disp","No Disp",(Z480*18)+Y480)</f>
        <v>1641900</v>
      </c>
      <c r="AD480" s="95">
        <f>18*Z480-100+Y480</f>
        <v>1641800</v>
      </c>
      <c r="AE480" s="95">
        <v>249900</v>
      </c>
      <c r="AF480" s="95">
        <v>70000</v>
      </c>
      <c r="AG480" s="95">
        <f>IF(AF480="No Disp","No Disp",(AF480*18)+AE480)</f>
        <v>1509900</v>
      </c>
      <c r="AH480" s="98">
        <f>18*AF480-100+AE480</f>
        <v>1509800</v>
      </c>
      <c r="AI480" s="95" t="s">
        <v>4613</v>
      </c>
      <c r="AJ480" s="99"/>
      <c r="AK480" s="100">
        <v>0</v>
      </c>
      <c r="AL480" s="100">
        <v>59000</v>
      </c>
      <c r="AM480" s="100">
        <f>IF(AL480&lt;&gt;"No Disp",AK480+12*AL480,"No Disp")</f>
        <v>708000</v>
      </c>
      <c r="AN480" s="100">
        <v>0</v>
      </c>
      <c r="AO480" s="100">
        <v>59000</v>
      </c>
      <c r="AP480" s="100">
        <f>IF(AO480&lt;&gt;"No Disp",AN480+12*AO480,"No Disp")</f>
        <v>708000</v>
      </c>
      <c r="AQ480" s="100">
        <v>0</v>
      </c>
      <c r="AR480" s="100">
        <v>59000</v>
      </c>
      <c r="AS480" s="100">
        <f>IF(AR480&lt;&gt;"No Disp",AQ480+12*AR480,"No Disp")</f>
        <v>708000</v>
      </c>
    </row>
    <row r="481" spans="1:45" s="101" customFormat="1" x14ac:dyDescent="0.25">
      <c r="A481" s="90" t="s">
        <v>38</v>
      </c>
      <c r="B481" s="90" t="s">
        <v>39</v>
      </c>
      <c r="C481" s="90" t="s">
        <v>40</v>
      </c>
      <c r="D481" s="90" t="s">
        <v>4540</v>
      </c>
      <c r="E481" s="90" t="s">
        <v>4542</v>
      </c>
      <c r="F481" s="91">
        <v>419</v>
      </c>
      <c r="G481" s="92">
        <v>70012345</v>
      </c>
      <c r="H481" s="91">
        <v>70012346</v>
      </c>
      <c r="I481" s="93" t="s">
        <v>46</v>
      </c>
      <c r="J481" s="94" t="s">
        <v>378</v>
      </c>
      <c r="K481" s="94" t="s">
        <v>3853</v>
      </c>
      <c r="L481" s="94" t="s">
        <v>380</v>
      </c>
      <c r="M481" s="95">
        <v>949900</v>
      </c>
      <c r="N481" s="95">
        <v>9500</v>
      </c>
      <c r="O481" s="95">
        <v>13500</v>
      </c>
      <c r="P481" s="96">
        <v>1469990</v>
      </c>
      <c r="Q481" s="152"/>
      <c r="R481" s="95">
        <v>1069990</v>
      </c>
      <c r="S481" s="95">
        <f>R481/24</f>
        <v>44582.916666666664</v>
      </c>
      <c r="T481" s="95">
        <v>949900</v>
      </c>
      <c r="U481" s="95">
        <f>T481/24</f>
        <v>39579.166666666664</v>
      </c>
      <c r="V481" s="95">
        <v>949900</v>
      </c>
      <c r="W481" s="95">
        <f>V481/24</f>
        <v>39579.166666666664</v>
      </c>
      <c r="X481" s="128"/>
      <c r="Y481" s="95">
        <v>399900</v>
      </c>
      <c r="Z481" s="95">
        <v>69000</v>
      </c>
      <c r="AA481" s="95">
        <f>IFERROR(IF(D481="Premium",0.4*Y481,0),"No Disp")</f>
        <v>159960</v>
      </c>
      <c r="AB481" s="95">
        <f>IFERROR(IF(4*Y481&gt;AC481,1.5*Y481,4*Y481),"No Disp")</f>
        <v>1599600</v>
      </c>
      <c r="AC481" s="95">
        <f>IF(Z481="No Disp","No Disp",(Z481*18)+Y481)</f>
        <v>1641900</v>
      </c>
      <c r="AD481" s="95">
        <f>18*Z481-100+Y481</f>
        <v>1641800</v>
      </c>
      <c r="AE481" s="95">
        <v>249900</v>
      </c>
      <c r="AF481" s="95">
        <v>70000</v>
      </c>
      <c r="AG481" s="95">
        <f>IF(AF481="No Disp","No Disp",(AF481*18)+AE481)</f>
        <v>1509900</v>
      </c>
      <c r="AH481" s="98">
        <f>18*AF481-100+AE481</f>
        <v>1509800</v>
      </c>
      <c r="AI481" s="95" t="s">
        <v>4613</v>
      </c>
      <c r="AJ481" s="99"/>
      <c r="AK481" s="100">
        <v>0</v>
      </c>
      <c r="AL481" s="100">
        <v>59000</v>
      </c>
      <c r="AM481" s="100">
        <f>IF(AL481&lt;&gt;"No Disp",AK481+12*AL481,"No Disp")</f>
        <v>708000</v>
      </c>
      <c r="AN481" s="100">
        <v>0</v>
      </c>
      <c r="AO481" s="100">
        <v>59000</v>
      </c>
      <c r="AP481" s="100">
        <f>IF(AO481&lt;&gt;"No Disp",AN481+12*AO481,"No Disp")</f>
        <v>708000</v>
      </c>
      <c r="AQ481" s="100">
        <v>0</v>
      </c>
      <c r="AR481" s="100">
        <v>59000</v>
      </c>
      <c r="AS481" s="100">
        <f>IF(AR481&lt;&gt;"No Disp",AQ481+12*AR481,"No Disp")</f>
        <v>708000</v>
      </c>
    </row>
    <row r="482" spans="1:45" s="101" customFormat="1" x14ac:dyDescent="0.25">
      <c r="A482" s="90" t="s">
        <v>38</v>
      </c>
      <c r="B482" s="90" t="s">
        <v>39</v>
      </c>
      <c r="C482" s="90" t="s">
        <v>40</v>
      </c>
      <c r="D482" s="90" t="s">
        <v>4540</v>
      </c>
      <c r="E482" s="90" t="s">
        <v>4542</v>
      </c>
      <c r="F482" s="91">
        <v>420</v>
      </c>
      <c r="G482" s="92">
        <v>70012348</v>
      </c>
      <c r="H482" s="91">
        <v>70012349</v>
      </c>
      <c r="I482" s="93" t="s">
        <v>46</v>
      </c>
      <c r="J482" s="94" t="s">
        <v>378</v>
      </c>
      <c r="K482" s="94" t="s">
        <v>3854</v>
      </c>
      <c r="L482" s="94" t="s">
        <v>379</v>
      </c>
      <c r="M482" s="95">
        <v>949900</v>
      </c>
      <c r="N482" s="95">
        <v>9500</v>
      </c>
      <c r="O482" s="95">
        <v>13500</v>
      </c>
      <c r="P482" s="96">
        <v>1469990</v>
      </c>
      <c r="Q482" s="152"/>
      <c r="R482" s="95">
        <v>1069990</v>
      </c>
      <c r="S482" s="95">
        <f>R482/24</f>
        <v>44582.916666666664</v>
      </c>
      <c r="T482" s="95">
        <v>949900</v>
      </c>
      <c r="U482" s="95">
        <f>T482/24</f>
        <v>39579.166666666664</v>
      </c>
      <c r="V482" s="95">
        <v>949900</v>
      </c>
      <c r="W482" s="95">
        <f>V482/24</f>
        <v>39579.166666666664</v>
      </c>
      <c r="X482" s="128"/>
      <c r="Y482" s="95">
        <v>399900</v>
      </c>
      <c r="Z482" s="95">
        <v>69000</v>
      </c>
      <c r="AA482" s="95">
        <f>IFERROR(IF(D482="Premium",0.4*Y482,0),"No Disp")</f>
        <v>159960</v>
      </c>
      <c r="AB482" s="95">
        <f>IFERROR(IF(4*Y482&gt;AC482,1.5*Y482,4*Y482),"No Disp")</f>
        <v>1599600</v>
      </c>
      <c r="AC482" s="95">
        <f>IF(Z482="No Disp","No Disp",(Z482*18)+Y482)</f>
        <v>1641900</v>
      </c>
      <c r="AD482" s="95">
        <f>18*Z482-100+Y482</f>
        <v>1641800</v>
      </c>
      <c r="AE482" s="95">
        <v>249900</v>
      </c>
      <c r="AF482" s="95">
        <v>70000</v>
      </c>
      <c r="AG482" s="95">
        <f>IF(AF482="No Disp","No Disp",(AF482*18)+AE482)</f>
        <v>1509900</v>
      </c>
      <c r="AH482" s="98">
        <f>18*AF482-100+AE482</f>
        <v>1509800</v>
      </c>
      <c r="AI482" s="95" t="s">
        <v>4613</v>
      </c>
      <c r="AJ482" s="99"/>
      <c r="AK482" s="100">
        <v>0</v>
      </c>
      <c r="AL482" s="100">
        <v>59000</v>
      </c>
      <c r="AM482" s="100">
        <f>IF(AL482&lt;&gt;"No Disp",AK482+12*AL482,"No Disp")</f>
        <v>708000</v>
      </c>
      <c r="AN482" s="100">
        <v>0</v>
      </c>
      <c r="AO482" s="100">
        <v>59000</v>
      </c>
      <c r="AP482" s="100">
        <f>IF(AO482&lt;&gt;"No Disp",AN482+12*AO482,"No Disp")</f>
        <v>708000</v>
      </c>
      <c r="AQ482" s="100">
        <v>0</v>
      </c>
      <c r="AR482" s="100">
        <v>59000</v>
      </c>
      <c r="AS482" s="100">
        <f>IF(AR482&lt;&gt;"No Disp",AQ482+12*AR482,"No Disp")</f>
        <v>708000</v>
      </c>
    </row>
    <row r="483" spans="1:45" s="101" customFormat="1" x14ac:dyDescent="0.25">
      <c r="A483" s="90" t="s">
        <v>38</v>
      </c>
      <c r="B483" s="90" t="s">
        <v>39</v>
      </c>
      <c r="C483" s="90" t="s">
        <v>40</v>
      </c>
      <c r="D483" s="90" t="s">
        <v>4540</v>
      </c>
      <c r="E483" s="90" t="s">
        <v>4542</v>
      </c>
      <c r="F483" s="91">
        <v>421</v>
      </c>
      <c r="G483" s="92">
        <v>70012351</v>
      </c>
      <c r="H483" s="91">
        <v>70012352</v>
      </c>
      <c r="I483" s="93" t="s">
        <v>46</v>
      </c>
      <c r="J483" s="94" t="s">
        <v>3846</v>
      </c>
      <c r="K483" s="94" t="s">
        <v>3855</v>
      </c>
      <c r="L483" s="94" t="s">
        <v>377</v>
      </c>
      <c r="M483" s="95">
        <v>1199760</v>
      </c>
      <c r="N483" s="95">
        <v>9500</v>
      </c>
      <c r="O483" s="95">
        <v>13500</v>
      </c>
      <c r="P483" s="96">
        <v>1699990</v>
      </c>
      <c r="Q483" s="152"/>
      <c r="R483" s="95">
        <v>1349990</v>
      </c>
      <c r="S483" s="95">
        <f>R483/24</f>
        <v>56249.583333333336</v>
      </c>
      <c r="T483" s="95">
        <v>1199760</v>
      </c>
      <c r="U483" s="95">
        <f>T483/24</f>
        <v>49990</v>
      </c>
      <c r="V483" s="95">
        <v>1199760</v>
      </c>
      <c r="W483" s="95">
        <f>V483/24</f>
        <v>49990</v>
      </c>
      <c r="X483" s="128"/>
      <c r="Y483" s="95">
        <v>549900</v>
      </c>
      <c r="Z483" s="95">
        <v>75000</v>
      </c>
      <c r="AA483" s="95">
        <f>IFERROR(IF(D483="Premium",0.4*Y483,0),"No Disp")</f>
        <v>219960</v>
      </c>
      <c r="AB483" s="95">
        <f>IFERROR(IF(4*Y483&gt;AC483,1.5*Y483,4*Y483),"No Disp")</f>
        <v>824850</v>
      </c>
      <c r="AC483" s="95">
        <f>IF(Z483="No Disp","No Disp",(Z483*18)+Y483)</f>
        <v>1899900</v>
      </c>
      <c r="AD483" s="95">
        <f>18*Z483-100+Y483</f>
        <v>1899800</v>
      </c>
      <c r="AE483" s="95">
        <v>369900</v>
      </c>
      <c r="AF483" s="95">
        <v>77000</v>
      </c>
      <c r="AG483" s="95">
        <f>IF(AF483="No Disp","No Disp",(AF483*18)+AE483)</f>
        <v>1755900</v>
      </c>
      <c r="AH483" s="98">
        <f>18*AF483-100+AE483</f>
        <v>1755800</v>
      </c>
      <c r="AI483" s="95" t="s">
        <v>4613</v>
      </c>
      <c r="AJ483" s="99"/>
      <c r="AK483" s="100">
        <v>0</v>
      </c>
      <c r="AL483" s="100">
        <v>65000</v>
      </c>
      <c r="AM483" s="100">
        <f>IF(AL483&lt;&gt;"No Disp",AK483+12*AL483,"No Disp")</f>
        <v>780000</v>
      </c>
      <c r="AN483" s="100">
        <v>0</v>
      </c>
      <c r="AO483" s="100">
        <v>65000</v>
      </c>
      <c r="AP483" s="100">
        <f>IF(AO483&lt;&gt;"No Disp",AN483+12*AO483,"No Disp")</f>
        <v>780000</v>
      </c>
      <c r="AQ483" s="100">
        <v>0</v>
      </c>
      <c r="AR483" s="100">
        <v>65000</v>
      </c>
      <c r="AS483" s="100">
        <f>IF(AR483&lt;&gt;"No Disp",AQ483+12*AR483,"No Disp")</f>
        <v>780000</v>
      </c>
    </row>
    <row r="484" spans="1:45" s="101" customFormat="1" x14ac:dyDescent="0.25">
      <c r="A484" s="90" t="s">
        <v>38</v>
      </c>
      <c r="B484" s="90" t="s">
        <v>39</v>
      </c>
      <c r="C484" s="90" t="s">
        <v>40</v>
      </c>
      <c r="D484" s="90" t="s">
        <v>4540</v>
      </c>
      <c r="E484" s="90" t="s">
        <v>4542</v>
      </c>
      <c r="F484" s="91">
        <v>422</v>
      </c>
      <c r="G484" s="92">
        <v>70012354</v>
      </c>
      <c r="H484" s="91">
        <v>70012355</v>
      </c>
      <c r="I484" s="93" t="s">
        <v>46</v>
      </c>
      <c r="J484" s="94" t="s">
        <v>3846</v>
      </c>
      <c r="K484" s="94" t="s">
        <v>3856</v>
      </c>
      <c r="L484" s="94" t="s">
        <v>376</v>
      </c>
      <c r="M484" s="95">
        <v>1199760</v>
      </c>
      <c r="N484" s="95">
        <v>9500</v>
      </c>
      <c r="O484" s="95">
        <v>13500</v>
      </c>
      <c r="P484" s="96">
        <v>1699990</v>
      </c>
      <c r="Q484" s="152"/>
      <c r="R484" s="95">
        <v>1349990</v>
      </c>
      <c r="S484" s="95">
        <f>R484/24</f>
        <v>56249.583333333336</v>
      </c>
      <c r="T484" s="95">
        <v>1199760</v>
      </c>
      <c r="U484" s="95">
        <f>T484/24</f>
        <v>49990</v>
      </c>
      <c r="V484" s="95">
        <v>1199760</v>
      </c>
      <c r="W484" s="95">
        <f>V484/24</f>
        <v>49990</v>
      </c>
      <c r="X484" s="128"/>
      <c r="Y484" s="95">
        <v>549900</v>
      </c>
      <c r="Z484" s="95">
        <v>75000</v>
      </c>
      <c r="AA484" s="95">
        <f>IFERROR(IF(D484="Premium",0.4*Y484,0),"No Disp")</f>
        <v>219960</v>
      </c>
      <c r="AB484" s="95">
        <f>IFERROR(IF(4*Y484&gt;AC484,1.5*Y484,4*Y484),"No Disp")</f>
        <v>824850</v>
      </c>
      <c r="AC484" s="95">
        <f>IF(Z484="No Disp","No Disp",(Z484*18)+Y484)</f>
        <v>1899900</v>
      </c>
      <c r="AD484" s="95">
        <f>18*Z484-100+Y484</f>
        <v>1899800</v>
      </c>
      <c r="AE484" s="95">
        <v>369900</v>
      </c>
      <c r="AF484" s="95">
        <v>77000</v>
      </c>
      <c r="AG484" s="95">
        <f>IF(AF484="No Disp","No Disp",(AF484*18)+AE484)</f>
        <v>1755900</v>
      </c>
      <c r="AH484" s="98">
        <f>18*AF484-100+AE484</f>
        <v>1755800</v>
      </c>
      <c r="AI484" s="95" t="s">
        <v>4613</v>
      </c>
      <c r="AJ484" s="99"/>
      <c r="AK484" s="100">
        <v>0</v>
      </c>
      <c r="AL484" s="100">
        <v>65000</v>
      </c>
      <c r="AM484" s="100">
        <f>IF(AL484&lt;&gt;"No Disp",AK484+12*AL484,"No Disp")</f>
        <v>780000</v>
      </c>
      <c r="AN484" s="100">
        <v>0</v>
      </c>
      <c r="AO484" s="100">
        <v>65000</v>
      </c>
      <c r="AP484" s="100">
        <f>IF(AO484&lt;&gt;"No Disp",AN484+12*AO484,"No Disp")</f>
        <v>780000</v>
      </c>
      <c r="AQ484" s="100">
        <v>0</v>
      </c>
      <c r="AR484" s="100">
        <v>65000</v>
      </c>
      <c r="AS484" s="100">
        <f>IF(AR484&lt;&gt;"No Disp",AQ484+12*AR484,"No Disp")</f>
        <v>780000</v>
      </c>
    </row>
    <row r="485" spans="1:45" s="101" customFormat="1" x14ac:dyDescent="0.25">
      <c r="A485" s="90" t="s">
        <v>38</v>
      </c>
      <c r="B485" s="90" t="s">
        <v>39</v>
      </c>
      <c r="C485" s="90" t="s">
        <v>40</v>
      </c>
      <c r="D485" s="90" t="s">
        <v>4540</v>
      </c>
      <c r="E485" s="90" t="s">
        <v>4542</v>
      </c>
      <c r="F485" s="91">
        <v>416</v>
      </c>
      <c r="G485" s="92">
        <v>70012337</v>
      </c>
      <c r="H485" s="91">
        <v>70012358</v>
      </c>
      <c r="I485" s="93" t="s">
        <v>46</v>
      </c>
      <c r="J485" s="94" t="s">
        <v>378</v>
      </c>
      <c r="K485" s="94" t="s">
        <v>3857</v>
      </c>
      <c r="L485" s="94" t="s">
        <v>384</v>
      </c>
      <c r="M485" s="95">
        <v>949900</v>
      </c>
      <c r="N485" s="95">
        <v>9500</v>
      </c>
      <c r="O485" s="95">
        <v>13500</v>
      </c>
      <c r="P485" s="96">
        <v>1469990</v>
      </c>
      <c r="Q485" s="152"/>
      <c r="R485" s="95">
        <v>1069990</v>
      </c>
      <c r="S485" s="95">
        <f>R485/24</f>
        <v>44582.916666666664</v>
      </c>
      <c r="T485" s="95">
        <v>949900</v>
      </c>
      <c r="U485" s="95">
        <f>T485/24</f>
        <v>39579.166666666664</v>
      </c>
      <c r="V485" s="95">
        <v>949900</v>
      </c>
      <c r="W485" s="95">
        <f>V485/24</f>
        <v>39579.166666666664</v>
      </c>
      <c r="X485" s="128"/>
      <c r="Y485" s="95">
        <v>399900</v>
      </c>
      <c r="Z485" s="95">
        <v>69000</v>
      </c>
      <c r="AA485" s="95">
        <f>IFERROR(IF(D485="Premium",0.4*Y485,0),"No Disp")</f>
        <v>159960</v>
      </c>
      <c r="AB485" s="95">
        <f>IFERROR(IF(4*Y485&gt;AC485,1.5*Y485,4*Y485),"No Disp")</f>
        <v>1599600</v>
      </c>
      <c r="AC485" s="95">
        <f>IF(Z485="No Disp","No Disp",(Z485*18)+Y485)</f>
        <v>1641900</v>
      </c>
      <c r="AD485" s="95">
        <f>18*Z485-100+Y485</f>
        <v>1641800</v>
      </c>
      <c r="AE485" s="95">
        <v>249900</v>
      </c>
      <c r="AF485" s="95">
        <v>70000</v>
      </c>
      <c r="AG485" s="95">
        <f>IF(AF485="No Disp","No Disp",(AF485*18)+AE485)</f>
        <v>1509900</v>
      </c>
      <c r="AH485" s="98">
        <f>18*AF485-100+AE485</f>
        <v>1509800</v>
      </c>
      <c r="AI485" s="95" t="s">
        <v>4613</v>
      </c>
      <c r="AJ485" s="99"/>
      <c r="AK485" s="100">
        <v>0</v>
      </c>
      <c r="AL485" s="100">
        <v>59000</v>
      </c>
      <c r="AM485" s="100">
        <f>IF(AL485&lt;&gt;"No Disp",AK485+12*AL485,"No Disp")</f>
        <v>708000</v>
      </c>
      <c r="AN485" s="100">
        <v>0</v>
      </c>
      <c r="AO485" s="100">
        <v>59000</v>
      </c>
      <c r="AP485" s="100">
        <f>IF(AO485&lt;&gt;"No Disp",AN485+12*AO485,"No Disp")</f>
        <v>708000</v>
      </c>
      <c r="AQ485" s="100">
        <v>0</v>
      </c>
      <c r="AR485" s="100">
        <v>59000</v>
      </c>
      <c r="AS485" s="100">
        <f>IF(AR485&lt;&gt;"No Disp",AQ485+12*AR485,"No Disp")</f>
        <v>708000</v>
      </c>
    </row>
    <row r="486" spans="1:45" s="101" customFormat="1" x14ac:dyDescent="0.25">
      <c r="A486" s="90" t="s">
        <v>38</v>
      </c>
      <c r="B486" s="90" t="s">
        <v>39</v>
      </c>
      <c r="C486" s="90" t="s">
        <v>40</v>
      </c>
      <c r="D486" s="90" t="s">
        <v>4540</v>
      </c>
      <c r="E486" s="90" t="s">
        <v>4542</v>
      </c>
      <c r="F486" s="91">
        <v>424</v>
      </c>
      <c r="G486" s="92">
        <v>70012360</v>
      </c>
      <c r="H486" s="91">
        <v>70012361</v>
      </c>
      <c r="I486" s="93" t="s">
        <v>46</v>
      </c>
      <c r="J486" s="94" t="s">
        <v>370</v>
      </c>
      <c r="K486" s="94" t="s">
        <v>3858</v>
      </c>
      <c r="L486" s="94" t="s">
        <v>374</v>
      </c>
      <c r="M486" s="95">
        <v>749900</v>
      </c>
      <c r="N486" s="95">
        <v>7000</v>
      </c>
      <c r="O486" s="95">
        <v>10000</v>
      </c>
      <c r="P486" s="96">
        <v>1229990</v>
      </c>
      <c r="Q486" s="152"/>
      <c r="R486" s="95">
        <v>839990</v>
      </c>
      <c r="S486" s="95">
        <f>R486/24</f>
        <v>34999.583333333336</v>
      </c>
      <c r="T486" s="95">
        <v>749900</v>
      </c>
      <c r="U486" s="95">
        <f>T486/24</f>
        <v>31245.833333333332</v>
      </c>
      <c r="V486" s="95">
        <v>749900</v>
      </c>
      <c r="W486" s="95">
        <f>V486/24</f>
        <v>31245.833333333332</v>
      </c>
      <c r="X486" s="128"/>
      <c r="Y486" s="95">
        <v>399900</v>
      </c>
      <c r="Z486" s="95">
        <v>62000</v>
      </c>
      <c r="AA486" s="95">
        <f>IFERROR(IF(D486="Premium",0.4*Y486,0),"No Disp")</f>
        <v>159960</v>
      </c>
      <c r="AB486" s="95">
        <f>IFERROR(IF(4*Y486&gt;AC486,1.5*Y486,4*Y486),"No Disp")</f>
        <v>599850</v>
      </c>
      <c r="AC486" s="95">
        <f>IF(Z486="No Disp","No Disp",(Z486*18)+Y486)</f>
        <v>1515900</v>
      </c>
      <c r="AD486" s="95">
        <f>18*Z486-100+Y486</f>
        <v>1515800</v>
      </c>
      <c r="AE486" s="95">
        <v>299900</v>
      </c>
      <c r="AF486" s="95">
        <v>60000</v>
      </c>
      <c r="AG486" s="95">
        <f>IF(AF486="No Disp","No Disp",(AF486*18)+AE486)</f>
        <v>1379900</v>
      </c>
      <c r="AH486" s="98">
        <f>18*AF486-100+AE486</f>
        <v>1379800</v>
      </c>
      <c r="AI486" s="95" t="s">
        <v>4613</v>
      </c>
      <c r="AJ486" s="99"/>
      <c r="AK486" s="100">
        <v>0</v>
      </c>
      <c r="AL486" s="100">
        <v>54000</v>
      </c>
      <c r="AM486" s="100">
        <f>IF(AL486&lt;&gt;"No Disp",AK486+12*AL486,"No Disp")</f>
        <v>648000</v>
      </c>
      <c r="AN486" s="100">
        <v>0</v>
      </c>
      <c r="AO486" s="100">
        <v>54000</v>
      </c>
      <c r="AP486" s="100">
        <f>IF(AO486&lt;&gt;"No Disp",AN486+12*AO486,"No Disp")</f>
        <v>648000</v>
      </c>
      <c r="AQ486" s="100">
        <v>0</v>
      </c>
      <c r="AR486" s="100">
        <v>54000</v>
      </c>
      <c r="AS486" s="100">
        <f>IF(AR486&lt;&gt;"No Disp",AQ486+12*AR486,"No Disp")</f>
        <v>648000</v>
      </c>
    </row>
    <row r="487" spans="1:45" s="101" customFormat="1" x14ac:dyDescent="0.25">
      <c r="A487" s="90" t="s">
        <v>38</v>
      </c>
      <c r="B487" s="90" t="s">
        <v>39</v>
      </c>
      <c r="C487" s="90" t="s">
        <v>40</v>
      </c>
      <c r="D487" s="90" t="s">
        <v>4540</v>
      </c>
      <c r="E487" s="90" t="s">
        <v>4542</v>
      </c>
      <c r="F487" s="91">
        <v>425</v>
      </c>
      <c r="G487" s="92">
        <v>70012363</v>
      </c>
      <c r="H487" s="91">
        <v>70012364</v>
      </c>
      <c r="I487" s="93" t="s">
        <v>46</v>
      </c>
      <c r="J487" s="94" t="s">
        <v>370</v>
      </c>
      <c r="K487" s="94" t="s">
        <v>3859</v>
      </c>
      <c r="L487" s="94" t="s">
        <v>373</v>
      </c>
      <c r="M487" s="95">
        <v>749900</v>
      </c>
      <c r="N487" s="95">
        <v>7000</v>
      </c>
      <c r="O487" s="95">
        <v>10000</v>
      </c>
      <c r="P487" s="96">
        <v>1229990</v>
      </c>
      <c r="Q487" s="152"/>
      <c r="R487" s="95">
        <v>839990</v>
      </c>
      <c r="S487" s="95">
        <f>R487/24</f>
        <v>34999.583333333336</v>
      </c>
      <c r="T487" s="95">
        <v>749900</v>
      </c>
      <c r="U487" s="95">
        <f>T487/24</f>
        <v>31245.833333333332</v>
      </c>
      <c r="V487" s="95">
        <v>749900</v>
      </c>
      <c r="W487" s="95">
        <f>V487/24</f>
        <v>31245.833333333332</v>
      </c>
      <c r="X487" s="128"/>
      <c r="Y487" s="95">
        <v>399900</v>
      </c>
      <c r="Z487" s="95">
        <v>62000</v>
      </c>
      <c r="AA487" s="95">
        <f>IFERROR(IF(D487="Premium",0.4*Y487,0),"No Disp")</f>
        <v>159960</v>
      </c>
      <c r="AB487" s="95">
        <f>IFERROR(IF(4*Y487&gt;AC487,1.5*Y487,4*Y487),"No Disp")</f>
        <v>599850</v>
      </c>
      <c r="AC487" s="95">
        <f>IF(Z487="No Disp","No Disp",(Z487*18)+Y487)</f>
        <v>1515900</v>
      </c>
      <c r="AD487" s="95">
        <f>18*Z487-100+Y487</f>
        <v>1515800</v>
      </c>
      <c r="AE487" s="95">
        <v>299900</v>
      </c>
      <c r="AF487" s="95">
        <v>60000</v>
      </c>
      <c r="AG487" s="95">
        <f>IF(AF487="No Disp","No Disp",(AF487*18)+AE487)</f>
        <v>1379900</v>
      </c>
      <c r="AH487" s="98">
        <f>18*AF487-100+AE487</f>
        <v>1379800</v>
      </c>
      <c r="AI487" s="95" t="s">
        <v>4613</v>
      </c>
      <c r="AJ487" s="99"/>
      <c r="AK487" s="100">
        <v>0</v>
      </c>
      <c r="AL487" s="100">
        <v>54000</v>
      </c>
      <c r="AM487" s="100">
        <f>IF(AL487&lt;&gt;"No Disp",AK487+12*AL487,"No Disp")</f>
        <v>648000</v>
      </c>
      <c r="AN487" s="100">
        <v>0</v>
      </c>
      <c r="AO487" s="100">
        <v>54000</v>
      </c>
      <c r="AP487" s="100">
        <f>IF(AO487&lt;&gt;"No Disp",AN487+12*AO487,"No Disp")</f>
        <v>648000</v>
      </c>
      <c r="AQ487" s="100">
        <v>0</v>
      </c>
      <c r="AR487" s="100">
        <v>54000</v>
      </c>
      <c r="AS487" s="100">
        <f>IF(AR487&lt;&gt;"No Disp",AQ487+12*AR487,"No Disp")</f>
        <v>648000</v>
      </c>
    </row>
    <row r="488" spans="1:45" s="101" customFormat="1" x14ac:dyDescent="0.25">
      <c r="A488" s="90" t="s">
        <v>38</v>
      </c>
      <c r="B488" s="90" t="s">
        <v>39</v>
      </c>
      <c r="C488" s="90" t="s">
        <v>40</v>
      </c>
      <c r="D488" s="90" t="s">
        <v>4540</v>
      </c>
      <c r="E488" s="90" t="s">
        <v>4542</v>
      </c>
      <c r="F488" s="91">
        <v>426</v>
      </c>
      <c r="G488" s="92">
        <v>70012366</v>
      </c>
      <c r="H488" s="91">
        <v>70012367</v>
      </c>
      <c r="I488" s="93" t="s">
        <v>46</v>
      </c>
      <c r="J488" s="94" t="s">
        <v>370</v>
      </c>
      <c r="K488" s="94" t="s">
        <v>3860</v>
      </c>
      <c r="L488" s="94" t="s">
        <v>372</v>
      </c>
      <c r="M488" s="95">
        <v>749900</v>
      </c>
      <c r="N488" s="95">
        <v>7000</v>
      </c>
      <c r="O488" s="95">
        <v>10000</v>
      </c>
      <c r="P488" s="96">
        <v>1229990</v>
      </c>
      <c r="Q488" s="152"/>
      <c r="R488" s="95">
        <v>839990</v>
      </c>
      <c r="S488" s="95">
        <f>R488/24</f>
        <v>34999.583333333336</v>
      </c>
      <c r="T488" s="95">
        <v>749900</v>
      </c>
      <c r="U488" s="95">
        <f>T488/24</f>
        <v>31245.833333333332</v>
      </c>
      <c r="V488" s="95">
        <v>749900</v>
      </c>
      <c r="W488" s="95">
        <f>V488/24</f>
        <v>31245.833333333332</v>
      </c>
      <c r="X488" s="128"/>
      <c r="Y488" s="95">
        <v>399900</v>
      </c>
      <c r="Z488" s="95">
        <v>62000</v>
      </c>
      <c r="AA488" s="95">
        <f>IFERROR(IF(D488="Premium",0.4*Y488,0),"No Disp")</f>
        <v>159960</v>
      </c>
      <c r="AB488" s="95">
        <f>IFERROR(IF(4*Y488&gt;AC488,1.5*Y488,4*Y488),"No Disp")</f>
        <v>599850</v>
      </c>
      <c r="AC488" s="95">
        <f>IF(Z488="No Disp","No Disp",(Z488*18)+Y488)</f>
        <v>1515900</v>
      </c>
      <c r="AD488" s="95">
        <f>18*Z488-100+Y488</f>
        <v>1515800</v>
      </c>
      <c r="AE488" s="95">
        <v>299900</v>
      </c>
      <c r="AF488" s="95">
        <v>60000</v>
      </c>
      <c r="AG488" s="95">
        <f>IF(AF488="No Disp","No Disp",(AF488*18)+AE488)</f>
        <v>1379900</v>
      </c>
      <c r="AH488" s="98">
        <f>18*AF488-100+AE488</f>
        <v>1379800</v>
      </c>
      <c r="AI488" s="95" t="s">
        <v>4613</v>
      </c>
      <c r="AJ488" s="99"/>
      <c r="AK488" s="100">
        <v>0</v>
      </c>
      <c r="AL488" s="100">
        <v>54000</v>
      </c>
      <c r="AM488" s="100">
        <f>IF(AL488&lt;&gt;"No Disp",AK488+12*AL488,"No Disp")</f>
        <v>648000</v>
      </c>
      <c r="AN488" s="100">
        <v>0</v>
      </c>
      <c r="AO488" s="100">
        <v>54000</v>
      </c>
      <c r="AP488" s="100">
        <f>IF(AO488&lt;&gt;"No Disp",AN488+12*AO488,"No Disp")</f>
        <v>648000</v>
      </c>
      <c r="AQ488" s="100">
        <v>0</v>
      </c>
      <c r="AR488" s="100">
        <v>54000</v>
      </c>
      <c r="AS488" s="100">
        <f>IF(AR488&lt;&gt;"No Disp",AQ488+12*AR488,"No Disp")</f>
        <v>648000</v>
      </c>
    </row>
    <row r="489" spans="1:45" s="101" customFormat="1" x14ac:dyDescent="0.25">
      <c r="A489" s="90" t="s">
        <v>38</v>
      </c>
      <c r="B489" s="90" t="s">
        <v>39</v>
      </c>
      <c r="C489" s="90" t="s">
        <v>40</v>
      </c>
      <c r="D489" s="90" t="s">
        <v>4540</v>
      </c>
      <c r="E489" s="90" t="s">
        <v>4542</v>
      </c>
      <c r="F489" s="91">
        <v>423</v>
      </c>
      <c r="G489" s="92">
        <v>70012357</v>
      </c>
      <c r="H489" s="91">
        <v>70012368</v>
      </c>
      <c r="I489" s="93" t="s">
        <v>46</v>
      </c>
      <c r="J489" s="94" t="s">
        <v>3846</v>
      </c>
      <c r="K489" s="94" t="s">
        <v>3861</v>
      </c>
      <c r="L489" s="94" t="s">
        <v>375</v>
      </c>
      <c r="M489" s="95">
        <v>1199760</v>
      </c>
      <c r="N489" s="95">
        <v>9500</v>
      </c>
      <c r="O489" s="95">
        <v>13500</v>
      </c>
      <c r="P489" s="96">
        <v>1699990</v>
      </c>
      <c r="Q489" s="152"/>
      <c r="R489" s="95">
        <v>1349990</v>
      </c>
      <c r="S489" s="95">
        <f>R489/24</f>
        <v>56249.583333333336</v>
      </c>
      <c r="T489" s="95">
        <v>1199760</v>
      </c>
      <c r="U489" s="95">
        <f>T489/24</f>
        <v>49990</v>
      </c>
      <c r="V489" s="95">
        <v>1199760</v>
      </c>
      <c r="W489" s="95">
        <f>V489/24</f>
        <v>49990</v>
      </c>
      <c r="X489" s="128"/>
      <c r="Y489" s="95">
        <v>549900</v>
      </c>
      <c r="Z489" s="95">
        <v>75000</v>
      </c>
      <c r="AA489" s="95">
        <f>IFERROR(IF(D489="Premium",0.4*Y489,0),"No Disp")</f>
        <v>219960</v>
      </c>
      <c r="AB489" s="95">
        <f>IFERROR(IF(4*Y489&gt;AC489,1.5*Y489,4*Y489),"No Disp")</f>
        <v>824850</v>
      </c>
      <c r="AC489" s="95">
        <f>IF(Z489="No Disp","No Disp",(Z489*18)+Y489)</f>
        <v>1899900</v>
      </c>
      <c r="AD489" s="95">
        <f>18*Z489-100+Y489</f>
        <v>1899800</v>
      </c>
      <c r="AE489" s="95">
        <v>369900</v>
      </c>
      <c r="AF489" s="95">
        <v>77000</v>
      </c>
      <c r="AG489" s="95">
        <f>IF(AF489="No Disp","No Disp",(AF489*18)+AE489)</f>
        <v>1755900</v>
      </c>
      <c r="AH489" s="98">
        <f>18*AF489-100+AE489</f>
        <v>1755800</v>
      </c>
      <c r="AI489" s="95" t="s">
        <v>4613</v>
      </c>
      <c r="AJ489" s="99"/>
      <c r="AK489" s="100">
        <v>0</v>
      </c>
      <c r="AL489" s="100">
        <v>65000</v>
      </c>
      <c r="AM489" s="100">
        <f>IF(AL489&lt;&gt;"No Disp",AK489+12*AL489,"No Disp")</f>
        <v>780000</v>
      </c>
      <c r="AN489" s="100">
        <v>0</v>
      </c>
      <c r="AO489" s="100">
        <v>65000</v>
      </c>
      <c r="AP489" s="100">
        <f>IF(AO489&lt;&gt;"No Disp",AN489+12*AO489,"No Disp")</f>
        <v>780000</v>
      </c>
      <c r="AQ489" s="100">
        <v>0</v>
      </c>
      <c r="AR489" s="100">
        <v>65000</v>
      </c>
      <c r="AS489" s="100">
        <f>IF(AR489&lt;&gt;"No Disp",AQ489+12*AR489,"No Disp")</f>
        <v>780000</v>
      </c>
    </row>
    <row r="490" spans="1:45" s="101" customFormat="1" x14ac:dyDescent="0.25">
      <c r="A490" s="90" t="s">
        <v>102</v>
      </c>
      <c r="B490" s="90" t="s">
        <v>39</v>
      </c>
      <c r="C490" s="90" t="s">
        <v>40</v>
      </c>
      <c r="D490" s="90" t="s">
        <v>4541</v>
      </c>
      <c r="E490" s="90" t="s">
        <v>4542</v>
      </c>
      <c r="F490" s="91">
        <v>461</v>
      </c>
      <c r="G490" s="92">
        <v>70012373</v>
      </c>
      <c r="H490" s="91">
        <v>70012374</v>
      </c>
      <c r="I490" s="93" t="s">
        <v>131</v>
      </c>
      <c r="J490" s="94" t="s">
        <v>205</v>
      </c>
      <c r="K490" s="94" t="s">
        <v>302</v>
      </c>
      <c r="L490" s="94" t="s">
        <v>303</v>
      </c>
      <c r="M490" s="95">
        <v>124900</v>
      </c>
      <c r="N490" s="95">
        <v>2500</v>
      </c>
      <c r="O490" s="95">
        <v>4000</v>
      </c>
      <c r="P490" s="96">
        <v>149990</v>
      </c>
      <c r="Q490" s="152"/>
      <c r="R490" s="95">
        <v>134990</v>
      </c>
      <c r="S490" s="95">
        <f>R490/24</f>
        <v>5624.583333333333</v>
      </c>
      <c r="T490" s="95">
        <v>124900</v>
      </c>
      <c r="U490" s="95">
        <f>T490/24</f>
        <v>5204.166666666667</v>
      </c>
      <c r="V490" s="95">
        <v>124900</v>
      </c>
      <c r="W490" s="95">
        <f>V490/24</f>
        <v>5204.166666666667</v>
      </c>
      <c r="X490" s="128"/>
      <c r="Y490" s="95">
        <v>0</v>
      </c>
      <c r="Z490" s="95">
        <v>12000</v>
      </c>
      <c r="AA490" s="95">
        <f>IFERROR(IF(D490="Premium",0.4*Y490,0),"No Disp")</f>
        <v>0</v>
      </c>
      <c r="AB490" s="95">
        <f>IFERROR(IF(4*Y490&gt;AC490,1.5*Y490,4*Y490),"No Disp")</f>
        <v>0</v>
      </c>
      <c r="AC490" s="95">
        <f>IF(Z490="No Disp","No Disp",(Z490*18)+Y490)</f>
        <v>216000</v>
      </c>
      <c r="AD490" s="95">
        <f>18*Z490-100+Y490</f>
        <v>215900</v>
      </c>
      <c r="AE490" s="95">
        <v>0</v>
      </c>
      <c r="AF490" s="95">
        <v>11000</v>
      </c>
      <c r="AG490" s="95">
        <f>IF(AF490="No Disp","No Disp",(AF490*18)+AE490)</f>
        <v>198000</v>
      </c>
      <c r="AH490" s="98">
        <f>18*AF490-100+AE490</f>
        <v>197900</v>
      </c>
      <c r="AI490" s="95" t="s">
        <v>4613</v>
      </c>
      <c r="AJ490" s="99"/>
      <c r="AK490" s="100" t="s">
        <v>43</v>
      </c>
      <c r="AL490" s="100" t="s">
        <v>43</v>
      </c>
      <c r="AM490" s="100" t="str">
        <f>IF(AL490&lt;&gt;"No Disp",AK490+12*AL490,"No Disp")</f>
        <v>No Disp</v>
      </c>
      <c r="AN490" s="100" t="s">
        <v>43</v>
      </c>
      <c r="AO490" s="100" t="s">
        <v>43</v>
      </c>
      <c r="AP490" s="100" t="str">
        <f>IF(AO490&lt;&gt;"No Disp",AN490+12*AO490,"No Disp")</f>
        <v>No Disp</v>
      </c>
      <c r="AQ490" s="100" t="s">
        <v>43</v>
      </c>
      <c r="AR490" s="100" t="s">
        <v>43</v>
      </c>
      <c r="AS490" s="100" t="str">
        <f>IF(AR490&lt;&gt;"No Disp",AQ490+12*AR490,"No Disp")</f>
        <v>No Disp</v>
      </c>
    </row>
    <row r="491" spans="1:45" s="101" customFormat="1" x14ac:dyDescent="0.25">
      <c r="A491" s="90" t="s">
        <v>102</v>
      </c>
      <c r="B491" s="90" t="s">
        <v>39</v>
      </c>
      <c r="C491" s="90" t="s">
        <v>40</v>
      </c>
      <c r="D491" s="90" t="s">
        <v>4539</v>
      </c>
      <c r="E491" s="90" t="s">
        <v>4542</v>
      </c>
      <c r="F491" s="91">
        <v>459</v>
      </c>
      <c r="G491" s="92">
        <v>70012376</v>
      </c>
      <c r="H491" s="91">
        <v>70012377</v>
      </c>
      <c r="I491" s="93" t="s">
        <v>131</v>
      </c>
      <c r="J491" s="94" t="s">
        <v>3862</v>
      </c>
      <c r="K491" s="94" t="s">
        <v>307</v>
      </c>
      <c r="L491" s="94" t="s">
        <v>308</v>
      </c>
      <c r="M491" s="95">
        <v>152900</v>
      </c>
      <c r="N491" s="95">
        <v>2500</v>
      </c>
      <c r="O491" s="95">
        <v>4000</v>
      </c>
      <c r="P491" s="96">
        <v>199990</v>
      </c>
      <c r="Q491" s="152"/>
      <c r="R491" s="95">
        <v>152900</v>
      </c>
      <c r="S491" s="95">
        <f>R491/24</f>
        <v>6370.833333333333</v>
      </c>
      <c r="T491" s="95">
        <v>152900</v>
      </c>
      <c r="U491" s="95">
        <f>T491/24</f>
        <v>6370.833333333333</v>
      </c>
      <c r="V491" s="95">
        <v>152900</v>
      </c>
      <c r="W491" s="95">
        <f>V491/24</f>
        <v>6370.833333333333</v>
      </c>
      <c r="X491" s="128"/>
      <c r="Y491" s="95">
        <v>39900</v>
      </c>
      <c r="Z491" s="95">
        <v>11500</v>
      </c>
      <c r="AA491" s="95">
        <f>IFERROR(IF(D491="Premium",0.4*Y491,0),"No Disp")</f>
        <v>0</v>
      </c>
      <c r="AB491" s="95">
        <f>IFERROR(IF(4*Y491&gt;AC491,1.5*Y491,4*Y491),"No Disp")</f>
        <v>159600</v>
      </c>
      <c r="AC491" s="95">
        <f>IF(Z491="No Disp","No Disp",(Z491*18)+Y491)</f>
        <v>246900</v>
      </c>
      <c r="AD491" s="95">
        <f>18*Z491-100+Y491</f>
        <v>246800</v>
      </c>
      <c r="AE491" s="95">
        <v>0</v>
      </c>
      <c r="AF491" s="95">
        <v>13000</v>
      </c>
      <c r="AG491" s="95">
        <f>IF(AF491="No Disp","No Disp",(AF491*18)+AE491)</f>
        <v>234000</v>
      </c>
      <c r="AH491" s="98">
        <f>18*AF491-100+AE491</f>
        <v>233900</v>
      </c>
      <c r="AI491" s="95" t="s">
        <v>4613</v>
      </c>
      <c r="AJ491" s="99"/>
      <c r="AK491" s="100" t="s">
        <v>43</v>
      </c>
      <c r="AL491" s="100" t="s">
        <v>43</v>
      </c>
      <c r="AM491" s="100" t="str">
        <f>IF(AL491&lt;&gt;"No Disp",AK491+12*AL491,"No Disp")</f>
        <v>No Disp</v>
      </c>
      <c r="AN491" s="100" t="s">
        <v>43</v>
      </c>
      <c r="AO491" s="100" t="s">
        <v>43</v>
      </c>
      <c r="AP491" s="100" t="str">
        <f>IF(AO491&lt;&gt;"No Disp",AN491+12*AO491,"No Disp")</f>
        <v>No Disp</v>
      </c>
      <c r="AQ491" s="100" t="s">
        <v>43</v>
      </c>
      <c r="AR491" s="100" t="s">
        <v>43</v>
      </c>
      <c r="AS491" s="100" t="str">
        <f>IF(AR491&lt;&gt;"No Disp",AQ491+12*AR491,"No Disp")</f>
        <v>No Disp</v>
      </c>
    </row>
    <row r="492" spans="1:45" s="101" customFormat="1" x14ac:dyDescent="0.25">
      <c r="A492" s="90" t="s">
        <v>38</v>
      </c>
      <c r="B492" s="90" t="s">
        <v>39</v>
      </c>
      <c r="C492" s="90" t="s">
        <v>40</v>
      </c>
      <c r="D492" s="90" t="s">
        <v>4540</v>
      </c>
      <c r="E492" s="90" t="s">
        <v>4542</v>
      </c>
      <c r="F492" s="91">
        <v>427</v>
      </c>
      <c r="G492" s="92">
        <v>70012379</v>
      </c>
      <c r="H492" s="91">
        <v>70012380</v>
      </c>
      <c r="I492" s="93" t="s">
        <v>46</v>
      </c>
      <c r="J492" s="94" t="s">
        <v>370</v>
      </c>
      <c r="K492" s="94" t="s">
        <v>3863</v>
      </c>
      <c r="L492" s="94" t="s">
        <v>371</v>
      </c>
      <c r="M492" s="95">
        <v>749900</v>
      </c>
      <c r="N492" s="95">
        <v>7000</v>
      </c>
      <c r="O492" s="95">
        <v>10000</v>
      </c>
      <c r="P492" s="96">
        <v>1229990</v>
      </c>
      <c r="Q492" s="152"/>
      <c r="R492" s="95">
        <v>839990</v>
      </c>
      <c r="S492" s="95">
        <f>R492/24</f>
        <v>34999.583333333336</v>
      </c>
      <c r="T492" s="95">
        <v>749900</v>
      </c>
      <c r="U492" s="95">
        <f>T492/24</f>
        <v>31245.833333333332</v>
      </c>
      <c r="V492" s="95">
        <v>749900</v>
      </c>
      <c r="W492" s="95">
        <f>V492/24</f>
        <v>31245.833333333332</v>
      </c>
      <c r="X492" s="128"/>
      <c r="Y492" s="95">
        <v>399900</v>
      </c>
      <c r="Z492" s="95">
        <v>62000</v>
      </c>
      <c r="AA492" s="95">
        <f>IFERROR(IF(D492="Premium",0.4*Y492,0),"No Disp")</f>
        <v>159960</v>
      </c>
      <c r="AB492" s="95">
        <f>IFERROR(IF(4*Y492&gt;AC492,1.5*Y492,4*Y492),"No Disp")</f>
        <v>599850</v>
      </c>
      <c r="AC492" s="95">
        <f>IF(Z492="No Disp","No Disp",(Z492*18)+Y492)</f>
        <v>1515900</v>
      </c>
      <c r="AD492" s="95">
        <f>18*Z492-100+Y492</f>
        <v>1515800</v>
      </c>
      <c r="AE492" s="95">
        <v>299900</v>
      </c>
      <c r="AF492" s="95">
        <v>60000</v>
      </c>
      <c r="AG492" s="95">
        <f>IF(AF492="No Disp","No Disp",(AF492*18)+AE492)</f>
        <v>1379900</v>
      </c>
      <c r="AH492" s="98">
        <f>18*AF492-100+AE492</f>
        <v>1379800</v>
      </c>
      <c r="AI492" s="95" t="s">
        <v>4613</v>
      </c>
      <c r="AJ492" s="99"/>
      <c r="AK492" s="100">
        <v>0</v>
      </c>
      <c r="AL492" s="100">
        <v>54000</v>
      </c>
      <c r="AM492" s="100">
        <f>IF(AL492&lt;&gt;"No Disp",AK492+12*AL492,"No Disp")</f>
        <v>648000</v>
      </c>
      <c r="AN492" s="100">
        <v>0</v>
      </c>
      <c r="AO492" s="100">
        <v>54000</v>
      </c>
      <c r="AP492" s="100">
        <f>IF(AO492&lt;&gt;"No Disp",AN492+12*AO492,"No Disp")</f>
        <v>648000</v>
      </c>
      <c r="AQ492" s="100">
        <v>0</v>
      </c>
      <c r="AR492" s="100">
        <v>54000</v>
      </c>
      <c r="AS492" s="100">
        <f>IF(AR492&lt;&gt;"No Disp",AQ492+12*AR492,"No Disp")</f>
        <v>648000</v>
      </c>
    </row>
    <row r="493" spans="1:45" s="101" customFormat="1" x14ac:dyDescent="0.25">
      <c r="A493" s="90" t="s">
        <v>38</v>
      </c>
      <c r="B493" s="90" t="s">
        <v>39</v>
      </c>
      <c r="C493" s="90" t="s">
        <v>40</v>
      </c>
      <c r="D493" s="90" t="s">
        <v>4540</v>
      </c>
      <c r="E493" s="90" t="s">
        <v>4542</v>
      </c>
      <c r="F493" s="91">
        <v>428</v>
      </c>
      <c r="G493" s="92">
        <v>70012382</v>
      </c>
      <c r="H493" s="91">
        <v>70012383</v>
      </c>
      <c r="I493" s="93" t="s">
        <v>46</v>
      </c>
      <c r="J493" s="94" t="s">
        <v>3864</v>
      </c>
      <c r="K493" s="94" t="s">
        <v>3865</v>
      </c>
      <c r="L493" s="94" t="s">
        <v>369</v>
      </c>
      <c r="M493" s="95">
        <v>1199900</v>
      </c>
      <c r="N493" s="95">
        <v>9500</v>
      </c>
      <c r="O493" s="95">
        <v>13500</v>
      </c>
      <c r="P493" s="96">
        <v>1349990</v>
      </c>
      <c r="Q493" s="152"/>
      <c r="R493" s="95">
        <v>1349990</v>
      </c>
      <c r="S493" s="95">
        <f>R493/24</f>
        <v>56249.583333333336</v>
      </c>
      <c r="T493" s="95">
        <v>1199900</v>
      </c>
      <c r="U493" s="95">
        <f>T493/24</f>
        <v>49995.833333333336</v>
      </c>
      <c r="V493" s="95">
        <v>1199900</v>
      </c>
      <c r="W493" s="95">
        <f>V493/24</f>
        <v>49995.833333333336</v>
      </c>
      <c r="X493" s="128"/>
      <c r="Y493" s="95">
        <v>449900</v>
      </c>
      <c r="Z493" s="95">
        <v>70000</v>
      </c>
      <c r="AA493" s="95">
        <f>IFERROR(IF(D493="Premium",0.4*Y493,0),"No Disp")</f>
        <v>179960</v>
      </c>
      <c r="AB493" s="95">
        <f>IFERROR(IF(4*Y493&gt;AC493,1.5*Y493,4*Y493),"No Disp")</f>
        <v>674850</v>
      </c>
      <c r="AC493" s="95">
        <f>IF(Z493="No Disp","No Disp",(Z493*18)+Y493)</f>
        <v>1709900</v>
      </c>
      <c r="AD493" s="95">
        <f>18*Z493-100+Y493</f>
        <v>1709800</v>
      </c>
      <c r="AE493" s="95">
        <v>349900</v>
      </c>
      <c r="AF493" s="95">
        <v>68000</v>
      </c>
      <c r="AG493" s="95">
        <f>IF(AF493="No Disp","No Disp",(AF493*18)+AE493)</f>
        <v>1573900</v>
      </c>
      <c r="AH493" s="98">
        <f>18*AF493-100+AE493</f>
        <v>1573800</v>
      </c>
      <c r="AI493" s="95" t="s">
        <v>4613</v>
      </c>
      <c r="AJ493" s="99"/>
      <c r="AK493" s="100">
        <v>0</v>
      </c>
      <c r="AL493" s="100">
        <v>56000</v>
      </c>
      <c r="AM493" s="100">
        <f>IF(AL493&lt;&gt;"No Disp",AK493+12*AL493,"No Disp")</f>
        <v>672000</v>
      </c>
      <c r="AN493" s="100">
        <v>0</v>
      </c>
      <c r="AO493" s="100">
        <v>56000</v>
      </c>
      <c r="AP493" s="100">
        <f>IF(AO493&lt;&gt;"No Disp",AN493+12*AO493,"No Disp")</f>
        <v>672000</v>
      </c>
      <c r="AQ493" s="100">
        <v>0</v>
      </c>
      <c r="AR493" s="100">
        <v>56000</v>
      </c>
      <c r="AS493" s="100">
        <f>IF(AR493&lt;&gt;"No Disp",AQ493+12*AR493,"No Disp")</f>
        <v>672000</v>
      </c>
    </row>
    <row r="494" spans="1:45" s="101" customFormat="1" x14ac:dyDescent="0.25">
      <c r="A494" s="90" t="s">
        <v>38</v>
      </c>
      <c r="B494" s="90" t="s">
        <v>39</v>
      </c>
      <c r="C494" s="90" t="s">
        <v>40</v>
      </c>
      <c r="D494" s="90" t="s">
        <v>4540</v>
      </c>
      <c r="E494" s="90" t="s">
        <v>4542</v>
      </c>
      <c r="F494" s="91">
        <v>429</v>
      </c>
      <c r="G494" s="92">
        <v>70012385</v>
      </c>
      <c r="H494" s="91">
        <v>70012386</v>
      </c>
      <c r="I494" s="93" t="s">
        <v>46</v>
      </c>
      <c r="J494" s="94" t="s">
        <v>3864</v>
      </c>
      <c r="K494" s="94" t="s">
        <v>3866</v>
      </c>
      <c r="L494" s="94" t="s">
        <v>368</v>
      </c>
      <c r="M494" s="95">
        <v>1199900</v>
      </c>
      <c r="N494" s="95">
        <v>9500</v>
      </c>
      <c r="O494" s="95">
        <v>13500</v>
      </c>
      <c r="P494" s="96">
        <v>1349990</v>
      </c>
      <c r="Q494" s="152"/>
      <c r="R494" s="95">
        <v>1349990</v>
      </c>
      <c r="S494" s="95">
        <f>R494/24</f>
        <v>56249.583333333336</v>
      </c>
      <c r="T494" s="95">
        <v>1199900</v>
      </c>
      <c r="U494" s="95">
        <f>T494/24</f>
        <v>49995.833333333336</v>
      </c>
      <c r="V494" s="95">
        <v>1199900</v>
      </c>
      <c r="W494" s="95">
        <f>V494/24</f>
        <v>49995.833333333336</v>
      </c>
      <c r="X494" s="128"/>
      <c r="Y494" s="95">
        <v>449900</v>
      </c>
      <c r="Z494" s="95">
        <v>70000</v>
      </c>
      <c r="AA494" s="95">
        <f>IFERROR(IF(D494="Premium",0.4*Y494,0),"No Disp")</f>
        <v>179960</v>
      </c>
      <c r="AB494" s="95">
        <f>IFERROR(IF(4*Y494&gt;AC494,1.5*Y494,4*Y494),"No Disp")</f>
        <v>674850</v>
      </c>
      <c r="AC494" s="95">
        <f>IF(Z494="No Disp","No Disp",(Z494*18)+Y494)</f>
        <v>1709900</v>
      </c>
      <c r="AD494" s="95">
        <f>18*Z494-100+Y494</f>
        <v>1709800</v>
      </c>
      <c r="AE494" s="95">
        <v>349900</v>
      </c>
      <c r="AF494" s="95">
        <v>68000</v>
      </c>
      <c r="AG494" s="95">
        <f>IF(AF494="No Disp","No Disp",(AF494*18)+AE494)</f>
        <v>1573900</v>
      </c>
      <c r="AH494" s="98">
        <f>18*AF494-100+AE494</f>
        <v>1573800</v>
      </c>
      <c r="AI494" s="95" t="s">
        <v>4613</v>
      </c>
      <c r="AJ494" s="99"/>
      <c r="AK494" s="100">
        <v>0</v>
      </c>
      <c r="AL494" s="100">
        <v>56000</v>
      </c>
      <c r="AM494" s="100">
        <f>IF(AL494&lt;&gt;"No Disp",AK494+12*AL494,"No Disp")</f>
        <v>672000</v>
      </c>
      <c r="AN494" s="100">
        <v>0</v>
      </c>
      <c r="AO494" s="100">
        <v>56000</v>
      </c>
      <c r="AP494" s="100">
        <f>IF(AO494&lt;&gt;"No Disp",AN494+12*AO494,"No Disp")</f>
        <v>672000</v>
      </c>
      <c r="AQ494" s="100">
        <v>0</v>
      </c>
      <c r="AR494" s="100">
        <v>56000</v>
      </c>
      <c r="AS494" s="100">
        <f>IF(AR494&lt;&gt;"No Disp",AQ494+12*AR494,"No Disp")</f>
        <v>672000</v>
      </c>
    </row>
    <row r="495" spans="1:45" s="101" customFormat="1" x14ac:dyDescent="0.25">
      <c r="A495" s="90" t="s">
        <v>38</v>
      </c>
      <c r="B495" s="90" t="s">
        <v>39</v>
      </c>
      <c r="C495" s="90" t="s">
        <v>40</v>
      </c>
      <c r="D495" s="90" t="s">
        <v>4540</v>
      </c>
      <c r="E495" s="90" t="s">
        <v>4542</v>
      </c>
      <c r="F495" s="91">
        <v>430</v>
      </c>
      <c r="G495" s="92">
        <v>70012388</v>
      </c>
      <c r="H495" s="91">
        <v>70012389</v>
      </c>
      <c r="I495" s="93" t="s">
        <v>46</v>
      </c>
      <c r="J495" s="94" t="s">
        <v>3864</v>
      </c>
      <c r="K495" s="94" t="s">
        <v>3867</v>
      </c>
      <c r="L495" s="94" t="s">
        <v>367</v>
      </c>
      <c r="M495" s="95">
        <v>1199900</v>
      </c>
      <c r="N495" s="95">
        <v>9500</v>
      </c>
      <c r="O495" s="95">
        <v>13500</v>
      </c>
      <c r="P495" s="96">
        <v>1349990</v>
      </c>
      <c r="Q495" s="152"/>
      <c r="R495" s="95">
        <v>1349990</v>
      </c>
      <c r="S495" s="95">
        <f>R495/24</f>
        <v>56249.583333333336</v>
      </c>
      <c r="T495" s="95">
        <v>1199900</v>
      </c>
      <c r="U495" s="95">
        <f>T495/24</f>
        <v>49995.833333333336</v>
      </c>
      <c r="V495" s="95">
        <v>1199900</v>
      </c>
      <c r="W495" s="95">
        <f>V495/24</f>
        <v>49995.833333333336</v>
      </c>
      <c r="X495" s="128"/>
      <c r="Y495" s="95">
        <v>449900</v>
      </c>
      <c r="Z495" s="95">
        <v>70000</v>
      </c>
      <c r="AA495" s="95">
        <f>IFERROR(IF(D495="Premium",0.4*Y495,0),"No Disp")</f>
        <v>179960</v>
      </c>
      <c r="AB495" s="95">
        <f>IFERROR(IF(4*Y495&gt;AC495,1.5*Y495,4*Y495),"No Disp")</f>
        <v>674850</v>
      </c>
      <c r="AC495" s="95">
        <f>IF(Z495="No Disp","No Disp",(Z495*18)+Y495)</f>
        <v>1709900</v>
      </c>
      <c r="AD495" s="95">
        <f>18*Z495-100+Y495</f>
        <v>1709800</v>
      </c>
      <c r="AE495" s="95">
        <v>349900</v>
      </c>
      <c r="AF495" s="95">
        <v>68000</v>
      </c>
      <c r="AG495" s="95">
        <f>IF(AF495="No Disp","No Disp",(AF495*18)+AE495)</f>
        <v>1573900</v>
      </c>
      <c r="AH495" s="98">
        <f>18*AF495-100+AE495</f>
        <v>1573800</v>
      </c>
      <c r="AI495" s="95" t="s">
        <v>4613</v>
      </c>
      <c r="AJ495" s="99"/>
      <c r="AK495" s="100">
        <v>0</v>
      </c>
      <c r="AL495" s="100">
        <v>56000</v>
      </c>
      <c r="AM495" s="100">
        <f>IF(AL495&lt;&gt;"No Disp",AK495+12*AL495,"No Disp")</f>
        <v>672000</v>
      </c>
      <c r="AN495" s="100">
        <v>0</v>
      </c>
      <c r="AO495" s="100">
        <v>56000</v>
      </c>
      <c r="AP495" s="100">
        <f>IF(AO495&lt;&gt;"No Disp",AN495+12*AO495,"No Disp")</f>
        <v>672000</v>
      </c>
      <c r="AQ495" s="100">
        <v>0</v>
      </c>
      <c r="AR495" s="100">
        <v>56000</v>
      </c>
      <c r="AS495" s="100">
        <f>IF(AR495&lt;&gt;"No Disp",AQ495+12*AR495,"No Disp")</f>
        <v>672000</v>
      </c>
    </row>
    <row r="496" spans="1:45" s="101" customFormat="1" x14ac:dyDescent="0.25">
      <c r="A496" s="90" t="s">
        <v>38</v>
      </c>
      <c r="B496" s="90" t="s">
        <v>39</v>
      </c>
      <c r="C496" s="90" t="s">
        <v>40</v>
      </c>
      <c r="D496" s="90" t="s">
        <v>4540</v>
      </c>
      <c r="E496" s="90" t="s">
        <v>4542</v>
      </c>
      <c r="F496" s="91">
        <v>431</v>
      </c>
      <c r="G496" s="92">
        <v>70012391</v>
      </c>
      <c r="H496" s="91">
        <v>70012392</v>
      </c>
      <c r="I496" s="93" t="s">
        <v>46</v>
      </c>
      <c r="J496" s="94" t="s">
        <v>3864</v>
      </c>
      <c r="K496" s="94" t="s">
        <v>3868</v>
      </c>
      <c r="L496" s="94" t="s">
        <v>366</v>
      </c>
      <c r="M496" s="95">
        <v>1199900</v>
      </c>
      <c r="N496" s="95">
        <v>9500</v>
      </c>
      <c r="O496" s="95">
        <v>13500</v>
      </c>
      <c r="P496" s="96">
        <v>1349990</v>
      </c>
      <c r="Q496" s="152"/>
      <c r="R496" s="95">
        <v>1349990</v>
      </c>
      <c r="S496" s="95">
        <f>R496/24</f>
        <v>56249.583333333336</v>
      </c>
      <c r="T496" s="95">
        <v>1199900</v>
      </c>
      <c r="U496" s="95">
        <f>T496/24</f>
        <v>49995.833333333336</v>
      </c>
      <c r="V496" s="95">
        <v>1199900</v>
      </c>
      <c r="W496" s="95">
        <f>V496/24</f>
        <v>49995.833333333336</v>
      </c>
      <c r="X496" s="128"/>
      <c r="Y496" s="95">
        <v>449900</v>
      </c>
      <c r="Z496" s="95">
        <v>70000</v>
      </c>
      <c r="AA496" s="95">
        <f>IFERROR(IF(D496="Premium",0.4*Y496,0),"No Disp")</f>
        <v>179960</v>
      </c>
      <c r="AB496" s="95">
        <f>IFERROR(IF(4*Y496&gt;AC496,1.5*Y496,4*Y496),"No Disp")</f>
        <v>674850</v>
      </c>
      <c r="AC496" s="95">
        <f>IF(Z496="No Disp","No Disp",(Z496*18)+Y496)</f>
        <v>1709900</v>
      </c>
      <c r="AD496" s="95">
        <f>18*Z496-100+Y496</f>
        <v>1709800</v>
      </c>
      <c r="AE496" s="95">
        <v>349900</v>
      </c>
      <c r="AF496" s="95">
        <v>68000</v>
      </c>
      <c r="AG496" s="95">
        <f>IF(AF496="No Disp","No Disp",(AF496*18)+AE496)</f>
        <v>1573900</v>
      </c>
      <c r="AH496" s="98">
        <f>18*AF496-100+AE496</f>
        <v>1573800</v>
      </c>
      <c r="AI496" s="95" t="s">
        <v>4613</v>
      </c>
      <c r="AJ496" s="99"/>
      <c r="AK496" s="100">
        <v>0</v>
      </c>
      <c r="AL496" s="100">
        <v>56000</v>
      </c>
      <c r="AM496" s="100">
        <f>IF(AL496&lt;&gt;"No Disp",AK496+12*AL496,"No Disp")</f>
        <v>672000</v>
      </c>
      <c r="AN496" s="100">
        <v>0</v>
      </c>
      <c r="AO496" s="100">
        <v>56000</v>
      </c>
      <c r="AP496" s="100">
        <f>IF(AO496&lt;&gt;"No Disp",AN496+12*AO496,"No Disp")</f>
        <v>672000</v>
      </c>
      <c r="AQ496" s="100">
        <v>0</v>
      </c>
      <c r="AR496" s="100">
        <v>56000</v>
      </c>
      <c r="AS496" s="100">
        <f>IF(AR496&lt;&gt;"No Disp",AQ496+12*AR496,"No Disp")</f>
        <v>672000</v>
      </c>
    </row>
    <row r="497" spans="1:45" s="101" customFormat="1" x14ac:dyDescent="0.25">
      <c r="A497" s="90" t="s">
        <v>102</v>
      </c>
      <c r="B497" s="90" t="s">
        <v>39</v>
      </c>
      <c r="C497" s="90" t="s">
        <v>40</v>
      </c>
      <c r="D497" s="90" t="s">
        <v>4541</v>
      </c>
      <c r="E497" s="90" t="s">
        <v>4542</v>
      </c>
      <c r="F497" s="91">
        <v>511</v>
      </c>
      <c r="G497" s="92">
        <v>70012400</v>
      </c>
      <c r="H497" s="91">
        <v>70012401</v>
      </c>
      <c r="I497" s="93" t="s">
        <v>131</v>
      </c>
      <c r="J497" s="94" t="s">
        <v>205</v>
      </c>
      <c r="K497" s="94" t="s">
        <v>206</v>
      </c>
      <c r="L497" s="94" t="s">
        <v>207</v>
      </c>
      <c r="M497" s="95">
        <v>124900</v>
      </c>
      <c r="N497" s="95">
        <v>2500</v>
      </c>
      <c r="O497" s="95">
        <v>4000</v>
      </c>
      <c r="P497" s="96">
        <v>149990</v>
      </c>
      <c r="Q497" s="152"/>
      <c r="R497" s="95">
        <v>134990</v>
      </c>
      <c r="S497" s="95">
        <f>R497/24</f>
        <v>5624.583333333333</v>
      </c>
      <c r="T497" s="95">
        <v>124900</v>
      </c>
      <c r="U497" s="95">
        <f>T497/24</f>
        <v>5204.166666666667</v>
      </c>
      <c r="V497" s="95">
        <v>124900</v>
      </c>
      <c r="W497" s="95">
        <f>V497/24</f>
        <v>5204.166666666667</v>
      </c>
      <c r="X497" s="128"/>
      <c r="Y497" s="95">
        <v>0</v>
      </c>
      <c r="Z497" s="95">
        <v>12000</v>
      </c>
      <c r="AA497" s="95">
        <f>IFERROR(IF(D497="Premium",0.4*Y497,0),"No Disp")</f>
        <v>0</v>
      </c>
      <c r="AB497" s="95">
        <f>IFERROR(IF(4*Y497&gt;AC497,1.5*Y497,4*Y497),"No Disp")</f>
        <v>0</v>
      </c>
      <c r="AC497" s="95">
        <f>IF(Z497="No Disp","No Disp",(Z497*18)+Y497)</f>
        <v>216000</v>
      </c>
      <c r="AD497" s="95">
        <f>18*Z497-100+Y497</f>
        <v>215900</v>
      </c>
      <c r="AE497" s="95">
        <v>0</v>
      </c>
      <c r="AF497" s="95">
        <v>11000</v>
      </c>
      <c r="AG497" s="95">
        <f>IF(AF497="No Disp","No Disp",(AF497*18)+AE497)</f>
        <v>198000</v>
      </c>
      <c r="AH497" s="98">
        <f>18*AF497-100+AE497</f>
        <v>197900</v>
      </c>
      <c r="AI497" s="95" t="s">
        <v>4613</v>
      </c>
      <c r="AJ497" s="99"/>
      <c r="AK497" s="100" t="s">
        <v>43</v>
      </c>
      <c r="AL497" s="100" t="s">
        <v>43</v>
      </c>
      <c r="AM497" s="100" t="str">
        <f>IF(AL497&lt;&gt;"No Disp",AK497+12*AL497,"No Disp")</f>
        <v>No Disp</v>
      </c>
      <c r="AN497" s="100" t="s">
        <v>43</v>
      </c>
      <c r="AO497" s="100" t="s">
        <v>43</v>
      </c>
      <c r="AP497" s="100" t="str">
        <f>IF(AO497&lt;&gt;"No Disp",AN497+12*AO497,"No Disp")</f>
        <v>No Disp</v>
      </c>
      <c r="AQ497" s="100" t="s">
        <v>43</v>
      </c>
      <c r="AR497" s="100" t="s">
        <v>43</v>
      </c>
      <c r="AS497" s="100" t="str">
        <f>IF(AR497&lt;&gt;"No Disp",AQ497+12*AR497,"No Disp")</f>
        <v>No Disp</v>
      </c>
    </row>
    <row r="498" spans="1:45" s="101" customFormat="1" x14ac:dyDescent="0.25">
      <c r="A498" s="90" t="s">
        <v>38</v>
      </c>
      <c r="B498" s="90" t="s">
        <v>39</v>
      </c>
      <c r="C498" s="90" t="s">
        <v>40</v>
      </c>
      <c r="D498" s="90" t="s">
        <v>4539</v>
      </c>
      <c r="E498" s="90" t="s">
        <v>4542</v>
      </c>
      <c r="F498" s="91">
        <v>445</v>
      </c>
      <c r="G498" s="92">
        <v>70012428</v>
      </c>
      <c r="H498" s="91">
        <v>70012429</v>
      </c>
      <c r="I498" s="93" t="s">
        <v>171</v>
      </c>
      <c r="J498" s="94" t="s">
        <v>3869</v>
      </c>
      <c r="K498" s="94" t="s">
        <v>336</v>
      </c>
      <c r="L498" s="94" t="s">
        <v>337</v>
      </c>
      <c r="M498" s="95">
        <v>299900</v>
      </c>
      <c r="N498" s="95">
        <v>4000</v>
      </c>
      <c r="O498" s="95">
        <v>6000</v>
      </c>
      <c r="P498" s="96">
        <v>399990</v>
      </c>
      <c r="Q498" s="152"/>
      <c r="R498" s="95">
        <v>329990</v>
      </c>
      <c r="S498" s="95">
        <f>R498/24</f>
        <v>13749.583333333334</v>
      </c>
      <c r="T498" s="95">
        <v>299900</v>
      </c>
      <c r="U498" s="95">
        <f>T498/24</f>
        <v>12495.833333333334</v>
      </c>
      <c r="V498" s="95">
        <v>299900</v>
      </c>
      <c r="W498" s="95">
        <f>V498/24</f>
        <v>12495.833333333334</v>
      </c>
      <c r="X498" s="128"/>
      <c r="Y498" s="95">
        <v>0</v>
      </c>
      <c r="Z498" s="95">
        <v>29000</v>
      </c>
      <c r="AA498" s="95">
        <f>IFERROR(IF(D498="Premium",0.4*Y498,0),"No Disp")</f>
        <v>0</v>
      </c>
      <c r="AB498" s="95">
        <f>IFERROR(IF(4*Y498&gt;AC498,1.5*Y498,4*Y498),"No Disp")</f>
        <v>0</v>
      </c>
      <c r="AC498" s="95">
        <f>IF(Z498="No Disp","No Disp",(Z498*18)+Y498)</f>
        <v>522000</v>
      </c>
      <c r="AD498" s="95">
        <f>18*Z498-100+Y498</f>
        <v>521900</v>
      </c>
      <c r="AE498" s="95">
        <v>0</v>
      </c>
      <c r="AF498" s="95">
        <v>25000</v>
      </c>
      <c r="AG498" s="95">
        <f>IF(AF498="No Disp","No Disp",(AF498*18)+AE498)</f>
        <v>450000</v>
      </c>
      <c r="AH498" s="98">
        <f>18*AF498-100+AE498</f>
        <v>449900</v>
      </c>
      <c r="AI498" s="95" t="s">
        <v>4613</v>
      </c>
      <c r="AJ498" s="99"/>
      <c r="AK498" s="100" t="s">
        <v>43</v>
      </c>
      <c r="AL498" s="100" t="s">
        <v>43</v>
      </c>
      <c r="AM498" s="100" t="str">
        <f>IF(AL498&lt;&gt;"No Disp",AK498+12*AL498,"No Disp")</f>
        <v>No Disp</v>
      </c>
      <c r="AN498" s="100" t="s">
        <v>43</v>
      </c>
      <c r="AO498" s="100" t="s">
        <v>43</v>
      </c>
      <c r="AP498" s="100" t="str">
        <f>IF(AO498&lt;&gt;"No Disp",AN498+12*AO498,"No Disp")</f>
        <v>No Disp</v>
      </c>
      <c r="AQ498" s="100" t="s">
        <v>43</v>
      </c>
      <c r="AR498" s="100" t="s">
        <v>43</v>
      </c>
      <c r="AS498" s="100" t="str">
        <f>IF(AR498&lt;&gt;"No Disp",AQ498+12*AR498,"No Disp")</f>
        <v>No Disp</v>
      </c>
    </row>
    <row r="499" spans="1:45" s="101" customFormat="1" x14ac:dyDescent="0.25">
      <c r="A499" s="90" t="s">
        <v>38</v>
      </c>
      <c r="B499" s="90" t="s">
        <v>39</v>
      </c>
      <c r="C499" s="90" t="s">
        <v>40</v>
      </c>
      <c r="D499" s="90" t="s">
        <v>4539</v>
      </c>
      <c r="E499" s="90" t="s">
        <v>4542</v>
      </c>
      <c r="F499" s="91">
        <v>455</v>
      </c>
      <c r="G499" s="92">
        <v>70012457</v>
      </c>
      <c r="H499" s="91">
        <v>70012430</v>
      </c>
      <c r="I499" s="93" t="s">
        <v>87</v>
      </c>
      <c r="J499" s="94" t="s">
        <v>3870</v>
      </c>
      <c r="K499" s="94" t="s">
        <v>315</v>
      </c>
      <c r="L499" s="94" t="s">
        <v>316</v>
      </c>
      <c r="M499" s="95">
        <v>328560</v>
      </c>
      <c r="N499" s="95">
        <v>4000</v>
      </c>
      <c r="O499" s="95">
        <v>6000</v>
      </c>
      <c r="P499" s="96">
        <v>449990</v>
      </c>
      <c r="Q499" s="152"/>
      <c r="R499" s="95">
        <v>368990</v>
      </c>
      <c r="S499" s="95">
        <f>R499/24</f>
        <v>15374.583333333334</v>
      </c>
      <c r="T499" s="95">
        <v>328560</v>
      </c>
      <c r="U499" s="95">
        <f>T499/24</f>
        <v>13690</v>
      </c>
      <c r="V499" s="95">
        <v>328560</v>
      </c>
      <c r="W499" s="95">
        <f>V499/24</f>
        <v>13690</v>
      </c>
      <c r="X499" s="128"/>
      <c r="Y499" s="95">
        <v>0</v>
      </c>
      <c r="Z499" s="95">
        <v>29000</v>
      </c>
      <c r="AA499" s="95">
        <f>IFERROR(IF(D499="Premium",0.4*Y499,0),"No Disp")</f>
        <v>0</v>
      </c>
      <c r="AB499" s="95">
        <f>IFERROR(IF(4*Y499&gt;AC499,1.5*Y499,4*Y499),"No Disp")</f>
        <v>0</v>
      </c>
      <c r="AC499" s="95">
        <f>IF(Z499="No Disp","No Disp",(Z499*18)+Y499)</f>
        <v>522000</v>
      </c>
      <c r="AD499" s="95">
        <f>18*Z499-100+Y499</f>
        <v>521900</v>
      </c>
      <c r="AE499" s="95">
        <v>0</v>
      </c>
      <c r="AF499" s="95">
        <v>28000</v>
      </c>
      <c r="AG499" s="95">
        <f>IF(AF499="No Disp","No Disp",(AF499*18)+AE499)</f>
        <v>504000</v>
      </c>
      <c r="AH499" s="98">
        <f>18*AF499-100+AE499</f>
        <v>503900</v>
      </c>
      <c r="AI499" s="95" t="s">
        <v>4613</v>
      </c>
      <c r="AJ499" s="99"/>
      <c r="AK499" s="100" t="s">
        <v>43</v>
      </c>
      <c r="AL499" s="100" t="s">
        <v>43</v>
      </c>
      <c r="AM499" s="100" t="str">
        <f>IF(AL499&lt;&gt;"No Disp",AK499+12*AL499,"No Disp")</f>
        <v>No Disp</v>
      </c>
      <c r="AN499" s="100" t="s">
        <v>43</v>
      </c>
      <c r="AO499" s="100" t="s">
        <v>43</v>
      </c>
      <c r="AP499" s="100" t="str">
        <f>IF(AO499&lt;&gt;"No Disp",AN499+12*AO499,"No Disp")</f>
        <v>No Disp</v>
      </c>
      <c r="AQ499" s="100" t="s">
        <v>43</v>
      </c>
      <c r="AR499" s="100" t="s">
        <v>43</v>
      </c>
      <c r="AS499" s="100" t="str">
        <f>IF(AR499&lt;&gt;"No Disp",AQ499+12*AR499,"No Disp")</f>
        <v>No Disp</v>
      </c>
    </row>
    <row r="500" spans="1:45" s="101" customFormat="1" x14ac:dyDescent="0.25">
      <c r="A500" s="90" t="s">
        <v>38</v>
      </c>
      <c r="B500" s="90" t="s">
        <v>39</v>
      </c>
      <c r="C500" s="90" t="s">
        <v>40</v>
      </c>
      <c r="D500" s="90" t="s">
        <v>4540</v>
      </c>
      <c r="E500" s="90" t="s">
        <v>4542</v>
      </c>
      <c r="F500" s="91">
        <v>447</v>
      </c>
      <c r="G500" s="92">
        <v>70012442</v>
      </c>
      <c r="H500" s="91">
        <v>70012443</v>
      </c>
      <c r="I500" s="93" t="s">
        <v>171</v>
      </c>
      <c r="J500" s="94" t="s">
        <v>3871</v>
      </c>
      <c r="K500" s="94" t="s">
        <v>332</v>
      </c>
      <c r="L500" s="94" t="s">
        <v>333</v>
      </c>
      <c r="M500" s="95">
        <v>349900</v>
      </c>
      <c r="N500" s="95">
        <v>6000</v>
      </c>
      <c r="O500" s="95">
        <v>8500</v>
      </c>
      <c r="P500" s="96">
        <v>659990</v>
      </c>
      <c r="Q500" s="152"/>
      <c r="R500" s="95">
        <v>389990</v>
      </c>
      <c r="S500" s="95">
        <f>R500/24</f>
        <v>16249.583333333334</v>
      </c>
      <c r="T500" s="95">
        <v>349900</v>
      </c>
      <c r="U500" s="95">
        <f>T500/24</f>
        <v>14579.166666666666</v>
      </c>
      <c r="V500" s="95">
        <v>349900</v>
      </c>
      <c r="W500" s="95">
        <f>V500/24</f>
        <v>14579.166666666666</v>
      </c>
      <c r="X500" s="128"/>
      <c r="Y500" s="95">
        <v>0</v>
      </c>
      <c r="Z500" s="95">
        <v>40000</v>
      </c>
      <c r="AA500" s="95">
        <f>IFERROR(IF(D500="Premium",0.4*Y500,0),"No Disp")</f>
        <v>0</v>
      </c>
      <c r="AB500" s="95">
        <f>IFERROR(IF(4*Y500&gt;AC500,1.5*Y500,4*Y500),"No Disp")</f>
        <v>0</v>
      </c>
      <c r="AC500" s="95">
        <f>IF(Z500="No Disp","No Disp",(Z500*18)+Y500)</f>
        <v>720000</v>
      </c>
      <c r="AD500" s="95">
        <f>18*Z500-100+Y500</f>
        <v>719900</v>
      </c>
      <c r="AE500" s="95">
        <v>0</v>
      </c>
      <c r="AF500" s="95">
        <v>38500</v>
      </c>
      <c r="AG500" s="95">
        <f>IF(AF500="No Disp","No Disp",(AF500*18)+AE500)</f>
        <v>693000</v>
      </c>
      <c r="AH500" s="98">
        <f>18*AF500-100+AE500</f>
        <v>692900</v>
      </c>
      <c r="AI500" s="95" t="s">
        <v>4613</v>
      </c>
      <c r="AJ500" s="99"/>
      <c r="AK500" s="100" t="s">
        <v>43</v>
      </c>
      <c r="AL500" s="100" t="s">
        <v>43</v>
      </c>
      <c r="AM500" s="100" t="str">
        <f>IF(AL500&lt;&gt;"No Disp",AK500+12*AL500,"No Disp")</f>
        <v>No Disp</v>
      </c>
      <c r="AN500" s="100" t="s">
        <v>43</v>
      </c>
      <c r="AO500" s="100" t="s">
        <v>43</v>
      </c>
      <c r="AP500" s="100" t="str">
        <f>IF(AO500&lt;&gt;"No Disp",AN500+12*AO500,"No Disp")</f>
        <v>No Disp</v>
      </c>
      <c r="AQ500" s="100" t="s">
        <v>43</v>
      </c>
      <c r="AR500" s="100" t="s">
        <v>43</v>
      </c>
      <c r="AS500" s="100" t="str">
        <f>IF(AR500&lt;&gt;"No Disp",AQ500+12*AR500,"No Disp")</f>
        <v>No Disp</v>
      </c>
    </row>
    <row r="501" spans="1:45" s="101" customFormat="1" x14ac:dyDescent="0.25">
      <c r="A501" s="90" t="s">
        <v>38</v>
      </c>
      <c r="B501" s="90" t="s">
        <v>39</v>
      </c>
      <c r="C501" s="90" t="s">
        <v>40</v>
      </c>
      <c r="D501" s="90" t="s">
        <v>4540</v>
      </c>
      <c r="E501" s="90" t="s">
        <v>4542</v>
      </c>
      <c r="F501" s="91">
        <v>448</v>
      </c>
      <c r="G501" s="92">
        <v>70012445</v>
      </c>
      <c r="H501" s="91">
        <v>70012446</v>
      </c>
      <c r="I501" s="93" t="s">
        <v>171</v>
      </c>
      <c r="J501" s="94" t="s">
        <v>3871</v>
      </c>
      <c r="K501" s="94" t="s">
        <v>330</v>
      </c>
      <c r="L501" s="94" t="s">
        <v>331</v>
      </c>
      <c r="M501" s="95">
        <v>349900</v>
      </c>
      <c r="N501" s="95">
        <v>6000</v>
      </c>
      <c r="O501" s="95">
        <v>8500</v>
      </c>
      <c r="P501" s="96">
        <v>659990</v>
      </c>
      <c r="Q501" s="152"/>
      <c r="R501" s="95">
        <v>389990</v>
      </c>
      <c r="S501" s="95">
        <f>R501/24</f>
        <v>16249.583333333334</v>
      </c>
      <c r="T501" s="95">
        <v>349900</v>
      </c>
      <c r="U501" s="95">
        <f>T501/24</f>
        <v>14579.166666666666</v>
      </c>
      <c r="V501" s="95">
        <v>349900</v>
      </c>
      <c r="W501" s="95">
        <f>V501/24</f>
        <v>14579.166666666666</v>
      </c>
      <c r="X501" s="128"/>
      <c r="Y501" s="95">
        <v>0</v>
      </c>
      <c r="Z501" s="95">
        <v>40000</v>
      </c>
      <c r="AA501" s="95">
        <f>IFERROR(IF(D501="Premium",0.4*Y501,0),"No Disp")</f>
        <v>0</v>
      </c>
      <c r="AB501" s="95">
        <f>IFERROR(IF(4*Y501&gt;AC501,1.5*Y501,4*Y501),"No Disp")</f>
        <v>0</v>
      </c>
      <c r="AC501" s="95">
        <f>IF(Z501="No Disp","No Disp",(Z501*18)+Y501)</f>
        <v>720000</v>
      </c>
      <c r="AD501" s="95">
        <f>18*Z501-100+Y501</f>
        <v>719900</v>
      </c>
      <c r="AE501" s="95">
        <v>0</v>
      </c>
      <c r="AF501" s="95">
        <v>38500</v>
      </c>
      <c r="AG501" s="95">
        <f>IF(AF501="No Disp","No Disp",(AF501*18)+AE501)</f>
        <v>693000</v>
      </c>
      <c r="AH501" s="98">
        <f>18*AF501-100+AE501</f>
        <v>692900</v>
      </c>
      <c r="AI501" s="95" t="s">
        <v>4613</v>
      </c>
      <c r="AJ501" s="99"/>
      <c r="AK501" s="100" t="s">
        <v>43</v>
      </c>
      <c r="AL501" s="100" t="s">
        <v>43</v>
      </c>
      <c r="AM501" s="100" t="str">
        <f>IF(AL501&lt;&gt;"No Disp",AK501+12*AL501,"No Disp")</f>
        <v>No Disp</v>
      </c>
      <c r="AN501" s="100" t="s">
        <v>43</v>
      </c>
      <c r="AO501" s="100" t="s">
        <v>43</v>
      </c>
      <c r="AP501" s="100" t="str">
        <f>IF(AO501&lt;&gt;"No Disp",AN501+12*AO501,"No Disp")</f>
        <v>No Disp</v>
      </c>
      <c r="AQ501" s="100" t="s">
        <v>43</v>
      </c>
      <c r="AR501" s="100" t="s">
        <v>43</v>
      </c>
      <c r="AS501" s="100" t="str">
        <f>IF(AR501&lt;&gt;"No Disp",AQ501+12*AR501,"No Disp")</f>
        <v>No Disp</v>
      </c>
    </row>
    <row r="502" spans="1:45" s="101" customFormat="1" x14ac:dyDescent="0.25">
      <c r="A502" s="90" t="s">
        <v>38</v>
      </c>
      <c r="B502" s="90" t="s">
        <v>39</v>
      </c>
      <c r="C502" s="90" t="s">
        <v>40</v>
      </c>
      <c r="D502" s="90" t="s">
        <v>4539</v>
      </c>
      <c r="E502" s="90" t="s">
        <v>4542</v>
      </c>
      <c r="F502" s="91">
        <v>449</v>
      </c>
      <c r="G502" s="92">
        <v>70012448</v>
      </c>
      <c r="H502" s="91">
        <v>70012449</v>
      </c>
      <c r="I502" s="93" t="s">
        <v>171</v>
      </c>
      <c r="J502" s="94" t="s">
        <v>3812</v>
      </c>
      <c r="K502" s="94" t="s">
        <v>328</v>
      </c>
      <c r="L502" s="94" t="s">
        <v>329</v>
      </c>
      <c r="M502" s="95">
        <v>119900</v>
      </c>
      <c r="N502" s="95">
        <v>2500</v>
      </c>
      <c r="O502" s="95">
        <v>4000</v>
      </c>
      <c r="P502" s="96">
        <v>249990</v>
      </c>
      <c r="Q502" s="152"/>
      <c r="R502" s="95">
        <v>129990</v>
      </c>
      <c r="S502" s="95">
        <f>R502/24</f>
        <v>5416.25</v>
      </c>
      <c r="T502" s="95">
        <v>119900</v>
      </c>
      <c r="U502" s="95">
        <f>T502/24</f>
        <v>4995.833333333333</v>
      </c>
      <c r="V502" s="95">
        <v>119900</v>
      </c>
      <c r="W502" s="95">
        <f>V502/24</f>
        <v>4995.833333333333</v>
      </c>
      <c r="X502" s="128"/>
      <c r="Y502" s="95">
        <v>0</v>
      </c>
      <c r="Z502" s="95">
        <v>14000</v>
      </c>
      <c r="AA502" s="95">
        <f>IFERROR(IF(D502="Premium",0.4*Y502,0),"No Disp")</f>
        <v>0</v>
      </c>
      <c r="AB502" s="95">
        <f>IFERROR(IF(4*Y502&gt;AC502,1.5*Y502,4*Y502),"No Disp")</f>
        <v>0</v>
      </c>
      <c r="AC502" s="95">
        <f>IF(Z502="No Disp","No Disp",(Z502*18)+Y502)</f>
        <v>252000</v>
      </c>
      <c r="AD502" s="95">
        <f>18*Z502-100+Y502</f>
        <v>251900</v>
      </c>
      <c r="AE502" s="95">
        <v>0</v>
      </c>
      <c r="AF502" s="95">
        <v>12500</v>
      </c>
      <c r="AG502" s="95">
        <f>IF(AF502="No Disp","No Disp",(AF502*18)+AE502)</f>
        <v>225000</v>
      </c>
      <c r="AH502" s="98">
        <f>18*AF502-100+AE502</f>
        <v>224900</v>
      </c>
      <c r="AI502" s="95" t="s">
        <v>4613</v>
      </c>
      <c r="AJ502" s="99"/>
      <c r="AK502" s="100" t="s">
        <v>43</v>
      </c>
      <c r="AL502" s="100" t="s">
        <v>43</v>
      </c>
      <c r="AM502" s="100" t="str">
        <f>IF(AL502&lt;&gt;"No Disp",AK502+12*AL502,"No Disp")</f>
        <v>No Disp</v>
      </c>
      <c r="AN502" s="100" t="s">
        <v>43</v>
      </c>
      <c r="AO502" s="100" t="s">
        <v>43</v>
      </c>
      <c r="AP502" s="100" t="str">
        <f>IF(AO502&lt;&gt;"No Disp",AN502+12*AO502,"No Disp")</f>
        <v>No Disp</v>
      </c>
      <c r="AQ502" s="100" t="s">
        <v>43</v>
      </c>
      <c r="AR502" s="100" t="s">
        <v>43</v>
      </c>
      <c r="AS502" s="100" t="str">
        <f>IF(AR502&lt;&gt;"No Disp",AQ502+12*AR502,"No Disp")</f>
        <v>No Disp</v>
      </c>
    </row>
    <row r="503" spans="1:45" s="101" customFormat="1" x14ac:dyDescent="0.25">
      <c r="A503" s="90" t="s">
        <v>38</v>
      </c>
      <c r="B503" s="90" t="s">
        <v>39</v>
      </c>
      <c r="C503" s="90" t="s">
        <v>40</v>
      </c>
      <c r="D503" s="90" t="s">
        <v>4539</v>
      </c>
      <c r="E503" s="90" t="s">
        <v>4542</v>
      </c>
      <c r="F503" s="91">
        <v>450</v>
      </c>
      <c r="G503" s="92">
        <v>70012451</v>
      </c>
      <c r="H503" s="91">
        <v>70012452</v>
      </c>
      <c r="I503" s="93" t="s">
        <v>171</v>
      </c>
      <c r="J503" s="94" t="s">
        <v>3812</v>
      </c>
      <c r="K503" s="94" t="s">
        <v>326</v>
      </c>
      <c r="L503" s="94" t="s">
        <v>327</v>
      </c>
      <c r="M503" s="95">
        <v>119900</v>
      </c>
      <c r="N503" s="95">
        <v>2500</v>
      </c>
      <c r="O503" s="95">
        <v>4000</v>
      </c>
      <c r="P503" s="96">
        <v>249990</v>
      </c>
      <c r="Q503" s="152"/>
      <c r="R503" s="95">
        <v>129990</v>
      </c>
      <c r="S503" s="95">
        <f>R503/24</f>
        <v>5416.25</v>
      </c>
      <c r="T503" s="95">
        <v>119900</v>
      </c>
      <c r="U503" s="95">
        <f>T503/24</f>
        <v>4995.833333333333</v>
      </c>
      <c r="V503" s="95">
        <v>119900</v>
      </c>
      <c r="W503" s="95">
        <f>V503/24</f>
        <v>4995.833333333333</v>
      </c>
      <c r="X503" s="128"/>
      <c r="Y503" s="95">
        <v>0</v>
      </c>
      <c r="Z503" s="95">
        <v>14000</v>
      </c>
      <c r="AA503" s="95">
        <f>IFERROR(IF(D503="Premium",0.4*Y503,0),"No Disp")</f>
        <v>0</v>
      </c>
      <c r="AB503" s="95">
        <f>IFERROR(IF(4*Y503&gt;AC503,1.5*Y503,4*Y503),"No Disp")</f>
        <v>0</v>
      </c>
      <c r="AC503" s="95">
        <f>IF(Z503="No Disp","No Disp",(Z503*18)+Y503)</f>
        <v>252000</v>
      </c>
      <c r="AD503" s="95">
        <f>18*Z503-100+Y503</f>
        <v>251900</v>
      </c>
      <c r="AE503" s="95">
        <v>0</v>
      </c>
      <c r="AF503" s="95">
        <v>12500</v>
      </c>
      <c r="AG503" s="95">
        <f>IF(AF503="No Disp","No Disp",(AF503*18)+AE503)</f>
        <v>225000</v>
      </c>
      <c r="AH503" s="98">
        <f>18*AF503-100+AE503</f>
        <v>224900</v>
      </c>
      <c r="AI503" s="95" t="s">
        <v>4613</v>
      </c>
      <c r="AJ503" s="99"/>
      <c r="AK503" s="100" t="s">
        <v>43</v>
      </c>
      <c r="AL503" s="100" t="s">
        <v>43</v>
      </c>
      <c r="AM503" s="100" t="str">
        <f>IF(AL503&lt;&gt;"No Disp",AK503+12*AL503,"No Disp")</f>
        <v>No Disp</v>
      </c>
      <c r="AN503" s="100" t="s">
        <v>43</v>
      </c>
      <c r="AO503" s="100" t="s">
        <v>43</v>
      </c>
      <c r="AP503" s="100" t="str">
        <f>IF(AO503&lt;&gt;"No Disp",AN503+12*AO503,"No Disp")</f>
        <v>No Disp</v>
      </c>
      <c r="AQ503" s="100" t="s">
        <v>43</v>
      </c>
      <c r="AR503" s="100" t="s">
        <v>43</v>
      </c>
      <c r="AS503" s="100" t="str">
        <f>IF(AR503&lt;&gt;"No Disp",AQ503+12*AR503,"No Disp")</f>
        <v>No Disp</v>
      </c>
    </row>
    <row r="504" spans="1:45" s="101" customFormat="1" x14ac:dyDescent="0.25">
      <c r="A504" s="90" t="s">
        <v>38</v>
      </c>
      <c r="B504" s="90" t="s">
        <v>39</v>
      </c>
      <c r="C504" s="90" t="s">
        <v>40</v>
      </c>
      <c r="D504" s="90" t="s">
        <v>4539</v>
      </c>
      <c r="E504" s="90" t="s">
        <v>4542</v>
      </c>
      <c r="F504" s="91">
        <v>454</v>
      </c>
      <c r="G504" s="92">
        <v>70012454</v>
      </c>
      <c r="H504" s="91">
        <v>70012455</v>
      </c>
      <c r="I504" s="93" t="s">
        <v>87</v>
      </c>
      <c r="J504" s="94" t="s">
        <v>304</v>
      </c>
      <c r="K504" s="94" t="s">
        <v>317</v>
      </c>
      <c r="L504" s="94" t="s">
        <v>318</v>
      </c>
      <c r="M504" s="95">
        <v>203760</v>
      </c>
      <c r="N504" s="95">
        <v>4000</v>
      </c>
      <c r="O504" s="95">
        <v>6000</v>
      </c>
      <c r="P504" s="96">
        <v>349990</v>
      </c>
      <c r="Q504" s="152"/>
      <c r="R504" s="95">
        <v>223990</v>
      </c>
      <c r="S504" s="95">
        <f>R504/24</f>
        <v>9332.9166666666661</v>
      </c>
      <c r="T504" s="95">
        <v>203760</v>
      </c>
      <c r="U504" s="95">
        <f>T504/24</f>
        <v>8490</v>
      </c>
      <c r="V504" s="95">
        <v>203760</v>
      </c>
      <c r="W504" s="95">
        <f>V504/24</f>
        <v>8490</v>
      </c>
      <c r="X504" s="128"/>
      <c r="Y504" s="95">
        <v>0</v>
      </c>
      <c r="Z504" s="95">
        <v>20000</v>
      </c>
      <c r="AA504" s="95">
        <f>IFERROR(IF(D504="Premium",0.4*Y504,0),"No Disp")</f>
        <v>0</v>
      </c>
      <c r="AB504" s="95">
        <f>IFERROR(IF(4*Y504&gt;AC504,1.5*Y504,4*Y504),"No Disp")</f>
        <v>0</v>
      </c>
      <c r="AC504" s="95">
        <f>IF(Z504="No Disp","No Disp",(Z504*18)+Y504)</f>
        <v>360000</v>
      </c>
      <c r="AD504" s="95">
        <f>18*Z504-100+Y504</f>
        <v>359900</v>
      </c>
      <c r="AE504" s="95">
        <v>0</v>
      </c>
      <c r="AF504" s="95">
        <v>18000</v>
      </c>
      <c r="AG504" s="95">
        <f>IF(AF504="No Disp","No Disp",(AF504*18)+AE504)</f>
        <v>324000</v>
      </c>
      <c r="AH504" s="98">
        <f>18*AF504-100+AE504</f>
        <v>323900</v>
      </c>
      <c r="AI504" s="95" t="s">
        <v>4613</v>
      </c>
      <c r="AJ504" s="99"/>
      <c r="AK504" s="100" t="s">
        <v>43</v>
      </c>
      <c r="AL504" s="100" t="s">
        <v>43</v>
      </c>
      <c r="AM504" s="100" t="str">
        <f>IF(AL504&lt;&gt;"No Disp",AK504+12*AL504,"No Disp")</f>
        <v>No Disp</v>
      </c>
      <c r="AN504" s="100" t="s">
        <v>43</v>
      </c>
      <c r="AO504" s="100" t="s">
        <v>43</v>
      </c>
      <c r="AP504" s="100" t="str">
        <f>IF(AO504&lt;&gt;"No Disp",AN504+12*AO504,"No Disp")</f>
        <v>No Disp</v>
      </c>
      <c r="AQ504" s="100" t="s">
        <v>43</v>
      </c>
      <c r="AR504" s="100" t="s">
        <v>43</v>
      </c>
      <c r="AS504" s="100" t="str">
        <f>IF(AR504&lt;&gt;"No Disp",AQ504+12*AR504,"No Disp")</f>
        <v>No Disp</v>
      </c>
    </row>
    <row r="505" spans="1:45" s="101" customFormat="1" x14ac:dyDescent="0.25">
      <c r="A505" s="90" t="s">
        <v>102</v>
      </c>
      <c r="B505" s="90" t="s">
        <v>39</v>
      </c>
      <c r="C505" s="90" t="s">
        <v>40</v>
      </c>
      <c r="D505" s="90" t="s">
        <v>4541</v>
      </c>
      <c r="E505" s="90" t="s">
        <v>4542</v>
      </c>
      <c r="F505" s="91">
        <v>453</v>
      </c>
      <c r="G505" s="92">
        <v>70012435</v>
      </c>
      <c r="H505" s="91">
        <v>70012458</v>
      </c>
      <c r="I505" s="93" t="s">
        <v>87</v>
      </c>
      <c r="J505" s="94" t="s">
        <v>3872</v>
      </c>
      <c r="K505" s="94" t="s">
        <v>319</v>
      </c>
      <c r="L505" s="94" t="s">
        <v>320</v>
      </c>
      <c r="M505" s="95">
        <v>119900</v>
      </c>
      <c r="N505" s="95">
        <v>2500</v>
      </c>
      <c r="O505" s="95">
        <v>4000</v>
      </c>
      <c r="P505" s="96">
        <v>0</v>
      </c>
      <c r="Q505" s="152"/>
      <c r="R505" s="95">
        <v>399990</v>
      </c>
      <c r="S505" s="95">
        <f>R505/24</f>
        <v>16666.25</v>
      </c>
      <c r="T505" s="95">
        <v>119900</v>
      </c>
      <c r="U505" s="95">
        <f>T505/24</f>
        <v>4995.833333333333</v>
      </c>
      <c r="V505" s="95">
        <v>119900</v>
      </c>
      <c r="W505" s="95">
        <f>V505/24</f>
        <v>4995.833333333333</v>
      </c>
      <c r="X505" s="128"/>
      <c r="Y505" s="95">
        <v>54900</v>
      </c>
      <c r="Z505" s="95">
        <v>7000</v>
      </c>
      <c r="AA505" s="95">
        <f>IFERROR(IF(D505="Premium",0.4*Y505,0),"No Disp")</f>
        <v>0</v>
      </c>
      <c r="AB505" s="95">
        <f>IFERROR(IF(4*Y505&gt;AC505,1.5*Y505,4*Y505),"No Disp")</f>
        <v>82350</v>
      </c>
      <c r="AC505" s="95">
        <f>IF(Z505="No Disp","No Disp",(Z505*18)+Y505)</f>
        <v>180900</v>
      </c>
      <c r="AD505" s="95">
        <f>18*Z505-100+Y505</f>
        <v>180800</v>
      </c>
      <c r="AE505" s="95">
        <v>19900</v>
      </c>
      <c r="AF505" s="95">
        <v>8500</v>
      </c>
      <c r="AG505" s="95">
        <f>IF(AF505="No Disp","No Disp",(AF505*18)+AE505)</f>
        <v>172900</v>
      </c>
      <c r="AH505" s="98">
        <f>18*AF505-100+AE505</f>
        <v>172800</v>
      </c>
      <c r="AI505" s="95" t="s">
        <v>4613</v>
      </c>
      <c r="AJ505" s="99"/>
      <c r="AK505" s="100" t="s">
        <v>43</v>
      </c>
      <c r="AL505" s="100" t="s">
        <v>43</v>
      </c>
      <c r="AM505" s="100" t="str">
        <f>IF(AL505&lt;&gt;"No Disp",AK505+12*AL505,"No Disp")</f>
        <v>No Disp</v>
      </c>
      <c r="AN505" s="100" t="s">
        <v>43</v>
      </c>
      <c r="AO505" s="100" t="s">
        <v>43</v>
      </c>
      <c r="AP505" s="100" t="str">
        <f>IF(AO505&lt;&gt;"No Disp",AN505+12*AO505,"No Disp")</f>
        <v>No Disp</v>
      </c>
      <c r="AQ505" s="100" t="s">
        <v>43</v>
      </c>
      <c r="AR505" s="100" t="s">
        <v>43</v>
      </c>
      <c r="AS505" s="100" t="str">
        <f>IF(AR505&lt;&gt;"No Disp",AQ505+12*AR505,"No Disp")</f>
        <v>No Disp</v>
      </c>
    </row>
    <row r="506" spans="1:45" s="101" customFormat="1" x14ac:dyDescent="0.25">
      <c r="A506" s="90" t="s">
        <v>38</v>
      </c>
      <c r="B506" s="90" t="s">
        <v>39</v>
      </c>
      <c r="C506" s="90" t="s">
        <v>40</v>
      </c>
      <c r="D506" s="90" t="s">
        <v>4541</v>
      </c>
      <c r="E506" s="90" t="s">
        <v>4542</v>
      </c>
      <c r="F506" s="91">
        <v>451</v>
      </c>
      <c r="G506" s="92">
        <v>70012460</v>
      </c>
      <c r="H506" s="91">
        <v>70012461</v>
      </c>
      <c r="I506" s="93" t="s">
        <v>112</v>
      </c>
      <c r="J506" s="94" t="s">
        <v>3873</v>
      </c>
      <c r="K506" s="94" t="s">
        <v>324</v>
      </c>
      <c r="L506" s="94" t="s">
        <v>325</v>
      </c>
      <c r="M506" s="95">
        <v>109900</v>
      </c>
      <c r="N506" s="95">
        <v>2500</v>
      </c>
      <c r="O506" s="95">
        <v>4000</v>
      </c>
      <c r="P506" s="96">
        <v>199990</v>
      </c>
      <c r="Q506" s="152"/>
      <c r="R506" s="95">
        <v>119990</v>
      </c>
      <c r="S506" s="95">
        <f>R506/24</f>
        <v>4999.583333333333</v>
      </c>
      <c r="T506" s="95">
        <v>109900</v>
      </c>
      <c r="U506" s="95">
        <f>T506/24</f>
        <v>4579.166666666667</v>
      </c>
      <c r="V506" s="95">
        <v>109900</v>
      </c>
      <c r="W506" s="95">
        <f>V506/24</f>
        <v>4579.166666666667</v>
      </c>
      <c r="X506" s="128"/>
      <c r="Y506" s="95">
        <v>0</v>
      </c>
      <c r="Z506" s="95">
        <v>11000</v>
      </c>
      <c r="AA506" s="95">
        <f>IFERROR(IF(D506="Premium",0.4*Y506,0),"No Disp")</f>
        <v>0</v>
      </c>
      <c r="AB506" s="95">
        <f>IFERROR(IF(4*Y506&gt;AC506,1.5*Y506,4*Y506),"No Disp")</f>
        <v>0</v>
      </c>
      <c r="AC506" s="95">
        <f>IF(Z506="No Disp","No Disp",(Z506*18)+Y506)</f>
        <v>198000</v>
      </c>
      <c r="AD506" s="95">
        <f>18*Z506-100+Y506</f>
        <v>197900</v>
      </c>
      <c r="AE506" s="95">
        <v>0</v>
      </c>
      <c r="AF506" s="95">
        <v>9500</v>
      </c>
      <c r="AG506" s="95">
        <f>IF(AF506="No Disp","No Disp",(AF506*18)+AE506)</f>
        <v>171000</v>
      </c>
      <c r="AH506" s="98">
        <f>18*AF506-100+AE506</f>
        <v>170900</v>
      </c>
      <c r="AI506" s="95" t="s">
        <v>4613</v>
      </c>
      <c r="AJ506" s="99"/>
      <c r="AK506" s="100" t="s">
        <v>43</v>
      </c>
      <c r="AL506" s="100" t="s">
        <v>43</v>
      </c>
      <c r="AM506" s="100" t="str">
        <f>IF(AL506&lt;&gt;"No Disp",AK506+12*AL506,"No Disp")</f>
        <v>No Disp</v>
      </c>
      <c r="AN506" s="100" t="s">
        <v>43</v>
      </c>
      <c r="AO506" s="100" t="s">
        <v>43</v>
      </c>
      <c r="AP506" s="100" t="str">
        <f>IF(AO506&lt;&gt;"No Disp",AN506+12*AO506,"No Disp")</f>
        <v>No Disp</v>
      </c>
      <c r="AQ506" s="100" t="s">
        <v>43</v>
      </c>
      <c r="AR506" s="100" t="s">
        <v>43</v>
      </c>
      <c r="AS506" s="100" t="str">
        <f>IF(AR506&lt;&gt;"No Disp",AQ506+12*AR506,"No Disp")</f>
        <v>No Disp</v>
      </c>
    </row>
    <row r="507" spans="1:45" s="101" customFormat="1" x14ac:dyDescent="0.25">
      <c r="A507" s="90" t="s">
        <v>38</v>
      </c>
      <c r="B507" s="90" t="s">
        <v>39</v>
      </c>
      <c r="C507" s="90" t="s">
        <v>40</v>
      </c>
      <c r="D507" s="90" t="s">
        <v>4539</v>
      </c>
      <c r="E507" s="90" t="s">
        <v>4542</v>
      </c>
      <c r="F507" s="91">
        <v>456</v>
      </c>
      <c r="G507" s="92">
        <v>70012466</v>
      </c>
      <c r="H507" s="91">
        <v>70012467</v>
      </c>
      <c r="I507" s="93" t="s">
        <v>131</v>
      </c>
      <c r="J507" s="94" t="s">
        <v>3829</v>
      </c>
      <c r="K507" s="94" t="s">
        <v>313</v>
      </c>
      <c r="L507" s="94" t="s">
        <v>314</v>
      </c>
      <c r="M507" s="95">
        <v>232900</v>
      </c>
      <c r="N507" s="95">
        <v>4000</v>
      </c>
      <c r="O507" s="95">
        <v>6000</v>
      </c>
      <c r="P507" s="96">
        <v>0</v>
      </c>
      <c r="Q507" s="152"/>
      <c r="R507" s="95">
        <v>232900</v>
      </c>
      <c r="S507" s="95">
        <f>R507/24</f>
        <v>9704.1666666666661</v>
      </c>
      <c r="T507" s="95">
        <v>232900</v>
      </c>
      <c r="U507" s="95">
        <f>T507/24</f>
        <v>9704.1666666666661</v>
      </c>
      <c r="V507" s="95">
        <v>232900</v>
      </c>
      <c r="W507" s="95">
        <f>V507/24</f>
        <v>9704.1666666666661</v>
      </c>
      <c r="X507" s="128"/>
      <c r="Y507" s="95">
        <v>109900</v>
      </c>
      <c r="Z507" s="95">
        <v>13500</v>
      </c>
      <c r="AA507" s="95">
        <f>IFERROR(IF(D507="Premium",0.4*Y507,0),"No Disp")</f>
        <v>0</v>
      </c>
      <c r="AB507" s="95">
        <f>IFERROR(IF(4*Y507&gt;AC507,1.5*Y507,4*Y507),"No Disp")</f>
        <v>164850</v>
      </c>
      <c r="AC507" s="95">
        <f>IF(Z507="No Disp","No Disp",(Z507*18)+Y507)</f>
        <v>352900</v>
      </c>
      <c r="AD507" s="95">
        <f>18*Z507-100+Y507</f>
        <v>352800</v>
      </c>
      <c r="AE507" s="95">
        <v>19900</v>
      </c>
      <c r="AF507" s="95">
        <v>18500</v>
      </c>
      <c r="AG507" s="95">
        <f>IF(AF507="No Disp","No Disp",(AF507*18)+AE507)</f>
        <v>352900</v>
      </c>
      <c r="AH507" s="98">
        <f>18*AF507-100+AE507</f>
        <v>352800</v>
      </c>
      <c r="AI507" s="95" t="s">
        <v>4613</v>
      </c>
      <c r="AJ507" s="99"/>
      <c r="AK507" s="100" t="s">
        <v>43</v>
      </c>
      <c r="AL507" s="100" t="s">
        <v>43</v>
      </c>
      <c r="AM507" s="100" t="str">
        <f>IF(AL507&lt;&gt;"No Disp",AK507+12*AL507,"No Disp")</f>
        <v>No Disp</v>
      </c>
      <c r="AN507" s="100" t="s">
        <v>43</v>
      </c>
      <c r="AO507" s="100" t="s">
        <v>43</v>
      </c>
      <c r="AP507" s="100" t="str">
        <f>IF(AO507&lt;&gt;"No Disp",AN507+12*AO507,"No Disp")</f>
        <v>No Disp</v>
      </c>
      <c r="AQ507" s="100" t="s">
        <v>43</v>
      </c>
      <c r="AR507" s="100" t="s">
        <v>43</v>
      </c>
      <c r="AS507" s="100" t="str">
        <f>IF(AR507&lt;&gt;"No Disp",AQ507+12*AR507,"No Disp")</f>
        <v>No Disp</v>
      </c>
    </row>
    <row r="508" spans="1:45" s="101" customFormat="1" x14ac:dyDescent="0.25">
      <c r="A508" s="90" t="s">
        <v>38</v>
      </c>
      <c r="B508" s="90" t="s">
        <v>39</v>
      </c>
      <c r="C508" s="90" t="s">
        <v>40</v>
      </c>
      <c r="D508" s="90" t="s">
        <v>4539</v>
      </c>
      <c r="E508" s="90" t="s">
        <v>4542</v>
      </c>
      <c r="F508" s="91">
        <v>458</v>
      </c>
      <c r="G508" s="92">
        <v>70012477</v>
      </c>
      <c r="H508" s="91">
        <v>70012498</v>
      </c>
      <c r="I508" s="93" t="s">
        <v>229</v>
      </c>
      <c r="J508" s="94" t="s">
        <v>3881</v>
      </c>
      <c r="K508" s="94" t="s">
        <v>309</v>
      </c>
      <c r="L508" s="94" t="s">
        <v>310</v>
      </c>
      <c r="M508" s="95">
        <v>149900</v>
      </c>
      <c r="N508" s="95">
        <v>4000</v>
      </c>
      <c r="O508" s="95">
        <v>6000</v>
      </c>
      <c r="P508" s="96">
        <v>279990</v>
      </c>
      <c r="Q508" s="152"/>
      <c r="R508" s="95">
        <v>169990</v>
      </c>
      <c r="S508" s="95">
        <f>R508/24</f>
        <v>7082.916666666667</v>
      </c>
      <c r="T508" s="95">
        <v>149900</v>
      </c>
      <c r="U508" s="95">
        <f>T508/24</f>
        <v>6245.833333333333</v>
      </c>
      <c r="V508" s="95">
        <v>149900</v>
      </c>
      <c r="W508" s="95">
        <f>V508/24</f>
        <v>6245.833333333333</v>
      </c>
      <c r="X508" s="128"/>
      <c r="Y508" s="95">
        <v>0</v>
      </c>
      <c r="Z508" s="95">
        <v>18000</v>
      </c>
      <c r="AA508" s="95">
        <f>IFERROR(IF(D508="Premium",0.4*Y508,0),"No Disp")</f>
        <v>0</v>
      </c>
      <c r="AB508" s="95">
        <f>IFERROR(IF(4*Y508&gt;AC508,1.5*Y508,4*Y508),"No Disp")</f>
        <v>0</v>
      </c>
      <c r="AC508" s="95">
        <f>IF(Z508="No Disp","No Disp",(Z508*18)+Y508)</f>
        <v>324000</v>
      </c>
      <c r="AD508" s="95">
        <f>18*Z508-100+Y508</f>
        <v>323900</v>
      </c>
      <c r="AE508" s="95">
        <v>0</v>
      </c>
      <c r="AF508" s="95">
        <v>16000</v>
      </c>
      <c r="AG508" s="95">
        <f>IF(AF508="No Disp","No Disp",(AF508*18)+AE508)</f>
        <v>288000</v>
      </c>
      <c r="AH508" s="98">
        <f>18*AF508-100+AE508</f>
        <v>287900</v>
      </c>
      <c r="AI508" s="95" t="s">
        <v>4613</v>
      </c>
      <c r="AJ508" s="99"/>
      <c r="AK508" s="100" t="s">
        <v>43</v>
      </c>
      <c r="AL508" s="100" t="s">
        <v>43</v>
      </c>
      <c r="AM508" s="100" t="str">
        <f>IF(AL508&lt;&gt;"No Disp",AK508+12*AL508,"No Disp")</f>
        <v>No Disp</v>
      </c>
      <c r="AN508" s="100" t="s">
        <v>43</v>
      </c>
      <c r="AO508" s="100" t="s">
        <v>43</v>
      </c>
      <c r="AP508" s="100" t="str">
        <f>IF(AO508&lt;&gt;"No Disp",AN508+12*AO508,"No Disp")</f>
        <v>No Disp</v>
      </c>
      <c r="AQ508" s="100" t="s">
        <v>43</v>
      </c>
      <c r="AR508" s="100" t="s">
        <v>43</v>
      </c>
      <c r="AS508" s="100" t="str">
        <f>IF(AR508&lt;&gt;"No Disp",AQ508+12*AR508,"No Disp")</f>
        <v>No Disp</v>
      </c>
    </row>
    <row r="509" spans="1:45" s="101" customFormat="1" x14ac:dyDescent="0.25">
      <c r="A509" s="90" t="s">
        <v>38</v>
      </c>
      <c r="B509" s="90" t="s">
        <v>39</v>
      </c>
      <c r="C509" s="90" t="s">
        <v>40</v>
      </c>
      <c r="D509" s="90" t="s">
        <v>4539</v>
      </c>
      <c r="E509" s="90" t="s">
        <v>4542</v>
      </c>
      <c r="F509" s="91">
        <v>397</v>
      </c>
      <c r="G509" s="92">
        <v>70012500</v>
      </c>
      <c r="H509" s="91">
        <v>70012501</v>
      </c>
      <c r="I509" s="93" t="s">
        <v>112</v>
      </c>
      <c r="J509" s="94" t="s">
        <v>3835</v>
      </c>
      <c r="K509" s="94" t="s">
        <v>415</v>
      </c>
      <c r="L509" s="94" t="s">
        <v>416</v>
      </c>
      <c r="M509" s="95">
        <v>179900</v>
      </c>
      <c r="N509" s="95">
        <v>4000</v>
      </c>
      <c r="O509" s="95">
        <v>6000</v>
      </c>
      <c r="P509" s="96">
        <v>299990</v>
      </c>
      <c r="Q509" s="152"/>
      <c r="R509" s="95">
        <v>199990</v>
      </c>
      <c r="S509" s="95">
        <f>R509/24</f>
        <v>8332.9166666666661</v>
      </c>
      <c r="T509" s="95">
        <v>179900</v>
      </c>
      <c r="U509" s="95">
        <f>T509/24</f>
        <v>7495.833333333333</v>
      </c>
      <c r="V509" s="95">
        <v>179900</v>
      </c>
      <c r="W509" s="95">
        <f>V509/24</f>
        <v>7495.833333333333</v>
      </c>
      <c r="X509" s="128"/>
      <c r="Y509" s="95">
        <v>0</v>
      </c>
      <c r="Z509" s="95">
        <v>16500</v>
      </c>
      <c r="AA509" s="95">
        <f>IFERROR(IF(D509="Premium",0.4*Y509,0),"No Disp")</f>
        <v>0</v>
      </c>
      <c r="AB509" s="95">
        <f>IFERROR(IF(4*Y509&gt;AC509,1.5*Y509,4*Y509),"No Disp")</f>
        <v>0</v>
      </c>
      <c r="AC509" s="95">
        <f>IF(Z509="No Disp","No Disp",(Z509*18)+Y509)</f>
        <v>297000</v>
      </c>
      <c r="AD509" s="95">
        <f>18*Z509-100+Y509</f>
        <v>296900</v>
      </c>
      <c r="AE509" s="95">
        <v>0</v>
      </c>
      <c r="AF509" s="95">
        <v>15000</v>
      </c>
      <c r="AG509" s="95">
        <f>IF(AF509="No Disp","No Disp",(AF509*18)+AE509)</f>
        <v>270000</v>
      </c>
      <c r="AH509" s="98">
        <f>18*AF509-100+AE509</f>
        <v>269900</v>
      </c>
      <c r="AI509" s="95" t="s">
        <v>4613</v>
      </c>
      <c r="AJ509" s="99"/>
      <c r="AK509" s="100" t="s">
        <v>43</v>
      </c>
      <c r="AL509" s="100" t="s">
        <v>43</v>
      </c>
      <c r="AM509" s="100" t="str">
        <f>IF(AL509&lt;&gt;"No Disp",AK509+12*AL509,"No Disp")</f>
        <v>No Disp</v>
      </c>
      <c r="AN509" s="100" t="s">
        <v>43</v>
      </c>
      <c r="AO509" s="100" t="s">
        <v>43</v>
      </c>
      <c r="AP509" s="100" t="str">
        <f>IF(AO509&lt;&gt;"No Disp",AN509+12*AO509,"No Disp")</f>
        <v>No Disp</v>
      </c>
      <c r="AQ509" s="100" t="s">
        <v>43</v>
      </c>
      <c r="AR509" s="100" t="s">
        <v>43</v>
      </c>
      <c r="AS509" s="100" t="str">
        <f>IF(AR509&lt;&gt;"No Disp",AQ509+12*AR509,"No Disp")</f>
        <v>No Disp</v>
      </c>
    </row>
    <row r="510" spans="1:45" s="101" customFormat="1" x14ac:dyDescent="0.25">
      <c r="A510" s="90" t="s">
        <v>102</v>
      </c>
      <c r="B510" s="90" t="s">
        <v>39</v>
      </c>
      <c r="C510" s="90" t="s">
        <v>40</v>
      </c>
      <c r="D510" s="90" t="s">
        <v>4541</v>
      </c>
      <c r="E510" s="90" t="s">
        <v>4542</v>
      </c>
      <c r="F510" s="91">
        <v>457</v>
      </c>
      <c r="G510" s="92">
        <v>70012502</v>
      </c>
      <c r="H510" s="91">
        <v>70012502</v>
      </c>
      <c r="I510" s="93" t="s">
        <v>46</v>
      </c>
      <c r="J510" s="94" t="s">
        <v>3920</v>
      </c>
      <c r="K510" s="94" t="s">
        <v>311</v>
      </c>
      <c r="L510" s="94" t="s">
        <v>312</v>
      </c>
      <c r="M510" s="95">
        <v>86160</v>
      </c>
      <c r="N510" s="95">
        <v>2500</v>
      </c>
      <c r="O510" s="95">
        <v>4000</v>
      </c>
      <c r="P510" s="96">
        <v>0</v>
      </c>
      <c r="Q510" s="152"/>
      <c r="R510" s="95">
        <v>86160</v>
      </c>
      <c r="S510" s="95">
        <f>R510/24</f>
        <v>3590</v>
      </c>
      <c r="T510" s="95">
        <v>86160</v>
      </c>
      <c r="U510" s="95">
        <f>T510/24</f>
        <v>3590</v>
      </c>
      <c r="V510" s="95">
        <v>86160</v>
      </c>
      <c r="W510" s="95">
        <f>V510/24</f>
        <v>3590</v>
      </c>
      <c r="X510" s="128"/>
      <c r="Y510" s="95">
        <v>9900</v>
      </c>
      <c r="Z510" s="95">
        <v>9500</v>
      </c>
      <c r="AA510" s="95">
        <f>IFERROR(IF(D510="Premium",0.4*Y510,0),"No Disp")</f>
        <v>0</v>
      </c>
      <c r="AB510" s="95">
        <f>IFERROR(IF(4*Y510&gt;AC510,1.5*Y510,4*Y510),"No Disp")</f>
        <v>39600</v>
      </c>
      <c r="AC510" s="95">
        <f>IF(Z510="No Disp","No Disp",(Z510*18)+Y510)</f>
        <v>180900</v>
      </c>
      <c r="AD510" s="95">
        <f>18*Z510-100+Y510</f>
        <v>180800</v>
      </c>
      <c r="AE510" s="95">
        <v>0</v>
      </c>
      <c r="AF510" s="95">
        <v>9500</v>
      </c>
      <c r="AG510" s="95">
        <f>IF(AF510="No Disp","No Disp",(AF510*18)+AE510)</f>
        <v>171000</v>
      </c>
      <c r="AH510" s="98">
        <f>18*AF510-100+AE510</f>
        <v>170900</v>
      </c>
      <c r="AI510" s="95" t="s">
        <v>4613</v>
      </c>
      <c r="AJ510" s="99"/>
      <c r="AK510" s="100" t="s">
        <v>43</v>
      </c>
      <c r="AL510" s="100" t="s">
        <v>43</v>
      </c>
      <c r="AM510" s="100" t="str">
        <f>IF(AL510&lt;&gt;"No Disp",AK510+12*AL510,"No Disp")</f>
        <v>No Disp</v>
      </c>
      <c r="AN510" s="100" t="s">
        <v>43</v>
      </c>
      <c r="AO510" s="100" t="s">
        <v>43</v>
      </c>
      <c r="AP510" s="100" t="str">
        <f>IF(AO510&lt;&gt;"No Disp",AN510+12*AO510,"No Disp")</f>
        <v>No Disp</v>
      </c>
      <c r="AQ510" s="100" t="s">
        <v>43</v>
      </c>
      <c r="AR510" s="100" t="s">
        <v>43</v>
      </c>
      <c r="AS510" s="100" t="str">
        <f>IF(AR510&lt;&gt;"No Disp",AQ510+12*AR510,"No Disp")</f>
        <v>No Disp</v>
      </c>
    </row>
    <row r="511" spans="1:45" s="101" customFormat="1" x14ac:dyDescent="0.25">
      <c r="A511" s="90" t="s">
        <v>38</v>
      </c>
      <c r="B511" s="90" t="s">
        <v>39</v>
      </c>
      <c r="C511" s="90" t="s">
        <v>40</v>
      </c>
      <c r="D511" s="90" t="s">
        <v>4541</v>
      </c>
      <c r="E511" s="90" t="s">
        <v>4542</v>
      </c>
      <c r="F511" s="91">
        <v>393</v>
      </c>
      <c r="G511" s="92">
        <v>70012517</v>
      </c>
      <c r="H511" s="91">
        <v>70012517</v>
      </c>
      <c r="I511" s="93" t="s">
        <v>112</v>
      </c>
      <c r="J511" s="94" t="s">
        <v>623</v>
      </c>
      <c r="K511" s="94" t="s">
        <v>423</v>
      </c>
      <c r="L511" s="94" t="s">
        <v>3923</v>
      </c>
      <c r="M511" s="95">
        <v>89900</v>
      </c>
      <c r="N511" s="95">
        <v>2500</v>
      </c>
      <c r="O511" s="95">
        <v>4000</v>
      </c>
      <c r="P511" s="96">
        <v>199990</v>
      </c>
      <c r="Q511" s="152"/>
      <c r="R511" s="95">
        <v>99990</v>
      </c>
      <c r="S511" s="95">
        <f>R511/24</f>
        <v>4166.25</v>
      </c>
      <c r="T511" s="95">
        <v>89900</v>
      </c>
      <c r="U511" s="95">
        <f>T511/24</f>
        <v>3745.8333333333335</v>
      </c>
      <c r="V511" s="95">
        <v>89900</v>
      </c>
      <c r="W511" s="95">
        <f>V511/24</f>
        <v>3745.8333333333335</v>
      </c>
      <c r="X511" s="128"/>
      <c r="Y511" s="95">
        <v>0</v>
      </c>
      <c r="Z511" s="95">
        <v>9000</v>
      </c>
      <c r="AA511" s="95">
        <f>IFERROR(IF(D511="Premium",0.4*Y511,0),"No Disp")</f>
        <v>0</v>
      </c>
      <c r="AB511" s="95">
        <f>IFERROR(IF(4*Y511&gt;AC511,1.5*Y511,4*Y511),"No Disp")</f>
        <v>0</v>
      </c>
      <c r="AC511" s="95">
        <f>IF(Z511="No Disp","No Disp",(Z511*18)+Y511)</f>
        <v>162000</v>
      </c>
      <c r="AD511" s="95">
        <f>18*Z511-100+Y511</f>
        <v>161900</v>
      </c>
      <c r="AE511" s="95">
        <v>0</v>
      </c>
      <c r="AF511" s="95">
        <v>8000</v>
      </c>
      <c r="AG511" s="95">
        <f>IF(AF511="No Disp","No Disp",(AF511*18)+AE511)</f>
        <v>144000</v>
      </c>
      <c r="AH511" s="98">
        <f>18*AF511-100+AE511</f>
        <v>143900</v>
      </c>
      <c r="AI511" s="95" t="s">
        <v>4613</v>
      </c>
      <c r="AJ511" s="99"/>
      <c r="AK511" s="100" t="s">
        <v>43</v>
      </c>
      <c r="AL511" s="100" t="s">
        <v>43</v>
      </c>
      <c r="AM511" s="100" t="str">
        <f>IF(AL511&lt;&gt;"No Disp",AK511+12*AL511,"No Disp")</f>
        <v>No Disp</v>
      </c>
      <c r="AN511" s="100" t="s">
        <v>43</v>
      </c>
      <c r="AO511" s="100" t="s">
        <v>43</v>
      </c>
      <c r="AP511" s="100" t="str">
        <f>IF(AO511&lt;&gt;"No Disp",AN511+12*AO511,"No Disp")</f>
        <v>No Disp</v>
      </c>
      <c r="AQ511" s="100" t="s">
        <v>43</v>
      </c>
      <c r="AR511" s="100" t="s">
        <v>43</v>
      </c>
      <c r="AS511" s="100" t="str">
        <f>IF(AR511&lt;&gt;"No Disp",AQ511+12*AR511,"No Disp")</f>
        <v>No Disp</v>
      </c>
    </row>
    <row r="512" spans="1:45" s="101" customFormat="1" x14ac:dyDescent="0.25">
      <c r="A512" s="90" t="s">
        <v>102</v>
      </c>
      <c r="B512" s="90" t="s">
        <v>39</v>
      </c>
      <c r="C512" s="90" t="s">
        <v>40</v>
      </c>
      <c r="D512" s="90" t="s">
        <v>4541</v>
      </c>
      <c r="E512" s="90" t="s">
        <v>4542</v>
      </c>
      <c r="F512" s="91">
        <v>387</v>
      </c>
      <c r="G512" s="92">
        <v>70012518</v>
      </c>
      <c r="H512" s="91">
        <v>70012518</v>
      </c>
      <c r="I512" s="93" t="s">
        <v>131</v>
      </c>
      <c r="J512" s="94" t="s">
        <v>431</v>
      </c>
      <c r="K512" s="94" t="s">
        <v>432</v>
      </c>
      <c r="L512" s="94" t="s">
        <v>3926</v>
      </c>
      <c r="M512" s="95">
        <v>79900</v>
      </c>
      <c r="N512" s="95">
        <v>2500</v>
      </c>
      <c r="O512" s="95">
        <v>4000</v>
      </c>
      <c r="P512" s="96">
        <v>0</v>
      </c>
      <c r="Q512" s="152"/>
      <c r="R512" s="95">
        <v>79900</v>
      </c>
      <c r="S512" s="95">
        <f>R512/24</f>
        <v>3329.1666666666665</v>
      </c>
      <c r="T512" s="95">
        <v>79900</v>
      </c>
      <c r="U512" s="95">
        <f>T512/24</f>
        <v>3329.1666666666665</v>
      </c>
      <c r="V512" s="95">
        <v>79900</v>
      </c>
      <c r="W512" s="95">
        <f>V512/24</f>
        <v>3329.1666666666665</v>
      </c>
      <c r="X512" s="128"/>
      <c r="Y512" s="95">
        <v>39900</v>
      </c>
      <c r="Z512" s="95">
        <v>5500</v>
      </c>
      <c r="AA512" s="95">
        <f>IFERROR(IF(D512="Premium",0.4*Y512,0),"No Disp")</f>
        <v>0</v>
      </c>
      <c r="AB512" s="95">
        <f>IFERROR(IF(4*Y512&gt;AC512,1.5*Y512,4*Y512),"No Disp")</f>
        <v>59850</v>
      </c>
      <c r="AC512" s="95">
        <f>IF(Z512="No Disp","No Disp",(Z512*18)+Y512)</f>
        <v>138900</v>
      </c>
      <c r="AD512" s="95">
        <f>18*Z512-100+Y512</f>
        <v>138800</v>
      </c>
      <c r="AE512" s="95">
        <v>0</v>
      </c>
      <c r="AF512" s="95">
        <v>7500</v>
      </c>
      <c r="AG512" s="95">
        <f>IF(AF512="No Disp","No Disp",(AF512*18)+AE512)</f>
        <v>135000</v>
      </c>
      <c r="AH512" s="98">
        <f>18*AF512-100+AE512</f>
        <v>134900</v>
      </c>
      <c r="AI512" s="95" t="s">
        <v>4613</v>
      </c>
      <c r="AJ512" s="99"/>
      <c r="AK512" s="100" t="s">
        <v>43</v>
      </c>
      <c r="AL512" s="100" t="s">
        <v>43</v>
      </c>
      <c r="AM512" s="100" t="str">
        <f>IF(AL512&lt;&gt;"No Disp",AK512+12*AL512,"No Disp")</f>
        <v>No Disp</v>
      </c>
      <c r="AN512" s="100" t="s">
        <v>43</v>
      </c>
      <c r="AO512" s="100" t="s">
        <v>43</v>
      </c>
      <c r="AP512" s="100" t="str">
        <f>IF(AO512&lt;&gt;"No Disp",AN512+12*AO512,"No Disp")</f>
        <v>No Disp</v>
      </c>
      <c r="AQ512" s="100" t="s">
        <v>43</v>
      </c>
      <c r="AR512" s="100" t="s">
        <v>43</v>
      </c>
      <c r="AS512" s="100" t="str">
        <f>IF(AR512&lt;&gt;"No Disp",AQ512+12*AR512,"No Disp")</f>
        <v>No Disp</v>
      </c>
    </row>
    <row r="513" spans="1:45" s="101" customFormat="1" x14ac:dyDescent="0.25">
      <c r="A513" s="90" t="s">
        <v>38</v>
      </c>
      <c r="B513" s="90" t="s">
        <v>39</v>
      </c>
      <c r="C513" s="90" t="s">
        <v>40</v>
      </c>
      <c r="D513" s="90" t="s">
        <v>4539</v>
      </c>
      <c r="E513" s="90" t="s">
        <v>4542</v>
      </c>
      <c r="F513" s="91">
        <v>486</v>
      </c>
      <c r="G513" s="92">
        <v>70012525</v>
      </c>
      <c r="H513" s="91">
        <v>70012526</v>
      </c>
      <c r="I513" s="93" t="s">
        <v>112</v>
      </c>
      <c r="J513" s="94" t="s">
        <v>3874</v>
      </c>
      <c r="K513" s="94" t="s">
        <v>248</v>
      </c>
      <c r="L513" s="94" t="s">
        <v>249</v>
      </c>
      <c r="M513" s="95">
        <v>154900</v>
      </c>
      <c r="N513" s="95">
        <v>4000</v>
      </c>
      <c r="O513" s="95">
        <v>6000</v>
      </c>
      <c r="P513" s="96">
        <v>249990</v>
      </c>
      <c r="Q513" s="152"/>
      <c r="R513" s="95">
        <v>174990</v>
      </c>
      <c r="S513" s="95">
        <f>R513/24</f>
        <v>7291.25</v>
      </c>
      <c r="T513" s="95">
        <v>154900</v>
      </c>
      <c r="U513" s="95">
        <f>T513/24</f>
        <v>6454.166666666667</v>
      </c>
      <c r="V513" s="95">
        <v>154900</v>
      </c>
      <c r="W513" s="95">
        <f>V513/24</f>
        <v>6454.166666666667</v>
      </c>
      <c r="X513" s="128"/>
      <c r="Y513" s="95">
        <v>0</v>
      </c>
      <c r="Z513" s="95">
        <v>15000</v>
      </c>
      <c r="AA513" s="95">
        <f>IFERROR(IF(D513="Premium",0.4*Y513,0),"No Disp")</f>
        <v>0</v>
      </c>
      <c r="AB513" s="95">
        <f>IFERROR(IF(4*Y513&gt;AC513,1.5*Y513,4*Y513),"No Disp")</f>
        <v>0</v>
      </c>
      <c r="AC513" s="95">
        <f>IF(Z513="No Disp","No Disp",(Z513*18)+Y513)</f>
        <v>270000</v>
      </c>
      <c r="AD513" s="95">
        <f>18*Z513-100+Y513</f>
        <v>269900</v>
      </c>
      <c r="AE513" s="95">
        <v>0</v>
      </c>
      <c r="AF513" s="95">
        <v>13000</v>
      </c>
      <c r="AG513" s="95">
        <f>IF(AF513="No Disp","No Disp",(AF513*18)+AE513)</f>
        <v>234000</v>
      </c>
      <c r="AH513" s="98">
        <f>18*AF513-100+AE513</f>
        <v>233900</v>
      </c>
      <c r="AI513" s="95" t="s">
        <v>4613</v>
      </c>
      <c r="AJ513" s="99"/>
      <c r="AK513" s="100" t="s">
        <v>43</v>
      </c>
      <c r="AL513" s="100" t="s">
        <v>43</v>
      </c>
      <c r="AM513" s="100" t="str">
        <f>IF(AL513&lt;&gt;"No Disp",AK513+12*AL513,"No Disp")</f>
        <v>No Disp</v>
      </c>
      <c r="AN513" s="100" t="s">
        <v>43</v>
      </c>
      <c r="AO513" s="100" t="s">
        <v>43</v>
      </c>
      <c r="AP513" s="100" t="str">
        <f>IF(AO513&lt;&gt;"No Disp",AN513+12*AO513,"No Disp")</f>
        <v>No Disp</v>
      </c>
      <c r="AQ513" s="100" t="s">
        <v>43</v>
      </c>
      <c r="AR513" s="100" t="s">
        <v>43</v>
      </c>
      <c r="AS513" s="100" t="str">
        <f>IF(AR513&lt;&gt;"No Disp",AQ513+12*AR513,"No Disp")</f>
        <v>No Disp</v>
      </c>
    </row>
    <row r="514" spans="1:45" s="101" customFormat="1" x14ac:dyDescent="0.25">
      <c r="A514" s="90" t="s">
        <v>38</v>
      </c>
      <c r="B514" s="90" t="s">
        <v>39</v>
      </c>
      <c r="C514" s="90" t="s">
        <v>40</v>
      </c>
      <c r="D514" s="90" t="s">
        <v>4539</v>
      </c>
      <c r="E514" s="90" t="s">
        <v>4542</v>
      </c>
      <c r="F514" s="91">
        <v>460</v>
      </c>
      <c r="G514" s="92">
        <v>70012547</v>
      </c>
      <c r="H514" s="91">
        <v>70012548</v>
      </c>
      <c r="I514" s="93" t="s">
        <v>87</v>
      </c>
      <c r="J514" s="94" t="s">
        <v>304</v>
      </c>
      <c r="K514" s="94" t="s">
        <v>305</v>
      </c>
      <c r="L514" s="94" t="s">
        <v>306</v>
      </c>
      <c r="M514" s="95">
        <v>203760</v>
      </c>
      <c r="N514" s="95">
        <v>4000</v>
      </c>
      <c r="O514" s="95">
        <v>6000</v>
      </c>
      <c r="P514" s="96">
        <v>349990</v>
      </c>
      <c r="Q514" s="152"/>
      <c r="R514" s="95">
        <v>223990</v>
      </c>
      <c r="S514" s="95">
        <f>R514/24</f>
        <v>9332.9166666666661</v>
      </c>
      <c r="T514" s="95">
        <v>203760</v>
      </c>
      <c r="U514" s="95">
        <f>T514/24</f>
        <v>8490</v>
      </c>
      <c r="V514" s="95">
        <v>203760</v>
      </c>
      <c r="W514" s="95">
        <f>V514/24</f>
        <v>8490</v>
      </c>
      <c r="X514" s="128"/>
      <c r="Y514" s="95">
        <v>0</v>
      </c>
      <c r="Z514" s="95">
        <v>20000</v>
      </c>
      <c r="AA514" s="95">
        <f>IFERROR(IF(D514="Premium",0.4*Y514,0),"No Disp")</f>
        <v>0</v>
      </c>
      <c r="AB514" s="95">
        <f>IFERROR(IF(4*Y514&gt;AC514,1.5*Y514,4*Y514),"No Disp")</f>
        <v>0</v>
      </c>
      <c r="AC514" s="95">
        <f>IF(Z514="No Disp","No Disp",(Z514*18)+Y514)</f>
        <v>360000</v>
      </c>
      <c r="AD514" s="95">
        <f>18*Z514-100+Y514</f>
        <v>359900</v>
      </c>
      <c r="AE514" s="95">
        <v>0</v>
      </c>
      <c r="AF514" s="95">
        <v>18000</v>
      </c>
      <c r="AG514" s="95">
        <f>IF(AF514="No Disp","No Disp",(AF514*18)+AE514)</f>
        <v>324000</v>
      </c>
      <c r="AH514" s="98">
        <f>18*AF514-100+AE514</f>
        <v>323900</v>
      </c>
      <c r="AI514" s="95" t="s">
        <v>4613</v>
      </c>
      <c r="AJ514" s="99"/>
      <c r="AK514" s="100" t="s">
        <v>43</v>
      </c>
      <c r="AL514" s="100" t="s">
        <v>43</v>
      </c>
      <c r="AM514" s="100" t="str">
        <f>IF(AL514&lt;&gt;"No Disp",AK514+12*AL514,"No Disp")</f>
        <v>No Disp</v>
      </c>
      <c r="AN514" s="100" t="s">
        <v>43</v>
      </c>
      <c r="AO514" s="100" t="s">
        <v>43</v>
      </c>
      <c r="AP514" s="100" t="str">
        <f>IF(AO514&lt;&gt;"No Disp",AN514+12*AO514,"No Disp")</f>
        <v>No Disp</v>
      </c>
      <c r="AQ514" s="100" t="s">
        <v>43</v>
      </c>
      <c r="AR514" s="100" t="s">
        <v>43</v>
      </c>
      <c r="AS514" s="100" t="str">
        <f>IF(AR514&lt;&gt;"No Disp",AQ514+12*AR514,"No Disp")</f>
        <v>No Disp</v>
      </c>
    </row>
    <row r="515" spans="1:45" s="101" customFormat="1" x14ac:dyDescent="0.25">
      <c r="A515" s="90" t="s">
        <v>38</v>
      </c>
      <c r="B515" s="90" t="s">
        <v>39</v>
      </c>
      <c r="C515" s="90" t="s">
        <v>40</v>
      </c>
      <c r="D515" s="90" t="s">
        <v>4539</v>
      </c>
      <c r="E515" s="90" t="s">
        <v>4542</v>
      </c>
      <c r="F515" s="91">
        <v>469</v>
      </c>
      <c r="G515" s="92">
        <v>70012558</v>
      </c>
      <c r="H515" s="91">
        <v>70012559</v>
      </c>
      <c r="I515" s="93" t="s">
        <v>46</v>
      </c>
      <c r="J515" s="94" t="s">
        <v>284</v>
      </c>
      <c r="K515" s="94" t="s">
        <v>285</v>
      </c>
      <c r="L515" s="94" t="s">
        <v>286</v>
      </c>
      <c r="M515" s="95">
        <v>259900</v>
      </c>
      <c r="N515" s="95">
        <v>4000</v>
      </c>
      <c r="O515" s="95">
        <v>6000</v>
      </c>
      <c r="P515" s="96">
        <v>419990</v>
      </c>
      <c r="Q515" s="152"/>
      <c r="R515" s="95">
        <v>289990</v>
      </c>
      <c r="S515" s="95">
        <f>R515/24</f>
        <v>12082.916666666666</v>
      </c>
      <c r="T515" s="95">
        <v>259900</v>
      </c>
      <c r="U515" s="95">
        <f>T515/24</f>
        <v>10829.166666666666</v>
      </c>
      <c r="V515" s="95">
        <v>259900</v>
      </c>
      <c r="W515" s="95">
        <f>V515/24</f>
        <v>10829.166666666666</v>
      </c>
      <c r="X515" s="128"/>
      <c r="Y515" s="95">
        <v>0</v>
      </c>
      <c r="Z515" s="95">
        <v>26000</v>
      </c>
      <c r="AA515" s="95">
        <f>IFERROR(IF(D515="Premium",0.4*Y515,0),"No Disp")</f>
        <v>0</v>
      </c>
      <c r="AB515" s="95">
        <f>IFERROR(IF(4*Y515&gt;AC515,1.5*Y515,4*Y515),"No Disp")</f>
        <v>0</v>
      </c>
      <c r="AC515" s="95">
        <f>IF(Z515="No Disp","No Disp",(Z515*18)+Y515)</f>
        <v>468000</v>
      </c>
      <c r="AD515" s="95">
        <f>18*Z515-100+Y515</f>
        <v>467900</v>
      </c>
      <c r="AE515" s="95">
        <v>0</v>
      </c>
      <c r="AF515" s="95">
        <v>23000</v>
      </c>
      <c r="AG515" s="95">
        <f>IF(AF515="No Disp","No Disp",(AF515*18)+AE515)</f>
        <v>414000</v>
      </c>
      <c r="AH515" s="98">
        <f>18*AF515-100+AE515</f>
        <v>413900</v>
      </c>
      <c r="AI515" s="95" t="s">
        <v>4613</v>
      </c>
      <c r="AJ515" s="99"/>
      <c r="AK515" s="100" t="s">
        <v>43</v>
      </c>
      <c r="AL515" s="100" t="s">
        <v>43</v>
      </c>
      <c r="AM515" s="100" t="str">
        <f>IF(AL515&lt;&gt;"No Disp",AK515+12*AL515,"No Disp")</f>
        <v>No Disp</v>
      </c>
      <c r="AN515" s="100" t="s">
        <v>43</v>
      </c>
      <c r="AO515" s="100" t="s">
        <v>43</v>
      </c>
      <c r="AP515" s="100" t="str">
        <f>IF(AO515&lt;&gt;"No Disp",AN515+12*AO515,"No Disp")</f>
        <v>No Disp</v>
      </c>
      <c r="AQ515" s="100" t="s">
        <v>43</v>
      </c>
      <c r="AR515" s="100" t="s">
        <v>43</v>
      </c>
      <c r="AS515" s="100" t="str">
        <f>IF(AR515&lt;&gt;"No Disp",AQ515+12*AR515,"No Disp")</f>
        <v>No Disp</v>
      </c>
    </row>
    <row r="516" spans="1:45" s="101" customFormat="1" x14ac:dyDescent="0.25">
      <c r="A516" s="90" t="s">
        <v>38</v>
      </c>
      <c r="B516" s="90" t="s">
        <v>39</v>
      </c>
      <c r="C516" s="90" t="s">
        <v>40</v>
      </c>
      <c r="D516" s="90" t="s">
        <v>4539</v>
      </c>
      <c r="E516" s="90" t="s">
        <v>4542</v>
      </c>
      <c r="F516" s="91">
        <v>467</v>
      </c>
      <c r="G516" s="92">
        <v>70012564</v>
      </c>
      <c r="H516" s="91">
        <v>70012565</v>
      </c>
      <c r="I516" s="93" t="s">
        <v>46</v>
      </c>
      <c r="J516" s="94" t="s">
        <v>284</v>
      </c>
      <c r="K516" s="94" t="s">
        <v>289</v>
      </c>
      <c r="L516" s="94" t="s">
        <v>290</v>
      </c>
      <c r="M516" s="95">
        <v>259900</v>
      </c>
      <c r="N516" s="95">
        <v>4000</v>
      </c>
      <c r="O516" s="95">
        <v>6000</v>
      </c>
      <c r="P516" s="96">
        <v>419990</v>
      </c>
      <c r="Q516" s="152"/>
      <c r="R516" s="95">
        <v>289990</v>
      </c>
      <c r="S516" s="95">
        <f>R516/24</f>
        <v>12082.916666666666</v>
      </c>
      <c r="T516" s="95">
        <v>259900</v>
      </c>
      <c r="U516" s="95">
        <f>T516/24</f>
        <v>10829.166666666666</v>
      </c>
      <c r="V516" s="95">
        <v>259900</v>
      </c>
      <c r="W516" s="95">
        <f>V516/24</f>
        <v>10829.166666666666</v>
      </c>
      <c r="X516" s="128"/>
      <c r="Y516" s="95">
        <v>0</v>
      </c>
      <c r="Z516" s="95">
        <v>26000</v>
      </c>
      <c r="AA516" s="95">
        <f>IFERROR(IF(D516="Premium",0.4*Y516,0),"No Disp")</f>
        <v>0</v>
      </c>
      <c r="AB516" s="95">
        <f>IFERROR(IF(4*Y516&gt;AC516,1.5*Y516,4*Y516),"No Disp")</f>
        <v>0</v>
      </c>
      <c r="AC516" s="95">
        <f>IF(Z516="No Disp","No Disp",(Z516*18)+Y516)</f>
        <v>468000</v>
      </c>
      <c r="AD516" s="95">
        <f>18*Z516-100+Y516</f>
        <v>467900</v>
      </c>
      <c r="AE516" s="95">
        <v>0</v>
      </c>
      <c r="AF516" s="95">
        <v>23000</v>
      </c>
      <c r="AG516" s="95">
        <f>IF(AF516="No Disp","No Disp",(AF516*18)+AE516)</f>
        <v>414000</v>
      </c>
      <c r="AH516" s="98">
        <f>18*AF516-100+AE516</f>
        <v>413900</v>
      </c>
      <c r="AI516" s="95" t="s">
        <v>4613</v>
      </c>
      <c r="AJ516" s="99"/>
      <c r="AK516" s="100" t="s">
        <v>43</v>
      </c>
      <c r="AL516" s="100" t="s">
        <v>43</v>
      </c>
      <c r="AM516" s="100" t="str">
        <f>IF(AL516&lt;&gt;"No Disp",AK516+12*AL516,"No Disp")</f>
        <v>No Disp</v>
      </c>
      <c r="AN516" s="100" t="s">
        <v>43</v>
      </c>
      <c r="AO516" s="100" t="s">
        <v>43</v>
      </c>
      <c r="AP516" s="100" t="str">
        <f>IF(AO516&lt;&gt;"No Disp",AN516+12*AO516,"No Disp")</f>
        <v>No Disp</v>
      </c>
      <c r="AQ516" s="100" t="s">
        <v>43</v>
      </c>
      <c r="AR516" s="100" t="s">
        <v>43</v>
      </c>
      <c r="AS516" s="100" t="str">
        <f>IF(AR516&lt;&gt;"No Disp",AQ516+12*AR516,"No Disp")</f>
        <v>No Disp</v>
      </c>
    </row>
    <row r="517" spans="1:45" s="101" customFormat="1" x14ac:dyDescent="0.25">
      <c r="A517" s="90" t="s">
        <v>38</v>
      </c>
      <c r="B517" s="90" t="s">
        <v>39</v>
      </c>
      <c r="C517" s="90" t="s">
        <v>40</v>
      </c>
      <c r="D517" s="90" t="s">
        <v>4539</v>
      </c>
      <c r="E517" s="90" t="s">
        <v>4542</v>
      </c>
      <c r="F517" s="91">
        <v>470</v>
      </c>
      <c r="G517" s="92">
        <v>70012570</v>
      </c>
      <c r="H517" s="91">
        <v>70012571</v>
      </c>
      <c r="I517" s="93" t="s">
        <v>46</v>
      </c>
      <c r="J517" s="94" t="s">
        <v>275</v>
      </c>
      <c r="K517" s="94" t="s">
        <v>282</v>
      </c>
      <c r="L517" s="94" t="s">
        <v>283</v>
      </c>
      <c r="M517" s="95">
        <v>289900</v>
      </c>
      <c r="N517" s="95">
        <v>4000</v>
      </c>
      <c r="O517" s="95">
        <v>6000</v>
      </c>
      <c r="P517" s="96">
        <v>419990</v>
      </c>
      <c r="Q517" s="152"/>
      <c r="R517" s="95">
        <v>319990</v>
      </c>
      <c r="S517" s="95">
        <f>R517/24</f>
        <v>13332.916666666666</v>
      </c>
      <c r="T517" s="95">
        <v>289900</v>
      </c>
      <c r="U517" s="95">
        <f>T517/24</f>
        <v>12079.166666666666</v>
      </c>
      <c r="V517" s="95">
        <v>289900</v>
      </c>
      <c r="W517" s="95">
        <f>V517/24</f>
        <v>12079.166666666666</v>
      </c>
      <c r="X517" s="128"/>
      <c r="Y517" s="95">
        <v>0</v>
      </c>
      <c r="Z517" s="95">
        <v>29000</v>
      </c>
      <c r="AA517" s="95">
        <f>IFERROR(IF(D517="Premium",0.4*Y517,0),"No Disp")</f>
        <v>0</v>
      </c>
      <c r="AB517" s="95">
        <f>IFERROR(IF(4*Y517&gt;AC517,1.5*Y517,4*Y517),"No Disp")</f>
        <v>0</v>
      </c>
      <c r="AC517" s="95">
        <f>IF(Z517="No Disp","No Disp",(Z517*18)+Y517)</f>
        <v>522000</v>
      </c>
      <c r="AD517" s="95">
        <f>18*Z517-100+Y517</f>
        <v>521900</v>
      </c>
      <c r="AE517" s="95">
        <v>0</v>
      </c>
      <c r="AF517" s="95">
        <v>25000</v>
      </c>
      <c r="AG517" s="95">
        <f>IF(AF517="No Disp","No Disp",(AF517*18)+AE517)</f>
        <v>450000</v>
      </c>
      <c r="AH517" s="98">
        <f>18*AF517-100+AE517</f>
        <v>449900</v>
      </c>
      <c r="AI517" s="95" t="s">
        <v>4613</v>
      </c>
      <c r="AJ517" s="99"/>
      <c r="AK517" s="100" t="s">
        <v>43</v>
      </c>
      <c r="AL517" s="100" t="s">
        <v>43</v>
      </c>
      <c r="AM517" s="100" t="str">
        <f>IF(AL517&lt;&gt;"No Disp",AK517+12*AL517,"No Disp")</f>
        <v>No Disp</v>
      </c>
      <c r="AN517" s="100" t="s">
        <v>43</v>
      </c>
      <c r="AO517" s="100" t="s">
        <v>43</v>
      </c>
      <c r="AP517" s="100" t="str">
        <f>IF(AO517&lt;&gt;"No Disp",AN517+12*AO517,"No Disp")</f>
        <v>No Disp</v>
      </c>
      <c r="AQ517" s="100" t="s">
        <v>43</v>
      </c>
      <c r="AR517" s="100" t="s">
        <v>43</v>
      </c>
      <c r="AS517" s="100" t="str">
        <f>IF(AR517&lt;&gt;"No Disp",AQ517+12*AR517,"No Disp")</f>
        <v>No Disp</v>
      </c>
    </row>
    <row r="518" spans="1:45" s="101" customFormat="1" x14ac:dyDescent="0.25">
      <c r="A518" s="90" t="s">
        <v>38</v>
      </c>
      <c r="B518" s="90" t="s">
        <v>39</v>
      </c>
      <c r="C518" s="90" t="s">
        <v>40</v>
      </c>
      <c r="D518" s="90" t="s">
        <v>4539</v>
      </c>
      <c r="E518" s="90" t="s">
        <v>4542</v>
      </c>
      <c r="F518" s="91">
        <v>473</v>
      </c>
      <c r="G518" s="92">
        <v>70012576</v>
      </c>
      <c r="H518" s="91">
        <v>70012577</v>
      </c>
      <c r="I518" s="93" t="s">
        <v>46</v>
      </c>
      <c r="J518" s="94" t="s">
        <v>275</v>
      </c>
      <c r="K518" s="94" t="s">
        <v>276</v>
      </c>
      <c r="L518" s="94" t="s">
        <v>277</v>
      </c>
      <c r="M518" s="95">
        <v>289900</v>
      </c>
      <c r="N518" s="95">
        <v>4000</v>
      </c>
      <c r="O518" s="95">
        <v>6000</v>
      </c>
      <c r="P518" s="96">
        <v>419990</v>
      </c>
      <c r="Q518" s="152"/>
      <c r="R518" s="95">
        <v>319990</v>
      </c>
      <c r="S518" s="95">
        <f>R518/24</f>
        <v>13332.916666666666</v>
      </c>
      <c r="T518" s="95">
        <v>289900</v>
      </c>
      <c r="U518" s="95">
        <f>T518/24</f>
        <v>12079.166666666666</v>
      </c>
      <c r="V518" s="95">
        <v>289900</v>
      </c>
      <c r="W518" s="95">
        <f>V518/24</f>
        <v>12079.166666666666</v>
      </c>
      <c r="X518" s="128"/>
      <c r="Y518" s="95">
        <v>0</v>
      </c>
      <c r="Z518" s="95">
        <v>29000</v>
      </c>
      <c r="AA518" s="95">
        <f>IFERROR(IF(D518="Premium",0.4*Y518,0),"No Disp")</f>
        <v>0</v>
      </c>
      <c r="AB518" s="95">
        <f>IFERROR(IF(4*Y518&gt;AC518,1.5*Y518,4*Y518),"No Disp")</f>
        <v>0</v>
      </c>
      <c r="AC518" s="95">
        <f>IF(Z518="No Disp","No Disp",(Z518*18)+Y518)</f>
        <v>522000</v>
      </c>
      <c r="AD518" s="95">
        <f>18*Z518-100+Y518</f>
        <v>521900</v>
      </c>
      <c r="AE518" s="95">
        <v>0</v>
      </c>
      <c r="AF518" s="95">
        <v>25000</v>
      </c>
      <c r="AG518" s="95">
        <f>IF(AF518="No Disp","No Disp",(AF518*18)+AE518)</f>
        <v>450000</v>
      </c>
      <c r="AH518" s="98">
        <f>18*AF518-100+AE518</f>
        <v>449900</v>
      </c>
      <c r="AI518" s="95" t="s">
        <v>4613</v>
      </c>
      <c r="AJ518" s="99"/>
      <c r="AK518" s="100" t="s">
        <v>43</v>
      </c>
      <c r="AL518" s="100" t="s">
        <v>43</v>
      </c>
      <c r="AM518" s="100" t="str">
        <f>IF(AL518&lt;&gt;"No Disp",AK518+12*AL518,"No Disp")</f>
        <v>No Disp</v>
      </c>
      <c r="AN518" s="100" t="s">
        <v>43</v>
      </c>
      <c r="AO518" s="100" t="s">
        <v>43</v>
      </c>
      <c r="AP518" s="100" t="str">
        <f>IF(AO518&lt;&gt;"No Disp",AN518+12*AO518,"No Disp")</f>
        <v>No Disp</v>
      </c>
      <c r="AQ518" s="100" t="s">
        <v>43</v>
      </c>
      <c r="AR518" s="100" t="s">
        <v>43</v>
      </c>
      <c r="AS518" s="100" t="str">
        <f>IF(AR518&lt;&gt;"No Disp",AQ518+12*AR518,"No Disp")</f>
        <v>No Disp</v>
      </c>
    </row>
    <row r="519" spans="1:45" s="101" customFormat="1" x14ac:dyDescent="0.25">
      <c r="A519" s="90" t="s">
        <v>38</v>
      </c>
      <c r="B519" s="90" t="s">
        <v>39</v>
      </c>
      <c r="C519" s="90" t="s">
        <v>40</v>
      </c>
      <c r="D519" s="90" t="s">
        <v>4539</v>
      </c>
      <c r="E519" s="90" t="s">
        <v>4542</v>
      </c>
      <c r="F519" s="91">
        <v>471</v>
      </c>
      <c r="G519" s="92">
        <v>70012582</v>
      </c>
      <c r="H519" s="91">
        <v>70012583</v>
      </c>
      <c r="I519" s="93" t="s">
        <v>46</v>
      </c>
      <c r="J519" s="94" t="s">
        <v>272</v>
      </c>
      <c r="K519" s="94" t="s">
        <v>280</v>
      </c>
      <c r="L519" s="94" t="s">
        <v>281</v>
      </c>
      <c r="M519" s="95">
        <v>339900</v>
      </c>
      <c r="N519" s="95">
        <v>4000</v>
      </c>
      <c r="O519" s="95">
        <v>6000</v>
      </c>
      <c r="P519" s="96">
        <v>449990</v>
      </c>
      <c r="Q519" s="152"/>
      <c r="R519" s="95">
        <v>379990</v>
      </c>
      <c r="S519" s="95">
        <f>R519/24</f>
        <v>15832.916666666666</v>
      </c>
      <c r="T519" s="95">
        <v>339900</v>
      </c>
      <c r="U519" s="95">
        <f>T519/24</f>
        <v>14162.5</v>
      </c>
      <c r="V519" s="95">
        <v>339900</v>
      </c>
      <c r="W519" s="95">
        <f>V519/24</f>
        <v>14162.5</v>
      </c>
      <c r="X519" s="128"/>
      <c r="Y519" s="95">
        <v>39900</v>
      </c>
      <c r="Z519" s="95">
        <v>31000</v>
      </c>
      <c r="AA519" s="95">
        <f>IFERROR(IF(D519="Premium",0.4*Y519,0),"No Disp")</f>
        <v>0</v>
      </c>
      <c r="AB519" s="95">
        <f>IFERROR(IF(4*Y519&gt;AC519,1.5*Y519,4*Y519),"No Disp")</f>
        <v>159600</v>
      </c>
      <c r="AC519" s="95">
        <f>IF(Z519="No Disp","No Disp",(Z519*18)+Y519)</f>
        <v>597900</v>
      </c>
      <c r="AD519" s="95">
        <f>18*Z519-100+Y519</f>
        <v>597800</v>
      </c>
      <c r="AE519" s="95">
        <v>19900</v>
      </c>
      <c r="AF519" s="95">
        <v>25000</v>
      </c>
      <c r="AG519" s="95">
        <f>IF(AF519="No Disp","No Disp",(AF519*18)+AE519)</f>
        <v>469900</v>
      </c>
      <c r="AH519" s="98">
        <f>18*AF519-100+AE519</f>
        <v>469800</v>
      </c>
      <c r="AI519" s="95" t="s">
        <v>4613</v>
      </c>
      <c r="AJ519" s="99"/>
      <c r="AK519" s="100" t="s">
        <v>43</v>
      </c>
      <c r="AL519" s="100" t="s">
        <v>43</v>
      </c>
      <c r="AM519" s="100" t="str">
        <f>IF(AL519&lt;&gt;"No Disp",AK519+12*AL519,"No Disp")</f>
        <v>No Disp</v>
      </c>
      <c r="AN519" s="100" t="s">
        <v>43</v>
      </c>
      <c r="AO519" s="100" t="s">
        <v>43</v>
      </c>
      <c r="AP519" s="100" t="str">
        <f>IF(AO519&lt;&gt;"No Disp",AN519+12*AO519,"No Disp")</f>
        <v>No Disp</v>
      </c>
      <c r="AQ519" s="100" t="s">
        <v>43</v>
      </c>
      <c r="AR519" s="100" t="s">
        <v>43</v>
      </c>
      <c r="AS519" s="100" t="str">
        <f>IF(AR519&lt;&gt;"No Disp",AQ519+12*AR519,"No Disp")</f>
        <v>No Disp</v>
      </c>
    </row>
    <row r="520" spans="1:45" s="101" customFormat="1" x14ac:dyDescent="0.25">
      <c r="A520" s="90" t="s">
        <v>38</v>
      </c>
      <c r="B520" s="90" t="s">
        <v>39</v>
      </c>
      <c r="C520" s="90" t="s">
        <v>40</v>
      </c>
      <c r="D520" s="90" t="s">
        <v>4539</v>
      </c>
      <c r="E520" s="90" t="s">
        <v>4542</v>
      </c>
      <c r="F520" s="91">
        <v>474</v>
      </c>
      <c r="G520" s="92">
        <v>70012588</v>
      </c>
      <c r="H520" s="91">
        <v>70012589</v>
      </c>
      <c r="I520" s="93" t="s">
        <v>46</v>
      </c>
      <c r="J520" s="94" t="s">
        <v>272</v>
      </c>
      <c r="K520" s="94" t="s">
        <v>273</v>
      </c>
      <c r="L520" s="94" t="s">
        <v>274</v>
      </c>
      <c r="M520" s="95">
        <v>339900</v>
      </c>
      <c r="N520" s="95">
        <v>4000</v>
      </c>
      <c r="O520" s="95">
        <v>6000</v>
      </c>
      <c r="P520" s="96">
        <v>449990</v>
      </c>
      <c r="Q520" s="152"/>
      <c r="R520" s="95">
        <v>379990</v>
      </c>
      <c r="S520" s="95">
        <f>R520/24</f>
        <v>15832.916666666666</v>
      </c>
      <c r="T520" s="95">
        <v>339900</v>
      </c>
      <c r="U520" s="95">
        <f>T520/24</f>
        <v>14162.5</v>
      </c>
      <c r="V520" s="95">
        <v>339900</v>
      </c>
      <c r="W520" s="95">
        <f>V520/24</f>
        <v>14162.5</v>
      </c>
      <c r="X520" s="128"/>
      <c r="Y520" s="95">
        <v>39900</v>
      </c>
      <c r="Z520" s="95">
        <v>31000</v>
      </c>
      <c r="AA520" s="95">
        <f>IFERROR(IF(D520="Premium",0.4*Y520,0),"No Disp")</f>
        <v>0</v>
      </c>
      <c r="AB520" s="95">
        <f>IFERROR(IF(4*Y520&gt;AC520,1.5*Y520,4*Y520),"No Disp")</f>
        <v>159600</v>
      </c>
      <c r="AC520" s="95">
        <f>IF(Z520="No Disp","No Disp",(Z520*18)+Y520)</f>
        <v>597900</v>
      </c>
      <c r="AD520" s="95">
        <f>18*Z520-100+Y520</f>
        <v>597800</v>
      </c>
      <c r="AE520" s="95">
        <v>19900</v>
      </c>
      <c r="AF520" s="95">
        <v>25000</v>
      </c>
      <c r="AG520" s="95">
        <f>IF(AF520="No Disp","No Disp",(AF520*18)+AE520)</f>
        <v>469900</v>
      </c>
      <c r="AH520" s="98">
        <f>18*AF520-100+AE520</f>
        <v>469800</v>
      </c>
      <c r="AI520" s="95" t="s">
        <v>4613</v>
      </c>
      <c r="AJ520" s="99"/>
      <c r="AK520" s="100" t="s">
        <v>43</v>
      </c>
      <c r="AL520" s="100" t="s">
        <v>43</v>
      </c>
      <c r="AM520" s="100" t="str">
        <f>IF(AL520&lt;&gt;"No Disp",AK520+12*AL520,"No Disp")</f>
        <v>No Disp</v>
      </c>
      <c r="AN520" s="100" t="s">
        <v>43</v>
      </c>
      <c r="AO520" s="100" t="s">
        <v>43</v>
      </c>
      <c r="AP520" s="100" t="str">
        <f>IF(AO520&lt;&gt;"No Disp",AN520+12*AO520,"No Disp")</f>
        <v>No Disp</v>
      </c>
      <c r="AQ520" s="100" t="s">
        <v>43</v>
      </c>
      <c r="AR520" s="100" t="s">
        <v>43</v>
      </c>
      <c r="AS520" s="100" t="str">
        <f>IF(AR520&lt;&gt;"No Disp",AQ520+12*AR520,"No Disp")</f>
        <v>No Disp</v>
      </c>
    </row>
    <row r="521" spans="1:45" s="101" customFormat="1" x14ac:dyDescent="0.25">
      <c r="A521" s="90" t="s">
        <v>38</v>
      </c>
      <c r="B521" s="90" t="s">
        <v>39</v>
      </c>
      <c r="C521" s="90" t="s">
        <v>40</v>
      </c>
      <c r="D521" s="90" t="s">
        <v>4539</v>
      </c>
      <c r="E521" s="90" t="s">
        <v>4542</v>
      </c>
      <c r="F521" s="91">
        <v>472</v>
      </c>
      <c r="G521" s="92">
        <v>70012594</v>
      </c>
      <c r="H521" s="91">
        <v>70012595</v>
      </c>
      <c r="I521" s="93" t="s">
        <v>46</v>
      </c>
      <c r="J521" s="94" t="s">
        <v>269</v>
      </c>
      <c r="K521" s="94" t="s">
        <v>278</v>
      </c>
      <c r="L521" s="94" t="s">
        <v>279</v>
      </c>
      <c r="M521" s="95">
        <v>369900</v>
      </c>
      <c r="N521" s="95">
        <v>6000</v>
      </c>
      <c r="O521" s="95">
        <v>8500</v>
      </c>
      <c r="P521" s="96">
        <v>499990</v>
      </c>
      <c r="Q521" s="152"/>
      <c r="R521" s="95">
        <v>409990</v>
      </c>
      <c r="S521" s="95">
        <f>R521/24</f>
        <v>17082.916666666668</v>
      </c>
      <c r="T521" s="95">
        <v>369900</v>
      </c>
      <c r="U521" s="95">
        <f>T521/24</f>
        <v>15412.5</v>
      </c>
      <c r="V521" s="95">
        <v>369900</v>
      </c>
      <c r="W521" s="95">
        <f>V521/24</f>
        <v>15412.5</v>
      </c>
      <c r="X521" s="128"/>
      <c r="Y521" s="95">
        <v>49900</v>
      </c>
      <c r="Z521" s="95">
        <v>31000</v>
      </c>
      <c r="AA521" s="95">
        <f>IFERROR(IF(D521="Premium",0.4*Y521,0),"No Disp")</f>
        <v>0</v>
      </c>
      <c r="AB521" s="95">
        <f>IFERROR(IF(4*Y521&gt;AC521,1.5*Y521,4*Y521),"No Disp")</f>
        <v>199600</v>
      </c>
      <c r="AC521" s="95">
        <f>IF(Z521="No Disp","No Disp",(Z521*18)+Y521)</f>
        <v>607900</v>
      </c>
      <c r="AD521" s="95">
        <f>18*Z521-100+Y521</f>
        <v>607800</v>
      </c>
      <c r="AE521" s="95">
        <v>19900</v>
      </c>
      <c r="AF521" s="95">
        <v>30500</v>
      </c>
      <c r="AG521" s="95">
        <f>IF(AF521="No Disp","No Disp",(AF521*18)+AE521)</f>
        <v>568900</v>
      </c>
      <c r="AH521" s="98">
        <f>18*AF521-100+AE521</f>
        <v>568800</v>
      </c>
      <c r="AI521" s="95" t="s">
        <v>4613</v>
      </c>
      <c r="AJ521" s="99"/>
      <c r="AK521" s="100" t="s">
        <v>43</v>
      </c>
      <c r="AL521" s="100" t="s">
        <v>43</v>
      </c>
      <c r="AM521" s="100" t="str">
        <f>IF(AL521&lt;&gt;"No Disp",AK521+12*AL521,"No Disp")</f>
        <v>No Disp</v>
      </c>
      <c r="AN521" s="100" t="s">
        <v>43</v>
      </c>
      <c r="AO521" s="100" t="s">
        <v>43</v>
      </c>
      <c r="AP521" s="100" t="str">
        <f>IF(AO521&lt;&gt;"No Disp",AN521+12*AO521,"No Disp")</f>
        <v>No Disp</v>
      </c>
      <c r="AQ521" s="100" t="s">
        <v>43</v>
      </c>
      <c r="AR521" s="100" t="s">
        <v>43</v>
      </c>
      <c r="AS521" s="100" t="str">
        <f>IF(AR521&lt;&gt;"No Disp",AQ521+12*AR521,"No Disp")</f>
        <v>No Disp</v>
      </c>
    </row>
    <row r="522" spans="1:45" s="101" customFormat="1" x14ac:dyDescent="0.25">
      <c r="A522" s="90" t="s">
        <v>38</v>
      </c>
      <c r="B522" s="90" t="s">
        <v>39</v>
      </c>
      <c r="C522" s="90" t="s">
        <v>40</v>
      </c>
      <c r="D522" s="90" t="s">
        <v>4539</v>
      </c>
      <c r="E522" s="90" t="s">
        <v>4542</v>
      </c>
      <c r="F522" s="91">
        <v>475</v>
      </c>
      <c r="G522" s="92">
        <v>70012600</v>
      </c>
      <c r="H522" s="91">
        <v>70012601</v>
      </c>
      <c r="I522" s="93" t="s">
        <v>46</v>
      </c>
      <c r="J522" s="94" t="s">
        <v>269</v>
      </c>
      <c r="K522" s="94" t="s">
        <v>270</v>
      </c>
      <c r="L522" s="94" t="s">
        <v>271</v>
      </c>
      <c r="M522" s="95">
        <v>369900</v>
      </c>
      <c r="N522" s="95">
        <v>6000</v>
      </c>
      <c r="O522" s="95">
        <v>8500</v>
      </c>
      <c r="P522" s="96">
        <v>499990</v>
      </c>
      <c r="Q522" s="152"/>
      <c r="R522" s="95">
        <v>409990</v>
      </c>
      <c r="S522" s="95">
        <f>R522/24</f>
        <v>17082.916666666668</v>
      </c>
      <c r="T522" s="95">
        <v>369900</v>
      </c>
      <c r="U522" s="95">
        <f>T522/24</f>
        <v>15412.5</v>
      </c>
      <c r="V522" s="95">
        <v>369900</v>
      </c>
      <c r="W522" s="95">
        <f>V522/24</f>
        <v>15412.5</v>
      </c>
      <c r="X522" s="128"/>
      <c r="Y522" s="95">
        <v>49900</v>
      </c>
      <c r="Z522" s="95">
        <v>31000</v>
      </c>
      <c r="AA522" s="95">
        <f>IFERROR(IF(D522="Premium",0.4*Y522,0),"No Disp")</f>
        <v>0</v>
      </c>
      <c r="AB522" s="95">
        <f>IFERROR(IF(4*Y522&gt;AC522,1.5*Y522,4*Y522),"No Disp")</f>
        <v>199600</v>
      </c>
      <c r="AC522" s="95">
        <f>IF(Z522="No Disp","No Disp",(Z522*18)+Y522)</f>
        <v>607900</v>
      </c>
      <c r="AD522" s="95">
        <f>18*Z522-100+Y522</f>
        <v>607800</v>
      </c>
      <c r="AE522" s="95">
        <v>19900</v>
      </c>
      <c r="AF522" s="95">
        <v>30500</v>
      </c>
      <c r="AG522" s="95">
        <f>IF(AF522="No Disp","No Disp",(AF522*18)+AE522)</f>
        <v>568900</v>
      </c>
      <c r="AH522" s="98">
        <f>18*AF522-100+AE522</f>
        <v>568800</v>
      </c>
      <c r="AI522" s="95" t="s">
        <v>4613</v>
      </c>
      <c r="AJ522" s="99"/>
      <c r="AK522" s="100" t="s">
        <v>43</v>
      </c>
      <c r="AL522" s="100" t="s">
        <v>43</v>
      </c>
      <c r="AM522" s="100" t="str">
        <f>IF(AL522&lt;&gt;"No Disp",AK522+12*AL522,"No Disp")</f>
        <v>No Disp</v>
      </c>
      <c r="AN522" s="100" t="s">
        <v>43</v>
      </c>
      <c r="AO522" s="100" t="s">
        <v>43</v>
      </c>
      <c r="AP522" s="100" t="str">
        <f>IF(AO522&lt;&gt;"No Disp",AN522+12*AO522,"No Disp")</f>
        <v>No Disp</v>
      </c>
      <c r="AQ522" s="100" t="s">
        <v>43</v>
      </c>
      <c r="AR522" s="100" t="s">
        <v>43</v>
      </c>
      <c r="AS522" s="100" t="str">
        <f>IF(AR522&lt;&gt;"No Disp",AQ522+12*AR522,"No Disp")</f>
        <v>No Disp</v>
      </c>
    </row>
    <row r="523" spans="1:45" s="101" customFormat="1" x14ac:dyDescent="0.25">
      <c r="A523" s="90" t="s">
        <v>38</v>
      </c>
      <c r="B523" s="90" t="s">
        <v>39</v>
      </c>
      <c r="C523" s="90" t="s">
        <v>40</v>
      </c>
      <c r="D523" s="90" t="s">
        <v>4537</v>
      </c>
      <c r="E523" s="90" t="s">
        <v>4542</v>
      </c>
      <c r="F523" s="91">
        <v>492</v>
      </c>
      <c r="G523" s="92">
        <v>70012606</v>
      </c>
      <c r="H523" s="91">
        <v>70012607</v>
      </c>
      <c r="I523" s="93" t="s">
        <v>131</v>
      </c>
      <c r="J523" s="94" t="s">
        <v>3875</v>
      </c>
      <c r="K523" s="94" t="s">
        <v>237</v>
      </c>
      <c r="L523" s="94" t="s">
        <v>238</v>
      </c>
      <c r="M523" s="95">
        <v>469900</v>
      </c>
      <c r="N523" s="95">
        <v>6000</v>
      </c>
      <c r="O523" s="95">
        <v>8500</v>
      </c>
      <c r="P523" s="96">
        <v>599990</v>
      </c>
      <c r="Q523" s="152"/>
      <c r="R523" s="95">
        <v>529990</v>
      </c>
      <c r="S523" s="95">
        <f>R523/24</f>
        <v>22082.916666666668</v>
      </c>
      <c r="T523" s="95">
        <v>469900</v>
      </c>
      <c r="U523" s="95">
        <f>T523/24</f>
        <v>19579.166666666668</v>
      </c>
      <c r="V523" s="95">
        <v>469900</v>
      </c>
      <c r="W523" s="95">
        <f>V523/24</f>
        <v>19579.166666666668</v>
      </c>
      <c r="X523" s="128"/>
      <c r="Y523" s="95">
        <v>99900</v>
      </c>
      <c r="Z523" s="95">
        <v>38000</v>
      </c>
      <c r="AA523" s="95">
        <f>IFERROR(IF(D523="Premium",0.4*Y523,0),"No Disp")</f>
        <v>0</v>
      </c>
      <c r="AB523" s="95">
        <f>IFERROR(IF(4*Y523&gt;AC523,1.5*Y523,4*Y523),"No Disp")</f>
        <v>399600</v>
      </c>
      <c r="AC523" s="95">
        <f>IF(Z523="No Disp","No Disp",(Z523*18)+Y523)</f>
        <v>783900</v>
      </c>
      <c r="AD523" s="95">
        <f>18*Z523-100+Y523</f>
        <v>783800</v>
      </c>
      <c r="AE523" s="95">
        <v>29900</v>
      </c>
      <c r="AF523" s="95">
        <v>37000</v>
      </c>
      <c r="AG523" s="95">
        <f>IF(AF523="No Disp","No Disp",(AF523*18)+AE523)</f>
        <v>695900</v>
      </c>
      <c r="AH523" s="98">
        <f>18*AF523-100+AE523</f>
        <v>695800</v>
      </c>
      <c r="AI523" s="95" t="s">
        <v>4613</v>
      </c>
      <c r="AJ523" s="99"/>
      <c r="AK523" s="100">
        <v>0</v>
      </c>
      <c r="AL523" s="100">
        <v>25000</v>
      </c>
      <c r="AM523" s="100">
        <f>IF(AL523&lt;&gt;"No Disp",AK523+12*AL523,"No Disp")</f>
        <v>300000</v>
      </c>
      <c r="AN523" s="100">
        <v>0</v>
      </c>
      <c r="AO523" s="100">
        <v>25000</v>
      </c>
      <c r="AP523" s="100">
        <f>IF(AO523&lt;&gt;"No Disp",AN523+12*AO523,"No Disp")</f>
        <v>300000</v>
      </c>
      <c r="AQ523" s="100">
        <v>0</v>
      </c>
      <c r="AR523" s="100">
        <v>25000</v>
      </c>
      <c r="AS523" s="100">
        <f>IF(AR523&lt;&gt;"No Disp",AQ523+12*AR523,"No Disp")</f>
        <v>300000</v>
      </c>
    </row>
    <row r="524" spans="1:45" s="101" customFormat="1" x14ac:dyDescent="0.25">
      <c r="A524" s="90" t="s">
        <v>38</v>
      </c>
      <c r="B524" s="90" t="s">
        <v>39</v>
      </c>
      <c r="C524" s="90" t="s">
        <v>40</v>
      </c>
      <c r="D524" s="90" t="s">
        <v>4539</v>
      </c>
      <c r="E524" s="90" t="s">
        <v>4542</v>
      </c>
      <c r="F524" s="91">
        <v>493</v>
      </c>
      <c r="G524" s="92">
        <v>70012609</v>
      </c>
      <c r="H524" s="91">
        <v>70012610</v>
      </c>
      <c r="I524" s="93" t="s">
        <v>131</v>
      </c>
      <c r="J524" s="94" t="s">
        <v>234</v>
      </c>
      <c r="K524" s="94" t="s">
        <v>235</v>
      </c>
      <c r="L524" s="94" t="s">
        <v>236</v>
      </c>
      <c r="M524" s="95">
        <v>278900</v>
      </c>
      <c r="N524" s="95">
        <v>4000</v>
      </c>
      <c r="O524" s="95">
        <v>6000</v>
      </c>
      <c r="P524" s="96">
        <v>329990</v>
      </c>
      <c r="Q524" s="152"/>
      <c r="R524" s="95">
        <v>308990</v>
      </c>
      <c r="S524" s="95">
        <f>R524/24</f>
        <v>12874.583333333334</v>
      </c>
      <c r="T524" s="95">
        <v>278900</v>
      </c>
      <c r="U524" s="95">
        <f>T524/24</f>
        <v>11620.833333333334</v>
      </c>
      <c r="V524" s="95">
        <v>278900</v>
      </c>
      <c r="W524" s="95">
        <f>V524/24</f>
        <v>11620.833333333334</v>
      </c>
      <c r="X524" s="128"/>
      <c r="Y524" s="95">
        <v>0</v>
      </c>
      <c r="Z524" s="95">
        <v>27000</v>
      </c>
      <c r="AA524" s="95">
        <f>IFERROR(IF(D524="Premium",0.4*Y524,0),"No Disp")</f>
        <v>0</v>
      </c>
      <c r="AB524" s="95">
        <f>IFERROR(IF(4*Y524&gt;AC524,1.5*Y524,4*Y524),"No Disp")</f>
        <v>0</v>
      </c>
      <c r="AC524" s="95">
        <f>IF(Z524="No Disp","No Disp",(Z524*18)+Y524)</f>
        <v>486000</v>
      </c>
      <c r="AD524" s="95">
        <f>18*Z524-100+Y524</f>
        <v>485900</v>
      </c>
      <c r="AE524" s="95">
        <v>0</v>
      </c>
      <c r="AF524" s="95">
        <v>24000</v>
      </c>
      <c r="AG524" s="95">
        <f>IF(AF524="No Disp","No Disp",(AF524*18)+AE524)</f>
        <v>432000</v>
      </c>
      <c r="AH524" s="98">
        <f>18*AF524-100+AE524</f>
        <v>431900</v>
      </c>
      <c r="AI524" s="95" t="s">
        <v>4613</v>
      </c>
      <c r="AJ524" s="99"/>
      <c r="AK524" s="100" t="s">
        <v>43</v>
      </c>
      <c r="AL524" s="100" t="s">
        <v>43</v>
      </c>
      <c r="AM524" s="100" t="str">
        <f>IF(AL524&lt;&gt;"No Disp",AK524+12*AL524,"No Disp")</f>
        <v>No Disp</v>
      </c>
      <c r="AN524" s="100" t="s">
        <v>43</v>
      </c>
      <c r="AO524" s="100" t="s">
        <v>43</v>
      </c>
      <c r="AP524" s="100" t="str">
        <f>IF(AO524&lt;&gt;"No Disp",AN524+12*AO524,"No Disp")</f>
        <v>No Disp</v>
      </c>
      <c r="AQ524" s="100" t="s">
        <v>43</v>
      </c>
      <c r="AR524" s="100" t="s">
        <v>43</v>
      </c>
      <c r="AS524" s="100" t="str">
        <f>IF(AR524&lt;&gt;"No Disp",AQ524+12*AR524,"No Disp")</f>
        <v>No Disp</v>
      </c>
    </row>
    <row r="525" spans="1:45" s="101" customFormat="1" x14ac:dyDescent="0.25">
      <c r="A525" s="90" t="s">
        <v>38</v>
      </c>
      <c r="B525" s="90" t="s">
        <v>39</v>
      </c>
      <c r="C525" s="90" t="s">
        <v>40</v>
      </c>
      <c r="D525" s="90" t="s">
        <v>4539</v>
      </c>
      <c r="E525" s="90" t="s">
        <v>4542</v>
      </c>
      <c r="F525" s="91">
        <v>476</v>
      </c>
      <c r="G525" s="92">
        <v>70012614</v>
      </c>
      <c r="H525" s="91">
        <v>70012615</v>
      </c>
      <c r="I525" s="93" t="s">
        <v>41</v>
      </c>
      <c r="J525" s="94" t="s">
        <v>187</v>
      </c>
      <c r="K525" s="94" t="s">
        <v>267</v>
      </c>
      <c r="L525" s="94" t="s">
        <v>268</v>
      </c>
      <c r="M525" s="95">
        <v>119760</v>
      </c>
      <c r="N525" s="95">
        <v>2500</v>
      </c>
      <c r="O525" s="95">
        <v>4000</v>
      </c>
      <c r="P525" s="96">
        <v>299990</v>
      </c>
      <c r="Q525" s="152"/>
      <c r="R525" s="95">
        <v>129990</v>
      </c>
      <c r="S525" s="95">
        <f>R525/24</f>
        <v>5416.25</v>
      </c>
      <c r="T525" s="95">
        <v>119760</v>
      </c>
      <c r="U525" s="95">
        <f>T525/24</f>
        <v>4990</v>
      </c>
      <c r="V525" s="95">
        <v>119760</v>
      </c>
      <c r="W525" s="95">
        <f>V525/24</f>
        <v>4990</v>
      </c>
      <c r="X525" s="128"/>
      <c r="Y525" s="95">
        <v>0</v>
      </c>
      <c r="Z525" s="95">
        <v>21500</v>
      </c>
      <c r="AA525" s="95">
        <f>IFERROR(IF(D525="Premium",0.4*Y525,0),"No Disp")</f>
        <v>0</v>
      </c>
      <c r="AB525" s="95">
        <f>IFERROR(IF(4*Y525&gt;AC525,1.5*Y525,4*Y525),"No Disp")</f>
        <v>0</v>
      </c>
      <c r="AC525" s="95">
        <f>IF(Z525="No Disp","No Disp",(Z525*18)+Y525)</f>
        <v>387000</v>
      </c>
      <c r="AD525" s="95">
        <f>18*Z525-100+Y525</f>
        <v>386900</v>
      </c>
      <c r="AE525" s="95">
        <v>0</v>
      </c>
      <c r="AF525" s="95">
        <v>11000</v>
      </c>
      <c r="AG525" s="95">
        <f>IF(AF525="No Disp","No Disp",(AF525*18)+AE525)</f>
        <v>198000</v>
      </c>
      <c r="AH525" s="98">
        <f>18*AF525-100+AE525</f>
        <v>197900</v>
      </c>
      <c r="AI525" s="95" t="s">
        <v>4613</v>
      </c>
      <c r="AJ525" s="99"/>
      <c r="AK525" s="100" t="s">
        <v>43</v>
      </c>
      <c r="AL525" s="100" t="s">
        <v>43</v>
      </c>
      <c r="AM525" s="100" t="str">
        <f>IF(AL525&lt;&gt;"No Disp",AK525+12*AL525,"No Disp")</f>
        <v>No Disp</v>
      </c>
      <c r="AN525" s="100" t="s">
        <v>43</v>
      </c>
      <c r="AO525" s="100" t="s">
        <v>43</v>
      </c>
      <c r="AP525" s="100" t="str">
        <f>IF(AO525&lt;&gt;"No Disp",AN525+12*AO525,"No Disp")</f>
        <v>No Disp</v>
      </c>
      <c r="AQ525" s="100" t="s">
        <v>43</v>
      </c>
      <c r="AR525" s="100" t="s">
        <v>43</v>
      </c>
      <c r="AS525" s="100" t="str">
        <f>IF(AR525&lt;&gt;"No Disp",AQ525+12*AR525,"No Disp")</f>
        <v>No Disp</v>
      </c>
    </row>
    <row r="526" spans="1:45" s="101" customFormat="1" x14ac:dyDescent="0.25">
      <c r="A526" s="90" t="s">
        <v>38</v>
      </c>
      <c r="B526" s="90" t="s">
        <v>39</v>
      </c>
      <c r="C526" s="90" t="s">
        <v>40</v>
      </c>
      <c r="D526" s="90" t="s">
        <v>4539</v>
      </c>
      <c r="E526" s="90" t="s">
        <v>4542</v>
      </c>
      <c r="F526" s="91">
        <v>488</v>
      </c>
      <c r="G526" s="92">
        <v>70012625</v>
      </c>
      <c r="H526" s="91">
        <v>70012626</v>
      </c>
      <c r="I526" s="93" t="s">
        <v>112</v>
      </c>
      <c r="J526" s="94" t="s">
        <v>3876</v>
      </c>
      <c r="K526" s="94" t="s">
        <v>246</v>
      </c>
      <c r="L526" s="94" t="s">
        <v>247</v>
      </c>
      <c r="M526" s="95">
        <v>219900</v>
      </c>
      <c r="N526" s="95">
        <v>4000</v>
      </c>
      <c r="O526" s="95">
        <v>6000</v>
      </c>
      <c r="P526" s="96">
        <v>349990</v>
      </c>
      <c r="Q526" s="152"/>
      <c r="R526" s="95">
        <v>239990</v>
      </c>
      <c r="S526" s="95">
        <f>R526/24</f>
        <v>9999.5833333333339</v>
      </c>
      <c r="T526" s="95">
        <v>219900</v>
      </c>
      <c r="U526" s="95">
        <f>T526/24</f>
        <v>9162.5</v>
      </c>
      <c r="V526" s="95">
        <v>219900</v>
      </c>
      <c r="W526" s="95">
        <f>V526/24</f>
        <v>9162.5</v>
      </c>
      <c r="X526" s="128"/>
      <c r="Y526" s="95">
        <v>0</v>
      </c>
      <c r="Z526" s="95">
        <v>19500</v>
      </c>
      <c r="AA526" s="95">
        <f>IFERROR(IF(D526="Premium",0.4*Y526,0),"No Disp")</f>
        <v>0</v>
      </c>
      <c r="AB526" s="95">
        <f>IFERROR(IF(4*Y526&gt;AC526,1.5*Y526,4*Y526),"No Disp")</f>
        <v>0</v>
      </c>
      <c r="AC526" s="95">
        <f>IF(Z526="No Disp","No Disp",(Z526*18)+Y526)</f>
        <v>351000</v>
      </c>
      <c r="AD526" s="95">
        <f>18*Z526-100+Y526</f>
        <v>350900</v>
      </c>
      <c r="AE526" s="95">
        <v>9900</v>
      </c>
      <c r="AF526" s="95">
        <v>16500</v>
      </c>
      <c r="AG526" s="95">
        <f>IF(AF526="No Disp","No Disp",(AF526*18)+AE526)</f>
        <v>306900</v>
      </c>
      <c r="AH526" s="98">
        <f>18*AF526-100+AE526</f>
        <v>306800</v>
      </c>
      <c r="AI526" s="95" t="s">
        <v>4613</v>
      </c>
      <c r="AJ526" s="99"/>
      <c r="AK526" s="100" t="s">
        <v>43</v>
      </c>
      <c r="AL526" s="100" t="s">
        <v>43</v>
      </c>
      <c r="AM526" s="100" t="str">
        <f>IF(AL526&lt;&gt;"No Disp",AK526+12*AL526,"No Disp")</f>
        <v>No Disp</v>
      </c>
      <c r="AN526" s="100" t="s">
        <v>43</v>
      </c>
      <c r="AO526" s="100" t="s">
        <v>43</v>
      </c>
      <c r="AP526" s="100" t="str">
        <f>IF(AO526&lt;&gt;"No Disp",AN526+12*AO526,"No Disp")</f>
        <v>No Disp</v>
      </c>
      <c r="AQ526" s="100" t="s">
        <v>43</v>
      </c>
      <c r="AR526" s="100" t="s">
        <v>43</v>
      </c>
      <c r="AS526" s="100" t="str">
        <f>IF(AR526&lt;&gt;"No Disp",AQ526+12*AR526,"No Disp")</f>
        <v>No Disp</v>
      </c>
    </row>
    <row r="527" spans="1:45" s="101" customFormat="1" x14ac:dyDescent="0.25">
      <c r="A527" s="90" t="s">
        <v>38</v>
      </c>
      <c r="B527" s="90" t="s">
        <v>39</v>
      </c>
      <c r="C527" s="90" t="s">
        <v>40</v>
      </c>
      <c r="D527" s="90" t="s">
        <v>4541</v>
      </c>
      <c r="E527" s="90" t="s">
        <v>4538</v>
      </c>
      <c r="F527" s="91">
        <v>487</v>
      </c>
      <c r="G527" s="92">
        <v>70012617</v>
      </c>
      <c r="H527" s="91">
        <v>70012628</v>
      </c>
      <c r="I527" s="93" t="s">
        <v>112</v>
      </c>
      <c r="J527" s="94" t="s">
        <v>113</v>
      </c>
      <c r="K527" s="94" t="s">
        <v>114</v>
      </c>
      <c r="L527" s="94" t="s">
        <v>3877</v>
      </c>
      <c r="M527" s="95">
        <v>89900</v>
      </c>
      <c r="N527" s="95">
        <v>2500</v>
      </c>
      <c r="O527" s="95">
        <v>4000</v>
      </c>
      <c r="P527" s="96">
        <v>199990</v>
      </c>
      <c r="Q527" s="152"/>
      <c r="R527" s="95">
        <v>99990</v>
      </c>
      <c r="S527" s="95">
        <f>R527/24</f>
        <v>4166.25</v>
      </c>
      <c r="T527" s="95">
        <v>89900</v>
      </c>
      <c r="U527" s="95">
        <f>T527/24</f>
        <v>3745.8333333333335</v>
      </c>
      <c r="V527" s="95">
        <v>89900</v>
      </c>
      <c r="W527" s="95">
        <f>V527/24</f>
        <v>3745.8333333333335</v>
      </c>
      <c r="X527" s="128"/>
      <c r="Y527" s="95">
        <v>0</v>
      </c>
      <c r="Z527" s="95">
        <v>9000</v>
      </c>
      <c r="AA527" s="95">
        <f>IFERROR(IF(D527="Premium",0.4*Y527,0),"No Disp")</f>
        <v>0</v>
      </c>
      <c r="AB527" s="95">
        <f>IFERROR(IF(4*Y527&gt;AC527,1.5*Y527,4*Y527),"No Disp")</f>
        <v>0</v>
      </c>
      <c r="AC527" s="95">
        <f>IF(Z527="No Disp","No Disp",(Z527*18)+Y527)</f>
        <v>162000</v>
      </c>
      <c r="AD527" s="95">
        <f>18*Z527-100+Y527</f>
        <v>161900</v>
      </c>
      <c r="AE527" s="95">
        <v>0</v>
      </c>
      <c r="AF527" s="95">
        <v>7500</v>
      </c>
      <c r="AG527" s="95">
        <f>IF(AF527="No Disp","No Disp",(AF527*18)+AE527)</f>
        <v>135000</v>
      </c>
      <c r="AH527" s="98">
        <f>18*AF527-100+AE527</f>
        <v>134900</v>
      </c>
      <c r="AI527" s="95" t="s">
        <v>4613</v>
      </c>
      <c r="AJ527" s="99"/>
      <c r="AK527" s="100" t="s">
        <v>43</v>
      </c>
      <c r="AL527" s="100" t="s">
        <v>43</v>
      </c>
      <c r="AM527" s="100" t="str">
        <f>IF(AL527&lt;&gt;"No Disp",AK527+12*AL527,"No Disp")</f>
        <v>No Disp</v>
      </c>
      <c r="AN527" s="100" t="s">
        <v>43</v>
      </c>
      <c r="AO527" s="100" t="s">
        <v>43</v>
      </c>
      <c r="AP527" s="100" t="str">
        <f>IF(AO527&lt;&gt;"No Disp",AN527+12*AO527,"No Disp")</f>
        <v>No Disp</v>
      </c>
      <c r="AQ527" s="100" t="s">
        <v>43</v>
      </c>
      <c r="AR527" s="100" t="s">
        <v>43</v>
      </c>
      <c r="AS527" s="100" t="str">
        <f>IF(AR527&lt;&gt;"No Disp",AQ527+12*AR527,"No Disp")</f>
        <v>No Disp</v>
      </c>
    </row>
    <row r="528" spans="1:45" s="101" customFormat="1" x14ac:dyDescent="0.25">
      <c r="A528" s="90" t="s">
        <v>38</v>
      </c>
      <c r="B528" s="90" t="s">
        <v>39</v>
      </c>
      <c r="C528" s="90" t="s">
        <v>40</v>
      </c>
      <c r="D528" s="90" t="s">
        <v>4541</v>
      </c>
      <c r="E528" s="90" t="s">
        <v>4542</v>
      </c>
      <c r="F528" s="91">
        <v>477</v>
      </c>
      <c r="G528" s="92">
        <v>70012664</v>
      </c>
      <c r="H528" s="91">
        <v>70012665</v>
      </c>
      <c r="I528" s="93" t="s">
        <v>87</v>
      </c>
      <c r="J528" s="94" t="s">
        <v>264</v>
      </c>
      <c r="K528" s="94" t="s">
        <v>265</v>
      </c>
      <c r="L528" s="94" t="s">
        <v>266</v>
      </c>
      <c r="M528" s="95">
        <v>119900</v>
      </c>
      <c r="N528" s="95">
        <v>2500</v>
      </c>
      <c r="O528" s="95">
        <v>4000</v>
      </c>
      <c r="P528" s="96">
        <v>229990</v>
      </c>
      <c r="Q528" s="152"/>
      <c r="R528" s="95">
        <v>129990</v>
      </c>
      <c r="S528" s="95">
        <f>R528/24</f>
        <v>5416.25</v>
      </c>
      <c r="T528" s="95">
        <v>119900</v>
      </c>
      <c r="U528" s="95">
        <f>T528/24</f>
        <v>4995.833333333333</v>
      </c>
      <c r="V528" s="95">
        <v>119900</v>
      </c>
      <c r="W528" s="95">
        <f>V528/24</f>
        <v>4995.833333333333</v>
      </c>
      <c r="X528" s="128"/>
      <c r="Y528" s="95">
        <v>0</v>
      </c>
      <c r="Z528" s="95">
        <v>13000</v>
      </c>
      <c r="AA528" s="95">
        <f>IFERROR(IF(D528="Premium",0.4*Y528,0),"No Disp")</f>
        <v>0</v>
      </c>
      <c r="AB528" s="95">
        <f>IFERROR(IF(4*Y528&gt;AC528,1.5*Y528,4*Y528),"No Disp")</f>
        <v>0</v>
      </c>
      <c r="AC528" s="95">
        <f>IF(Z528="No Disp","No Disp",(Z528*18)+Y528)</f>
        <v>234000</v>
      </c>
      <c r="AD528" s="95">
        <f>18*Z528-100+Y528</f>
        <v>233900</v>
      </c>
      <c r="AE528" s="95">
        <v>0</v>
      </c>
      <c r="AF528" s="95">
        <v>11000</v>
      </c>
      <c r="AG528" s="95">
        <f>IF(AF528="No Disp","No Disp",(AF528*18)+AE528)</f>
        <v>198000</v>
      </c>
      <c r="AH528" s="98">
        <f>18*AF528-100+AE528</f>
        <v>197900</v>
      </c>
      <c r="AI528" s="95" t="s">
        <v>4613</v>
      </c>
      <c r="AJ528" s="99"/>
      <c r="AK528" s="100" t="s">
        <v>43</v>
      </c>
      <c r="AL528" s="100" t="s">
        <v>43</v>
      </c>
      <c r="AM528" s="100" t="str">
        <f>IF(AL528&lt;&gt;"No Disp",AK528+12*AL528,"No Disp")</f>
        <v>No Disp</v>
      </c>
      <c r="AN528" s="100" t="s">
        <v>43</v>
      </c>
      <c r="AO528" s="100" t="s">
        <v>43</v>
      </c>
      <c r="AP528" s="100" t="str">
        <f>IF(AO528&lt;&gt;"No Disp",AN528+12*AO528,"No Disp")</f>
        <v>No Disp</v>
      </c>
      <c r="AQ528" s="100" t="s">
        <v>43</v>
      </c>
      <c r="AR528" s="100" t="s">
        <v>43</v>
      </c>
      <c r="AS528" s="100" t="str">
        <f>IF(AR528&lt;&gt;"No Disp",AQ528+12*AR528,"No Disp")</f>
        <v>No Disp</v>
      </c>
    </row>
    <row r="529" spans="1:45" s="101" customFormat="1" x14ac:dyDescent="0.25">
      <c r="A529" s="90" t="s">
        <v>38</v>
      </c>
      <c r="B529" s="90" t="s">
        <v>39</v>
      </c>
      <c r="C529" s="90" t="s">
        <v>40</v>
      </c>
      <c r="D529" s="90" t="s">
        <v>4539</v>
      </c>
      <c r="E529" s="90" t="s">
        <v>4542</v>
      </c>
      <c r="F529" s="91">
        <v>480</v>
      </c>
      <c r="G529" s="92">
        <v>70012679</v>
      </c>
      <c r="H529" s="91">
        <v>70012679</v>
      </c>
      <c r="I529" s="93" t="s">
        <v>46</v>
      </c>
      <c r="J529" s="94" t="s">
        <v>272</v>
      </c>
      <c r="K529" s="94" t="s">
        <v>258</v>
      </c>
      <c r="L529" s="94" t="s">
        <v>259</v>
      </c>
      <c r="M529" s="95">
        <v>339900</v>
      </c>
      <c r="N529" s="95">
        <v>6000</v>
      </c>
      <c r="O529" s="95">
        <v>8500</v>
      </c>
      <c r="P529" s="96">
        <v>449990</v>
      </c>
      <c r="Q529" s="152"/>
      <c r="R529" s="95">
        <v>379990</v>
      </c>
      <c r="S529" s="95">
        <f>R529/24</f>
        <v>15832.916666666666</v>
      </c>
      <c r="T529" s="95">
        <v>339900</v>
      </c>
      <c r="U529" s="95">
        <f>T529/24</f>
        <v>14162.5</v>
      </c>
      <c r="V529" s="95">
        <v>339900</v>
      </c>
      <c r="W529" s="95">
        <f>V529/24</f>
        <v>14162.5</v>
      </c>
      <c r="X529" s="128"/>
      <c r="Y529" s="95">
        <v>39900</v>
      </c>
      <c r="Z529" s="95">
        <v>31000</v>
      </c>
      <c r="AA529" s="95">
        <f>IFERROR(IF(D529="Premium",0.4*Y529,0),"No Disp")</f>
        <v>0</v>
      </c>
      <c r="AB529" s="95">
        <f>IFERROR(IF(4*Y529&gt;AC529,1.5*Y529,4*Y529),"No Disp")</f>
        <v>159600</v>
      </c>
      <c r="AC529" s="95">
        <f>IF(Z529="No Disp","No Disp",(Z529*18)+Y529)</f>
        <v>597900</v>
      </c>
      <c r="AD529" s="95">
        <f>18*Z529-100+Y529</f>
        <v>597800</v>
      </c>
      <c r="AE529" s="95">
        <v>19900</v>
      </c>
      <c r="AF529" s="95">
        <v>25000</v>
      </c>
      <c r="AG529" s="95">
        <f>IF(AF529="No Disp","No Disp",(AF529*18)+AE529)</f>
        <v>469900</v>
      </c>
      <c r="AH529" s="98">
        <f>18*AF529-100+AE529</f>
        <v>469800</v>
      </c>
      <c r="AI529" s="95" t="s">
        <v>4613</v>
      </c>
      <c r="AJ529" s="99"/>
      <c r="AK529" s="100" t="s">
        <v>43</v>
      </c>
      <c r="AL529" s="100" t="s">
        <v>43</v>
      </c>
      <c r="AM529" s="100" t="str">
        <f>IF(AL529&lt;&gt;"No Disp",AK529+12*AL529,"No Disp")</f>
        <v>No Disp</v>
      </c>
      <c r="AN529" s="100" t="s">
        <v>43</v>
      </c>
      <c r="AO529" s="100" t="s">
        <v>43</v>
      </c>
      <c r="AP529" s="100" t="str">
        <f>IF(AO529&lt;&gt;"No Disp",AN529+12*AO529,"No Disp")</f>
        <v>No Disp</v>
      </c>
      <c r="AQ529" s="100" t="s">
        <v>43</v>
      </c>
      <c r="AR529" s="100" t="s">
        <v>43</v>
      </c>
      <c r="AS529" s="100" t="str">
        <f>IF(AR529&lt;&gt;"No Disp",AQ529+12*AR529,"No Disp")</f>
        <v>No Disp</v>
      </c>
    </row>
    <row r="530" spans="1:45" s="101" customFormat="1" x14ac:dyDescent="0.25">
      <c r="A530" s="90" t="s">
        <v>38</v>
      </c>
      <c r="B530" s="90" t="s">
        <v>39</v>
      </c>
      <c r="C530" s="90" t="s">
        <v>40</v>
      </c>
      <c r="D530" s="90" t="s">
        <v>4541</v>
      </c>
      <c r="E530" s="90" t="s">
        <v>4542</v>
      </c>
      <c r="F530" s="91">
        <v>481</v>
      </c>
      <c r="G530" s="92">
        <v>70012680</v>
      </c>
      <c r="H530" s="91">
        <v>70012680</v>
      </c>
      <c r="I530" s="93" t="s">
        <v>46</v>
      </c>
      <c r="J530" s="94" t="s">
        <v>348</v>
      </c>
      <c r="K530" s="94" t="s">
        <v>256</v>
      </c>
      <c r="L530" s="94" t="s">
        <v>257</v>
      </c>
      <c r="M530" s="95">
        <v>119900</v>
      </c>
      <c r="N530" s="95">
        <v>2500</v>
      </c>
      <c r="O530" s="95">
        <v>4000</v>
      </c>
      <c r="P530" s="96">
        <v>239990</v>
      </c>
      <c r="Q530" s="152"/>
      <c r="R530" s="95">
        <v>129990</v>
      </c>
      <c r="S530" s="95">
        <f>R530/24</f>
        <v>5416.25</v>
      </c>
      <c r="T530" s="95">
        <v>119900</v>
      </c>
      <c r="U530" s="95">
        <f>T530/24</f>
        <v>4995.833333333333</v>
      </c>
      <c r="V530" s="95">
        <v>119900</v>
      </c>
      <c r="W530" s="95">
        <f>V530/24</f>
        <v>4995.833333333333</v>
      </c>
      <c r="X530" s="128"/>
      <c r="Y530" s="95">
        <v>0</v>
      </c>
      <c r="Z530" s="95">
        <v>19000</v>
      </c>
      <c r="AA530" s="95">
        <f>IFERROR(IF(D530="Premium",0.4*Y530,0),"No Disp")</f>
        <v>0</v>
      </c>
      <c r="AB530" s="95">
        <f>IFERROR(IF(4*Y530&gt;AC530,1.5*Y530,4*Y530),"No Disp")</f>
        <v>0</v>
      </c>
      <c r="AC530" s="95">
        <f>IF(Z530="No Disp","No Disp",(Z530*18)+Y530)</f>
        <v>342000</v>
      </c>
      <c r="AD530" s="95">
        <f>18*Z530-100+Y530</f>
        <v>341900</v>
      </c>
      <c r="AE530" s="95">
        <v>0</v>
      </c>
      <c r="AF530" s="95">
        <v>16500</v>
      </c>
      <c r="AG530" s="95">
        <f>IF(AF530="No Disp","No Disp",(AF530*18)+AE530)</f>
        <v>297000</v>
      </c>
      <c r="AH530" s="98">
        <f>18*AF530-100+AE530</f>
        <v>296900</v>
      </c>
      <c r="AI530" s="95" t="s">
        <v>4613</v>
      </c>
      <c r="AJ530" s="99"/>
      <c r="AK530" s="100" t="s">
        <v>43</v>
      </c>
      <c r="AL530" s="100" t="s">
        <v>43</v>
      </c>
      <c r="AM530" s="100" t="str">
        <f>IF(AL530&lt;&gt;"No Disp",AK530+12*AL530,"No Disp")</f>
        <v>No Disp</v>
      </c>
      <c r="AN530" s="100" t="s">
        <v>43</v>
      </c>
      <c r="AO530" s="100" t="s">
        <v>43</v>
      </c>
      <c r="AP530" s="100" t="str">
        <f>IF(AO530&lt;&gt;"No Disp",AN530+12*AO530,"No Disp")</f>
        <v>No Disp</v>
      </c>
      <c r="AQ530" s="100" t="s">
        <v>43</v>
      </c>
      <c r="AR530" s="100" t="s">
        <v>43</v>
      </c>
      <c r="AS530" s="100" t="str">
        <f>IF(AR530&lt;&gt;"No Disp",AQ530+12*AR530,"No Disp")</f>
        <v>No Disp</v>
      </c>
    </row>
    <row r="531" spans="1:45" s="101" customFormat="1" x14ac:dyDescent="0.25">
      <c r="A531" s="90" t="s">
        <v>38</v>
      </c>
      <c r="B531" s="90" t="s">
        <v>39</v>
      </c>
      <c r="C531" s="90" t="s">
        <v>40</v>
      </c>
      <c r="D531" s="90" t="s">
        <v>4539</v>
      </c>
      <c r="E531" s="90" t="s">
        <v>4542</v>
      </c>
      <c r="F531" s="91">
        <v>482</v>
      </c>
      <c r="G531" s="92">
        <v>70012681</v>
      </c>
      <c r="H531" s="91">
        <v>70012681</v>
      </c>
      <c r="I531" s="93" t="s">
        <v>46</v>
      </c>
      <c r="J531" s="94" t="s">
        <v>3917</v>
      </c>
      <c r="K531" s="94" t="s">
        <v>254</v>
      </c>
      <c r="L531" s="94" t="s">
        <v>255</v>
      </c>
      <c r="M531" s="95">
        <v>289900</v>
      </c>
      <c r="N531" s="95">
        <v>4000</v>
      </c>
      <c r="O531" s="95">
        <v>6000</v>
      </c>
      <c r="P531" s="96">
        <v>419990</v>
      </c>
      <c r="Q531" s="152"/>
      <c r="R531" s="95">
        <v>319990</v>
      </c>
      <c r="S531" s="95">
        <f>R531/24</f>
        <v>13332.916666666666</v>
      </c>
      <c r="T531" s="95">
        <v>289900</v>
      </c>
      <c r="U531" s="95">
        <f>T531/24</f>
        <v>12079.166666666666</v>
      </c>
      <c r="V531" s="95">
        <v>289900</v>
      </c>
      <c r="W531" s="95">
        <f>V531/24</f>
        <v>12079.166666666666</v>
      </c>
      <c r="X531" s="128"/>
      <c r="Y531" s="95">
        <v>0</v>
      </c>
      <c r="Z531" s="95">
        <v>29000</v>
      </c>
      <c r="AA531" s="95">
        <f>IFERROR(IF(D531="Premium",0.4*Y531,0),"No Disp")</f>
        <v>0</v>
      </c>
      <c r="AB531" s="95">
        <f>IFERROR(IF(4*Y531&gt;AC531,1.5*Y531,4*Y531),"No Disp")</f>
        <v>0</v>
      </c>
      <c r="AC531" s="95">
        <f>IF(Z531="No Disp","No Disp",(Z531*18)+Y531)</f>
        <v>522000</v>
      </c>
      <c r="AD531" s="95">
        <f>18*Z531-100+Y531</f>
        <v>521900</v>
      </c>
      <c r="AE531" s="95">
        <v>0</v>
      </c>
      <c r="AF531" s="95">
        <v>25000</v>
      </c>
      <c r="AG531" s="95">
        <f>IF(AF531="No Disp","No Disp",(AF531*18)+AE531)</f>
        <v>450000</v>
      </c>
      <c r="AH531" s="98">
        <f>18*AF531-100+AE531</f>
        <v>449900</v>
      </c>
      <c r="AI531" s="95" t="s">
        <v>4613</v>
      </c>
      <c r="AJ531" s="99"/>
      <c r="AK531" s="100" t="s">
        <v>43</v>
      </c>
      <c r="AL531" s="100" t="s">
        <v>43</v>
      </c>
      <c r="AM531" s="100" t="str">
        <f>IF(AL531&lt;&gt;"No Disp",AK531+12*AL531,"No Disp")</f>
        <v>No Disp</v>
      </c>
      <c r="AN531" s="100" t="s">
        <v>43</v>
      </c>
      <c r="AO531" s="100" t="s">
        <v>43</v>
      </c>
      <c r="AP531" s="100" t="str">
        <f>IF(AO531&lt;&gt;"No Disp",AN531+12*AO531,"No Disp")</f>
        <v>No Disp</v>
      </c>
      <c r="AQ531" s="100" t="s">
        <v>43</v>
      </c>
      <c r="AR531" s="100" t="s">
        <v>43</v>
      </c>
      <c r="AS531" s="100" t="str">
        <f>IF(AR531&lt;&gt;"No Disp",AQ531+12*AR531,"No Disp")</f>
        <v>No Disp</v>
      </c>
    </row>
    <row r="532" spans="1:45" s="101" customFormat="1" x14ac:dyDescent="0.25">
      <c r="A532" s="90" t="s">
        <v>38</v>
      </c>
      <c r="B532" s="90" t="s">
        <v>39</v>
      </c>
      <c r="C532" s="90" t="s">
        <v>40</v>
      </c>
      <c r="D532" s="90" t="s">
        <v>4539</v>
      </c>
      <c r="E532" s="90" t="s">
        <v>4542</v>
      </c>
      <c r="F532" s="91">
        <v>491</v>
      </c>
      <c r="G532" s="92">
        <v>70012701</v>
      </c>
      <c r="H532" s="91">
        <v>70012702</v>
      </c>
      <c r="I532" s="93" t="s">
        <v>41</v>
      </c>
      <c r="J532" s="94" t="s">
        <v>239</v>
      </c>
      <c r="K532" s="94" t="s">
        <v>240</v>
      </c>
      <c r="L532" s="94" t="s">
        <v>241</v>
      </c>
      <c r="M532" s="95">
        <v>229900</v>
      </c>
      <c r="N532" s="95">
        <v>4000</v>
      </c>
      <c r="O532" s="95">
        <v>6000</v>
      </c>
      <c r="P532" s="96">
        <v>369990</v>
      </c>
      <c r="Q532" s="152"/>
      <c r="R532" s="95">
        <v>259990</v>
      </c>
      <c r="S532" s="95">
        <f>R532/24</f>
        <v>10832.916666666666</v>
      </c>
      <c r="T532" s="95">
        <v>229900</v>
      </c>
      <c r="U532" s="95">
        <f>T532/24</f>
        <v>9579.1666666666661</v>
      </c>
      <c r="V532" s="95">
        <v>229900</v>
      </c>
      <c r="W532" s="95">
        <f>V532/24</f>
        <v>9579.1666666666661</v>
      </c>
      <c r="X532" s="128"/>
      <c r="Y532" s="95">
        <v>0</v>
      </c>
      <c r="Z532" s="95">
        <v>22000</v>
      </c>
      <c r="AA532" s="95">
        <f>IFERROR(IF(D532="Premium",0.4*Y532,0),"No Disp")</f>
        <v>0</v>
      </c>
      <c r="AB532" s="95">
        <f>IFERROR(IF(4*Y532&gt;AC532,1.5*Y532,4*Y532),"No Disp")</f>
        <v>0</v>
      </c>
      <c r="AC532" s="95">
        <f>IF(Z532="No Disp","No Disp",(Z532*18)+Y532)</f>
        <v>396000</v>
      </c>
      <c r="AD532" s="95">
        <f>18*Z532-100+Y532</f>
        <v>395900</v>
      </c>
      <c r="AE532" s="95">
        <v>0</v>
      </c>
      <c r="AF532" s="95">
        <v>18000</v>
      </c>
      <c r="AG532" s="95">
        <f>IF(AF532="No Disp","No Disp",(AF532*18)+AE532)</f>
        <v>324000</v>
      </c>
      <c r="AH532" s="98">
        <f>18*AF532-100+AE532</f>
        <v>323900</v>
      </c>
      <c r="AI532" s="95" t="s">
        <v>4613</v>
      </c>
      <c r="AJ532" s="99"/>
      <c r="AK532" s="100" t="s">
        <v>43</v>
      </c>
      <c r="AL532" s="100" t="s">
        <v>43</v>
      </c>
      <c r="AM532" s="100" t="str">
        <f>IF(AL532&lt;&gt;"No Disp",AK532+12*AL532,"No Disp")</f>
        <v>No Disp</v>
      </c>
      <c r="AN532" s="100" t="s">
        <v>43</v>
      </c>
      <c r="AO532" s="100" t="s">
        <v>43</v>
      </c>
      <c r="AP532" s="100" t="str">
        <f>IF(AO532&lt;&gt;"No Disp",AN532+12*AO532,"No Disp")</f>
        <v>No Disp</v>
      </c>
      <c r="AQ532" s="100" t="s">
        <v>43</v>
      </c>
      <c r="AR532" s="100" t="s">
        <v>43</v>
      </c>
      <c r="AS532" s="100" t="str">
        <f>IF(AR532&lt;&gt;"No Disp",AQ532+12*AR532,"No Disp")</f>
        <v>No Disp</v>
      </c>
    </row>
    <row r="533" spans="1:45" s="101" customFormat="1" x14ac:dyDescent="0.25">
      <c r="A533" s="90" t="s">
        <v>38</v>
      </c>
      <c r="B533" s="90" t="s">
        <v>39</v>
      </c>
      <c r="C533" s="90" t="s">
        <v>40</v>
      </c>
      <c r="D533" s="90" t="s">
        <v>4539</v>
      </c>
      <c r="E533" s="90" t="s">
        <v>4542</v>
      </c>
      <c r="F533" s="91">
        <v>489</v>
      </c>
      <c r="G533" s="92">
        <v>70012704</v>
      </c>
      <c r="H533" s="91">
        <v>70012705</v>
      </c>
      <c r="I533" s="93" t="s">
        <v>131</v>
      </c>
      <c r="J533" s="94" t="s">
        <v>3878</v>
      </c>
      <c r="K533" s="94" t="s">
        <v>244</v>
      </c>
      <c r="L533" s="94" t="s">
        <v>245</v>
      </c>
      <c r="M533" s="95">
        <v>239900</v>
      </c>
      <c r="N533" s="95">
        <v>4000</v>
      </c>
      <c r="O533" s="95">
        <v>6000</v>
      </c>
      <c r="P533" s="96">
        <v>279990</v>
      </c>
      <c r="Q533" s="152"/>
      <c r="R533" s="95">
        <v>269990</v>
      </c>
      <c r="S533" s="95">
        <f>R533/24</f>
        <v>11249.583333333334</v>
      </c>
      <c r="T533" s="95">
        <v>239900</v>
      </c>
      <c r="U533" s="95">
        <f>T533/24</f>
        <v>9995.8333333333339</v>
      </c>
      <c r="V533" s="95">
        <v>239900</v>
      </c>
      <c r="W533" s="95">
        <f>V533/24</f>
        <v>9995.8333333333339</v>
      </c>
      <c r="X533" s="128"/>
      <c r="Y533" s="95">
        <v>0</v>
      </c>
      <c r="Z533" s="95">
        <v>24000</v>
      </c>
      <c r="AA533" s="95">
        <f>IFERROR(IF(D533="Premium",0.4*Y533,0),"No Disp")</f>
        <v>0</v>
      </c>
      <c r="AB533" s="95">
        <f>IFERROR(IF(4*Y533&gt;AC533,1.5*Y533,4*Y533),"No Disp")</f>
        <v>0</v>
      </c>
      <c r="AC533" s="95">
        <f>IF(Z533="No Disp","No Disp",(Z533*18)+Y533)</f>
        <v>432000</v>
      </c>
      <c r="AD533" s="95">
        <f>18*Z533-100+Y533</f>
        <v>431900</v>
      </c>
      <c r="AE533" s="95">
        <v>0</v>
      </c>
      <c r="AF533" s="95">
        <v>21000</v>
      </c>
      <c r="AG533" s="95">
        <f>IF(AF533="No Disp","No Disp",(AF533*18)+AE533)</f>
        <v>378000</v>
      </c>
      <c r="AH533" s="98">
        <f>18*AF533-100+AE533</f>
        <v>377900</v>
      </c>
      <c r="AI533" s="95" t="s">
        <v>4613</v>
      </c>
      <c r="AJ533" s="99"/>
      <c r="AK533" s="100" t="s">
        <v>43</v>
      </c>
      <c r="AL533" s="100" t="s">
        <v>43</v>
      </c>
      <c r="AM533" s="100" t="str">
        <f>IF(AL533&lt;&gt;"No Disp",AK533+12*AL533,"No Disp")</f>
        <v>No Disp</v>
      </c>
      <c r="AN533" s="100" t="s">
        <v>43</v>
      </c>
      <c r="AO533" s="100" t="s">
        <v>43</v>
      </c>
      <c r="AP533" s="100" t="str">
        <f>IF(AO533&lt;&gt;"No Disp",AN533+12*AO533,"No Disp")</f>
        <v>No Disp</v>
      </c>
      <c r="AQ533" s="100" t="s">
        <v>43</v>
      </c>
      <c r="AR533" s="100" t="s">
        <v>43</v>
      </c>
      <c r="AS533" s="100" t="str">
        <f>IF(AR533&lt;&gt;"No Disp",AQ533+12*AR533,"No Disp")</f>
        <v>No Disp</v>
      </c>
    </row>
    <row r="534" spans="1:45" s="101" customFormat="1" x14ac:dyDescent="0.25">
      <c r="A534" s="90" t="s">
        <v>38</v>
      </c>
      <c r="B534" s="90" t="s">
        <v>39</v>
      </c>
      <c r="C534" s="90" t="s">
        <v>40</v>
      </c>
      <c r="D534" s="90" t="s">
        <v>4539</v>
      </c>
      <c r="E534" s="90" t="s">
        <v>4542</v>
      </c>
      <c r="F534" s="91">
        <v>505</v>
      </c>
      <c r="G534" s="92">
        <v>70012707</v>
      </c>
      <c r="H534" s="91">
        <v>70012738</v>
      </c>
      <c r="I534" s="93" t="s">
        <v>46</v>
      </c>
      <c r="J534" s="94" t="s">
        <v>211</v>
      </c>
      <c r="K534" s="94" t="s">
        <v>212</v>
      </c>
      <c r="L534" s="94" t="s">
        <v>213</v>
      </c>
      <c r="M534" s="95">
        <v>189900</v>
      </c>
      <c r="N534" s="95">
        <v>4000</v>
      </c>
      <c r="O534" s="95">
        <v>6000</v>
      </c>
      <c r="P534" s="96">
        <v>299990</v>
      </c>
      <c r="Q534" s="152"/>
      <c r="R534" s="95">
        <v>209990</v>
      </c>
      <c r="S534" s="95">
        <f>R534/24</f>
        <v>8749.5833333333339</v>
      </c>
      <c r="T534" s="95">
        <v>189900</v>
      </c>
      <c r="U534" s="95">
        <f>T534/24</f>
        <v>7912.5</v>
      </c>
      <c r="V534" s="95">
        <v>189900</v>
      </c>
      <c r="W534" s="95">
        <f>V534/24</f>
        <v>7912.5</v>
      </c>
      <c r="X534" s="128"/>
      <c r="Y534" s="95">
        <v>0</v>
      </c>
      <c r="Z534" s="95">
        <v>23000</v>
      </c>
      <c r="AA534" s="95">
        <f>IFERROR(IF(D534="Premium",0.4*Y534,0),"No Disp")</f>
        <v>0</v>
      </c>
      <c r="AB534" s="95">
        <f>IFERROR(IF(4*Y534&gt;AC534,1.5*Y534,4*Y534),"No Disp")</f>
        <v>0</v>
      </c>
      <c r="AC534" s="95">
        <f>IF(Z534="No Disp","No Disp",(Z534*18)+Y534)</f>
        <v>414000</v>
      </c>
      <c r="AD534" s="95">
        <f>18*Z534-100+Y534</f>
        <v>413900</v>
      </c>
      <c r="AE534" s="95">
        <v>0</v>
      </c>
      <c r="AF534" s="95">
        <v>22000</v>
      </c>
      <c r="AG534" s="95">
        <f>IF(AF534="No Disp","No Disp",(AF534*18)+AE534)</f>
        <v>396000</v>
      </c>
      <c r="AH534" s="98">
        <f>18*AF534-100+AE534</f>
        <v>395900</v>
      </c>
      <c r="AI534" s="95" t="s">
        <v>4613</v>
      </c>
      <c r="AJ534" s="99"/>
      <c r="AK534" s="100" t="s">
        <v>43</v>
      </c>
      <c r="AL534" s="100" t="s">
        <v>43</v>
      </c>
      <c r="AM534" s="100" t="str">
        <f>IF(AL534&lt;&gt;"No Disp",AK534+12*AL534,"No Disp")</f>
        <v>No Disp</v>
      </c>
      <c r="AN534" s="100" t="s">
        <v>43</v>
      </c>
      <c r="AO534" s="100" t="s">
        <v>43</v>
      </c>
      <c r="AP534" s="100" t="str">
        <f>IF(AO534&lt;&gt;"No Disp",AN534+12*AO534,"No Disp")</f>
        <v>No Disp</v>
      </c>
      <c r="AQ534" s="100" t="s">
        <v>43</v>
      </c>
      <c r="AR534" s="100" t="s">
        <v>43</v>
      </c>
      <c r="AS534" s="100" t="str">
        <f>IF(AR534&lt;&gt;"No Disp",AQ534+12*AR534,"No Disp")</f>
        <v>No Disp</v>
      </c>
    </row>
    <row r="535" spans="1:45" s="101" customFormat="1" x14ac:dyDescent="0.25">
      <c r="A535" s="90" t="s">
        <v>38</v>
      </c>
      <c r="B535" s="90" t="s">
        <v>39</v>
      </c>
      <c r="C535" s="90" t="s">
        <v>40</v>
      </c>
      <c r="D535" s="90" t="s">
        <v>4539</v>
      </c>
      <c r="E535" s="90" t="s">
        <v>4542</v>
      </c>
      <c r="F535" s="91">
        <v>503</v>
      </c>
      <c r="G535" s="92">
        <v>70012926</v>
      </c>
      <c r="H535" s="91">
        <v>70012748</v>
      </c>
      <c r="I535" s="93" t="s">
        <v>171</v>
      </c>
      <c r="J535" s="94" t="s">
        <v>3879</v>
      </c>
      <c r="K535" s="94" t="s">
        <v>216</v>
      </c>
      <c r="L535" s="94" t="s">
        <v>217</v>
      </c>
      <c r="M535" s="95">
        <v>129900</v>
      </c>
      <c r="N535" s="95">
        <v>4000</v>
      </c>
      <c r="O535" s="95">
        <v>6000</v>
      </c>
      <c r="P535" s="96">
        <v>289990</v>
      </c>
      <c r="Q535" s="152"/>
      <c r="R535" s="95">
        <v>139990</v>
      </c>
      <c r="S535" s="95">
        <f>R535/24</f>
        <v>5832.916666666667</v>
      </c>
      <c r="T535" s="95">
        <v>129900</v>
      </c>
      <c r="U535" s="95">
        <f>T535/24</f>
        <v>5412.5</v>
      </c>
      <c r="V535" s="95">
        <v>129900</v>
      </c>
      <c r="W535" s="95">
        <f>V535/24</f>
        <v>5412.5</v>
      </c>
      <c r="X535" s="128"/>
      <c r="Y535" s="95">
        <v>0</v>
      </c>
      <c r="Z535" s="95">
        <v>17000</v>
      </c>
      <c r="AA535" s="95">
        <f>IFERROR(IF(D535="Premium",0.4*Y535,0),"No Disp")</f>
        <v>0</v>
      </c>
      <c r="AB535" s="95">
        <f>IFERROR(IF(4*Y535&gt;AC535,1.5*Y535,4*Y535),"No Disp")</f>
        <v>0</v>
      </c>
      <c r="AC535" s="95">
        <f>IF(Z535="No Disp","No Disp",(Z535*18)+Y535)</f>
        <v>306000</v>
      </c>
      <c r="AD535" s="95">
        <f>18*Z535-100+Y535</f>
        <v>305900</v>
      </c>
      <c r="AE535" s="95">
        <v>0</v>
      </c>
      <c r="AF535" s="95">
        <v>15000</v>
      </c>
      <c r="AG535" s="95">
        <f>IF(AF535="No Disp","No Disp",(AF535*18)+AE535)</f>
        <v>270000</v>
      </c>
      <c r="AH535" s="98">
        <f>18*AF535-100+AE535</f>
        <v>269900</v>
      </c>
      <c r="AI535" s="95" t="s">
        <v>4613</v>
      </c>
      <c r="AJ535" s="99"/>
      <c r="AK535" s="100" t="s">
        <v>43</v>
      </c>
      <c r="AL535" s="100" t="s">
        <v>43</v>
      </c>
      <c r="AM535" s="100" t="str">
        <f>IF(AL535&lt;&gt;"No Disp",AK535+12*AL535,"No Disp")</f>
        <v>No Disp</v>
      </c>
      <c r="AN535" s="100" t="s">
        <v>43</v>
      </c>
      <c r="AO535" s="100" t="s">
        <v>43</v>
      </c>
      <c r="AP535" s="100" t="str">
        <f>IF(AO535&lt;&gt;"No Disp",AN535+12*AO535,"No Disp")</f>
        <v>No Disp</v>
      </c>
      <c r="AQ535" s="100" t="s">
        <v>43</v>
      </c>
      <c r="AR535" s="100" t="s">
        <v>43</v>
      </c>
      <c r="AS535" s="100" t="str">
        <f>IF(AR535&lt;&gt;"No Disp",AQ535+12*AR535,"No Disp")</f>
        <v>No Disp</v>
      </c>
    </row>
    <row r="536" spans="1:45" s="101" customFormat="1" x14ac:dyDescent="0.25">
      <c r="A536" s="90" t="s">
        <v>38</v>
      </c>
      <c r="B536" s="90" t="s">
        <v>39</v>
      </c>
      <c r="C536" s="90" t="s">
        <v>40</v>
      </c>
      <c r="D536" s="90" t="s">
        <v>4539</v>
      </c>
      <c r="E536" s="90" t="s">
        <v>4542</v>
      </c>
      <c r="F536" s="91">
        <v>504</v>
      </c>
      <c r="G536" s="92">
        <v>70012749</v>
      </c>
      <c r="H536" s="91">
        <v>70012750</v>
      </c>
      <c r="I536" s="93" t="s">
        <v>171</v>
      </c>
      <c r="J536" s="94" t="s">
        <v>3879</v>
      </c>
      <c r="K536" s="94" t="s">
        <v>214</v>
      </c>
      <c r="L536" s="94" t="s">
        <v>215</v>
      </c>
      <c r="M536" s="95">
        <v>129900</v>
      </c>
      <c r="N536" s="95">
        <v>4000</v>
      </c>
      <c r="O536" s="95">
        <v>6000</v>
      </c>
      <c r="P536" s="96">
        <v>289990</v>
      </c>
      <c r="Q536" s="152"/>
      <c r="R536" s="95">
        <v>139990</v>
      </c>
      <c r="S536" s="95">
        <f>R536/24</f>
        <v>5832.916666666667</v>
      </c>
      <c r="T536" s="95">
        <v>129900</v>
      </c>
      <c r="U536" s="95">
        <f>T536/24</f>
        <v>5412.5</v>
      </c>
      <c r="V536" s="95">
        <v>129900</v>
      </c>
      <c r="W536" s="95">
        <f>V536/24</f>
        <v>5412.5</v>
      </c>
      <c r="X536" s="128"/>
      <c r="Y536" s="95">
        <v>0</v>
      </c>
      <c r="Z536" s="95">
        <v>17000</v>
      </c>
      <c r="AA536" s="95">
        <f>IFERROR(IF(D536="Premium",0.4*Y536,0),"No Disp")</f>
        <v>0</v>
      </c>
      <c r="AB536" s="95">
        <f>IFERROR(IF(4*Y536&gt;AC536,1.5*Y536,4*Y536),"No Disp")</f>
        <v>0</v>
      </c>
      <c r="AC536" s="95">
        <f>IF(Z536="No Disp","No Disp",(Z536*18)+Y536)</f>
        <v>306000</v>
      </c>
      <c r="AD536" s="95">
        <f>18*Z536-100+Y536</f>
        <v>305900</v>
      </c>
      <c r="AE536" s="95">
        <v>0</v>
      </c>
      <c r="AF536" s="95">
        <v>15000</v>
      </c>
      <c r="AG536" s="95">
        <f>IF(AF536="No Disp","No Disp",(AF536*18)+AE536)</f>
        <v>270000</v>
      </c>
      <c r="AH536" s="98">
        <f>18*AF536-100+AE536</f>
        <v>269900</v>
      </c>
      <c r="AI536" s="95" t="s">
        <v>4613</v>
      </c>
      <c r="AJ536" s="99"/>
      <c r="AK536" s="100" t="s">
        <v>43</v>
      </c>
      <c r="AL536" s="100" t="s">
        <v>43</v>
      </c>
      <c r="AM536" s="100" t="str">
        <f>IF(AL536&lt;&gt;"No Disp",AK536+12*AL536,"No Disp")</f>
        <v>No Disp</v>
      </c>
      <c r="AN536" s="100" t="s">
        <v>43</v>
      </c>
      <c r="AO536" s="100" t="s">
        <v>43</v>
      </c>
      <c r="AP536" s="100" t="str">
        <f>IF(AO536&lt;&gt;"No Disp",AN536+12*AO536,"No Disp")</f>
        <v>No Disp</v>
      </c>
      <c r="AQ536" s="100" t="s">
        <v>43</v>
      </c>
      <c r="AR536" s="100" t="s">
        <v>43</v>
      </c>
      <c r="AS536" s="100" t="str">
        <f>IF(AR536&lt;&gt;"No Disp",AQ536+12*AR536,"No Disp")</f>
        <v>No Disp</v>
      </c>
    </row>
    <row r="537" spans="1:45" s="101" customFormat="1" x14ac:dyDescent="0.25">
      <c r="A537" s="90" t="s">
        <v>38</v>
      </c>
      <c r="B537" s="90" t="s">
        <v>39</v>
      </c>
      <c r="C537" s="90" t="s">
        <v>40</v>
      </c>
      <c r="D537" s="90" t="s">
        <v>4539</v>
      </c>
      <c r="E537" s="90" t="s">
        <v>4542</v>
      </c>
      <c r="F537" s="91">
        <v>490</v>
      </c>
      <c r="G537" s="92">
        <v>70012752</v>
      </c>
      <c r="H537" s="91">
        <v>70012753</v>
      </c>
      <c r="I537" s="93" t="s">
        <v>171</v>
      </c>
      <c r="J537" s="94" t="s">
        <v>3880</v>
      </c>
      <c r="K537" s="94" t="s">
        <v>242</v>
      </c>
      <c r="L537" s="94" t="s">
        <v>243</v>
      </c>
      <c r="M537" s="95">
        <v>149900</v>
      </c>
      <c r="N537" s="95">
        <v>4000</v>
      </c>
      <c r="O537" s="95">
        <v>6000</v>
      </c>
      <c r="P537" s="96">
        <v>299990</v>
      </c>
      <c r="Q537" s="152"/>
      <c r="R537" s="95">
        <v>169990</v>
      </c>
      <c r="S537" s="95">
        <f>R537/24</f>
        <v>7082.916666666667</v>
      </c>
      <c r="T537" s="95">
        <v>149900</v>
      </c>
      <c r="U537" s="95">
        <f>T537/24</f>
        <v>6245.833333333333</v>
      </c>
      <c r="V537" s="95">
        <v>149900</v>
      </c>
      <c r="W537" s="95">
        <f>V537/24</f>
        <v>6245.833333333333</v>
      </c>
      <c r="X537" s="128"/>
      <c r="Y537" s="95">
        <v>0</v>
      </c>
      <c r="Z537" s="95">
        <v>22000</v>
      </c>
      <c r="AA537" s="95">
        <f>IFERROR(IF(D537="Premium",0.4*Y537,0),"No Disp")</f>
        <v>0</v>
      </c>
      <c r="AB537" s="95">
        <f>IFERROR(IF(4*Y537&gt;AC537,1.5*Y537,4*Y537),"No Disp")</f>
        <v>0</v>
      </c>
      <c r="AC537" s="95">
        <f>IF(Z537="No Disp","No Disp",(Z537*18)+Y537)</f>
        <v>396000</v>
      </c>
      <c r="AD537" s="95">
        <f>18*Z537-100+Y537</f>
        <v>395900</v>
      </c>
      <c r="AE537" s="95">
        <v>0</v>
      </c>
      <c r="AF537" s="95">
        <v>19500</v>
      </c>
      <c r="AG537" s="95">
        <f>IF(AF537="No Disp","No Disp",(AF537*18)+AE537)</f>
        <v>351000</v>
      </c>
      <c r="AH537" s="98">
        <f>18*AF537-100+AE537</f>
        <v>350900</v>
      </c>
      <c r="AI537" s="95" t="s">
        <v>4613</v>
      </c>
      <c r="AJ537" s="99"/>
      <c r="AK537" s="100" t="s">
        <v>43</v>
      </c>
      <c r="AL537" s="100" t="s">
        <v>43</v>
      </c>
      <c r="AM537" s="100" t="str">
        <f>IF(AL537&lt;&gt;"No Disp",AK537+12*AL537,"No Disp")</f>
        <v>No Disp</v>
      </c>
      <c r="AN537" s="100" t="s">
        <v>43</v>
      </c>
      <c r="AO537" s="100" t="s">
        <v>43</v>
      </c>
      <c r="AP537" s="100" t="str">
        <f>IF(AO537&lt;&gt;"No Disp",AN537+12*AO537,"No Disp")</f>
        <v>No Disp</v>
      </c>
      <c r="AQ537" s="100" t="s">
        <v>43</v>
      </c>
      <c r="AR537" s="100" t="s">
        <v>43</v>
      </c>
      <c r="AS537" s="100" t="str">
        <f>IF(AR537&lt;&gt;"No Disp",AQ537+12*AR537,"No Disp")</f>
        <v>No Disp</v>
      </c>
    </row>
    <row r="538" spans="1:45" s="101" customFormat="1" x14ac:dyDescent="0.25">
      <c r="A538" s="90" t="s">
        <v>38</v>
      </c>
      <c r="B538" s="90" t="s">
        <v>39</v>
      </c>
      <c r="C538" s="90" t="s">
        <v>40</v>
      </c>
      <c r="D538" s="90" t="s">
        <v>4537</v>
      </c>
      <c r="E538" s="90" t="s">
        <v>4542</v>
      </c>
      <c r="F538" s="91">
        <v>502</v>
      </c>
      <c r="G538" s="92">
        <v>70012758</v>
      </c>
      <c r="H538" s="91">
        <v>70012759</v>
      </c>
      <c r="I538" s="93" t="s">
        <v>87</v>
      </c>
      <c r="J538" s="94" t="s">
        <v>218</v>
      </c>
      <c r="K538" s="94" t="s">
        <v>219</v>
      </c>
      <c r="L538" s="94" t="s">
        <v>220</v>
      </c>
      <c r="M538" s="95">
        <v>449900</v>
      </c>
      <c r="N538" s="95">
        <v>6000</v>
      </c>
      <c r="O538" s="95">
        <v>8500</v>
      </c>
      <c r="P538" s="96">
        <v>599990</v>
      </c>
      <c r="Q538" s="152"/>
      <c r="R538" s="95">
        <v>499990</v>
      </c>
      <c r="S538" s="95">
        <f>R538/24</f>
        <v>20832.916666666668</v>
      </c>
      <c r="T538" s="95">
        <v>449900</v>
      </c>
      <c r="U538" s="95">
        <f>T538/24</f>
        <v>18745.833333333332</v>
      </c>
      <c r="V538" s="95">
        <v>449900</v>
      </c>
      <c r="W538" s="95">
        <f>V538/24</f>
        <v>18745.833333333332</v>
      </c>
      <c r="X538" s="128"/>
      <c r="Y538" s="95">
        <v>0</v>
      </c>
      <c r="Z538" s="95">
        <v>46000</v>
      </c>
      <c r="AA538" s="95">
        <f>IFERROR(IF(D538="Premium",0.4*Y538,0),"No Disp")</f>
        <v>0</v>
      </c>
      <c r="AB538" s="95">
        <f>IFERROR(IF(4*Y538&gt;AC538,1.5*Y538,4*Y538),"No Disp")</f>
        <v>0</v>
      </c>
      <c r="AC538" s="95">
        <f>IF(Z538="No Disp","No Disp",(Z538*18)+Y538)</f>
        <v>828000</v>
      </c>
      <c r="AD538" s="95">
        <f>18*Z538-100+Y538</f>
        <v>827900</v>
      </c>
      <c r="AE538" s="95">
        <v>0</v>
      </c>
      <c r="AF538" s="95">
        <v>40000</v>
      </c>
      <c r="AG538" s="95">
        <f>IF(AF538="No Disp","No Disp",(AF538*18)+AE538)</f>
        <v>720000</v>
      </c>
      <c r="AH538" s="98">
        <f>18*AF538-100+AE538</f>
        <v>719900</v>
      </c>
      <c r="AI538" s="95" t="s">
        <v>4613</v>
      </c>
      <c r="AJ538" s="99"/>
      <c r="AK538" s="100">
        <v>0</v>
      </c>
      <c r="AL538" s="100">
        <v>20000</v>
      </c>
      <c r="AM538" s="100">
        <f>IF(AL538&lt;&gt;"No Disp",AK538+12*AL538,"No Disp")</f>
        <v>240000</v>
      </c>
      <c r="AN538" s="100">
        <v>0</v>
      </c>
      <c r="AO538" s="100">
        <v>20000</v>
      </c>
      <c r="AP538" s="100">
        <f>IF(AO538&lt;&gt;"No Disp",AN538+12*AO538,"No Disp")</f>
        <v>240000</v>
      </c>
      <c r="AQ538" s="100">
        <v>0</v>
      </c>
      <c r="AR538" s="100">
        <v>20000</v>
      </c>
      <c r="AS538" s="100">
        <f>IF(AR538&lt;&gt;"No Disp",AQ538+12*AR538,"No Disp")</f>
        <v>240000</v>
      </c>
    </row>
    <row r="539" spans="1:45" s="101" customFormat="1" x14ac:dyDescent="0.25">
      <c r="A539" s="90" t="s">
        <v>102</v>
      </c>
      <c r="B539" s="90" t="s">
        <v>39</v>
      </c>
      <c r="C539" s="90" t="s">
        <v>40</v>
      </c>
      <c r="D539" s="90" t="s">
        <v>4541</v>
      </c>
      <c r="E539" s="90" t="s">
        <v>4542</v>
      </c>
      <c r="F539" s="91">
        <v>484</v>
      </c>
      <c r="G539" s="92">
        <v>70012760</v>
      </c>
      <c r="H539" s="91">
        <v>70012760</v>
      </c>
      <c r="I539" s="93" t="s">
        <v>131</v>
      </c>
      <c r="J539" s="94" t="s">
        <v>205</v>
      </c>
      <c r="K539" s="94" t="s">
        <v>250</v>
      </c>
      <c r="L539" s="94" t="s">
        <v>251</v>
      </c>
      <c r="M539" s="95">
        <v>124900</v>
      </c>
      <c r="N539" s="95">
        <v>2500</v>
      </c>
      <c r="O539" s="95">
        <v>4000</v>
      </c>
      <c r="P539" s="96">
        <v>149990</v>
      </c>
      <c r="Q539" s="152"/>
      <c r="R539" s="95">
        <v>134990</v>
      </c>
      <c r="S539" s="95">
        <f>R539/24</f>
        <v>5624.583333333333</v>
      </c>
      <c r="T539" s="95">
        <v>124900</v>
      </c>
      <c r="U539" s="95">
        <f>T539/24</f>
        <v>5204.166666666667</v>
      </c>
      <c r="V539" s="95">
        <v>124900</v>
      </c>
      <c r="W539" s="95">
        <f>V539/24</f>
        <v>5204.166666666667</v>
      </c>
      <c r="X539" s="128"/>
      <c r="Y539" s="95">
        <v>0</v>
      </c>
      <c r="Z539" s="95">
        <v>12000</v>
      </c>
      <c r="AA539" s="95">
        <f>IFERROR(IF(D539="Premium",0.4*Y539,0),"No Disp")</f>
        <v>0</v>
      </c>
      <c r="AB539" s="95">
        <f>IFERROR(IF(4*Y539&gt;AC539,1.5*Y539,4*Y539),"No Disp")</f>
        <v>0</v>
      </c>
      <c r="AC539" s="95">
        <f>IF(Z539="No Disp","No Disp",(Z539*18)+Y539)</f>
        <v>216000</v>
      </c>
      <c r="AD539" s="95">
        <f>18*Z539-100+Y539</f>
        <v>215900</v>
      </c>
      <c r="AE539" s="95">
        <v>0</v>
      </c>
      <c r="AF539" s="95">
        <v>11000</v>
      </c>
      <c r="AG539" s="95">
        <f>IF(AF539="No Disp","No Disp",(AF539*18)+AE539)</f>
        <v>198000</v>
      </c>
      <c r="AH539" s="98">
        <f>18*AF539-100+AE539</f>
        <v>197900</v>
      </c>
      <c r="AI539" s="95" t="s">
        <v>4613</v>
      </c>
      <c r="AJ539" s="99"/>
      <c r="AK539" s="100" t="s">
        <v>43</v>
      </c>
      <c r="AL539" s="100" t="s">
        <v>43</v>
      </c>
      <c r="AM539" s="100" t="str">
        <f>IF(AL539&lt;&gt;"No Disp",AK539+12*AL539,"No Disp")</f>
        <v>No Disp</v>
      </c>
      <c r="AN539" s="100" t="s">
        <v>43</v>
      </c>
      <c r="AO539" s="100" t="s">
        <v>43</v>
      </c>
      <c r="AP539" s="100" t="str">
        <f>IF(AO539&lt;&gt;"No Disp",AN539+12*AO539,"No Disp")</f>
        <v>No Disp</v>
      </c>
      <c r="AQ539" s="100" t="s">
        <v>43</v>
      </c>
      <c r="AR539" s="100" t="s">
        <v>43</v>
      </c>
      <c r="AS539" s="100" t="str">
        <f>IF(AR539&lt;&gt;"No Disp",AQ539+12*AR539,"No Disp")</f>
        <v>No Disp</v>
      </c>
    </row>
    <row r="540" spans="1:45" s="101" customFormat="1" x14ac:dyDescent="0.25">
      <c r="A540" s="90" t="s">
        <v>38</v>
      </c>
      <c r="B540" s="90" t="s">
        <v>39</v>
      </c>
      <c r="C540" s="90" t="s">
        <v>40</v>
      </c>
      <c r="D540" s="90" t="s">
        <v>4539</v>
      </c>
      <c r="E540" s="90" t="s">
        <v>4542</v>
      </c>
      <c r="F540" s="91">
        <v>494</v>
      </c>
      <c r="G540" s="92">
        <v>70012790</v>
      </c>
      <c r="H540" s="91">
        <v>70012791</v>
      </c>
      <c r="I540" s="93" t="s">
        <v>171</v>
      </c>
      <c r="J540" s="94" t="s">
        <v>3880</v>
      </c>
      <c r="K540" s="94" t="s">
        <v>232</v>
      </c>
      <c r="L540" s="94" t="s">
        <v>233</v>
      </c>
      <c r="M540" s="95">
        <v>149900</v>
      </c>
      <c r="N540" s="95">
        <v>4000</v>
      </c>
      <c r="O540" s="95">
        <v>6000</v>
      </c>
      <c r="P540" s="96">
        <v>299990</v>
      </c>
      <c r="Q540" s="152"/>
      <c r="R540" s="95">
        <v>169990</v>
      </c>
      <c r="S540" s="95">
        <f>R540/24</f>
        <v>7082.916666666667</v>
      </c>
      <c r="T540" s="95">
        <v>149900</v>
      </c>
      <c r="U540" s="95">
        <f>T540/24</f>
        <v>6245.833333333333</v>
      </c>
      <c r="V540" s="95">
        <v>149900</v>
      </c>
      <c r="W540" s="95">
        <f>V540/24</f>
        <v>6245.833333333333</v>
      </c>
      <c r="X540" s="128"/>
      <c r="Y540" s="95">
        <v>0</v>
      </c>
      <c r="Z540" s="95">
        <v>22000</v>
      </c>
      <c r="AA540" s="95">
        <f>IFERROR(IF(D540="Premium",0.4*Y540,0),"No Disp")</f>
        <v>0</v>
      </c>
      <c r="AB540" s="95">
        <f>IFERROR(IF(4*Y540&gt;AC540,1.5*Y540,4*Y540),"No Disp")</f>
        <v>0</v>
      </c>
      <c r="AC540" s="95">
        <f>IF(Z540="No Disp","No Disp",(Z540*18)+Y540)</f>
        <v>396000</v>
      </c>
      <c r="AD540" s="95">
        <f>18*Z540-100+Y540</f>
        <v>395900</v>
      </c>
      <c r="AE540" s="95">
        <v>0</v>
      </c>
      <c r="AF540" s="95">
        <v>19500</v>
      </c>
      <c r="AG540" s="95">
        <f>IF(AF540="No Disp","No Disp",(AF540*18)+AE540)</f>
        <v>351000</v>
      </c>
      <c r="AH540" s="98">
        <f>18*AF540-100+AE540</f>
        <v>350900</v>
      </c>
      <c r="AI540" s="95" t="s">
        <v>4613</v>
      </c>
      <c r="AJ540" s="99"/>
      <c r="AK540" s="100" t="s">
        <v>43</v>
      </c>
      <c r="AL540" s="100" t="s">
        <v>43</v>
      </c>
      <c r="AM540" s="100" t="str">
        <f>IF(AL540&lt;&gt;"No Disp",AK540+12*AL540,"No Disp")</f>
        <v>No Disp</v>
      </c>
      <c r="AN540" s="100" t="s">
        <v>43</v>
      </c>
      <c r="AO540" s="100" t="s">
        <v>43</v>
      </c>
      <c r="AP540" s="100" t="str">
        <f>IF(AO540&lt;&gt;"No Disp",AN540+12*AO540,"No Disp")</f>
        <v>No Disp</v>
      </c>
      <c r="AQ540" s="100" t="s">
        <v>43</v>
      </c>
      <c r="AR540" s="100" t="s">
        <v>43</v>
      </c>
      <c r="AS540" s="100" t="str">
        <f>IF(AR540&lt;&gt;"No Disp",AQ540+12*AR540,"No Disp")</f>
        <v>No Disp</v>
      </c>
    </row>
    <row r="541" spans="1:45" s="101" customFormat="1" x14ac:dyDescent="0.25">
      <c r="A541" s="90" t="s">
        <v>38</v>
      </c>
      <c r="B541" s="90" t="s">
        <v>39</v>
      </c>
      <c r="C541" s="90" t="s">
        <v>40</v>
      </c>
      <c r="D541" s="90" t="s">
        <v>4539</v>
      </c>
      <c r="E541" s="90" t="s">
        <v>4542</v>
      </c>
      <c r="F541" s="91">
        <v>495</v>
      </c>
      <c r="G541" s="92">
        <v>70012793</v>
      </c>
      <c r="H541" s="91">
        <v>70012794</v>
      </c>
      <c r="I541" s="93" t="s">
        <v>229</v>
      </c>
      <c r="J541" s="94" t="s">
        <v>3881</v>
      </c>
      <c r="K541" s="94" t="s">
        <v>230</v>
      </c>
      <c r="L541" s="94" t="s">
        <v>231</v>
      </c>
      <c r="M541" s="95">
        <v>149900</v>
      </c>
      <c r="N541" s="95">
        <v>4000</v>
      </c>
      <c r="O541" s="95">
        <v>6000</v>
      </c>
      <c r="P541" s="96">
        <v>279990</v>
      </c>
      <c r="Q541" s="152"/>
      <c r="R541" s="95">
        <v>169990</v>
      </c>
      <c r="S541" s="95">
        <f>R541/24</f>
        <v>7082.916666666667</v>
      </c>
      <c r="T541" s="95">
        <v>149900</v>
      </c>
      <c r="U541" s="95">
        <f>T541/24</f>
        <v>6245.833333333333</v>
      </c>
      <c r="V541" s="95">
        <v>149900</v>
      </c>
      <c r="W541" s="95">
        <f>V541/24</f>
        <v>6245.833333333333</v>
      </c>
      <c r="X541" s="128"/>
      <c r="Y541" s="95">
        <v>0</v>
      </c>
      <c r="Z541" s="95">
        <v>18000</v>
      </c>
      <c r="AA541" s="95">
        <f>IFERROR(IF(D541="Premium",0.4*Y541,0),"No Disp")</f>
        <v>0</v>
      </c>
      <c r="AB541" s="95">
        <f>IFERROR(IF(4*Y541&gt;AC541,1.5*Y541,4*Y541),"No Disp")</f>
        <v>0</v>
      </c>
      <c r="AC541" s="95">
        <f>IF(Z541="No Disp","No Disp",(Z541*18)+Y541)</f>
        <v>324000</v>
      </c>
      <c r="AD541" s="95">
        <f>18*Z541-100+Y541</f>
        <v>323900</v>
      </c>
      <c r="AE541" s="95">
        <v>0</v>
      </c>
      <c r="AF541" s="95">
        <v>16000</v>
      </c>
      <c r="AG541" s="95">
        <f>IF(AF541="No Disp","No Disp",(AF541*18)+AE541)</f>
        <v>288000</v>
      </c>
      <c r="AH541" s="98">
        <f>18*AF541-100+AE541</f>
        <v>287900</v>
      </c>
      <c r="AI541" s="95" t="s">
        <v>4613</v>
      </c>
      <c r="AJ541" s="99"/>
      <c r="AK541" s="100" t="s">
        <v>43</v>
      </c>
      <c r="AL541" s="100" t="s">
        <v>43</v>
      </c>
      <c r="AM541" s="100" t="str">
        <f>IF(AL541&lt;&gt;"No Disp",AK541+12*AL541,"No Disp")</f>
        <v>No Disp</v>
      </c>
      <c r="AN541" s="100" t="s">
        <v>43</v>
      </c>
      <c r="AO541" s="100" t="s">
        <v>43</v>
      </c>
      <c r="AP541" s="100" t="str">
        <f>IF(AO541&lt;&gt;"No Disp",AN541+12*AO541,"No Disp")</f>
        <v>No Disp</v>
      </c>
      <c r="AQ541" s="100" t="s">
        <v>43</v>
      </c>
      <c r="AR541" s="100" t="s">
        <v>43</v>
      </c>
      <c r="AS541" s="100" t="str">
        <f>IF(AR541&lt;&gt;"No Disp",AQ541+12*AR541,"No Disp")</f>
        <v>No Disp</v>
      </c>
    </row>
    <row r="542" spans="1:45" s="101" customFormat="1" x14ac:dyDescent="0.25">
      <c r="A542" s="90" t="s">
        <v>38</v>
      </c>
      <c r="B542" s="90" t="s">
        <v>39</v>
      </c>
      <c r="C542" s="90" t="s">
        <v>40</v>
      </c>
      <c r="D542" s="90" t="s">
        <v>4541</v>
      </c>
      <c r="E542" s="90" t="s">
        <v>4538</v>
      </c>
      <c r="F542" s="91">
        <v>497</v>
      </c>
      <c r="G542" s="92">
        <v>70012797</v>
      </c>
      <c r="H542" s="91">
        <v>70012797</v>
      </c>
      <c r="I542" s="93" t="s">
        <v>112</v>
      </c>
      <c r="J542" s="94" t="s">
        <v>3916</v>
      </c>
      <c r="K542" s="94" t="s">
        <v>225</v>
      </c>
      <c r="L542" s="94" t="s">
        <v>226</v>
      </c>
      <c r="M542" s="95">
        <v>89900</v>
      </c>
      <c r="N542" s="95">
        <v>2500</v>
      </c>
      <c r="O542" s="95">
        <v>4000</v>
      </c>
      <c r="P542" s="96">
        <v>199990</v>
      </c>
      <c r="Q542" s="152"/>
      <c r="R542" s="95">
        <v>99990</v>
      </c>
      <c r="S542" s="95">
        <f>R542/24</f>
        <v>4166.25</v>
      </c>
      <c r="T542" s="95">
        <v>89900</v>
      </c>
      <c r="U542" s="95">
        <f>T542/24</f>
        <v>3745.8333333333335</v>
      </c>
      <c r="V542" s="95">
        <v>89900</v>
      </c>
      <c r="W542" s="95">
        <f>V542/24</f>
        <v>3745.8333333333335</v>
      </c>
      <c r="X542" s="128"/>
      <c r="Y542" s="95">
        <v>0</v>
      </c>
      <c r="Z542" s="95">
        <v>9000</v>
      </c>
      <c r="AA542" s="95">
        <f>IFERROR(IF(D542="Premium",0.4*Y542,0),"No Disp")</f>
        <v>0</v>
      </c>
      <c r="AB542" s="95">
        <f>IFERROR(IF(4*Y542&gt;AC542,1.5*Y542,4*Y542),"No Disp")</f>
        <v>0</v>
      </c>
      <c r="AC542" s="95">
        <f>IF(Z542="No Disp","No Disp",(Z542*18)+Y542)</f>
        <v>162000</v>
      </c>
      <c r="AD542" s="95">
        <f>18*Z542-100+Y542</f>
        <v>161900</v>
      </c>
      <c r="AE542" s="95">
        <v>0</v>
      </c>
      <c r="AF542" s="95">
        <v>7500</v>
      </c>
      <c r="AG542" s="95">
        <f>IF(AF542="No Disp","No Disp",(AF542*18)+AE542)</f>
        <v>135000</v>
      </c>
      <c r="AH542" s="98">
        <f>18*AF542-100+AE542</f>
        <v>134900</v>
      </c>
      <c r="AI542" s="95" t="s">
        <v>4613</v>
      </c>
      <c r="AJ542" s="99"/>
      <c r="AK542" s="100" t="s">
        <v>43</v>
      </c>
      <c r="AL542" s="100" t="s">
        <v>43</v>
      </c>
      <c r="AM542" s="100" t="str">
        <f>IF(AL542&lt;&gt;"No Disp",AK542+12*AL542,"No Disp")</f>
        <v>No Disp</v>
      </c>
      <c r="AN542" s="100" t="s">
        <v>43</v>
      </c>
      <c r="AO542" s="100" t="s">
        <v>43</v>
      </c>
      <c r="AP542" s="100" t="str">
        <f>IF(AO542&lt;&gt;"No Disp",AN542+12*AO542,"No Disp")</f>
        <v>No Disp</v>
      </c>
      <c r="AQ542" s="100" t="s">
        <v>43</v>
      </c>
      <c r="AR542" s="100" t="s">
        <v>43</v>
      </c>
      <c r="AS542" s="100" t="str">
        <f>IF(AR542&lt;&gt;"No Disp",AQ542+12*AR542,"No Disp")</f>
        <v>No Disp</v>
      </c>
    </row>
    <row r="543" spans="1:45" s="101" customFormat="1" x14ac:dyDescent="0.25">
      <c r="A543" s="90" t="s">
        <v>38</v>
      </c>
      <c r="B543" s="90" t="s">
        <v>39</v>
      </c>
      <c r="C543" s="90" t="s">
        <v>40</v>
      </c>
      <c r="D543" s="90" t="s">
        <v>4537</v>
      </c>
      <c r="E543" s="90" t="s">
        <v>4542</v>
      </c>
      <c r="F543" s="91">
        <v>498</v>
      </c>
      <c r="G543" s="92">
        <v>70012777</v>
      </c>
      <c r="H543" s="91">
        <v>70012798</v>
      </c>
      <c r="I543" s="93" t="s">
        <v>112</v>
      </c>
      <c r="J543" s="94" t="s">
        <v>3882</v>
      </c>
      <c r="K543" s="94" t="s">
        <v>223</v>
      </c>
      <c r="L543" s="94" t="s">
        <v>224</v>
      </c>
      <c r="M543" s="95">
        <v>219900</v>
      </c>
      <c r="N543" s="95">
        <v>4000</v>
      </c>
      <c r="O543" s="95">
        <v>6000</v>
      </c>
      <c r="P543" s="96">
        <v>349990</v>
      </c>
      <c r="Q543" s="152"/>
      <c r="R543" s="95">
        <v>239990</v>
      </c>
      <c r="S543" s="95">
        <f>R543/24</f>
        <v>9999.5833333333339</v>
      </c>
      <c r="T543" s="95">
        <v>219900</v>
      </c>
      <c r="U543" s="95">
        <f>T543/24</f>
        <v>9162.5</v>
      </c>
      <c r="V543" s="95">
        <v>219900</v>
      </c>
      <c r="W543" s="95">
        <f>V543/24</f>
        <v>9162.5</v>
      </c>
      <c r="X543" s="128"/>
      <c r="Y543" s="95">
        <v>0</v>
      </c>
      <c r="Z543" s="95">
        <v>19500</v>
      </c>
      <c r="AA543" s="95">
        <f>IFERROR(IF(D543="Premium",0.4*Y543,0),"No Disp")</f>
        <v>0</v>
      </c>
      <c r="AB543" s="95">
        <f>IFERROR(IF(4*Y543&gt;AC543,1.5*Y543,4*Y543),"No Disp")</f>
        <v>0</v>
      </c>
      <c r="AC543" s="95">
        <f>IF(Z543="No Disp","No Disp",(Z543*18)+Y543)</f>
        <v>351000</v>
      </c>
      <c r="AD543" s="95">
        <f>18*Z543-100+Y543</f>
        <v>350900</v>
      </c>
      <c r="AE543" s="95">
        <v>9900</v>
      </c>
      <c r="AF543" s="95">
        <v>16500</v>
      </c>
      <c r="AG543" s="95">
        <f>IF(AF543="No Disp","No Disp",(AF543*18)+AE543)</f>
        <v>306900</v>
      </c>
      <c r="AH543" s="98">
        <f>18*AF543-100+AE543</f>
        <v>306800</v>
      </c>
      <c r="AI543" s="95" t="s">
        <v>4613</v>
      </c>
      <c r="AJ543" s="99"/>
      <c r="AK543" s="100" t="s">
        <v>43</v>
      </c>
      <c r="AL543" s="100" t="s">
        <v>43</v>
      </c>
      <c r="AM543" s="100" t="str">
        <f>IF(AL543&lt;&gt;"No Disp",AK543+12*AL543,"No Disp")</f>
        <v>No Disp</v>
      </c>
      <c r="AN543" s="100" t="s">
        <v>43</v>
      </c>
      <c r="AO543" s="100" t="s">
        <v>43</v>
      </c>
      <c r="AP543" s="100" t="str">
        <f>IF(AO543&lt;&gt;"No Disp",AN543+12*AO543,"No Disp")</f>
        <v>No Disp</v>
      </c>
      <c r="AQ543" s="100" t="s">
        <v>43</v>
      </c>
      <c r="AR543" s="100" t="s">
        <v>43</v>
      </c>
      <c r="AS543" s="100" t="str">
        <f>IF(AR543&lt;&gt;"No Disp",AQ543+12*AR543,"No Disp")</f>
        <v>No Disp</v>
      </c>
    </row>
    <row r="544" spans="1:45" s="101" customFormat="1" x14ac:dyDescent="0.25">
      <c r="A544" s="90" t="s">
        <v>38</v>
      </c>
      <c r="B544" s="90" t="s">
        <v>40</v>
      </c>
      <c r="C544" s="90" t="s">
        <v>39</v>
      </c>
      <c r="D544" s="90" t="s">
        <v>4537</v>
      </c>
      <c r="E544" s="90" t="s">
        <v>4542</v>
      </c>
      <c r="F544" s="91">
        <v>33</v>
      </c>
      <c r="G544" s="92">
        <v>70012808</v>
      </c>
      <c r="H544" s="91">
        <v>70012809</v>
      </c>
      <c r="I544" s="93" t="s">
        <v>63</v>
      </c>
      <c r="J544" s="94" t="s">
        <v>966</v>
      </c>
      <c r="K544" s="94" t="s">
        <v>969</v>
      </c>
      <c r="L544" s="94" t="s">
        <v>970</v>
      </c>
      <c r="M544" s="95">
        <v>449900</v>
      </c>
      <c r="N544" s="95">
        <v>6000</v>
      </c>
      <c r="O544" s="95">
        <v>8500</v>
      </c>
      <c r="P544" s="96">
        <v>889990</v>
      </c>
      <c r="Q544" s="152"/>
      <c r="R544" s="95">
        <v>499990</v>
      </c>
      <c r="S544" s="95">
        <f>R544/24</f>
        <v>20832.916666666668</v>
      </c>
      <c r="T544" s="95">
        <v>449900</v>
      </c>
      <c r="U544" s="95">
        <f>T544/24</f>
        <v>18745.833333333332</v>
      </c>
      <c r="V544" s="95">
        <v>449900</v>
      </c>
      <c r="W544" s="95">
        <f>V544/24</f>
        <v>18745.833333333332</v>
      </c>
      <c r="X544" s="128"/>
      <c r="Y544" s="95">
        <v>99900</v>
      </c>
      <c r="Z544" s="95">
        <v>36000</v>
      </c>
      <c r="AA544" s="95">
        <f>IFERROR(IF(D544="Premium",0.4*Y544,0),"No Disp")</f>
        <v>0</v>
      </c>
      <c r="AB544" s="95">
        <f>IFERROR(IF(4*Y544&gt;AC544,1.5*Y544,4*Y544),"No Disp")</f>
        <v>399600</v>
      </c>
      <c r="AC544" s="95">
        <f>IF(Z544="No Disp","No Disp",(Z544*18)+Y544)</f>
        <v>747900</v>
      </c>
      <c r="AD544" s="95">
        <f>18*Z544-100+Y544</f>
        <v>747800</v>
      </c>
      <c r="AE544" s="95">
        <v>39900</v>
      </c>
      <c r="AF544" s="95">
        <v>40000</v>
      </c>
      <c r="AG544" s="95">
        <f>IF(AF544="No Disp","No Disp",(AF544*18)+AE544)</f>
        <v>759900</v>
      </c>
      <c r="AH544" s="98">
        <f>18*AF544-100+AE544</f>
        <v>759800</v>
      </c>
      <c r="AI544" s="95" t="s">
        <v>4613</v>
      </c>
      <c r="AJ544" s="99"/>
      <c r="AK544" s="100">
        <v>0</v>
      </c>
      <c r="AL544" s="100">
        <v>20000</v>
      </c>
      <c r="AM544" s="100">
        <f>IF(AL544&lt;&gt;"No Disp",AK544+12*AL544,"No Disp")</f>
        <v>240000</v>
      </c>
      <c r="AN544" s="100">
        <v>0</v>
      </c>
      <c r="AO544" s="100">
        <v>20000</v>
      </c>
      <c r="AP544" s="100">
        <f>IF(AO544&lt;&gt;"No Disp",AN544+12*AO544,"No Disp")</f>
        <v>240000</v>
      </c>
      <c r="AQ544" s="100">
        <v>0</v>
      </c>
      <c r="AR544" s="100">
        <v>20000</v>
      </c>
      <c r="AS544" s="100">
        <f>IF(AR544&lt;&gt;"No Disp",AQ544+12*AR544,"No Disp")</f>
        <v>240000</v>
      </c>
    </row>
    <row r="545" spans="1:45" s="101" customFormat="1" x14ac:dyDescent="0.25">
      <c r="A545" s="90" t="s">
        <v>38</v>
      </c>
      <c r="B545" s="90" t="s">
        <v>39</v>
      </c>
      <c r="C545" s="90" t="s">
        <v>40</v>
      </c>
      <c r="D545" s="90" t="s">
        <v>4539</v>
      </c>
      <c r="E545" s="90" t="s">
        <v>4542</v>
      </c>
      <c r="F545" s="91">
        <v>522</v>
      </c>
      <c r="G545" s="92">
        <v>70012811</v>
      </c>
      <c r="H545" s="91">
        <v>70012812</v>
      </c>
      <c r="I545" s="93" t="s">
        <v>112</v>
      </c>
      <c r="J545" s="94" t="s">
        <v>120</v>
      </c>
      <c r="K545" s="94" t="s">
        <v>122</v>
      </c>
      <c r="L545" s="94" t="s">
        <v>3883</v>
      </c>
      <c r="M545" s="95">
        <v>189900</v>
      </c>
      <c r="N545" s="95">
        <v>4000</v>
      </c>
      <c r="O545" s="95">
        <v>6000</v>
      </c>
      <c r="P545" s="96">
        <v>299990</v>
      </c>
      <c r="Q545" s="152"/>
      <c r="R545" s="95">
        <v>209990</v>
      </c>
      <c r="S545" s="95">
        <f>R545/24</f>
        <v>8749.5833333333339</v>
      </c>
      <c r="T545" s="95">
        <v>189900</v>
      </c>
      <c r="U545" s="95">
        <f>T545/24</f>
        <v>7912.5</v>
      </c>
      <c r="V545" s="95">
        <v>189900</v>
      </c>
      <c r="W545" s="95">
        <f>V545/24</f>
        <v>7912.5</v>
      </c>
      <c r="X545" s="128"/>
      <c r="Y545" s="95">
        <v>0</v>
      </c>
      <c r="Z545" s="95">
        <v>19000</v>
      </c>
      <c r="AA545" s="95">
        <f>IFERROR(IF(D545="Premium",0.4*Y545,0),"No Disp")</f>
        <v>0</v>
      </c>
      <c r="AB545" s="95">
        <f>IFERROR(IF(4*Y545&gt;AC545,1.5*Y545,4*Y545),"No Disp")</f>
        <v>0</v>
      </c>
      <c r="AC545" s="95">
        <f>IF(Z545="No Disp","No Disp",(Z545*18)+Y545)</f>
        <v>342000</v>
      </c>
      <c r="AD545" s="95">
        <f>18*Z545-100+Y545</f>
        <v>341900</v>
      </c>
      <c r="AE545" s="95">
        <v>0</v>
      </c>
      <c r="AF545" s="95">
        <v>16000</v>
      </c>
      <c r="AG545" s="95">
        <f>IF(AF545="No Disp","No Disp",(AF545*18)+AE545)</f>
        <v>288000</v>
      </c>
      <c r="AH545" s="98">
        <f>18*AF545-100+AE545</f>
        <v>287900</v>
      </c>
      <c r="AI545" s="95" t="s">
        <v>4613</v>
      </c>
      <c r="AJ545" s="99"/>
      <c r="AK545" s="100" t="s">
        <v>43</v>
      </c>
      <c r="AL545" s="100" t="s">
        <v>43</v>
      </c>
      <c r="AM545" s="100" t="str">
        <f>IF(AL545&lt;&gt;"No Disp",AK545+12*AL545,"No Disp")</f>
        <v>No Disp</v>
      </c>
      <c r="AN545" s="100" t="s">
        <v>43</v>
      </c>
      <c r="AO545" s="100" t="s">
        <v>43</v>
      </c>
      <c r="AP545" s="100" t="str">
        <f>IF(AO545&lt;&gt;"No Disp",AN545+12*AO545,"No Disp")</f>
        <v>No Disp</v>
      </c>
      <c r="AQ545" s="100" t="s">
        <v>43</v>
      </c>
      <c r="AR545" s="100" t="s">
        <v>43</v>
      </c>
      <c r="AS545" s="100" t="str">
        <f>IF(AR545&lt;&gt;"No Disp",AQ545+12*AR545,"No Disp")</f>
        <v>No Disp</v>
      </c>
    </row>
    <row r="546" spans="1:45" s="101" customFormat="1" x14ac:dyDescent="0.25">
      <c r="A546" s="90" t="s">
        <v>38</v>
      </c>
      <c r="B546" s="90" t="s">
        <v>39</v>
      </c>
      <c r="C546" s="90" t="s">
        <v>40</v>
      </c>
      <c r="D546" s="90" t="s">
        <v>4541</v>
      </c>
      <c r="E546" s="90" t="s">
        <v>4538</v>
      </c>
      <c r="F546" s="91">
        <v>500</v>
      </c>
      <c r="G546" s="92">
        <v>70012814</v>
      </c>
      <c r="H546" s="91">
        <v>70012815</v>
      </c>
      <c r="I546" s="93" t="s">
        <v>112</v>
      </c>
      <c r="J546" s="94" t="s">
        <v>115</v>
      </c>
      <c r="K546" s="94" t="s">
        <v>116</v>
      </c>
      <c r="L546" s="94" t="s">
        <v>117</v>
      </c>
      <c r="M546" s="95">
        <v>54900</v>
      </c>
      <c r="N546" s="95">
        <v>2500</v>
      </c>
      <c r="O546" s="95">
        <v>4000</v>
      </c>
      <c r="P546" s="96">
        <v>89990</v>
      </c>
      <c r="Q546" s="152"/>
      <c r="R546" s="95">
        <v>54990</v>
      </c>
      <c r="S546" s="95">
        <f>R546/24</f>
        <v>2291.25</v>
      </c>
      <c r="T546" s="95">
        <v>54900</v>
      </c>
      <c r="U546" s="95">
        <f>T546/24</f>
        <v>2287.5</v>
      </c>
      <c r="V546" s="95">
        <v>54900</v>
      </c>
      <c r="W546" s="95">
        <f>V546/24</f>
        <v>2287.5</v>
      </c>
      <c r="X546" s="128"/>
      <c r="Y546" s="95">
        <v>0</v>
      </c>
      <c r="Z546" s="95">
        <v>5000</v>
      </c>
      <c r="AA546" s="95">
        <f>IFERROR(IF(D546="Premium",0.4*Y546,0),"No Disp")</f>
        <v>0</v>
      </c>
      <c r="AB546" s="95">
        <f>IFERROR(IF(4*Y546&gt;AC546,1.5*Y546,4*Y546),"No Disp")</f>
        <v>0</v>
      </c>
      <c r="AC546" s="95">
        <f>IF(Z546="No Disp","No Disp",(Z546*18)+Y546)</f>
        <v>90000</v>
      </c>
      <c r="AD546" s="95">
        <f>18*Z546-100+Y546</f>
        <v>89900</v>
      </c>
      <c r="AE546" s="95">
        <v>0</v>
      </c>
      <c r="AF546" s="95">
        <v>4500</v>
      </c>
      <c r="AG546" s="95">
        <f>IF(AF546="No Disp","No Disp",(AF546*18)+AE546)</f>
        <v>81000</v>
      </c>
      <c r="AH546" s="98">
        <f>18*AF546-100+AE546</f>
        <v>80900</v>
      </c>
      <c r="AI546" s="95" t="s">
        <v>4613</v>
      </c>
      <c r="AJ546" s="99"/>
      <c r="AK546" s="100" t="s">
        <v>43</v>
      </c>
      <c r="AL546" s="100" t="s">
        <v>43</v>
      </c>
      <c r="AM546" s="100" t="str">
        <f>IF(AL546&lt;&gt;"No Disp",AK546+12*AL546,"No Disp")</f>
        <v>No Disp</v>
      </c>
      <c r="AN546" s="100" t="s">
        <v>43</v>
      </c>
      <c r="AO546" s="100" t="s">
        <v>43</v>
      </c>
      <c r="AP546" s="100" t="str">
        <f>IF(AO546&lt;&gt;"No Disp",AN546+12*AO546,"No Disp")</f>
        <v>No Disp</v>
      </c>
      <c r="AQ546" s="100" t="s">
        <v>43</v>
      </c>
      <c r="AR546" s="100" t="s">
        <v>43</v>
      </c>
      <c r="AS546" s="100" t="str">
        <f>IF(AR546&lt;&gt;"No Disp",AQ546+12*AR546,"No Disp")</f>
        <v>No Disp</v>
      </c>
    </row>
    <row r="547" spans="1:45" s="101" customFormat="1" x14ac:dyDescent="0.25">
      <c r="A547" s="90" t="s">
        <v>38</v>
      </c>
      <c r="B547" s="90" t="s">
        <v>39</v>
      </c>
      <c r="C547" s="90" t="s">
        <v>40</v>
      </c>
      <c r="D547" s="90" t="s">
        <v>4539</v>
      </c>
      <c r="E547" s="90" t="s">
        <v>4542</v>
      </c>
      <c r="F547" s="91">
        <v>610</v>
      </c>
      <c r="G547" s="92">
        <v>70013890</v>
      </c>
      <c r="H547" s="91">
        <v>70012821</v>
      </c>
      <c r="I547" s="93" t="s">
        <v>112</v>
      </c>
      <c r="J547" s="94" t="s">
        <v>120</v>
      </c>
      <c r="K547" s="94" t="s">
        <v>2927</v>
      </c>
      <c r="L547" s="94" t="s">
        <v>2928</v>
      </c>
      <c r="M547" s="95">
        <v>189900</v>
      </c>
      <c r="N547" s="95">
        <v>4000</v>
      </c>
      <c r="O547" s="95">
        <v>6000</v>
      </c>
      <c r="P547" s="96">
        <v>299990</v>
      </c>
      <c r="Q547" s="152"/>
      <c r="R547" s="95">
        <v>209990</v>
      </c>
      <c r="S547" s="95">
        <f>R547/24</f>
        <v>8749.5833333333339</v>
      </c>
      <c r="T547" s="95">
        <v>189900</v>
      </c>
      <c r="U547" s="95">
        <f>T547/24</f>
        <v>7912.5</v>
      </c>
      <c r="V547" s="95">
        <v>189900</v>
      </c>
      <c r="W547" s="95">
        <f>V547/24</f>
        <v>7912.5</v>
      </c>
      <c r="X547" s="128"/>
      <c r="Y547" s="95">
        <v>0</v>
      </c>
      <c r="Z547" s="95">
        <v>19000</v>
      </c>
      <c r="AA547" s="95">
        <f>IFERROR(IF(D547="Premium",0.4*Y547,0),"No Disp")</f>
        <v>0</v>
      </c>
      <c r="AB547" s="95">
        <f>IFERROR(IF(4*Y547&gt;AC547,1.5*Y547,4*Y547),"No Disp")</f>
        <v>0</v>
      </c>
      <c r="AC547" s="95">
        <f>IF(Z547="No Disp","No Disp",(Z547*18)+Y547)</f>
        <v>342000</v>
      </c>
      <c r="AD547" s="95">
        <f>18*Z547-100+Y547</f>
        <v>341900</v>
      </c>
      <c r="AE547" s="95">
        <v>0</v>
      </c>
      <c r="AF547" s="95">
        <v>16000</v>
      </c>
      <c r="AG547" s="95">
        <f>IF(AF547="No Disp","No Disp",(AF547*18)+AE547)</f>
        <v>288000</v>
      </c>
      <c r="AH547" s="98">
        <f>18*AF547-100+AE547</f>
        <v>287900</v>
      </c>
      <c r="AI547" s="95" t="s">
        <v>4613</v>
      </c>
      <c r="AJ547" s="99"/>
      <c r="AK547" s="100" t="s">
        <v>43</v>
      </c>
      <c r="AL547" s="100" t="s">
        <v>43</v>
      </c>
      <c r="AM547" s="100" t="str">
        <f>IF(AL547&lt;&gt;"No Disp",AK547+12*AL547,"No Disp")</f>
        <v>No Disp</v>
      </c>
      <c r="AN547" s="100" t="s">
        <v>43</v>
      </c>
      <c r="AO547" s="100" t="s">
        <v>43</v>
      </c>
      <c r="AP547" s="100" t="str">
        <f>IF(AO547&lt;&gt;"No Disp",AN547+12*AO547,"No Disp")</f>
        <v>No Disp</v>
      </c>
      <c r="AQ547" s="100" t="s">
        <v>43</v>
      </c>
      <c r="AR547" s="100" t="s">
        <v>43</v>
      </c>
      <c r="AS547" s="100" t="str">
        <f>IF(AR547&lt;&gt;"No Disp",AQ547+12*AR547,"No Disp")</f>
        <v>No Disp</v>
      </c>
    </row>
    <row r="548" spans="1:45" s="101" customFormat="1" x14ac:dyDescent="0.25">
      <c r="A548" s="90" t="s">
        <v>38</v>
      </c>
      <c r="B548" s="90" t="s">
        <v>39</v>
      </c>
      <c r="C548" s="90" t="s">
        <v>40</v>
      </c>
      <c r="D548" s="90" t="s">
        <v>4539</v>
      </c>
      <c r="E548" s="90" t="s">
        <v>4542</v>
      </c>
      <c r="F548" s="91">
        <v>523</v>
      </c>
      <c r="G548" s="92">
        <v>70012820</v>
      </c>
      <c r="H548" s="91">
        <v>70012821</v>
      </c>
      <c r="I548" s="93" t="s">
        <v>112</v>
      </c>
      <c r="J548" s="94" t="s">
        <v>120</v>
      </c>
      <c r="K548" s="94" t="s">
        <v>121</v>
      </c>
      <c r="L548" s="94" t="s">
        <v>3884</v>
      </c>
      <c r="M548" s="95">
        <v>189900</v>
      </c>
      <c r="N548" s="95">
        <v>4000</v>
      </c>
      <c r="O548" s="95">
        <v>6000</v>
      </c>
      <c r="P548" s="96">
        <v>299990</v>
      </c>
      <c r="Q548" s="152"/>
      <c r="R548" s="95">
        <v>209990</v>
      </c>
      <c r="S548" s="95">
        <f>R548/24</f>
        <v>8749.5833333333339</v>
      </c>
      <c r="T548" s="95">
        <v>189900</v>
      </c>
      <c r="U548" s="95">
        <f>T548/24</f>
        <v>7912.5</v>
      </c>
      <c r="V548" s="95">
        <v>189900</v>
      </c>
      <c r="W548" s="95">
        <f>V548/24</f>
        <v>7912.5</v>
      </c>
      <c r="X548" s="128"/>
      <c r="Y548" s="95">
        <v>0</v>
      </c>
      <c r="Z548" s="95">
        <v>19000</v>
      </c>
      <c r="AA548" s="95">
        <f>IFERROR(IF(D548="Premium",0.4*Y548,0),"No Disp")</f>
        <v>0</v>
      </c>
      <c r="AB548" s="95">
        <f>IFERROR(IF(4*Y548&gt;AC548,1.5*Y548,4*Y548),"No Disp")</f>
        <v>0</v>
      </c>
      <c r="AC548" s="95">
        <f>IF(Z548="No Disp","No Disp",(Z548*18)+Y548)</f>
        <v>342000</v>
      </c>
      <c r="AD548" s="95">
        <f>18*Z548-100+Y548</f>
        <v>341900</v>
      </c>
      <c r="AE548" s="95">
        <v>0</v>
      </c>
      <c r="AF548" s="95">
        <v>16000</v>
      </c>
      <c r="AG548" s="95">
        <f>IF(AF548="No Disp","No Disp",(AF548*18)+AE548)</f>
        <v>288000</v>
      </c>
      <c r="AH548" s="98">
        <f>18*AF548-100+AE548</f>
        <v>287900</v>
      </c>
      <c r="AI548" s="95" t="s">
        <v>4613</v>
      </c>
      <c r="AJ548" s="99"/>
      <c r="AK548" s="100" t="s">
        <v>43</v>
      </c>
      <c r="AL548" s="100" t="s">
        <v>43</v>
      </c>
      <c r="AM548" s="100" t="str">
        <f>IF(AL548&lt;&gt;"No Disp",AK548+12*AL548,"No Disp")</f>
        <v>No Disp</v>
      </c>
      <c r="AN548" s="100" t="s">
        <v>43</v>
      </c>
      <c r="AO548" s="100" t="s">
        <v>43</v>
      </c>
      <c r="AP548" s="100" t="str">
        <f>IF(AO548&lt;&gt;"No Disp",AN548+12*AO548,"No Disp")</f>
        <v>No Disp</v>
      </c>
      <c r="AQ548" s="100" t="s">
        <v>43</v>
      </c>
      <c r="AR548" s="100" t="s">
        <v>43</v>
      </c>
      <c r="AS548" s="100" t="str">
        <f>IF(AR548&lt;&gt;"No Disp",AQ548+12*AR548,"No Disp")</f>
        <v>No Disp</v>
      </c>
    </row>
    <row r="549" spans="1:45" s="101" customFormat="1" x14ac:dyDescent="0.25">
      <c r="A549" s="90" t="s">
        <v>102</v>
      </c>
      <c r="B549" s="90" t="s">
        <v>39</v>
      </c>
      <c r="C549" s="90" t="s">
        <v>40</v>
      </c>
      <c r="D549" s="90" t="s">
        <v>4541</v>
      </c>
      <c r="E549" s="90" t="s">
        <v>4538</v>
      </c>
      <c r="F549" s="91">
        <v>509</v>
      </c>
      <c r="G549" s="92">
        <v>70012823</v>
      </c>
      <c r="H549" s="91">
        <v>70012824</v>
      </c>
      <c r="I549" s="93" t="s">
        <v>46</v>
      </c>
      <c r="J549" s="94" t="s">
        <v>103</v>
      </c>
      <c r="K549" s="94" t="s">
        <v>104</v>
      </c>
      <c r="L549" s="94" t="s">
        <v>105</v>
      </c>
      <c r="M549" s="95">
        <v>83900</v>
      </c>
      <c r="N549" s="95">
        <v>2500</v>
      </c>
      <c r="O549" s="95">
        <v>4000</v>
      </c>
      <c r="P549" s="96">
        <v>129990</v>
      </c>
      <c r="Q549" s="152"/>
      <c r="R549" s="95">
        <v>93990</v>
      </c>
      <c r="S549" s="95">
        <f>R549/24</f>
        <v>3916.25</v>
      </c>
      <c r="T549" s="95">
        <v>83900</v>
      </c>
      <c r="U549" s="95">
        <f>T549/24</f>
        <v>3495.8333333333335</v>
      </c>
      <c r="V549" s="95">
        <v>83900</v>
      </c>
      <c r="W549" s="95">
        <f>V549/24</f>
        <v>3495.8333333333335</v>
      </c>
      <c r="X549" s="128"/>
      <c r="Y549" s="95">
        <v>0</v>
      </c>
      <c r="Z549" s="95">
        <v>8500</v>
      </c>
      <c r="AA549" s="95">
        <f>IFERROR(IF(D549="Premium",0.4*Y549,0),"No Disp")</f>
        <v>0</v>
      </c>
      <c r="AB549" s="95">
        <f>IFERROR(IF(4*Y549&gt;AC549,1.5*Y549,4*Y549),"No Disp")</f>
        <v>0</v>
      </c>
      <c r="AC549" s="95">
        <f>IF(Z549="No Disp","No Disp",(Z549*18)+Y549)</f>
        <v>153000</v>
      </c>
      <c r="AD549" s="95">
        <f>18*Z549-100+Y549</f>
        <v>152900</v>
      </c>
      <c r="AE549" s="95">
        <v>0</v>
      </c>
      <c r="AF549" s="95">
        <v>8000</v>
      </c>
      <c r="AG549" s="95">
        <f>IF(AF549="No Disp","No Disp",(AF549*18)+AE549)</f>
        <v>144000</v>
      </c>
      <c r="AH549" s="98">
        <f>18*AF549-100+AE549</f>
        <v>143900</v>
      </c>
      <c r="AI549" s="95" t="s">
        <v>4613</v>
      </c>
      <c r="AJ549" s="99"/>
      <c r="AK549" s="100" t="s">
        <v>43</v>
      </c>
      <c r="AL549" s="100" t="s">
        <v>43</v>
      </c>
      <c r="AM549" s="100" t="str">
        <f>IF(AL549&lt;&gt;"No Disp",AK549+12*AL549,"No Disp")</f>
        <v>No Disp</v>
      </c>
      <c r="AN549" s="100" t="s">
        <v>43</v>
      </c>
      <c r="AO549" s="100" t="s">
        <v>43</v>
      </c>
      <c r="AP549" s="100" t="str">
        <f>IF(AO549&lt;&gt;"No Disp",AN549+12*AO549,"No Disp")</f>
        <v>No Disp</v>
      </c>
      <c r="AQ549" s="100" t="s">
        <v>43</v>
      </c>
      <c r="AR549" s="100" t="s">
        <v>43</v>
      </c>
      <c r="AS549" s="100" t="str">
        <f>IF(AR549&lt;&gt;"No Disp",AQ549+12*AR549,"No Disp")</f>
        <v>No Disp</v>
      </c>
    </row>
    <row r="550" spans="1:45" s="101" customFormat="1" x14ac:dyDescent="0.25">
      <c r="A550" s="90" t="s">
        <v>38</v>
      </c>
      <c r="B550" s="90" t="s">
        <v>39</v>
      </c>
      <c r="C550" s="90" t="s">
        <v>40</v>
      </c>
      <c r="D550" s="90" t="s">
        <v>4541</v>
      </c>
      <c r="E550" s="90" t="s">
        <v>4538</v>
      </c>
      <c r="F550" s="91">
        <v>508</v>
      </c>
      <c r="G550" s="92">
        <v>70012826</v>
      </c>
      <c r="H550" s="91">
        <v>70012827</v>
      </c>
      <c r="I550" s="93" t="s">
        <v>46</v>
      </c>
      <c r="J550" s="94" t="s">
        <v>103</v>
      </c>
      <c r="K550" s="94" t="s">
        <v>106</v>
      </c>
      <c r="L550" s="94" t="s">
        <v>107</v>
      </c>
      <c r="M550" s="95">
        <v>83900</v>
      </c>
      <c r="N550" s="95">
        <v>2500</v>
      </c>
      <c r="O550" s="95">
        <v>4000</v>
      </c>
      <c r="P550" s="96">
        <v>129990</v>
      </c>
      <c r="Q550" s="152"/>
      <c r="R550" s="95">
        <v>93990</v>
      </c>
      <c r="S550" s="95">
        <f>R550/24</f>
        <v>3916.25</v>
      </c>
      <c r="T550" s="95">
        <v>83900</v>
      </c>
      <c r="U550" s="95">
        <f>T550/24</f>
        <v>3495.8333333333335</v>
      </c>
      <c r="V550" s="95">
        <v>83900</v>
      </c>
      <c r="W550" s="95">
        <f>V550/24</f>
        <v>3495.8333333333335</v>
      </c>
      <c r="X550" s="128"/>
      <c r="Y550" s="95">
        <v>0</v>
      </c>
      <c r="Z550" s="95">
        <v>8500</v>
      </c>
      <c r="AA550" s="95">
        <f>IFERROR(IF(D550="Premium",0.4*Y550,0),"No Disp")</f>
        <v>0</v>
      </c>
      <c r="AB550" s="95">
        <f>IFERROR(IF(4*Y550&gt;AC550,1.5*Y550,4*Y550),"No Disp")</f>
        <v>0</v>
      </c>
      <c r="AC550" s="95">
        <f>IF(Z550="No Disp","No Disp",(Z550*18)+Y550)</f>
        <v>153000</v>
      </c>
      <c r="AD550" s="95">
        <f>18*Z550-100+Y550</f>
        <v>152900</v>
      </c>
      <c r="AE550" s="95">
        <v>0</v>
      </c>
      <c r="AF550" s="95">
        <v>8000</v>
      </c>
      <c r="AG550" s="95">
        <f>IF(AF550="No Disp","No Disp",(AF550*18)+AE550)</f>
        <v>144000</v>
      </c>
      <c r="AH550" s="98">
        <f>18*AF550-100+AE550</f>
        <v>143900</v>
      </c>
      <c r="AI550" s="95" t="s">
        <v>4613</v>
      </c>
      <c r="AJ550" s="99"/>
      <c r="AK550" s="100" t="s">
        <v>43</v>
      </c>
      <c r="AL550" s="100" t="s">
        <v>43</v>
      </c>
      <c r="AM550" s="100" t="str">
        <f>IF(AL550&lt;&gt;"No Disp",AK550+12*AL550,"No Disp")</f>
        <v>No Disp</v>
      </c>
      <c r="AN550" s="100" t="s">
        <v>43</v>
      </c>
      <c r="AO550" s="100" t="s">
        <v>43</v>
      </c>
      <c r="AP550" s="100" t="str">
        <f>IF(AO550&lt;&gt;"No Disp",AN550+12*AO550,"No Disp")</f>
        <v>No Disp</v>
      </c>
      <c r="AQ550" s="100" t="s">
        <v>43</v>
      </c>
      <c r="AR550" s="100" t="s">
        <v>43</v>
      </c>
      <c r="AS550" s="100" t="str">
        <f>IF(AR550&lt;&gt;"No Disp",AQ550+12*AR550,"No Disp")</f>
        <v>No Disp</v>
      </c>
    </row>
    <row r="551" spans="1:45" s="101" customFormat="1" x14ac:dyDescent="0.25">
      <c r="A551" s="90" t="s">
        <v>38</v>
      </c>
      <c r="B551" s="90" t="s">
        <v>39</v>
      </c>
      <c r="C551" s="90" t="s">
        <v>40</v>
      </c>
      <c r="D551" s="90" t="s">
        <v>4541</v>
      </c>
      <c r="E551" s="90" t="s">
        <v>4538</v>
      </c>
      <c r="F551" s="91">
        <v>499</v>
      </c>
      <c r="G551" s="92">
        <v>70012817</v>
      </c>
      <c r="H551" s="91">
        <v>70012848</v>
      </c>
      <c r="I551" s="93" t="s">
        <v>112</v>
      </c>
      <c r="J551" s="94" t="s">
        <v>115</v>
      </c>
      <c r="K551" s="94" t="s">
        <v>118</v>
      </c>
      <c r="L551" s="94" t="s">
        <v>119</v>
      </c>
      <c r="M551" s="95">
        <v>54900</v>
      </c>
      <c r="N551" s="95">
        <v>2500</v>
      </c>
      <c r="O551" s="95">
        <v>4000</v>
      </c>
      <c r="P551" s="96">
        <v>89990</v>
      </c>
      <c r="Q551" s="152"/>
      <c r="R551" s="95">
        <v>54990</v>
      </c>
      <c r="S551" s="95">
        <f>R551/24</f>
        <v>2291.25</v>
      </c>
      <c r="T551" s="95">
        <v>54900</v>
      </c>
      <c r="U551" s="95">
        <f>T551/24</f>
        <v>2287.5</v>
      </c>
      <c r="V551" s="95">
        <v>54900</v>
      </c>
      <c r="W551" s="95">
        <f>V551/24</f>
        <v>2287.5</v>
      </c>
      <c r="X551" s="128"/>
      <c r="Y551" s="95">
        <v>0</v>
      </c>
      <c r="Z551" s="95">
        <v>5000</v>
      </c>
      <c r="AA551" s="95">
        <f>IFERROR(IF(D551="Premium",0.4*Y551,0),"No Disp")</f>
        <v>0</v>
      </c>
      <c r="AB551" s="95">
        <f>IFERROR(IF(4*Y551&gt;AC551,1.5*Y551,4*Y551),"No Disp")</f>
        <v>0</v>
      </c>
      <c r="AC551" s="95">
        <f>IF(Z551="No Disp","No Disp",(Z551*18)+Y551)</f>
        <v>90000</v>
      </c>
      <c r="AD551" s="95">
        <f>18*Z551-100+Y551</f>
        <v>89900</v>
      </c>
      <c r="AE551" s="95">
        <v>0</v>
      </c>
      <c r="AF551" s="95">
        <v>4500</v>
      </c>
      <c r="AG551" s="95">
        <f>IF(AF551="No Disp","No Disp",(AF551*18)+AE551)</f>
        <v>81000</v>
      </c>
      <c r="AH551" s="98">
        <f>18*AF551-100+AE551</f>
        <v>80900</v>
      </c>
      <c r="AI551" s="95" t="s">
        <v>4613</v>
      </c>
      <c r="AJ551" s="99"/>
      <c r="AK551" s="100" t="s">
        <v>43</v>
      </c>
      <c r="AL551" s="100" t="s">
        <v>43</v>
      </c>
      <c r="AM551" s="100" t="str">
        <f>IF(AL551&lt;&gt;"No Disp",AK551+12*AL551,"No Disp")</f>
        <v>No Disp</v>
      </c>
      <c r="AN551" s="100" t="s">
        <v>43</v>
      </c>
      <c r="AO551" s="100" t="s">
        <v>43</v>
      </c>
      <c r="AP551" s="100" t="str">
        <f>IF(AO551&lt;&gt;"No Disp",AN551+12*AO551,"No Disp")</f>
        <v>No Disp</v>
      </c>
      <c r="AQ551" s="100" t="s">
        <v>43</v>
      </c>
      <c r="AR551" s="100" t="s">
        <v>43</v>
      </c>
      <c r="AS551" s="100" t="str">
        <f>IF(AR551&lt;&gt;"No Disp",AQ551+12*AR551,"No Disp")</f>
        <v>No Disp</v>
      </c>
    </row>
    <row r="552" spans="1:45" s="101" customFormat="1" x14ac:dyDescent="0.25">
      <c r="A552" s="90" t="s">
        <v>102</v>
      </c>
      <c r="B552" s="90" t="s">
        <v>39</v>
      </c>
      <c r="C552" s="90" t="s">
        <v>40</v>
      </c>
      <c r="D552" s="90" t="s">
        <v>4541</v>
      </c>
      <c r="E552" s="90" t="s">
        <v>4538</v>
      </c>
      <c r="F552" s="91">
        <v>658</v>
      </c>
      <c r="G552" s="92">
        <v>70012850</v>
      </c>
      <c r="H552" s="91">
        <v>70012851</v>
      </c>
      <c r="I552" s="93" t="s">
        <v>112</v>
      </c>
      <c r="J552" s="94" t="s">
        <v>3970</v>
      </c>
      <c r="K552" s="102" t="s">
        <v>3966</v>
      </c>
      <c r="L552" s="94" t="s">
        <v>3971</v>
      </c>
      <c r="M552" s="95">
        <v>89900</v>
      </c>
      <c r="N552" s="95">
        <v>2500</v>
      </c>
      <c r="O552" s="95">
        <v>4000</v>
      </c>
      <c r="P552" s="96">
        <v>169990</v>
      </c>
      <c r="Q552" s="152"/>
      <c r="R552" s="95">
        <v>99990</v>
      </c>
      <c r="S552" s="95">
        <f>R552/24</f>
        <v>4166.25</v>
      </c>
      <c r="T552" s="95">
        <v>89900</v>
      </c>
      <c r="U552" s="95">
        <f>T552/24</f>
        <v>3745.8333333333335</v>
      </c>
      <c r="V552" s="95">
        <v>89900</v>
      </c>
      <c r="W552" s="95">
        <f>V552/24</f>
        <v>3745.8333333333335</v>
      </c>
      <c r="X552" s="128"/>
      <c r="Y552" s="95">
        <v>0</v>
      </c>
      <c r="Z552" s="95">
        <v>8500</v>
      </c>
      <c r="AA552" s="95">
        <f>IFERROR(IF(D552="Premium",0.4*Y552,0),"No Disp")</f>
        <v>0</v>
      </c>
      <c r="AB552" s="95">
        <f>IFERROR(IF(4*Y552&gt;AC552,1.5*Y552,4*Y552),"No Disp")</f>
        <v>0</v>
      </c>
      <c r="AC552" s="95">
        <f>IF(Z552="No Disp","No Disp",(Z552*18)+Y552)</f>
        <v>153000</v>
      </c>
      <c r="AD552" s="95">
        <f>18*Z552-100+Y552</f>
        <v>152900</v>
      </c>
      <c r="AE552" s="95">
        <v>0</v>
      </c>
      <c r="AF552" s="95">
        <v>7500</v>
      </c>
      <c r="AG552" s="95">
        <f>IF(AF552="No Disp","No Disp",(AF552*18)+AE552)</f>
        <v>135000</v>
      </c>
      <c r="AH552" s="98">
        <f>18*AF552-100+AE552</f>
        <v>134900</v>
      </c>
      <c r="AI552" s="95" t="s">
        <v>4613</v>
      </c>
      <c r="AJ552" s="99"/>
      <c r="AK552" s="100" t="s">
        <v>43</v>
      </c>
      <c r="AL552" s="100" t="s">
        <v>43</v>
      </c>
      <c r="AM552" s="100" t="str">
        <f>IF(AL552&lt;&gt;"No Disp",AK552+12*AL552,"No Disp")</f>
        <v>No Disp</v>
      </c>
      <c r="AN552" s="100" t="s">
        <v>43</v>
      </c>
      <c r="AO552" s="100" t="s">
        <v>43</v>
      </c>
      <c r="AP552" s="100" t="str">
        <f>IF(AO552&lt;&gt;"No Disp",AN552+12*AO552,"No Disp")</f>
        <v>No Disp</v>
      </c>
      <c r="AQ552" s="100" t="s">
        <v>43</v>
      </c>
      <c r="AR552" s="100" t="s">
        <v>43</v>
      </c>
      <c r="AS552" s="100" t="str">
        <f>IF(AR552&lt;&gt;"No Disp",AQ552+12*AR552,"No Disp")</f>
        <v>No Disp</v>
      </c>
    </row>
    <row r="553" spans="1:45" s="101" customFormat="1" x14ac:dyDescent="0.25">
      <c r="A553" s="90" t="s">
        <v>102</v>
      </c>
      <c r="B553" s="90" t="s">
        <v>39</v>
      </c>
      <c r="C553" s="90" t="s">
        <v>40</v>
      </c>
      <c r="D553" s="90" t="s">
        <v>4537</v>
      </c>
      <c r="E553" s="90" t="s">
        <v>4542</v>
      </c>
      <c r="F553" s="91">
        <v>510</v>
      </c>
      <c r="G553" s="92">
        <v>70012853</v>
      </c>
      <c r="H553" s="91">
        <v>70012854</v>
      </c>
      <c r="I553" s="93" t="s">
        <v>41</v>
      </c>
      <c r="J553" s="94" t="s">
        <v>208</v>
      </c>
      <c r="K553" s="94" t="s">
        <v>209</v>
      </c>
      <c r="L553" s="94" t="s">
        <v>210</v>
      </c>
      <c r="M553" s="95">
        <v>359900</v>
      </c>
      <c r="N553" s="95">
        <v>6000</v>
      </c>
      <c r="O553" s="95">
        <v>8500</v>
      </c>
      <c r="P553" s="96">
        <v>609990</v>
      </c>
      <c r="Q553" s="152"/>
      <c r="R553" s="95">
        <v>399990</v>
      </c>
      <c r="S553" s="95">
        <f>R553/24</f>
        <v>16666.25</v>
      </c>
      <c r="T553" s="95">
        <v>359900</v>
      </c>
      <c r="U553" s="95">
        <f>T553/24</f>
        <v>14995.833333333334</v>
      </c>
      <c r="V553" s="95">
        <v>359900</v>
      </c>
      <c r="W553" s="95">
        <f>V553/24</f>
        <v>14995.833333333334</v>
      </c>
      <c r="X553" s="128"/>
      <c r="Y553" s="95">
        <v>0</v>
      </c>
      <c r="Z553" s="95">
        <v>34500</v>
      </c>
      <c r="AA553" s="95">
        <f>IFERROR(IF(D553="Premium",0.4*Y553,0),"No Disp")</f>
        <v>0</v>
      </c>
      <c r="AB553" s="95">
        <f>IFERROR(IF(4*Y553&gt;AC553,1.5*Y553,4*Y553),"No Disp")</f>
        <v>0</v>
      </c>
      <c r="AC553" s="95">
        <f>IF(Z553="No Disp","No Disp",(Z553*18)+Y553)</f>
        <v>621000</v>
      </c>
      <c r="AD553" s="95">
        <f>18*Z553-100+Y553</f>
        <v>620900</v>
      </c>
      <c r="AE553" s="95">
        <v>0</v>
      </c>
      <c r="AF553" s="95">
        <v>33000</v>
      </c>
      <c r="AG553" s="95">
        <f>IF(AF553="No Disp","No Disp",(AF553*18)+AE553)</f>
        <v>594000</v>
      </c>
      <c r="AH553" s="98">
        <f>18*AF553-100+AE553</f>
        <v>593900</v>
      </c>
      <c r="AI553" s="95" t="s">
        <v>4613</v>
      </c>
      <c r="AJ553" s="99"/>
      <c r="AK553" s="100">
        <v>0</v>
      </c>
      <c r="AL553" s="100">
        <v>20000</v>
      </c>
      <c r="AM553" s="100">
        <f>IF(AL553&lt;&gt;"No Disp",AK553+12*AL553,"No Disp")</f>
        <v>240000</v>
      </c>
      <c r="AN553" s="100">
        <v>0</v>
      </c>
      <c r="AO553" s="100">
        <v>20000</v>
      </c>
      <c r="AP553" s="100">
        <f>IF(AO553&lt;&gt;"No Disp",AN553+12*AO553,"No Disp")</f>
        <v>240000</v>
      </c>
      <c r="AQ553" s="100">
        <v>0</v>
      </c>
      <c r="AR553" s="100">
        <v>20000</v>
      </c>
      <c r="AS553" s="100">
        <f>IF(AR553&lt;&gt;"No Disp",AQ553+12*AR553,"No Disp")</f>
        <v>240000</v>
      </c>
    </row>
    <row r="554" spans="1:45" s="101" customFormat="1" x14ac:dyDescent="0.25">
      <c r="A554" s="90" t="s">
        <v>102</v>
      </c>
      <c r="B554" s="90" t="s">
        <v>39</v>
      </c>
      <c r="C554" s="90" t="s">
        <v>40</v>
      </c>
      <c r="D554" s="90" t="s">
        <v>4540</v>
      </c>
      <c r="E554" s="90" t="s">
        <v>4542</v>
      </c>
      <c r="F554" s="91">
        <v>564</v>
      </c>
      <c r="G554" s="92">
        <v>70013110</v>
      </c>
      <c r="H554" s="91">
        <v>70012854</v>
      </c>
      <c r="I554" s="93" t="s">
        <v>63</v>
      </c>
      <c r="J554" s="94" t="s">
        <v>135</v>
      </c>
      <c r="K554" s="94" t="s">
        <v>136</v>
      </c>
      <c r="L554" s="94" t="s">
        <v>137</v>
      </c>
      <c r="M554" s="95">
        <v>1649900</v>
      </c>
      <c r="N554" s="95">
        <v>9500</v>
      </c>
      <c r="O554" s="95">
        <v>13500</v>
      </c>
      <c r="P554" s="96">
        <v>1899990</v>
      </c>
      <c r="Q554" s="152"/>
      <c r="R554" s="95">
        <v>1899990</v>
      </c>
      <c r="S554" s="95">
        <f>R554/24</f>
        <v>79166.25</v>
      </c>
      <c r="T554" s="95">
        <v>1649900</v>
      </c>
      <c r="U554" s="95">
        <f>T554/24</f>
        <v>68745.833333333328</v>
      </c>
      <c r="V554" s="95">
        <v>1649900</v>
      </c>
      <c r="W554" s="95">
        <f>V554/24</f>
        <v>68745.833333333328</v>
      </c>
      <c r="X554" s="128"/>
      <c r="Y554" s="95">
        <v>699900</v>
      </c>
      <c r="Z554" s="95">
        <v>85000</v>
      </c>
      <c r="AA554" s="95">
        <f>IFERROR(IF(D554="Premium",0.4*Y554,0),"No Disp")</f>
        <v>279960</v>
      </c>
      <c r="AB554" s="95">
        <f>IFERROR(IF(4*Y554&gt;AC554,1.5*Y554,4*Y554),"No Disp")</f>
        <v>1049850</v>
      </c>
      <c r="AC554" s="95">
        <f>IF(Z554="No Disp","No Disp",(Z554*18)+Y554)</f>
        <v>2229900</v>
      </c>
      <c r="AD554" s="95">
        <f>18*Z554-100+Y554</f>
        <v>2229800</v>
      </c>
      <c r="AE554" s="95">
        <v>599900</v>
      </c>
      <c r="AF554" s="95">
        <v>83000</v>
      </c>
      <c r="AG554" s="95">
        <f>IF(AF554="No Disp","No Disp",(AF554*18)+AE554)</f>
        <v>2093900</v>
      </c>
      <c r="AH554" s="98">
        <f>18*AF554-100+AE554</f>
        <v>2093800</v>
      </c>
      <c r="AI554" s="95" t="s">
        <v>4613</v>
      </c>
      <c r="AJ554" s="99"/>
      <c r="AK554" s="100" t="s">
        <v>43</v>
      </c>
      <c r="AL554" s="100" t="s">
        <v>43</v>
      </c>
      <c r="AM554" s="100" t="str">
        <f>IF(AL554&lt;&gt;"No Disp",AK554+12*AL554,"No Disp")</f>
        <v>No Disp</v>
      </c>
      <c r="AN554" s="100" t="s">
        <v>43</v>
      </c>
      <c r="AO554" s="100" t="s">
        <v>43</v>
      </c>
      <c r="AP554" s="100" t="str">
        <f>IF(AO554&lt;&gt;"No Disp",AN554+12*AO554,"No Disp")</f>
        <v>No Disp</v>
      </c>
      <c r="AQ554" s="100" t="s">
        <v>43</v>
      </c>
      <c r="AR554" s="100" t="s">
        <v>43</v>
      </c>
      <c r="AS554" s="100" t="str">
        <f>IF(AR554&lt;&gt;"No Disp",AQ554+12*AR554,"No Disp")</f>
        <v>No Disp</v>
      </c>
    </row>
    <row r="555" spans="1:45" s="101" customFormat="1" x14ac:dyDescent="0.25">
      <c r="A555" s="90" t="s">
        <v>38</v>
      </c>
      <c r="B555" s="90" t="s">
        <v>39</v>
      </c>
      <c r="C555" s="90" t="s">
        <v>40</v>
      </c>
      <c r="D555" s="90" t="s">
        <v>4541</v>
      </c>
      <c r="E555" s="90" t="s">
        <v>4538</v>
      </c>
      <c r="F555" s="91">
        <v>584</v>
      </c>
      <c r="G555" s="92">
        <v>70012856</v>
      </c>
      <c r="H555" s="91">
        <v>70012857</v>
      </c>
      <c r="I555" s="93" t="s">
        <v>131</v>
      </c>
      <c r="J555" s="94" t="s">
        <v>132</v>
      </c>
      <c r="K555" s="94" t="s">
        <v>2844</v>
      </c>
      <c r="L555" s="94" t="s">
        <v>2845</v>
      </c>
      <c r="M555" s="95">
        <v>109900</v>
      </c>
      <c r="N555" s="95">
        <v>2500</v>
      </c>
      <c r="O555" s="95">
        <v>4000</v>
      </c>
      <c r="P555" s="96">
        <v>169990</v>
      </c>
      <c r="Q555" s="152"/>
      <c r="R555" s="95">
        <v>119990</v>
      </c>
      <c r="S555" s="95">
        <f>R555/24</f>
        <v>4999.583333333333</v>
      </c>
      <c r="T555" s="95">
        <v>109900</v>
      </c>
      <c r="U555" s="95">
        <f>T555/24</f>
        <v>4579.166666666667</v>
      </c>
      <c r="V555" s="95">
        <v>109900</v>
      </c>
      <c r="W555" s="95">
        <f>V555/24</f>
        <v>4579.166666666667</v>
      </c>
      <c r="X555" s="128"/>
      <c r="Y555" s="95">
        <v>0</v>
      </c>
      <c r="Z555" s="95">
        <v>12500</v>
      </c>
      <c r="AA555" s="95">
        <f>IFERROR(IF(D555="Premium",0.4*Y555,0),"No Disp")</f>
        <v>0</v>
      </c>
      <c r="AB555" s="95">
        <f>IFERROR(IF(4*Y555&gt;AC555,1.5*Y555,4*Y555),"No Disp")</f>
        <v>0</v>
      </c>
      <c r="AC555" s="95">
        <f>IF(Z555="No Disp","No Disp",(Z555*18)+Y555)</f>
        <v>225000</v>
      </c>
      <c r="AD555" s="95">
        <f>18*Z555-100+Y555</f>
        <v>224900</v>
      </c>
      <c r="AE555" s="95">
        <v>0</v>
      </c>
      <c r="AF555" s="95">
        <v>11000</v>
      </c>
      <c r="AG555" s="95">
        <f>IF(AF555="No Disp","No Disp",(AF555*18)+AE555)</f>
        <v>198000</v>
      </c>
      <c r="AH555" s="98">
        <f>18*AF555-100+AE555</f>
        <v>197900</v>
      </c>
      <c r="AI555" s="95" t="s">
        <v>4613</v>
      </c>
      <c r="AJ555" s="99"/>
      <c r="AK555" s="100" t="s">
        <v>43</v>
      </c>
      <c r="AL555" s="100" t="s">
        <v>43</v>
      </c>
      <c r="AM555" s="100" t="str">
        <f>IF(AL555&lt;&gt;"No Disp",AK555+12*AL555,"No Disp")</f>
        <v>No Disp</v>
      </c>
      <c r="AN555" s="100" t="s">
        <v>43</v>
      </c>
      <c r="AO555" s="100" t="s">
        <v>43</v>
      </c>
      <c r="AP555" s="100" t="str">
        <f>IF(AO555&lt;&gt;"No Disp",AN555+12*AO555,"No Disp")</f>
        <v>No Disp</v>
      </c>
      <c r="AQ555" s="100" t="s">
        <v>43</v>
      </c>
      <c r="AR555" s="100" t="s">
        <v>43</v>
      </c>
      <c r="AS555" s="100" t="str">
        <f>IF(AR555&lt;&gt;"No Disp",AQ555+12*AR555,"No Disp")</f>
        <v>No Disp</v>
      </c>
    </row>
    <row r="556" spans="1:45" s="101" customFormat="1" x14ac:dyDescent="0.25">
      <c r="A556" s="90" t="s">
        <v>102</v>
      </c>
      <c r="B556" s="90" t="s">
        <v>39</v>
      </c>
      <c r="C556" s="90" t="s">
        <v>40</v>
      </c>
      <c r="D556" s="90" t="s">
        <v>4541</v>
      </c>
      <c r="E556" s="90" t="s">
        <v>4538</v>
      </c>
      <c r="F556" s="91">
        <v>583</v>
      </c>
      <c r="G556" s="92">
        <v>70012859</v>
      </c>
      <c r="H556" s="91">
        <v>70012860</v>
      </c>
      <c r="I556" s="93" t="s">
        <v>131</v>
      </c>
      <c r="J556" s="94" t="s">
        <v>132</v>
      </c>
      <c r="K556" s="94" t="s">
        <v>2846</v>
      </c>
      <c r="L556" s="94" t="s">
        <v>2847</v>
      </c>
      <c r="M556" s="95">
        <v>109900</v>
      </c>
      <c r="N556" s="95">
        <v>2500</v>
      </c>
      <c r="O556" s="95">
        <v>4000</v>
      </c>
      <c r="P556" s="96">
        <v>169990</v>
      </c>
      <c r="Q556" s="152"/>
      <c r="R556" s="95">
        <v>119990</v>
      </c>
      <c r="S556" s="95">
        <f>R556/24</f>
        <v>4999.583333333333</v>
      </c>
      <c r="T556" s="95">
        <v>109900</v>
      </c>
      <c r="U556" s="95">
        <f>T556/24</f>
        <v>4579.166666666667</v>
      </c>
      <c r="V556" s="95">
        <v>109900</v>
      </c>
      <c r="W556" s="95">
        <f>V556/24</f>
        <v>4579.166666666667</v>
      </c>
      <c r="X556" s="128"/>
      <c r="Y556" s="95">
        <v>0</v>
      </c>
      <c r="Z556" s="95">
        <v>12500</v>
      </c>
      <c r="AA556" s="95">
        <f>IFERROR(IF(D556="Premium",0.4*Y556,0),"No Disp")</f>
        <v>0</v>
      </c>
      <c r="AB556" s="95">
        <f>IFERROR(IF(4*Y556&gt;AC556,1.5*Y556,4*Y556),"No Disp")</f>
        <v>0</v>
      </c>
      <c r="AC556" s="95">
        <f>IF(Z556="No Disp","No Disp",(Z556*18)+Y556)</f>
        <v>225000</v>
      </c>
      <c r="AD556" s="95">
        <f>18*Z556-100+Y556</f>
        <v>224900</v>
      </c>
      <c r="AE556" s="95">
        <v>0</v>
      </c>
      <c r="AF556" s="95">
        <v>11000</v>
      </c>
      <c r="AG556" s="95">
        <f>IF(AF556="No Disp","No Disp",(AF556*18)+AE556)</f>
        <v>198000</v>
      </c>
      <c r="AH556" s="98">
        <f>18*AF556-100+AE556</f>
        <v>197900</v>
      </c>
      <c r="AI556" s="95" t="s">
        <v>4613</v>
      </c>
      <c r="AJ556" s="99"/>
      <c r="AK556" s="100" t="s">
        <v>43</v>
      </c>
      <c r="AL556" s="100" t="s">
        <v>43</v>
      </c>
      <c r="AM556" s="100" t="str">
        <f>IF(AL556&lt;&gt;"No Disp",AK556+12*AL556,"No Disp")</f>
        <v>No Disp</v>
      </c>
      <c r="AN556" s="100" t="s">
        <v>43</v>
      </c>
      <c r="AO556" s="100" t="s">
        <v>43</v>
      </c>
      <c r="AP556" s="100" t="str">
        <f>IF(AO556&lt;&gt;"No Disp",AN556+12*AO556,"No Disp")</f>
        <v>No Disp</v>
      </c>
      <c r="AQ556" s="100" t="s">
        <v>43</v>
      </c>
      <c r="AR556" s="100" t="s">
        <v>43</v>
      </c>
      <c r="AS556" s="100" t="str">
        <f>IF(AR556&lt;&gt;"No Disp",AQ556+12*AR556,"No Disp")</f>
        <v>No Disp</v>
      </c>
    </row>
    <row r="557" spans="1:45" s="101" customFormat="1" x14ac:dyDescent="0.25">
      <c r="A557" s="90" t="s">
        <v>38</v>
      </c>
      <c r="B557" s="90" t="s">
        <v>39</v>
      </c>
      <c r="C557" s="90" t="s">
        <v>40</v>
      </c>
      <c r="D557" s="90" t="s">
        <v>4541</v>
      </c>
      <c r="E557" s="90" t="s">
        <v>4538</v>
      </c>
      <c r="F557" s="91">
        <v>582</v>
      </c>
      <c r="G557" s="92">
        <v>70012862</v>
      </c>
      <c r="H557" s="91">
        <v>70012863</v>
      </c>
      <c r="I557" s="93" t="s">
        <v>131</v>
      </c>
      <c r="J557" s="94" t="s">
        <v>132</v>
      </c>
      <c r="K557" s="94" t="s">
        <v>2848</v>
      </c>
      <c r="L557" s="94" t="s">
        <v>2849</v>
      </c>
      <c r="M557" s="95">
        <v>109900</v>
      </c>
      <c r="N557" s="95">
        <v>2500</v>
      </c>
      <c r="O557" s="95">
        <v>4000</v>
      </c>
      <c r="P557" s="96">
        <v>169990</v>
      </c>
      <c r="Q557" s="152"/>
      <c r="R557" s="95">
        <v>119990</v>
      </c>
      <c r="S557" s="95">
        <f>R557/24</f>
        <v>4999.583333333333</v>
      </c>
      <c r="T557" s="95">
        <v>109900</v>
      </c>
      <c r="U557" s="95">
        <f>T557/24</f>
        <v>4579.166666666667</v>
      </c>
      <c r="V557" s="95">
        <v>109900</v>
      </c>
      <c r="W557" s="95">
        <f>V557/24</f>
        <v>4579.166666666667</v>
      </c>
      <c r="X557" s="128"/>
      <c r="Y557" s="95">
        <v>0</v>
      </c>
      <c r="Z557" s="95">
        <v>12500</v>
      </c>
      <c r="AA557" s="95">
        <f>IFERROR(IF(D557="Premium",0.4*Y557,0),"No Disp")</f>
        <v>0</v>
      </c>
      <c r="AB557" s="95">
        <f>IFERROR(IF(4*Y557&gt;AC557,1.5*Y557,4*Y557),"No Disp")</f>
        <v>0</v>
      </c>
      <c r="AC557" s="95">
        <f>IF(Z557="No Disp","No Disp",(Z557*18)+Y557)</f>
        <v>225000</v>
      </c>
      <c r="AD557" s="95">
        <f>18*Z557-100+Y557</f>
        <v>224900</v>
      </c>
      <c r="AE557" s="95">
        <v>0</v>
      </c>
      <c r="AF557" s="95">
        <v>11000</v>
      </c>
      <c r="AG557" s="95">
        <f>IF(AF557="No Disp","No Disp",(AF557*18)+AE557)</f>
        <v>198000</v>
      </c>
      <c r="AH557" s="98">
        <f>18*AF557-100+AE557</f>
        <v>197900</v>
      </c>
      <c r="AI557" s="95" t="s">
        <v>4613</v>
      </c>
      <c r="AJ557" s="99"/>
      <c r="AK557" s="100" t="s">
        <v>43</v>
      </c>
      <c r="AL557" s="100" t="s">
        <v>43</v>
      </c>
      <c r="AM557" s="100" t="str">
        <f>IF(AL557&lt;&gt;"No Disp",AK557+12*AL557,"No Disp")</f>
        <v>No Disp</v>
      </c>
      <c r="AN557" s="100" t="s">
        <v>43</v>
      </c>
      <c r="AO557" s="100" t="s">
        <v>43</v>
      </c>
      <c r="AP557" s="100" t="str">
        <f>IF(AO557&lt;&gt;"No Disp",AN557+12*AO557,"No Disp")</f>
        <v>No Disp</v>
      </c>
      <c r="AQ557" s="100" t="s">
        <v>43</v>
      </c>
      <c r="AR557" s="100" t="s">
        <v>43</v>
      </c>
      <c r="AS557" s="100" t="str">
        <f>IF(AR557&lt;&gt;"No Disp",AQ557+12*AR557,"No Disp")</f>
        <v>No Disp</v>
      </c>
    </row>
    <row r="558" spans="1:45" s="101" customFormat="1" x14ac:dyDescent="0.25">
      <c r="A558" s="90" t="s">
        <v>38</v>
      </c>
      <c r="B558" s="90" t="s">
        <v>39</v>
      </c>
      <c r="C558" s="90" t="s">
        <v>40</v>
      </c>
      <c r="D558" s="90" t="s">
        <v>4541</v>
      </c>
      <c r="E558" s="90" t="s">
        <v>4538</v>
      </c>
      <c r="F558" s="91">
        <v>507</v>
      </c>
      <c r="G558" s="92">
        <v>70012865</v>
      </c>
      <c r="H558" s="91">
        <v>70012866</v>
      </c>
      <c r="I558" s="93" t="s">
        <v>46</v>
      </c>
      <c r="J558" s="94" t="s">
        <v>103</v>
      </c>
      <c r="K558" s="94" t="s">
        <v>108</v>
      </c>
      <c r="L558" s="94" t="s">
        <v>109</v>
      </c>
      <c r="M558" s="95">
        <v>83900</v>
      </c>
      <c r="N558" s="95">
        <v>2500</v>
      </c>
      <c r="O558" s="95">
        <v>4000</v>
      </c>
      <c r="P558" s="96">
        <v>129990</v>
      </c>
      <c r="Q558" s="152"/>
      <c r="R558" s="95">
        <v>93990</v>
      </c>
      <c r="S558" s="95">
        <f>R558/24</f>
        <v>3916.25</v>
      </c>
      <c r="T558" s="95">
        <v>83900</v>
      </c>
      <c r="U558" s="95">
        <f>T558/24</f>
        <v>3495.8333333333335</v>
      </c>
      <c r="V558" s="95">
        <v>83900</v>
      </c>
      <c r="W558" s="95">
        <f>V558/24</f>
        <v>3495.8333333333335</v>
      </c>
      <c r="X558" s="128"/>
      <c r="Y558" s="95">
        <v>0</v>
      </c>
      <c r="Z558" s="95">
        <v>8500</v>
      </c>
      <c r="AA558" s="95">
        <f>IFERROR(IF(D558="Premium",0.4*Y558,0),"No Disp")</f>
        <v>0</v>
      </c>
      <c r="AB558" s="95">
        <f>IFERROR(IF(4*Y558&gt;AC558,1.5*Y558,4*Y558),"No Disp")</f>
        <v>0</v>
      </c>
      <c r="AC558" s="95">
        <f>IF(Z558="No Disp","No Disp",(Z558*18)+Y558)</f>
        <v>153000</v>
      </c>
      <c r="AD558" s="95">
        <f>18*Z558-100+Y558</f>
        <v>152900</v>
      </c>
      <c r="AE558" s="95">
        <v>0</v>
      </c>
      <c r="AF558" s="95">
        <v>8000</v>
      </c>
      <c r="AG558" s="95">
        <f>IF(AF558="No Disp","No Disp",(AF558*18)+AE558)</f>
        <v>144000</v>
      </c>
      <c r="AH558" s="98">
        <f>18*AF558-100+AE558</f>
        <v>143900</v>
      </c>
      <c r="AI558" s="95" t="s">
        <v>4613</v>
      </c>
      <c r="AJ558" s="99"/>
      <c r="AK558" s="100" t="s">
        <v>43</v>
      </c>
      <c r="AL558" s="100" t="s">
        <v>43</v>
      </c>
      <c r="AM558" s="100" t="str">
        <f>IF(AL558&lt;&gt;"No Disp",AK558+12*AL558,"No Disp")</f>
        <v>No Disp</v>
      </c>
      <c r="AN558" s="100" t="s">
        <v>43</v>
      </c>
      <c r="AO558" s="100" t="s">
        <v>43</v>
      </c>
      <c r="AP558" s="100" t="str">
        <f>IF(AO558&lt;&gt;"No Disp",AN558+12*AO558,"No Disp")</f>
        <v>No Disp</v>
      </c>
      <c r="AQ558" s="100" t="s">
        <v>43</v>
      </c>
      <c r="AR558" s="100" t="s">
        <v>43</v>
      </c>
      <c r="AS558" s="100" t="str">
        <f>IF(AR558&lt;&gt;"No Disp",AQ558+12*AR558,"No Disp")</f>
        <v>No Disp</v>
      </c>
    </row>
    <row r="559" spans="1:45" s="101" customFormat="1" x14ac:dyDescent="0.25">
      <c r="A559" s="90" t="s">
        <v>38</v>
      </c>
      <c r="B559" s="90" t="s">
        <v>39</v>
      </c>
      <c r="C559" s="90" t="s">
        <v>40</v>
      </c>
      <c r="D559" s="90" t="s">
        <v>4541</v>
      </c>
      <c r="E559" s="90" t="s">
        <v>4538</v>
      </c>
      <c r="F559" s="91">
        <v>506</v>
      </c>
      <c r="G559" s="92">
        <v>70012868</v>
      </c>
      <c r="H559" s="91">
        <v>70012869</v>
      </c>
      <c r="I559" s="93" t="s">
        <v>46</v>
      </c>
      <c r="J559" s="94" t="s">
        <v>103</v>
      </c>
      <c r="K559" s="94" t="s">
        <v>110</v>
      </c>
      <c r="L559" s="94" t="s">
        <v>111</v>
      </c>
      <c r="M559" s="95">
        <v>83900</v>
      </c>
      <c r="N559" s="95">
        <v>2500</v>
      </c>
      <c r="O559" s="95">
        <v>4000</v>
      </c>
      <c r="P559" s="96">
        <v>129990</v>
      </c>
      <c r="Q559" s="152"/>
      <c r="R559" s="95">
        <v>93990</v>
      </c>
      <c r="S559" s="95">
        <f>R559/24</f>
        <v>3916.25</v>
      </c>
      <c r="T559" s="95">
        <v>83900</v>
      </c>
      <c r="U559" s="95">
        <f>T559/24</f>
        <v>3495.8333333333335</v>
      </c>
      <c r="V559" s="95">
        <v>83900</v>
      </c>
      <c r="W559" s="95">
        <f>V559/24</f>
        <v>3495.8333333333335</v>
      </c>
      <c r="X559" s="128"/>
      <c r="Y559" s="95">
        <v>0</v>
      </c>
      <c r="Z559" s="95">
        <v>8500</v>
      </c>
      <c r="AA559" s="95">
        <f>IFERROR(IF(D559="Premium",0.4*Y559,0),"No Disp")</f>
        <v>0</v>
      </c>
      <c r="AB559" s="95">
        <f>IFERROR(IF(4*Y559&gt;AC559,1.5*Y559,4*Y559),"No Disp")</f>
        <v>0</v>
      </c>
      <c r="AC559" s="95">
        <f>IF(Z559="No Disp","No Disp",(Z559*18)+Y559)</f>
        <v>153000</v>
      </c>
      <c r="AD559" s="95">
        <f>18*Z559-100+Y559</f>
        <v>152900</v>
      </c>
      <c r="AE559" s="95">
        <v>0</v>
      </c>
      <c r="AF559" s="95">
        <v>8000</v>
      </c>
      <c r="AG559" s="95">
        <f>IF(AF559="No Disp","No Disp",(AF559*18)+AE559)</f>
        <v>144000</v>
      </c>
      <c r="AH559" s="98">
        <f>18*AF559-100+AE559</f>
        <v>143900</v>
      </c>
      <c r="AI559" s="95" t="s">
        <v>4613</v>
      </c>
      <c r="AJ559" s="99"/>
      <c r="AK559" s="100" t="s">
        <v>43</v>
      </c>
      <c r="AL559" s="100" t="s">
        <v>43</v>
      </c>
      <c r="AM559" s="100" t="str">
        <f>IF(AL559&lt;&gt;"No Disp",AK559+12*AL559,"No Disp")</f>
        <v>No Disp</v>
      </c>
      <c r="AN559" s="100" t="s">
        <v>43</v>
      </c>
      <c r="AO559" s="100" t="s">
        <v>43</v>
      </c>
      <c r="AP559" s="100" t="str">
        <f>IF(AO559&lt;&gt;"No Disp",AN559+12*AO559,"No Disp")</f>
        <v>No Disp</v>
      </c>
      <c r="AQ559" s="100" t="s">
        <v>43</v>
      </c>
      <c r="AR559" s="100" t="s">
        <v>43</v>
      </c>
      <c r="AS559" s="100" t="str">
        <f>IF(AR559&lt;&gt;"No Disp",AQ559+12*AR559,"No Disp")</f>
        <v>No Disp</v>
      </c>
    </row>
    <row r="560" spans="1:45" s="101" customFormat="1" x14ac:dyDescent="0.25">
      <c r="A560" s="90" t="s">
        <v>38</v>
      </c>
      <c r="B560" s="90" t="s">
        <v>39</v>
      </c>
      <c r="C560" s="90" t="s">
        <v>40</v>
      </c>
      <c r="D560" s="90" t="s">
        <v>4540</v>
      </c>
      <c r="E560" s="90" t="s">
        <v>4538</v>
      </c>
      <c r="F560" s="91">
        <v>525</v>
      </c>
      <c r="G560" s="92">
        <v>70012870</v>
      </c>
      <c r="H560" s="91">
        <v>70012871</v>
      </c>
      <c r="I560" s="93" t="s">
        <v>46</v>
      </c>
      <c r="J560" s="94" t="s">
        <v>80</v>
      </c>
      <c r="K560" s="94" t="s">
        <v>85</v>
      </c>
      <c r="L560" s="94" t="s">
        <v>86</v>
      </c>
      <c r="M560" s="95">
        <v>449900</v>
      </c>
      <c r="N560" s="95">
        <v>6000</v>
      </c>
      <c r="O560" s="95">
        <v>8500</v>
      </c>
      <c r="P560" s="96">
        <v>699990</v>
      </c>
      <c r="Q560" s="152"/>
      <c r="R560" s="95">
        <v>499990</v>
      </c>
      <c r="S560" s="95">
        <f>R560/24</f>
        <v>20832.916666666668</v>
      </c>
      <c r="T560" s="95">
        <v>449900</v>
      </c>
      <c r="U560" s="95">
        <f>T560/24</f>
        <v>18745.833333333332</v>
      </c>
      <c r="V560" s="95">
        <v>449900</v>
      </c>
      <c r="W560" s="95">
        <f>V560/24</f>
        <v>18745.833333333332</v>
      </c>
      <c r="X560" s="128"/>
      <c r="Y560" s="95">
        <v>49900</v>
      </c>
      <c r="Z560" s="95">
        <v>43000</v>
      </c>
      <c r="AA560" s="95">
        <f>IFERROR(IF(D560="Premium",0.4*Y560,0),"No Disp")</f>
        <v>19960</v>
      </c>
      <c r="AB560" s="95">
        <f>IFERROR(IF(4*Y560&gt;AC560,1.5*Y560,4*Y560),"No Disp")</f>
        <v>199600</v>
      </c>
      <c r="AC560" s="95">
        <f>IF(Z560="No Disp","No Disp",(Z560*18)+Y560)</f>
        <v>823900</v>
      </c>
      <c r="AD560" s="95">
        <f>18*Z560-100+Y560</f>
        <v>823800</v>
      </c>
      <c r="AE560" s="95">
        <v>29900</v>
      </c>
      <c r="AF560" s="95">
        <v>38000</v>
      </c>
      <c r="AG560" s="95">
        <f>IF(AF560="No Disp","No Disp",(AF560*18)+AE560)</f>
        <v>713900</v>
      </c>
      <c r="AH560" s="98">
        <f>18*AF560-100+AE560</f>
        <v>713800</v>
      </c>
      <c r="AI560" s="95" t="s">
        <v>4613</v>
      </c>
      <c r="AJ560" s="99"/>
      <c r="AK560" s="100">
        <v>0</v>
      </c>
      <c r="AL560" s="100">
        <v>24000</v>
      </c>
      <c r="AM560" s="100">
        <f>IF(AL560&lt;&gt;"No Disp",AK560+12*AL560,"No Disp")</f>
        <v>288000</v>
      </c>
      <c r="AN560" s="100">
        <v>0</v>
      </c>
      <c r="AO560" s="100">
        <v>24000</v>
      </c>
      <c r="AP560" s="100">
        <f>IF(AO560&lt;&gt;"No Disp",AN560+12*AO560,"No Disp")</f>
        <v>288000</v>
      </c>
      <c r="AQ560" s="100">
        <v>0</v>
      </c>
      <c r="AR560" s="100">
        <v>24000</v>
      </c>
      <c r="AS560" s="100">
        <f>IF(AR560&lt;&gt;"No Disp",AQ560+12*AR560,"No Disp")</f>
        <v>288000</v>
      </c>
    </row>
    <row r="561" spans="1:45" s="101" customFormat="1" x14ac:dyDescent="0.25">
      <c r="A561" s="90" t="s">
        <v>38</v>
      </c>
      <c r="B561" s="90" t="s">
        <v>39</v>
      </c>
      <c r="C561" s="90" t="s">
        <v>40</v>
      </c>
      <c r="D561" s="90" t="s">
        <v>4540</v>
      </c>
      <c r="E561" s="90" t="s">
        <v>4538</v>
      </c>
      <c r="F561" s="91">
        <v>526</v>
      </c>
      <c r="G561" s="92">
        <v>70012873</v>
      </c>
      <c r="H561" s="91">
        <v>70012874</v>
      </c>
      <c r="I561" s="93" t="s">
        <v>46</v>
      </c>
      <c r="J561" s="94" t="s">
        <v>80</v>
      </c>
      <c r="K561" s="94" t="s">
        <v>83</v>
      </c>
      <c r="L561" s="94" t="s">
        <v>84</v>
      </c>
      <c r="M561" s="95">
        <v>449900</v>
      </c>
      <c r="N561" s="95">
        <v>6000</v>
      </c>
      <c r="O561" s="95">
        <v>8500</v>
      </c>
      <c r="P561" s="96">
        <v>699990</v>
      </c>
      <c r="Q561" s="152"/>
      <c r="R561" s="95">
        <v>499990</v>
      </c>
      <c r="S561" s="95">
        <f>R561/24</f>
        <v>20832.916666666668</v>
      </c>
      <c r="T561" s="95">
        <v>449900</v>
      </c>
      <c r="U561" s="95">
        <f>T561/24</f>
        <v>18745.833333333332</v>
      </c>
      <c r="V561" s="95">
        <v>449900</v>
      </c>
      <c r="W561" s="95">
        <f>V561/24</f>
        <v>18745.833333333332</v>
      </c>
      <c r="X561" s="128"/>
      <c r="Y561" s="95">
        <v>49900</v>
      </c>
      <c r="Z561" s="95">
        <v>43000</v>
      </c>
      <c r="AA561" s="95">
        <f>IFERROR(IF(D561="Premium",0.4*Y561,0),"No Disp")</f>
        <v>19960</v>
      </c>
      <c r="AB561" s="95">
        <f>IFERROR(IF(4*Y561&gt;AC561,1.5*Y561,4*Y561),"No Disp")</f>
        <v>199600</v>
      </c>
      <c r="AC561" s="95">
        <f>IF(Z561="No Disp","No Disp",(Z561*18)+Y561)</f>
        <v>823900</v>
      </c>
      <c r="AD561" s="95">
        <f>18*Z561-100+Y561</f>
        <v>823800</v>
      </c>
      <c r="AE561" s="95">
        <v>29900</v>
      </c>
      <c r="AF561" s="95">
        <v>38000</v>
      </c>
      <c r="AG561" s="95">
        <f>IF(AF561="No Disp","No Disp",(AF561*18)+AE561)</f>
        <v>713900</v>
      </c>
      <c r="AH561" s="98">
        <f>18*AF561-100+AE561</f>
        <v>713800</v>
      </c>
      <c r="AI561" s="95" t="s">
        <v>4613</v>
      </c>
      <c r="AJ561" s="99"/>
      <c r="AK561" s="100">
        <v>0</v>
      </c>
      <c r="AL561" s="100">
        <v>24000</v>
      </c>
      <c r="AM561" s="100">
        <f>IF(AL561&lt;&gt;"No Disp",AK561+12*AL561,"No Disp")</f>
        <v>288000</v>
      </c>
      <c r="AN561" s="100">
        <v>0</v>
      </c>
      <c r="AO561" s="100">
        <v>24000</v>
      </c>
      <c r="AP561" s="100">
        <f>IF(AO561&lt;&gt;"No Disp",AN561+12*AO561,"No Disp")</f>
        <v>288000</v>
      </c>
      <c r="AQ561" s="100">
        <v>0</v>
      </c>
      <c r="AR561" s="100">
        <v>24000</v>
      </c>
      <c r="AS561" s="100">
        <f>IF(AR561&lt;&gt;"No Disp",AQ561+12*AR561,"No Disp")</f>
        <v>288000</v>
      </c>
    </row>
    <row r="562" spans="1:45" s="101" customFormat="1" x14ac:dyDescent="0.25">
      <c r="A562" s="90" t="s">
        <v>38</v>
      </c>
      <c r="B562" s="90" t="s">
        <v>39</v>
      </c>
      <c r="C562" s="90" t="s">
        <v>40</v>
      </c>
      <c r="D562" s="90" t="s">
        <v>4541</v>
      </c>
      <c r="E562" s="90" t="s">
        <v>4538</v>
      </c>
      <c r="F562" s="91">
        <v>534</v>
      </c>
      <c r="G562" s="92">
        <v>70012879</v>
      </c>
      <c r="H562" s="91">
        <v>70012880</v>
      </c>
      <c r="I562" s="93" t="s">
        <v>46</v>
      </c>
      <c r="J562" s="94" t="s">
        <v>99</v>
      </c>
      <c r="K562" s="94" t="s">
        <v>100</v>
      </c>
      <c r="L562" s="94" t="s">
        <v>101</v>
      </c>
      <c r="M562" s="95">
        <v>124900</v>
      </c>
      <c r="N562" s="95">
        <v>2500</v>
      </c>
      <c r="O562" s="95">
        <v>4000</v>
      </c>
      <c r="P562" s="96">
        <v>229990</v>
      </c>
      <c r="Q562" s="152"/>
      <c r="R562" s="95">
        <v>134990</v>
      </c>
      <c r="S562" s="95">
        <f>R562/24</f>
        <v>5624.583333333333</v>
      </c>
      <c r="T562" s="95">
        <v>124900</v>
      </c>
      <c r="U562" s="95">
        <f>T562/24</f>
        <v>5204.166666666667</v>
      </c>
      <c r="V562" s="95">
        <v>124900</v>
      </c>
      <c r="W562" s="95">
        <f>V562/24</f>
        <v>5204.166666666667</v>
      </c>
      <c r="X562" s="128"/>
      <c r="Y562" s="95">
        <v>0</v>
      </c>
      <c r="Z562" s="95">
        <v>13500</v>
      </c>
      <c r="AA562" s="95">
        <f>IFERROR(IF(D562="Premium",0.4*Y562,0),"No Disp")</f>
        <v>0</v>
      </c>
      <c r="AB562" s="95">
        <f>IFERROR(IF(4*Y562&gt;AC562,1.5*Y562,4*Y562),"No Disp")</f>
        <v>0</v>
      </c>
      <c r="AC562" s="95">
        <f>IF(Z562="No Disp","No Disp",(Z562*18)+Y562)</f>
        <v>243000</v>
      </c>
      <c r="AD562" s="95">
        <f>18*Z562-100+Y562</f>
        <v>242900</v>
      </c>
      <c r="AE562" s="95">
        <v>0</v>
      </c>
      <c r="AF562" s="95">
        <v>12000</v>
      </c>
      <c r="AG562" s="95">
        <f>IF(AF562="No Disp","No Disp",(AF562*18)+AE562)</f>
        <v>216000</v>
      </c>
      <c r="AH562" s="98">
        <f>18*AF562-100+AE562</f>
        <v>215900</v>
      </c>
      <c r="AI562" s="95" t="s">
        <v>4613</v>
      </c>
      <c r="AJ562" s="99"/>
      <c r="AK562" s="100" t="s">
        <v>43</v>
      </c>
      <c r="AL562" s="100" t="s">
        <v>43</v>
      </c>
      <c r="AM562" s="100" t="str">
        <f>IF(AL562&lt;&gt;"No Disp",AK562+12*AL562,"No Disp")</f>
        <v>No Disp</v>
      </c>
      <c r="AN562" s="100" t="s">
        <v>43</v>
      </c>
      <c r="AO562" s="100" t="s">
        <v>43</v>
      </c>
      <c r="AP562" s="100" t="str">
        <f>IF(AO562&lt;&gt;"No Disp",AN562+12*AO562,"No Disp")</f>
        <v>No Disp</v>
      </c>
      <c r="AQ562" s="100" t="s">
        <v>43</v>
      </c>
      <c r="AR562" s="100" t="s">
        <v>43</v>
      </c>
      <c r="AS562" s="100" t="str">
        <f>IF(AR562&lt;&gt;"No Disp",AQ562+12*AR562,"No Disp")</f>
        <v>No Disp</v>
      </c>
    </row>
    <row r="563" spans="1:45" s="101" customFormat="1" x14ac:dyDescent="0.25">
      <c r="A563" s="90" t="s">
        <v>38</v>
      </c>
      <c r="B563" s="90" t="s">
        <v>39</v>
      </c>
      <c r="C563" s="90" t="s">
        <v>40</v>
      </c>
      <c r="D563" s="90" t="s">
        <v>4541</v>
      </c>
      <c r="E563" s="90" t="s">
        <v>4538</v>
      </c>
      <c r="F563" s="91">
        <v>595</v>
      </c>
      <c r="G563" s="92">
        <v>70012885</v>
      </c>
      <c r="H563" s="91">
        <v>70012886</v>
      </c>
      <c r="I563" s="93" t="s">
        <v>46</v>
      </c>
      <c r="J563" s="94" t="s">
        <v>99</v>
      </c>
      <c r="K563" s="94" t="s">
        <v>2808</v>
      </c>
      <c r="L563" s="94" t="s">
        <v>2809</v>
      </c>
      <c r="M563" s="95">
        <v>124900</v>
      </c>
      <c r="N563" s="95">
        <v>2500</v>
      </c>
      <c r="O563" s="95">
        <v>4000</v>
      </c>
      <c r="P563" s="96">
        <v>229990</v>
      </c>
      <c r="Q563" s="152"/>
      <c r="R563" s="95">
        <v>134990</v>
      </c>
      <c r="S563" s="95">
        <f>R563/24</f>
        <v>5624.583333333333</v>
      </c>
      <c r="T563" s="95">
        <v>124900</v>
      </c>
      <c r="U563" s="95">
        <f>T563/24</f>
        <v>5204.166666666667</v>
      </c>
      <c r="V563" s="95">
        <v>124900</v>
      </c>
      <c r="W563" s="95">
        <f>V563/24</f>
        <v>5204.166666666667</v>
      </c>
      <c r="X563" s="128"/>
      <c r="Y563" s="95">
        <v>0</v>
      </c>
      <c r="Z563" s="95">
        <v>13500</v>
      </c>
      <c r="AA563" s="95">
        <f>IFERROR(IF(D563="Premium",0.4*Y563,0),"No Disp")</f>
        <v>0</v>
      </c>
      <c r="AB563" s="95">
        <f>IFERROR(IF(4*Y563&gt;AC563,1.5*Y563,4*Y563),"No Disp")</f>
        <v>0</v>
      </c>
      <c r="AC563" s="95">
        <f>IF(Z563="No Disp","No Disp",(Z563*18)+Y563)</f>
        <v>243000</v>
      </c>
      <c r="AD563" s="95">
        <f>18*Z563-100+Y563</f>
        <v>242900</v>
      </c>
      <c r="AE563" s="95">
        <v>0</v>
      </c>
      <c r="AF563" s="95">
        <v>12000</v>
      </c>
      <c r="AG563" s="95">
        <f>IF(AF563="No Disp","No Disp",(AF563*18)+AE563)</f>
        <v>216000</v>
      </c>
      <c r="AH563" s="98">
        <f>18*AF563-100+AE563</f>
        <v>215900</v>
      </c>
      <c r="AI563" s="95" t="s">
        <v>4613</v>
      </c>
      <c r="AJ563" s="99"/>
      <c r="AK563" s="100" t="s">
        <v>43</v>
      </c>
      <c r="AL563" s="100" t="s">
        <v>43</v>
      </c>
      <c r="AM563" s="100" t="str">
        <f>IF(AL563&lt;&gt;"No Disp",AK563+12*AL563,"No Disp")</f>
        <v>No Disp</v>
      </c>
      <c r="AN563" s="100" t="s">
        <v>43</v>
      </c>
      <c r="AO563" s="100" t="s">
        <v>43</v>
      </c>
      <c r="AP563" s="100" t="str">
        <f>IF(AO563&lt;&gt;"No Disp",AN563+12*AO563,"No Disp")</f>
        <v>No Disp</v>
      </c>
      <c r="AQ563" s="100" t="s">
        <v>43</v>
      </c>
      <c r="AR563" s="100" t="s">
        <v>43</v>
      </c>
      <c r="AS563" s="100" t="str">
        <f>IF(AR563&lt;&gt;"No Disp",AQ563+12*AR563,"No Disp")</f>
        <v>No Disp</v>
      </c>
    </row>
    <row r="564" spans="1:45" s="101" customFormat="1" x14ac:dyDescent="0.25">
      <c r="A564" s="90" t="s">
        <v>38</v>
      </c>
      <c r="B564" s="90" t="s">
        <v>39</v>
      </c>
      <c r="C564" s="90" t="s">
        <v>40</v>
      </c>
      <c r="D564" s="90" t="s">
        <v>4541</v>
      </c>
      <c r="E564" s="90" t="s">
        <v>4538</v>
      </c>
      <c r="F564" s="91">
        <v>594</v>
      </c>
      <c r="G564" s="92">
        <v>70012888</v>
      </c>
      <c r="H564" s="91">
        <v>70012889</v>
      </c>
      <c r="I564" s="93" t="s">
        <v>46</v>
      </c>
      <c r="J564" s="94" t="s">
        <v>99</v>
      </c>
      <c r="K564" s="94" t="s">
        <v>2810</v>
      </c>
      <c r="L564" s="94" t="s">
        <v>2811</v>
      </c>
      <c r="M564" s="95">
        <v>124900</v>
      </c>
      <c r="N564" s="95">
        <v>2500</v>
      </c>
      <c r="O564" s="95">
        <v>4000</v>
      </c>
      <c r="P564" s="96">
        <v>229990</v>
      </c>
      <c r="Q564" s="152"/>
      <c r="R564" s="95">
        <v>134990</v>
      </c>
      <c r="S564" s="95">
        <f>R564/24</f>
        <v>5624.583333333333</v>
      </c>
      <c r="T564" s="95">
        <v>124900</v>
      </c>
      <c r="U564" s="95">
        <f>T564/24</f>
        <v>5204.166666666667</v>
      </c>
      <c r="V564" s="95">
        <v>124900</v>
      </c>
      <c r="W564" s="95">
        <f>V564/24</f>
        <v>5204.166666666667</v>
      </c>
      <c r="X564" s="128"/>
      <c r="Y564" s="95">
        <v>0</v>
      </c>
      <c r="Z564" s="95">
        <v>13500</v>
      </c>
      <c r="AA564" s="95">
        <f>IFERROR(IF(D564="Premium",0.4*Y564,0),"No Disp")</f>
        <v>0</v>
      </c>
      <c r="AB564" s="95">
        <f>IFERROR(IF(4*Y564&gt;AC564,1.5*Y564,4*Y564),"No Disp")</f>
        <v>0</v>
      </c>
      <c r="AC564" s="95">
        <f>IF(Z564="No Disp","No Disp",(Z564*18)+Y564)</f>
        <v>243000</v>
      </c>
      <c r="AD564" s="95">
        <f>18*Z564-100+Y564</f>
        <v>242900</v>
      </c>
      <c r="AE564" s="95">
        <v>0</v>
      </c>
      <c r="AF564" s="95">
        <v>12000</v>
      </c>
      <c r="AG564" s="95">
        <f>IF(AF564="No Disp","No Disp",(AF564*18)+AE564)</f>
        <v>216000</v>
      </c>
      <c r="AH564" s="98">
        <f>18*AF564-100+AE564</f>
        <v>215900</v>
      </c>
      <c r="AI564" s="95" t="s">
        <v>4613</v>
      </c>
      <c r="AJ564" s="99"/>
      <c r="AK564" s="100" t="s">
        <v>43</v>
      </c>
      <c r="AL564" s="100" t="s">
        <v>43</v>
      </c>
      <c r="AM564" s="100" t="str">
        <f>IF(AL564&lt;&gt;"No Disp",AK564+12*AL564,"No Disp")</f>
        <v>No Disp</v>
      </c>
      <c r="AN564" s="100" t="s">
        <v>43</v>
      </c>
      <c r="AO564" s="100" t="s">
        <v>43</v>
      </c>
      <c r="AP564" s="100" t="str">
        <f>IF(AO564&lt;&gt;"No Disp",AN564+12*AO564,"No Disp")</f>
        <v>No Disp</v>
      </c>
      <c r="AQ564" s="100" t="s">
        <v>43</v>
      </c>
      <c r="AR564" s="100" t="s">
        <v>43</v>
      </c>
      <c r="AS564" s="100" t="str">
        <f>IF(AR564&lt;&gt;"No Disp",AQ564+12*AR564,"No Disp")</f>
        <v>No Disp</v>
      </c>
    </row>
    <row r="565" spans="1:45" s="101" customFormat="1" x14ac:dyDescent="0.25">
      <c r="A565" s="90" t="s">
        <v>38</v>
      </c>
      <c r="B565" s="90" t="s">
        <v>39</v>
      </c>
      <c r="C565" s="90" t="s">
        <v>40</v>
      </c>
      <c r="D565" s="90" t="s">
        <v>4540</v>
      </c>
      <c r="E565" s="90" t="s">
        <v>4542</v>
      </c>
      <c r="F565" s="91">
        <v>527</v>
      </c>
      <c r="G565" s="92">
        <v>70012905</v>
      </c>
      <c r="H565" s="91">
        <v>70012906</v>
      </c>
      <c r="I565" s="93" t="s">
        <v>46</v>
      </c>
      <c r="J565" s="94" t="s">
        <v>56</v>
      </c>
      <c r="K565" s="94" t="s">
        <v>61</v>
      </c>
      <c r="L565" s="94" t="s">
        <v>62</v>
      </c>
      <c r="M565" s="95">
        <v>499900</v>
      </c>
      <c r="N565" s="95">
        <v>6000</v>
      </c>
      <c r="O565" s="95">
        <v>8500</v>
      </c>
      <c r="P565" s="96">
        <v>799990</v>
      </c>
      <c r="Q565" s="152"/>
      <c r="R565" s="95">
        <v>559990</v>
      </c>
      <c r="S565" s="95">
        <f>R565/24</f>
        <v>23332.916666666668</v>
      </c>
      <c r="T565" s="95">
        <v>499900</v>
      </c>
      <c r="U565" s="95">
        <f>T565/24</f>
        <v>20829.166666666668</v>
      </c>
      <c r="V565" s="95">
        <v>499900</v>
      </c>
      <c r="W565" s="95">
        <f>V565/24</f>
        <v>20829.166666666668</v>
      </c>
      <c r="X565" s="128"/>
      <c r="Y565" s="95">
        <v>79900</v>
      </c>
      <c r="Z565" s="95">
        <v>44000</v>
      </c>
      <c r="AA565" s="95">
        <f>IFERROR(IF(D565="Premium",0.4*Y565,0),"No Disp")</f>
        <v>31960</v>
      </c>
      <c r="AB565" s="95">
        <f>IFERROR(IF(4*Y565&gt;AC565,1.5*Y565,4*Y565),"No Disp")</f>
        <v>319600</v>
      </c>
      <c r="AC565" s="95">
        <f>IF(Z565="No Disp","No Disp",(Z565*18)+Y565)</f>
        <v>871900</v>
      </c>
      <c r="AD565" s="95">
        <f>18*Z565-100+Y565</f>
        <v>871800</v>
      </c>
      <c r="AE565" s="95">
        <v>39900</v>
      </c>
      <c r="AF565" s="95">
        <v>42000</v>
      </c>
      <c r="AG565" s="95">
        <f>IF(AF565="No Disp","No Disp",(AF565*18)+AE565)</f>
        <v>795900</v>
      </c>
      <c r="AH565" s="98">
        <f>18*AF565-100+AE565</f>
        <v>795800</v>
      </c>
      <c r="AI565" s="95" t="s">
        <v>4613</v>
      </c>
      <c r="AJ565" s="99"/>
      <c r="AK565" s="100">
        <v>0</v>
      </c>
      <c r="AL565" s="100">
        <v>32000</v>
      </c>
      <c r="AM565" s="100">
        <f>IF(AL565&lt;&gt;"No Disp",AK565+12*AL565,"No Disp")</f>
        <v>384000</v>
      </c>
      <c r="AN565" s="100">
        <v>0</v>
      </c>
      <c r="AO565" s="100">
        <v>32000</v>
      </c>
      <c r="AP565" s="100">
        <f>IF(AO565&lt;&gt;"No Disp",AN565+12*AO565,"No Disp")</f>
        <v>384000</v>
      </c>
      <c r="AQ565" s="100">
        <v>0</v>
      </c>
      <c r="AR565" s="100">
        <v>32000</v>
      </c>
      <c r="AS565" s="100">
        <f>IF(AR565&lt;&gt;"No Disp",AQ565+12*AR565,"No Disp")</f>
        <v>384000</v>
      </c>
    </row>
    <row r="566" spans="1:45" s="101" customFormat="1" x14ac:dyDescent="0.25">
      <c r="A566" s="90" t="s">
        <v>38</v>
      </c>
      <c r="B566" s="90" t="s">
        <v>39</v>
      </c>
      <c r="C566" s="90" t="s">
        <v>40</v>
      </c>
      <c r="D566" s="90" t="s">
        <v>4540</v>
      </c>
      <c r="E566" s="90" t="s">
        <v>4542</v>
      </c>
      <c r="F566" s="91">
        <v>528</v>
      </c>
      <c r="G566" s="92">
        <v>70012908</v>
      </c>
      <c r="H566" s="91">
        <v>70012909</v>
      </c>
      <c r="I566" s="93" t="s">
        <v>46</v>
      </c>
      <c r="J566" s="94" t="s">
        <v>56</v>
      </c>
      <c r="K566" s="94" t="s">
        <v>59</v>
      </c>
      <c r="L566" s="94" t="s">
        <v>60</v>
      </c>
      <c r="M566" s="95">
        <v>499900</v>
      </c>
      <c r="N566" s="95">
        <v>6000</v>
      </c>
      <c r="O566" s="95">
        <v>8500</v>
      </c>
      <c r="P566" s="96">
        <v>799990</v>
      </c>
      <c r="Q566" s="152"/>
      <c r="R566" s="95">
        <v>559990</v>
      </c>
      <c r="S566" s="95">
        <f>R566/24</f>
        <v>23332.916666666668</v>
      </c>
      <c r="T566" s="95">
        <v>499900</v>
      </c>
      <c r="U566" s="95">
        <f>T566/24</f>
        <v>20829.166666666668</v>
      </c>
      <c r="V566" s="95">
        <v>499900</v>
      </c>
      <c r="W566" s="95">
        <f>V566/24</f>
        <v>20829.166666666668</v>
      </c>
      <c r="X566" s="128"/>
      <c r="Y566" s="95">
        <v>79900</v>
      </c>
      <c r="Z566" s="95">
        <v>44000</v>
      </c>
      <c r="AA566" s="95">
        <f>IFERROR(IF(D566="Premium",0.4*Y566,0),"No Disp")</f>
        <v>31960</v>
      </c>
      <c r="AB566" s="95">
        <f>IFERROR(IF(4*Y566&gt;AC566,1.5*Y566,4*Y566),"No Disp")</f>
        <v>319600</v>
      </c>
      <c r="AC566" s="95">
        <f>IF(Z566="No Disp","No Disp",(Z566*18)+Y566)</f>
        <v>871900</v>
      </c>
      <c r="AD566" s="95">
        <f>18*Z566-100+Y566</f>
        <v>871800</v>
      </c>
      <c r="AE566" s="95">
        <v>39900</v>
      </c>
      <c r="AF566" s="95">
        <v>42000</v>
      </c>
      <c r="AG566" s="95">
        <f>IF(AF566="No Disp","No Disp",(AF566*18)+AE566)</f>
        <v>795900</v>
      </c>
      <c r="AH566" s="98">
        <f>18*AF566-100+AE566</f>
        <v>795800</v>
      </c>
      <c r="AI566" s="95" t="s">
        <v>4613</v>
      </c>
      <c r="AJ566" s="99"/>
      <c r="AK566" s="100">
        <v>0</v>
      </c>
      <c r="AL566" s="100">
        <v>32000</v>
      </c>
      <c r="AM566" s="100">
        <f>IF(AL566&lt;&gt;"No Disp",AK566+12*AL566,"No Disp")</f>
        <v>384000</v>
      </c>
      <c r="AN566" s="100">
        <v>0</v>
      </c>
      <c r="AO566" s="100">
        <v>32000</v>
      </c>
      <c r="AP566" s="100">
        <f>IF(AO566&lt;&gt;"No Disp",AN566+12*AO566,"No Disp")</f>
        <v>384000</v>
      </c>
      <c r="AQ566" s="100">
        <v>0</v>
      </c>
      <c r="AR566" s="100">
        <v>32000</v>
      </c>
      <c r="AS566" s="100">
        <f>IF(AR566&lt;&gt;"No Disp",AQ566+12*AR566,"No Disp")</f>
        <v>384000</v>
      </c>
    </row>
    <row r="567" spans="1:45" s="101" customFormat="1" x14ac:dyDescent="0.25">
      <c r="A567" s="90" t="s">
        <v>38</v>
      </c>
      <c r="B567" s="90" t="s">
        <v>39</v>
      </c>
      <c r="C567" s="90" t="s">
        <v>40</v>
      </c>
      <c r="D567" s="90" t="s">
        <v>4539</v>
      </c>
      <c r="E567" s="90" t="s">
        <v>4542</v>
      </c>
      <c r="F567" s="91">
        <v>535</v>
      </c>
      <c r="G567" s="92">
        <v>70012920</v>
      </c>
      <c r="H567" s="91">
        <v>70012921</v>
      </c>
      <c r="I567" s="93" t="s">
        <v>171</v>
      </c>
      <c r="J567" s="94" t="s">
        <v>3915</v>
      </c>
      <c r="K567" s="94" t="s">
        <v>178</v>
      </c>
      <c r="L567" s="94" t="s">
        <v>179</v>
      </c>
      <c r="M567" s="95">
        <v>299900</v>
      </c>
      <c r="N567" s="95">
        <v>4000</v>
      </c>
      <c r="O567" s="95">
        <v>6000</v>
      </c>
      <c r="P567" s="96">
        <v>379990</v>
      </c>
      <c r="Q567" s="152"/>
      <c r="R567" s="95">
        <v>329990</v>
      </c>
      <c r="S567" s="95">
        <f>R567/24</f>
        <v>13749.583333333334</v>
      </c>
      <c r="T567" s="95">
        <v>299900</v>
      </c>
      <c r="U567" s="95">
        <f>T567/24</f>
        <v>12495.833333333334</v>
      </c>
      <c r="V567" s="95">
        <v>299900</v>
      </c>
      <c r="W567" s="95">
        <f>V567/24</f>
        <v>12495.833333333334</v>
      </c>
      <c r="X567" s="128"/>
      <c r="Y567" s="95">
        <v>0</v>
      </c>
      <c r="Z567" s="95">
        <v>28000</v>
      </c>
      <c r="AA567" s="95">
        <f>IFERROR(IF(D567="Premium",0.4*Y567,0),"No Disp")</f>
        <v>0</v>
      </c>
      <c r="AB567" s="95">
        <f>IFERROR(IF(4*Y567&gt;AC567,1.5*Y567,4*Y567),"No Disp")</f>
        <v>0</v>
      </c>
      <c r="AC567" s="95">
        <f>IF(Z567="No Disp","No Disp",(Z567*18)+Y567)</f>
        <v>504000</v>
      </c>
      <c r="AD567" s="95">
        <f>18*Z567-100+Y567</f>
        <v>503900</v>
      </c>
      <c r="AE567" s="95">
        <v>0</v>
      </c>
      <c r="AF567" s="95">
        <v>25000</v>
      </c>
      <c r="AG567" s="95">
        <f>IF(AF567="No Disp","No Disp",(AF567*18)+AE567)</f>
        <v>450000</v>
      </c>
      <c r="AH567" s="98">
        <f>18*AF567-100+AE567</f>
        <v>449900</v>
      </c>
      <c r="AI567" s="95" t="s">
        <v>4613</v>
      </c>
      <c r="AJ567" s="99"/>
      <c r="AK567" s="100" t="s">
        <v>43</v>
      </c>
      <c r="AL567" s="100" t="s">
        <v>43</v>
      </c>
      <c r="AM567" s="100" t="str">
        <f>IF(AL567&lt;&gt;"No Disp",AK567+12*AL567,"No Disp")</f>
        <v>No Disp</v>
      </c>
      <c r="AN567" s="100" t="s">
        <v>43</v>
      </c>
      <c r="AO567" s="100" t="s">
        <v>43</v>
      </c>
      <c r="AP567" s="100" t="str">
        <f>IF(AO567&lt;&gt;"No Disp",AN567+12*AO567,"No Disp")</f>
        <v>No Disp</v>
      </c>
      <c r="AQ567" s="100" t="s">
        <v>43</v>
      </c>
      <c r="AR567" s="100" t="s">
        <v>43</v>
      </c>
      <c r="AS567" s="100" t="str">
        <f>IF(AR567&lt;&gt;"No Disp",AQ567+12*AR567,"No Disp")</f>
        <v>No Disp</v>
      </c>
    </row>
    <row r="568" spans="1:45" s="101" customFormat="1" x14ac:dyDescent="0.25">
      <c r="A568" s="90" t="s">
        <v>38</v>
      </c>
      <c r="B568" s="90" t="s">
        <v>39</v>
      </c>
      <c r="C568" s="90" t="s">
        <v>40</v>
      </c>
      <c r="D568" s="90" t="s">
        <v>4539</v>
      </c>
      <c r="E568" s="90" t="s">
        <v>4542</v>
      </c>
      <c r="F568" s="91">
        <v>539</v>
      </c>
      <c r="G568" s="92">
        <v>70012923</v>
      </c>
      <c r="H568" s="91">
        <v>70012924</v>
      </c>
      <c r="I568" s="93" t="s">
        <v>171</v>
      </c>
      <c r="J568" s="94" t="s">
        <v>3915</v>
      </c>
      <c r="K568" s="94" t="s">
        <v>172</v>
      </c>
      <c r="L568" s="94" t="s">
        <v>173</v>
      </c>
      <c r="M568" s="95">
        <v>299900</v>
      </c>
      <c r="N568" s="95">
        <v>4000</v>
      </c>
      <c r="O568" s="95">
        <v>6000</v>
      </c>
      <c r="P568" s="96">
        <v>379990</v>
      </c>
      <c r="Q568" s="152"/>
      <c r="R568" s="95">
        <v>329990</v>
      </c>
      <c r="S568" s="95">
        <f>R568/24</f>
        <v>13749.583333333334</v>
      </c>
      <c r="T568" s="95">
        <v>299900</v>
      </c>
      <c r="U568" s="95">
        <f>T568/24</f>
        <v>12495.833333333334</v>
      </c>
      <c r="V568" s="95">
        <v>299900</v>
      </c>
      <c r="W568" s="95">
        <f>V568/24</f>
        <v>12495.833333333334</v>
      </c>
      <c r="X568" s="128"/>
      <c r="Y568" s="95">
        <v>0</v>
      </c>
      <c r="Z568" s="95">
        <v>28000</v>
      </c>
      <c r="AA568" s="95">
        <f>IFERROR(IF(D568="Premium",0.4*Y568,0),"No Disp")</f>
        <v>0</v>
      </c>
      <c r="AB568" s="95">
        <f>IFERROR(IF(4*Y568&gt;AC568,1.5*Y568,4*Y568),"No Disp")</f>
        <v>0</v>
      </c>
      <c r="AC568" s="95">
        <f>IF(Z568="No Disp","No Disp",(Z568*18)+Y568)</f>
        <v>504000</v>
      </c>
      <c r="AD568" s="95">
        <f>18*Z568-100+Y568</f>
        <v>503900</v>
      </c>
      <c r="AE568" s="95">
        <v>0</v>
      </c>
      <c r="AF568" s="95">
        <v>25000</v>
      </c>
      <c r="AG568" s="95">
        <f>IF(AF568="No Disp","No Disp",(AF568*18)+AE568)</f>
        <v>450000</v>
      </c>
      <c r="AH568" s="98">
        <f>18*AF568-100+AE568</f>
        <v>449900</v>
      </c>
      <c r="AI568" s="95" t="s">
        <v>4613</v>
      </c>
      <c r="AJ568" s="99"/>
      <c r="AK568" s="100" t="s">
        <v>43</v>
      </c>
      <c r="AL568" s="100" t="s">
        <v>43</v>
      </c>
      <c r="AM568" s="100" t="str">
        <f>IF(AL568&lt;&gt;"No Disp",AK568+12*AL568,"No Disp")</f>
        <v>No Disp</v>
      </c>
      <c r="AN568" s="100" t="s">
        <v>43</v>
      </c>
      <c r="AO568" s="100" t="s">
        <v>43</v>
      </c>
      <c r="AP568" s="100" t="str">
        <f>IF(AO568&lt;&gt;"No Disp",AN568+12*AO568,"No Disp")</f>
        <v>No Disp</v>
      </c>
      <c r="AQ568" s="100" t="s">
        <v>43</v>
      </c>
      <c r="AR568" s="100" t="s">
        <v>43</v>
      </c>
      <c r="AS568" s="100" t="str">
        <f>IF(AR568&lt;&gt;"No Disp",AQ568+12*AR568,"No Disp")</f>
        <v>No Disp</v>
      </c>
    </row>
    <row r="569" spans="1:45" s="101" customFormat="1" x14ac:dyDescent="0.25">
      <c r="A569" s="90" t="s">
        <v>38</v>
      </c>
      <c r="B569" s="90" t="s">
        <v>39</v>
      </c>
      <c r="C569" s="90" t="s">
        <v>40</v>
      </c>
      <c r="D569" s="90" t="s">
        <v>4539</v>
      </c>
      <c r="E569" s="90" t="s">
        <v>4542</v>
      </c>
      <c r="F569" s="91">
        <v>530</v>
      </c>
      <c r="G569" s="92">
        <v>70012938</v>
      </c>
      <c r="H569" s="91">
        <v>70012939</v>
      </c>
      <c r="I569" s="93" t="s">
        <v>41</v>
      </c>
      <c r="J569" s="94" t="s">
        <v>187</v>
      </c>
      <c r="K569" s="94" t="s">
        <v>188</v>
      </c>
      <c r="L569" s="94" t="s">
        <v>189</v>
      </c>
      <c r="M569" s="95">
        <v>119760</v>
      </c>
      <c r="N569" s="95">
        <v>2500</v>
      </c>
      <c r="O569" s="95">
        <v>4000</v>
      </c>
      <c r="P569" s="96">
        <v>299990</v>
      </c>
      <c r="Q569" s="152"/>
      <c r="R569" s="95">
        <v>129990</v>
      </c>
      <c r="S569" s="95">
        <f>R569/24</f>
        <v>5416.25</v>
      </c>
      <c r="T569" s="95">
        <v>119760</v>
      </c>
      <c r="U569" s="95">
        <f>T569/24</f>
        <v>4990</v>
      </c>
      <c r="V569" s="95">
        <v>119760</v>
      </c>
      <c r="W569" s="95">
        <f>V569/24</f>
        <v>4990</v>
      </c>
      <c r="X569" s="128"/>
      <c r="Y569" s="95">
        <v>0</v>
      </c>
      <c r="Z569" s="95">
        <v>21500</v>
      </c>
      <c r="AA569" s="95">
        <f>IFERROR(IF(D569="Premium",0.4*Y569,0),"No Disp")</f>
        <v>0</v>
      </c>
      <c r="AB569" s="95">
        <f>IFERROR(IF(4*Y569&gt;AC569,1.5*Y569,4*Y569),"No Disp")</f>
        <v>0</v>
      </c>
      <c r="AC569" s="95">
        <f>IF(Z569="No Disp","No Disp",(Z569*18)+Y569)</f>
        <v>387000</v>
      </c>
      <c r="AD569" s="95">
        <f>18*Z569-100+Y569</f>
        <v>386900</v>
      </c>
      <c r="AE569" s="95">
        <v>0</v>
      </c>
      <c r="AF569" s="95">
        <v>11000</v>
      </c>
      <c r="AG569" s="95">
        <f>IF(AF569="No Disp","No Disp",(AF569*18)+AE569)</f>
        <v>198000</v>
      </c>
      <c r="AH569" s="98">
        <f>18*AF569-100+AE569</f>
        <v>197900</v>
      </c>
      <c r="AI569" s="95" t="s">
        <v>4613</v>
      </c>
      <c r="AJ569" s="99"/>
      <c r="AK569" s="100" t="s">
        <v>43</v>
      </c>
      <c r="AL569" s="100" t="s">
        <v>43</v>
      </c>
      <c r="AM569" s="100" t="str">
        <f>IF(AL569&lt;&gt;"No Disp",AK569+12*AL569,"No Disp")</f>
        <v>No Disp</v>
      </c>
      <c r="AN569" s="100" t="s">
        <v>43</v>
      </c>
      <c r="AO569" s="100" t="s">
        <v>43</v>
      </c>
      <c r="AP569" s="100" t="str">
        <f>IF(AO569&lt;&gt;"No Disp",AN569+12*AO569,"No Disp")</f>
        <v>No Disp</v>
      </c>
      <c r="AQ569" s="100" t="s">
        <v>43</v>
      </c>
      <c r="AR569" s="100" t="s">
        <v>43</v>
      </c>
      <c r="AS569" s="100" t="str">
        <f>IF(AR569&lt;&gt;"No Disp",AQ569+12*AR569,"No Disp")</f>
        <v>No Disp</v>
      </c>
    </row>
    <row r="570" spans="1:45" s="101" customFormat="1" x14ac:dyDescent="0.25">
      <c r="A570" s="90" t="s">
        <v>38</v>
      </c>
      <c r="B570" s="90" t="s">
        <v>39</v>
      </c>
      <c r="C570" s="90" t="s">
        <v>39</v>
      </c>
      <c r="D570" s="90" t="s">
        <v>4540</v>
      </c>
      <c r="E570" s="90" t="s">
        <v>4538</v>
      </c>
      <c r="F570" s="91">
        <v>533</v>
      </c>
      <c r="G570" s="92">
        <v>70012972</v>
      </c>
      <c r="H570" s="91">
        <v>70012973</v>
      </c>
      <c r="I570" s="93" t="s">
        <v>63</v>
      </c>
      <c r="J570" s="94" t="s">
        <v>3907</v>
      </c>
      <c r="K570" s="94" t="s">
        <v>180</v>
      </c>
      <c r="L570" s="94" t="s">
        <v>181</v>
      </c>
      <c r="M570" s="95">
        <v>949900</v>
      </c>
      <c r="N570" s="95">
        <v>7000</v>
      </c>
      <c r="O570" s="95">
        <v>10000</v>
      </c>
      <c r="P570" s="96">
        <v>1154990</v>
      </c>
      <c r="Q570" s="152"/>
      <c r="R570" s="95">
        <v>1069990</v>
      </c>
      <c r="S570" s="95">
        <f>R570/24</f>
        <v>44582.916666666664</v>
      </c>
      <c r="T570" s="95">
        <v>949900</v>
      </c>
      <c r="U570" s="95">
        <f>T570/24</f>
        <v>39579.166666666664</v>
      </c>
      <c r="V570" s="95">
        <v>949900</v>
      </c>
      <c r="W570" s="95">
        <f>V570/24</f>
        <v>39579.166666666664</v>
      </c>
      <c r="X570" s="128"/>
      <c r="Y570" s="95">
        <v>339900</v>
      </c>
      <c r="Z570" s="95">
        <v>65000</v>
      </c>
      <c r="AA570" s="95">
        <f>IFERROR(IF(D570="Premium",0.4*Y570,0),"No Disp")</f>
        <v>135960</v>
      </c>
      <c r="AB570" s="95">
        <f>IFERROR(IF(4*Y570&gt;AC570,1.5*Y570,4*Y570),"No Disp")</f>
        <v>1359600</v>
      </c>
      <c r="AC570" s="95">
        <f>IF(Z570="No Disp","No Disp",(Z570*18)+Y570)</f>
        <v>1509900</v>
      </c>
      <c r="AD570" s="95">
        <f>18*Z570-100+Y570</f>
        <v>1509800</v>
      </c>
      <c r="AE570" s="95">
        <v>239900</v>
      </c>
      <c r="AF570" s="95">
        <v>66000</v>
      </c>
      <c r="AG570" s="95">
        <f>IF(AF570="No Disp","No Disp",(AF570*18)+AE570)</f>
        <v>1427900</v>
      </c>
      <c r="AH570" s="98">
        <f>18*AF570-100+AE570</f>
        <v>1427800</v>
      </c>
      <c r="AI570" s="95" t="s">
        <v>4613</v>
      </c>
      <c r="AJ570" s="99"/>
      <c r="AK570" s="100">
        <v>0</v>
      </c>
      <c r="AL570" s="100">
        <v>49000</v>
      </c>
      <c r="AM570" s="100">
        <f>IF(AL570&lt;&gt;"No Disp",AK570+12*AL570,"No Disp")</f>
        <v>588000</v>
      </c>
      <c r="AN570" s="100">
        <v>0</v>
      </c>
      <c r="AO570" s="100">
        <v>49000</v>
      </c>
      <c r="AP570" s="100">
        <f>IF(AO570&lt;&gt;"No Disp",AN570+12*AO570,"No Disp")</f>
        <v>588000</v>
      </c>
      <c r="AQ570" s="100">
        <v>0</v>
      </c>
      <c r="AR570" s="100">
        <v>49000</v>
      </c>
      <c r="AS570" s="100">
        <f>IF(AR570&lt;&gt;"No Disp",AQ570+12*AR570,"No Disp")</f>
        <v>588000</v>
      </c>
    </row>
    <row r="571" spans="1:45" s="101" customFormat="1" x14ac:dyDescent="0.25">
      <c r="A571" s="90" t="s">
        <v>38</v>
      </c>
      <c r="B571" s="90" t="s">
        <v>39</v>
      </c>
      <c r="C571" s="90" t="s">
        <v>39</v>
      </c>
      <c r="D571" s="90" t="s">
        <v>4540</v>
      </c>
      <c r="E571" s="90" t="s">
        <v>4542</v>
      </c>
      <c r="F571" s="91">
        <v>531</v>
      </c>
      <c r="G571" s="92">
        <v>70013001</v>
      </c>
      <c r="H571" s="91">
        <v>70013002</v>
      </c>
      <c r="I571" s="93" t="s">
        <v>63</v>
      </c>
      <c r="J571" s="94" t="s">
        <v>3886</v>
      </c>
      <c r="K571" s="94" t="s">
        <v>185</v>
      </c>
      <c r="L571" s="94" t="s">
        <v>186</v>
      </c>
      <c r="M571" s="95">
        <v>949900</v>
      </c>
      <c r="N571" s="95">
        <v>7000</v>
      </c>
      <c r="O571" s="95">
        <v>10000</v>
      </c>
      <c r="P571" s="96">
        <v>1129990</v>
      </c>
      <c r="Q571" s="152"/>
      <c r="R571" s="95">
        <v>1069990</v>
      </c>
      <c r="S571" s="95">
        <f>R571/24</f>
        <v>44582.916666666664</v>
      </c>
      <c r="T571" s="95">
        <v>949900</v>
      </c>
      <c r="U571" s="95">
        <f>T571/24</f>
        <v>39579.166666666664</v>
      </c>
      <c r="V571" s="95">
        <v>949900</v>
      </c>
      <c r="W571" s="95">
        <f>V571/24</f>
        <v>39579.166666666664</v>
      </c>
      <c r="X571" s="128"/>
      <c r="Y571" s="95">
        <v>309900</v>
      </c>
      <c r="Z571" s="95">
        <v>62000</v>
      </c>
      <c r="AA571" s="95">
        <f>IFERROR(IF(D571="Premium",0.4*Y571,0),"No Disp")</f>
        <v>123960</v>
      </c>
      <c r="AB571" s="95">
        <f>IFERROR(IF(4*Y571&gt;AC571,1.5*Y571,4*Y571),"No Disp")</f>
        <v>1239600</v>
      </c>
      <c r="AC571" s="95">
        <f>IF(Z571="No Disp","No Disp",(Z571*18)+Y571)</f>
        <v>1425900</v>
      </c>
      <c r="AD571" s="95">
        <f>18*Z571-100+Y571</f>
        <v>1425800</v>
      </c>
      <c r="AE571" s="95">
        <v>209900</v>
      </c>
      <c r="AF571" s="95">
        <v>67000</v>
      </c>
      <c r="AG571" s="95">
        <f>IF(AF571="No Disp","No Disp",(AF571*18)+AE571)</f>
        <v>1415900</v>
      </c>
      <c r="AH571" s="98">
        <f>18*AF571-100+AE571</f>
        <v>1415800</v>
      </c>
      <c r="AI571" s="95" t="s">
        <v>4613</v>
      </c>
      <c r="AJ571" s="99"/>
      <c r="AK571" s="100">
        <v>0</v>
      </c>
      <c r="AL571" s="100">
        <v>54000</v>
      </c>
      <c r="AM571" s="100">
        <f>IF(AL571&lt;&gt;"No Disp",AK571+12*AL571,"No Disp")</f>
        <v>648000</v>
      </c>
      <c r="AN571" s="100">
        <v>0</v>
      </c>
      <c r="AO571" s="100">
        <v>54000</v>
      </c>
      <c r="AP571" s="100">
        <f>IF(AO571&lt;&gt;"No Disp",AN571+12*AO571,"No Disp")</f>
        <v>648000</v>
      </c>
      <c r="AQ571" s="100">
        <v>0</v>
      </c>
      <c r="AR571" s="100">
        <v>54000</v>
      </c>
      <c r="AS571" s="100">
        <f>IF(AR571&lt;&gt;"No Disp",AQ571+12*AR571,"No Disp")</f>
        <v>648000</v>
      </c>
    </row>
    <row r="572" spans="1:45" s="101" customFormat="1" x14ac:dyDescent="0.25">
      <c r="A572" s="90" t="s">
        <v>38</v>
      </c>
      <c r="B572" s="90" t="s">
        <v>39</v>
      </c>
      <c r="C572" s="90" t="s">
        <v>39</v>
      </c>
      <c r="D572" s="90" t="s">
        <v>4540</v>
      </c>
      <c r="E572" s="90" t="s">
        <v>4538</v>
      </c>
      <c r="F572" s="91">
        <v>514</v>
      </c>
      <c r="G572" s="92">
        <v>70013004</v>
      </c>
      <c r="H572" s="91">
        <v>70013005</v>
      </c>
      <c r="I572" s="93" t="s">
        <v>63</v>
      </c>
      <c r="J572" s="94" t="s">
        <v>199</v>
      </c>
      <c r="K572" s="94" t="s">
        <v>202</v>
      </c>
      <c r="L572" s="94" t="s">
        <v>3887</v>
      </c>
      <c r="M572" s="95">
        <v>1079900</v>
      </c>
      <c r="N572" s="95">
        <v>9500</v>
      </c>
      <c r="O572" s="95">
        <v>13500</v>
      </c>
      <c r="P572" s="96">
        <v>1324990</v>
      </c>
      <c r="Q572" s="152"/>
      <c r="R572" s="95">
        <v>1209990</v>
      </c>
      <c r="S572" s="95">
        <f>R572/24</f>
        <v>50416.25</v>
      </c>
      <c r="T572" s="95">
        <v>1079900</v>
      </c>
      <c r="U572" s="95">
        <f>T572/24</f>
        <v>44995.833333333336</v>
      </c>
      <c r="V572" s="95">
        <v>1079900</v>
      </c>
      <c r="W572" s="95">
        <f>V572/24</f>
        <v>44995.833333333336</v>
      </c>
      <c r="X572" s="128"/>
      <c r="Y572" s="95">
        <v>369900</v>
      </c>
      <c r="Z572" s="95">
        <v>68000</v>
      </c>
      <c r="AA572" s="95">
        <f>IFERROR(IF(D572="Premium",0.4*Y572,0),"No Disp")</f>
        <v>147960</v>
      </c>
      <c r="AB572" s="95">
        <f>IFERROR(IF(4*Y572&gt;AC572,1.5*Y572,4*Y572),"No Disp")</f>
        <v>1479600</v>
      </c>
      <c r="AC572" s="95">
        <f>IF(Z572="No Disp","No Disp",(Z572*18)+Y572)</f>
        <v>1593900</v>
      </c>
      <c r="AD572" s="95">
        <f>18*Z572-100+Y572</f>
        <v>1593800</v>
      </c>
      <c r="AE572" s="95">
        <v>269900</v>
      </c>
      <c r="AF572" s="95">
        <v>70000</v>
      </c>
      <c r="AG572" s="95">
        <f>IF(AF572="No Disp","No Disp",(AF572*18)+AE572)</f>
        <v>1529900</v>
      </c>
      <c r="AH572" s="98">
        <f>18*AF572-100+AE572</f>
        <v>1529800</v>
      </c>
      <c r="AI572" s="95" t="s">
        <v>4613</v>
      </c>
      <c r="AJ572" s="99"/>
      <c r="AK572" s="100">
        <v>0</v>
      </c>
      <c r="AL572" s="100">
        <v>56000</v>
      </c>
      <c r="AM572" s="100">
        <f>IF(AL572&lt;&gt;"No Disp",AK572+12*AL572,"No Disp")</f>
        <v>672000</v>
      </c>
      <c r="AN572" s="100">
        <v>0</v>
      </c>
      <c r="AO572" s="100">
        <v>56000</v>
      </c>
      <c r="AP572" s="100">
        <f>IF(AO572&lt;&gt;"No Disp",AN572+12*AO572,"No Disp")</f>
        <v>672000</v>
      </c>
      <c r="AQ572" s="100">
        <v>0</v>
      </c>
      <c r="AR572" s="100">
        <v>56000</v>
      </c>
      <c r="AS572" s="100">
        <f>IF(AR572&lt;&gt;"No Disp",AQ572+12*AR572,"No Disp")</f>
        <v>672000</v>
      </c>
    </row>
    <row r="573" spans="1:45" s="101" customFormat="1" x14ac:dyDescent="0.25">
      <c r="A573" s="90" t="s">
        <v>38</v>
      </c>
      <c r="B573" s="90" t="s">
        <v>39</v>
      </c>
      <c r="C573" s="90" t="s">
        <v>39</v>
      </c>
      <c r="D573" s="90" t="s">
        <v>4540</v>
      </c>
      <c r="E573" s="90" t="s">
        <v>4538</v>
      </c>
      <c r="F573" s="91">
        <v>516</v>
      </c>
      <c r="G573" s="92">
        <v>70013050</v>
      </c>
      <c r="H573" s="91">
        <v>70013051</v>
      </c>
      <c r="I573" s="93" t="s">
        <v>63</v>
      </c>
      <c r="J573" s="94" t="s">
        <v>199</v>
      </c>
      <c r="K573" s="94" t="s">
        <v>200</v>
      </c>
      <c r="L573" s="94" t="s">
        <v>3888</v>
      </c>
      <c r="M573" s="95">
        <v>1079900</v>
      </c>
      <c r="N573" s="95">
        <v>9500</v>
      </c>
      <c r="O573" s="95">
        <v>13500</v>
      </c>
      <c r="P573" s="96">
        <v>1324990</v>
      </c>
      <c r="Q573" s="152"/>
      <c r="R573" s="95">
        <v>1209990</v>
      </c>
      <c r="S573" s="95">
        <f>R573/24</f>
        <v>50416.25</v>
      </c>
      <c r="T573" s="95">
        <v>1079900</v>
      </c>
      <c r="U573" s="95">
        <f>T573/24</f>
        <v>44995.833333333336</v>
      </c>
      <c r="V573" s="95">
        <v>1079900</v>
      </c>
      <c r="W573" s="95">
        <f>V573/24</f>
        <v>44995.833333333336</v>
      </c>
      <c r="X573" s="128"/>
      <c r="Y573" s="95">
        <v>369900</v>
      </c>
      <c r="Z573" s="95">
        <v>68000</v>
      </c>
      <c r="AA573" s="95">
        <f>IFERROR(IF(D573="Premium",0.4*Y573,0),"No Disp")</f>
        <v>147960</v>
      </c>
      <c r="AB573" s="95">
        <f>IFERROR(IF(4*Y573&gt;AC573,1.5*Y573,4*Y573),"No Disp")</f>
        <v>1479600</v>
      </c>
      <c r="AC573" s="95">
        <f>IF(Z573="No Disp","No Disp",(Z573*18)+Y573)</f>
        <v>1593900</v>
      </c>
      <c r="AD573" s="95">
        <f>18*Z573-100+Y573</f>
        <v>1593800</v>
      </c>
      <c r="AE573" s="95">
        <v>269900</v>
      </c>
      <c r="AF573" s="95">
        <v>70000</v>
      </c>
      <c r="AG573" s="95">
        <f>IF(AF573="No Disp","No Disp",(AF573*18)+AE573)</f>
        <v>1529900</v>
      </c>
      <c r="AH573" s="98">
        <f>18*AF573-100+AE573</f>
        <v>1529800</v>
      </c>
      <c r="AI573" s="95" t="s">
        <v>4613</v>
      </c>
      <c r="AJ573" s="99"/>
      <c r="AK573" s="100">
        <v>0</v>
      </c>
      <c r="AL573" s="100">
        <v>56000</v>
      </c>
      <c r="AM573" s="100">
        <f>IF(AL573&lt;&gt;"No Disp",AK573+12*AL573,"No Disp")</f>
        <v>672000</v>
      </c>
      <c r="AN573" s="100">
        <v>0</v>
      </c>
      <c r="AO573" s="100">
        <v>56000</v>
      </c>
      <c r="AP573" s="100">
        <f>IF(AO573&lt;&gt;"No Disp",AN573+12*AO573,"No Disp")</f>
        <v>672000</v>
      </c>
      <c r="AQ573" s="100">
        <v>0</v>
      </c>
      <c r="AR573" s="100">
        <v>56000</v>
      </c>
      <c r="AS573" s="100">
        <f>IF(AR573&lt;&gt;"No Disp",AQ573+12*AR573,"No Disp")</f>
        <v>672000</v>
      </c>
    </row>
    <row r="574" spans="1:45" s="101" customFormat="1" x14ac:dyDescent="0.25">
      <c r="A574" s="90" t="s">
        <v>38</v>
      </c>
      <c r="B574" s="90" t="s">
        <v>39</v>
      </c>
      <c r="C574" s="90" t="s">
        <v>39</v>
      </c>
      <c r="D574" s="90" t="s">
        <v>4540</v>
      </c>
      <c r="E574" s="90" t="s">
        <v>4538</v>
      </c>
      <c r="F574" s="91">
        <v>515</v>
      </c>
      <c r="G574" s="92">
        <v>70013058</v>
      </c>
      <c r="H574" s="91">
        <v>70013059</v>
      </c>
      <c r="I574" s="93" t="s">
        <v>63</v>
      </c>
      <c r="J574" s="94" t="s">
        <v>199</v>
      </c>
      <c r="K574" s="94" t="s">
        <v>201</v>
      </c>
      <c r="L574" s="94" t="s">
        <v>3889</v>
      </c>
      <c r="M574" s="95">
        <v>1079900</v>
      </c>
      <c r="N574" s="95">
        <v>9500</v>
      </c>
      <c r="O574" s="95">
        <v>13500</v>
      </c>
      <c r="P574" s="96">
        <v>1324990</v>
      </c>
      <c r="Q574" s="152"/>
      <c r="R574" s="95">
        <v>1209990</v>
      </c>
      <c r="S574" s="95">
        <f>R574/24</f>
        <v>50416.25</v>
      </c>
      <c r="T574" s="95">
        <v>1079900</v>
      </c>
      <c r="U574" s="95">
        <f>T574/24</f>
        <v>44995.833333333336</v>
      </c>
      <c r="V574" s="95">
        <v>1079900</v>
      </c>
      <c r="W574" s="95">
        <f>V574/24</f>
        <v>44995.833333333336</v>
      </c>
      <c r="X574" s="128"/>
      <c r="Y574" s="95">
        <v>369900</v>
      </c>
      <c r="Z574" s="95">
        <v>68000</v>
      </c>
      <c r="AA574" s="95">
        <f>IFERROR(IF(D574="Premium",0.4*Y574,0),"No Disp")</f>
        <v>147960</v>
      </c>
      <c r="AB574" s="95">
        <f>IFERROR(IF(4*Y574&gt;AC574,1.5*Y574,4*Y574),"No Disp")</f>
        <v>1479600</v>
      </c>
      <c r="AC574" s="95">
        <f>IF(Z574="No Disp","No Disp",(Z574*18)+Y574)</f>
        <v>1593900</v>
      </c>
      <c r="AD574" s="95">
        <f>18*Z574-100+Y574</f>
        <v>1593800</v>
      </c>
      <c r="AE574" s="95">
        <v>269900</v>
      </c>
      <c r="AF574" s="95">
        <v>70000</v>
      </c>
      <c r="AG574" s="95">
        <f>IF(AF574="No Disp","No Disp",(AF574*18)+AE574)</f>
        <v>1529900</v>
      </c>
      <c r="AH574" s="98">
        <f>18*AF574-100+AE574</f>
        <v>1529800</v>
      </c>
      <c r="AI574" s="95" t="s">
        <v>4613</v>
      </c>
      <c r="AJ574" s="99"/>
      <c r="AK574" s="100">
        <v>0</v>
      </c>
      <c r="AL574" s="100">
        <v>56000</v>
      </c>
      <c r="AM574" s="100">
        <f>IF(AL574&lt;&gt;"No Disp",AK574+12*AL574,"No Disp")</f>
        <v>672000</v>
      </c>
      <c r="AN574" s="100">
        <v>0</v>
      </c>
      <c r="AO574" s="100">
        <v>56000</v>
      </c>
      <c r="AP574" s="100">
        <f>IF(AO574&lt;&gt;"No Disp",AN574+12*AO574,"No Disp")</f>
        <v>672000</v>
      </c>
      <c r="AQ574" s="100">
        <v>0</v>
      </c>
      <c r="AR574" s="100">
        <v>56000</v>
      </c>
      <c r="AS574" s="100">
        <f>IF(AR574&lt;&gt;"No Disp",AQ574+12*AR574,"No Disp")</f>
        <v>672000</v>
      </c>
    </row>
    <row r="575" spans="1:45" s="101" customFormat="1" x14ac:dyDescent="0.25">
      <c r="A575" s="90" t="s">
        <v>38</v>
      </c>
      <c r="B575" s="90" t="s">
        <v>39</v>
      </c>
      <c r="C575" s="90" t="s">
        <v>39</v>
      </c>
      <c r="D575" s="90" t="s">
        <v>4540</v>
      </c>
      <c r="E575" s="90" t="s">
        <v>4542</v>
      </c>
      <c r="F575" s="91">
        <v>517</v>
      </c>
      <c r="G575" s="92">
        <v>70013061</v>
      </c>
      <c r="H575" s="91">
        <v>70013062</v>
      </c>
      <c r="I575" s="93" t="s">
        <v>63</v>
      </c>
      <c r="J575" s="94" t="s">
        <v>197</v>
      </c>
      <c r="K575" s="94" t="s">
        <v>198</v>
      </c>
      <c r="L575" s="94" t="s">
        <v>3890</v>
      </c>
      <c r="M575" s="95">
        <v>1189900</v>
      </c>
      <c r="N575" s="95">
        <v>9500</v>
      </c>
      <c r="O575" s="95">
        <v>13500</v>
      </c>
      <c r="P575" s="96">
        <v>1454990</v>
      </c>
      <c r="Q575" s="152"/>
      <c r="R575" s="95">
        <v>1339990</v>
      </c>
      <c r="S575" s="95">
        <f>R575/24</f>
        <v>55832.916666666664</v>
      </c>
      <c r="T575" s="95">
        <v>1189900</v>
      </c>
      <c r="U575" s="95">
        <f>T575/24</f>
        <v>49579.166666666664</v>
      </c>
      <c r="V575" s="95">
        <v>1189900</v>
      </c>
      <c r="W575" s="95">
        <f>V575/24</f>
        <v>49579.166666666664</v>
      </c>
      <c r="X575" s="128"/>
      <c r="Y575" s="95">
        <v>369900</v>
      </c>
      <c r="Z575" s="95">
        <v>77000</v>
      </c>
      <c r="AA575" s="95">
        <f>IFERROR(IF(D575="Premium",0.4*Y575,0),"No Disp")</f>
        <v>147960</v>
      </c>
      <c r="AB575" s="95">
        <f>IFERROR(IF(4*Y575&gt;AC575,1.5*Y575,4*Y575),"No Disp")</f>
        <v>1479600</v>
      </c>
      <c r="AC575" s="95">
        <f>IF(Z575="No Disp","No Disp",(Z575*18)+Y575)</f>
        <v>1755900</v>
      </c>
      <c r="AD575" s="95">
        <f>18*Z575-100+Y575</f>
        <v>1755800</v>
      </c>
      <c r="AE575" s="95">
        <v>289900</v>
      </c>
      <c r="AF575" s="95">
        <v>77000</v>
      </c>
      <c r="AG575" s="95">
        <f>IF(AF575="No Disp","No Disp",(AF575*18)+AE575)</f>
        <v>1675900</v>
      </c>
      <c r="AH575" s="98">
        <f>18*AF575-100+AE575</f>
        <v>1675800</v>
      </c>
      <c r="AI575" s="95" t="s">
        <v>4613</v>
      </c>
      <c r="AJ575" s="99"/>
      <c r="AK575" s="100">
        <v>0</v>
      </c>
      <c r="AL575" s="100">
        <v>62000</v>
      </c>
      <c r="AM575" s="100">
        <f>IF(AL575&lt;&gt;"No Disp",AK575+12*AL575,"No Disp")</f>
        <v>744000</v>
      </c>
      <c r="AN575" s="100">
        <v>0</v>
      </c>
      <c r="AO575" s="100">
        <v>62000</v>
      </c>
      <c r="AP575" s="100">
        <f>IF(AO575&lt;&gt;"No Disp",AN575+12*AO575,"No Disp")</f>
        <v>744000</v>
      </c>
      <c r="AQ575" s="100">
        <v>0</v>
      </c>
      <c r="AR575" s="100">
        <v>62000</v>
      </c>
      <c r="AS575" s="100">
        <f>IF(AR575&lt;&gt;"No Disp",AQ575+12*AR575,"No Disp")</f>
        <v>744000</v>
      </c>
    </row>
    <row r="576" spans="1:45" s="101" customFormat="1" x14ac:dyDescent="0.25">
      <c r="A576" s="90" t="s">
        <v>38</v>
      </c>
      <c r="B576" s="90" t="s">
        <v>39</v>
      </c>
      <c r="C576" s="90" t="s">
        <v>39</v>
      </c>
      <c r="D576" s="90" t="s">
        <v>4540</v>
      </c>
      <c r="E576" s="90" t="s">
        <v>4538</v>
      </c>
      <c r="F576" s="91">
        <v>532</v>
      </c>
      <c r="G576" s="92">
        <v>70013098</v>
      </c>
      <c r="H576" s="91">
        <v>70013099</v>
      </c>
      <c r="I576" s="93" t="s">
        <v>63</v>
      </c>
      <c r="J576" s="94" t="s">
        <v>182</v>
      </c>
      <c r="K576" s="94" t="s">
        <v>183</v>
      </c>
      <c r="L576" s="94" t="s">
        <v>184</v>
      </c>
      <c r="M576" s="95">
        <v>1349900</v>
      </c>
      <c r="N576" s="95">
        <v>9500</v>
      </c>
      <c r="O576" s="95">
        <v>13500</v>
      </c>
      <c r="P576" s="96">
        <v>1744900</v>
      </c>
      <c r="Q576" s="152"/>
      <c r="R576" s="95">
        <v>1519990</v>
      </c>
      <c r="S576" s="95">
        <f>R576/24</f>
        <v>63332.916666666664</v>
      </c>
      <c r="T576" s="95">
        <v>1349900</v>
      </c>
      <c r="U576" s="95">
        <f>T576/24</f>
        <v>56245.833333333336</v>
      </c>
      <c r="V576" s="95">
        <v>1349900</v>
      </c>
      <c r="W576" s="95">
        <f>V576/24</f>
        <v>56245.833333333336</v>
      </c>
      <c r="X576" s="128"/>
      <c r="Y576" s="95">
        <v>539900</v>
      </c>
      <c r="Z576" s="95">
        <v>77000</v>
      </c>
      <c r="AA576" s="95">
        <f>IFERROR(IF(D576="Premium",0.4*Y576,0),"No Disp")</f>
        <v>215960</v>
      </c>
      <c r="AB576" s="95">
        <f>IFERROR(IF(4*Y576&gt;AC576,1.5*Y576,4*Y576),"No Disp")</f>
        <v>809850</v>
      </c>
      <c r="AC576" s="95">
        <f>IF(Z576="No Disp","No Disp",(Z576*18)+Y576)</f>
        <v>1925900</v>
      </c>
      <c r="AD576" s="95">
        <f>18*Z576-100+Y576</f>
        <v>1925800</v>
      </c>
      <c r="AE576" s="95">
        <v>399900</v>
      </c>
      <c r="AF576" s="95">
        <v>77500</v>
      </c>
      <c r="AG576" s="95">
        <f>IF(AF576="No Disp","No Disp",(AF576*18)+AE576)</f>
        <v>1794900</v>
      </c>
      <c r="AH576" s="98">
        <f>18*AF576-100+AE576</f>
        <v>1794800</v>
      </c>
      <c r="AI576" s="95" t="s">
        <v>4613</v>
      </c>
      <c r="AJ576" s="99"/>
      <c r="AK576" s="100">
        <v>0</v>
      </c>
      <c r="AL576" s="100">
        <v>64000</v>
      </c>
      <c r="AM576" s="100">
        <f>IF(AL576&lt;&gt;"No Disp",AK576+12*AL576,"No Disp")</f>
        <v>768000</v>
      </c>
      <c r="AN576" s="100">
        <v>0</v>
      </c>
      <c r="AO576" s="100">
        <v>64000</v>
      </c>
      <c r="AP576" s="100">
        <f>IF(AO576&lt;&gt;"No Disp",AN576+12*AO576,"No Disp")</f>
        <v>768000</v>
      </c>
      <c r="AQ576" s="100">
        <v>0</v>
      </c>
      <c r="AR576" s="100">
        <v>64000</v>
      </c>
      <c r="AS576" s="100">
        <f>IF(AR576&lt;&gt;"No Disp",AQ576+12*AR576,"No Disp")</f>
        <v>768000</v>
      </c>
    </row>
    <row r="577" spans="1:45" s="101" customFormat="1" x14ac:dyDescent="0.25">
      <c r="A577" s="90" t="s">
        <v>38</v>
      </c>
      <c r="B577" s="90" t="s">
        <v>39</v>
      </c>
      <c r="C577" s="90" t="s">
        <v>39</v>
      </c>
      <c r="D577" s="90" t="s">
        <v>4540</v>
      </c>
      <c r="E577" s="90" t="s">
        <v>4538</v>
      </c>
      <c r="F577" s="91">
        <v>513</v>
      </c>
      <c r="G577" s="92">
        <v>70013104</v>
      </c>
      <c r="H577" s="91">
        <v>70013105</v>
      </c>
      <c r="I577" s="93" t="s">
        <v>63</v>
      </c>
      <c r="J577" s="94" t="s">
        <v>182</v>
      </c>
      <c r="K577" s="94" t="s">
        <v>203</v>
      </c>
      <c r="L577" s="94" t="s">
        <v>3891</v>
      </c>
      <c r="M577" s="95">
        <v>1349900</v>
      </c>
      <c r="N577" s="95">
        <v>9500</v>
      </c>
      <c r="O577" s="95">
        <v>13500</v>
      </c>
      <c r="P577" s="96">
        <v>1744900</v>
      </c>
      <c r="Q577" s="152"/>
      <c r="R577" s="95">
        <v>1519990</v>
      </c>
      <c r="S577" s="95">
        <f>R577/24</f>
        <v>63332.916666666664</v>
      </c>
      <c r="T577" s="95">
        <v>1349900</v>
      </c>
      <c r="U577" s="95">
        <f>T577/24</f>
        <v>56245.833333333336</v>
      </c>
      <c r="V577" s="95">
        <v>1349900</v>
      </c>
      <c r="W577" s="95">
        <f>V577/24</f>
        <v>56245.833333333336</v>
      </c>
      <c r="X577" s="128"/>
      <c r="Y577" s="95">
        <v>539900</v>
      </c>
      <c r="Z577" s="95">
        <v>77000</v>
      </c>
      <c r="AA577" s="95">
        <f>IFERROR(IF(D577="Premium",0.4*Y577,0),"No Disp")</f>
        <v>215960</v>
      </c>
      <c r="AB577" s="95">
        <f>IFERROR(IF(4*Y577&gt;AC577,1.5*Y577,4*Y577),"No Disp")</f>
        <v>809850</v>
      </c>
      <c r="AC577" s="95">
        <f>IF(Z577="No Disp","No Disp",(Z577*18)+Y577)</f>
        <v>1925900</v>
      </c>
      <c r="AD577" s="95">
        <f>18*Z577-100+Y577</f>
        <v>1925800</v>
      </c>
      <c r="AE577" s="95">
        <v>399900</v>
      </c>
      <c r="AF577" s="95">
        <v>77500</v>
      </c>
      <c r="AG577" s="95">
        <f>IF(AF577="No Disp","No Disp",(AF577*18)+AE577)</f>
        <v>1794900</v>
      </c>
      <c r="AH577" s="98">
        <f>18*AF577-100+AE577</f>
        <v>1794800</v>
      </c>
      <c r="AI577" s="95" t="s">
        <v>4613</v>
      </c>
      <c r="AJ577" s="99"/>
      <c r="AK577" s="100">
        <v>0</v>
      </c>
      <c r="AL577" s="100">
        <v>64000</v>
      </c>
      <c r="AM577" s="100">
        <f>IF(AL577&lt;&gt;"No Disp",AK577+12*AL577,"No Disp")</f>
        <v>768000</v>
      </c>
      <c r="AN577" s="100">
        <v>0</v>
      </c>
      <c r="AO577" s="100">
        <v>64000</v>
      </c>
      <c r="AP577" s="100">
        <f>IF(AO577&lt;&gt;"No Disp",AN577+12*AO577,"No Disp")</f>
        <v>768000</v>
      </c>
      <c r="AQ577" s="100">
        <v>0</v>
      </c>
      <c r="AR577" s="100">
        <v>64000</v>
      </c>
      <c r="AS577" s="100">
        <f>IF(AR577&lt;&gt;"No Disp",AQ577+12*AR577,"No Disp")</f>
        <v>768000</v>
      </c>
    </row>
    <row r="578" spans="1:45" s="101" customFormat="1" x14ac:dyDescent="0.25">
      <c r="A578" s="90" t="s">
        <v>38</v>
      </c>
      <c r="B578" s="90" t="s">
        <v>39</v>
      </c>
      <c r="C578" s="90" t="s">
        <v>39</v>
      </c>
      <c r="D578" s="90" t="s">
        <v>4540</v>
      </c>
      <c r="E578" s="90" t="s">
        <v>4538</v>
      </c>
      <c r="F578" s="91">
        <v>512</v>
      </c>
      <c r="G578" s="92">
        <v>70013107</v>
      </c>
      <c r="H578" s="91">
        <v>70013108</v>
      </c>
      <c r="I578" s="93" t="s">
        <v>63</v>
      </c>
      <c r="J578" s="94" t="s">
        <v>182</v>
      </c>
      <c r="K578" s="94" t="s">
        <v>204</v>
      </c>
      <c r="L578" s="94" t="s">
        <v>3892</v>
      </c>
      <c r="M578" s="95">
        <v>1349900</v>
      </c>
      <c r="N578" s="95">
        <v>9500</v>
      </c>
      <c r="O578" s="95">
        <v>13500</v>
      </c>
      <c r="P578" s="96">
        <v>1744900</v>
      </c>
      <c r="Q578" s="152"/>
      <c r="R578" s="95">
        <v>1519990</v>
      </c>
      <c r="S578" s="95">
        <f>R578/24</f>
        <v>63332.916666666664</v>
      </c>
      <c r="T578" s="95">
        <v>1349900</v>
      </c>
      <c r="U578" s="95">
        <f>T578/24</f>
        <v>56245.833333333336</v>
      </c>
      <c r="V578" s="95">
        <v>1349900</v>
      </c>
      <c r="W578" s="95">
        <f>V578/24</f>
        <v>56245.833333333336</v>
      </c>
      <c r="X578" s="128"/>
      <c r="Y578" s="95">
        <v>539900</v>
      </c>
      <c r="Z578" s="95">
        <v>77000</v>
      </c>
      <c r="AA578" s="95">
        <f>IFERROR(IF(D578="Premium",0.4*Y578,0),"No Disp")</f>
        <v>215960</v>
      </c>
      <c r="AB578" s="95">
        <f>IFERROR(IF(4*Y578&gt;AC578,1.5*Y578,4*Y578),"No Disp")</f>
        <v>809850</v>
      </c>
      <c r="AC578" s="95">
        <f>IF(Z578="No Disp","No Disp",(Z578*18)+Y578)</f>
        <v>1925900</v>
      </c>
      <c r="AD578" s="95">
        <f>18*Z578-100+Y578</f>
        <v>1925800</v>
      </c>
      <c r="AE578" s="95">
        <v>399900</v>
      </c>
      <c r="AF578" s="95">
        <v>77500</v>
      </c>
      <c r="AG578" s="95">
        <f>IF(AF578="No Disp","No Disp",(AF578*18)+AE578)</f>
        <v>1794900</v>
      </c>
      <c r="AH578" s="98">
        <f>18*AF578-100+AE578</f>
        <v>1794800</v>
      </c>
      <c r="AI578" s="95" t="s">
        <v>4613</v>
      </c>
      <c r="AJ578" s="99"/>
      <c r="AK578" s="100">
        <v>0</v>
      </c>
      <c r="AL578" s="100">
        <v>64000</v>
      </c>
      <c r="AM578" s="100">
        <f>IF(AL578&lt;&gt;"No Disp",AK578+12*AL578,"No Disp")</f>
        <v>768000</v>
      </c>
      <c r="AN578" s="100">
        <v>0</v>
      </c>
      <c r="AO578" s="100">
        <v>64000</v>
      </c>
      <c r="AP578" s="100">
        <f>IF(AO578&lt;&gt;"No Disp",AN578+12*AO578,"No Disp")</f>
        <v>768000</v>
      </c>
      <c r="AQ578" s="100">
        <v>0</v>
      </c>
      <c r="AR578" s="100">
        <v>64000</v>
      </c>
      <c r="AS578" s="100">
        <f>IF(AR578&lt;&gt;"No Disp",AQ578+12*AR578,"No Disp")</f>
        <v>768000</v>
      </c>
    </row>
    <row r="579" spans="1:45" s="101" customFormat="1" x14ac:dyDescent="0.25">
      <c r="A579" s="90" t="s">
        <v>38</v>
      </c>
      <c r="B579" s="90" t="s">
        <v>39</v>
      </c>
      <c r="C579" s="90" t="s">
        <v>40</v>
      </c>
      <c r="D579" s="90" t="s">
        <v>4539</v>
      </c>
      <c r="E579" s="90" t="s">
        <v>4542</v>
      </c>
      <c r="F579" s="91">
        <v>520</v>
      </c>
      <c r="G579" s="92">
        <v>70013163</v>
      </c>
      <c r="H579" s="91">
        <v>70013164</v>
      </c>
      <c r="I579" s="93" t="s">
        <v>171</v>
      </c>
      <c r="J579" s="94" t="s">
        <v>3893</v>
      </c>
      <c r="K579" s="94" t="s">
        <v>192</v>
      </c>
      <c r="L579" s="94" t="s">
        <v>193</v>
      </c>
      <c r="M579" s="95">
        <v>299760</v>
      </c>
      <c r="N579" s="95">
        <v>4000</v>
      </c>
      <c r="O579" s="95">
        <v>6000</v>
      </c>
      <c r="P579" s="96">
        <v>379990</v>
      </c>
      <c r="Q579" s="152"/>
      <c r="R579" s="95">
        <v>309990</v>
      </c>
      <c r="S579" s="95">
        <f>R579/24</f>
        <v>12916.25</v>
      </c>
      <c r="T579" s="95">
        <v>299760</v>
      </c>
      <c r="U579" s="95">
        <f>T579/24</f>
        <v>12490</v>
      </c>
      <c r="V579" s="95">
        <v>299760</v>
      </c>
      <c r="W579" s="95">
        <f>V579/24</f>
        <v>12490</v>
      </c>
      <c r="X579" s="128"/>
      <c r="Y579" s="95">
        <v>39900</v>
      </c>
      <c r="Z579" s="95">
        <v>26000</v>
      </c>
      <c r="AA579" s="95">
        <f>IFERROR(IF(D579="Premium",0.4*Y579,0),"No Disp")</f>
        <v>0</v>
      </c>
      <c r="AB579" s="95">
        <f>IFERROR(IF(4*Y579&gt;AC579,1.5*Y579,4*Y579),"No Disp")</f>
        <v>159600</v>
      </c>
      <c r="AC579" s="95">
        <f>IF(Z579="No Disp","No Disp",(Z579*18)+Y579)</f>
        <v>507900</v>
      </c>
      <c r="AD579" s="95">
        <f>18*Z579-100+Y579</f>
        <v>507800</v>
      </c>
      <c r="AE579" s="95">
        <v>0</v>
      </c>
      <c r="AF579" s="95">
        <v>25000</v>
      </c>
      <c r="AG579" s="95">
        <f>IF(AF579="No Disp","No Disp",(AF579*18)+AE579)</f>
        <v>450000</v>
      </c>
      <c r="AH579" s="98">
        <f>18*AF579-100+AE579</f>
        <v>449900</v>
      </c>
      <c r="AI579" s="95" t="s">
        <v>4613</v>
      </c>
      <c r="AJ579" s="99"/>
      <c r="AK579" s="100" t="s">
        <v>43</v>
      </c>
      <c r="AL579" s="100" t="s">
        <v>43</v>
      </c>
      <c r="AM579" s="100" t="str">
        <f>IF(AL579&lt;&gt;"No Disp",AK579+12*AL579,"No Disp")</f>
        <v>No Disp</v>
      </c>
      <c r="AN579" s="100" t="s">
        <v>43</v>
      </c>
      <c r="AO579" s="100" t="s">
        <v>43</v>
      </c>
      <c r="AP579" s="100" t="str">
        <f>IF(AO579&lt;&gt;"No Disp",AN579+12*AO579,"No Disp")</f>
        <v>No Disp</v>
      </c>
      <c r="AQ579" s="100" t="s">
        <v>43</v>
      </c>
      <c r="AR579" s="100" t="s">
        <v>43</v>
      </c>
      <c r="AS579" s="100" t="str">
        <f>IF(AR579&lt;&gt;"No Disp",AQ579+12*AR579,"No Disp")</f>
        <v>No Disp</v>
      </c>
    </row>
    <row r="580" spans="1:45" s="101" customFormat="1" x14ac:dyDescent="0.25">
      <c r="A580" s="90" t="s">
        <v>38</v>
      </c>
      <c r="B580" s="90" t="s">
        <v>39</v>
      </c>
      <c r="C580" s="90" t="s">
        <v>40</v>
      </c>
      <c r="D580" s="90" t="s">
        <v>4539</v>
      </c>
      <c r="E580" s="90" t="s">
        <v>4542</v>
      </c>
      <c r="F580" s="91">
        <v>521</v>
      </c>
      <c r="G580" s="92">
        <v>70013166</v>
      </c>
      <c r="H580" s="91">
        <v>70013167</v>
      </c>
      <c r="I580" s="93" t="s">
        <v>171</v>
      </c>
      <c r="J580" s="94" t="s">
        <v>3893</v>
      </c>
      <c r="K580" s="94" t="s">
        <v>190</v>
      </c>
      <c r="L580" s="94" t="s">
        <v>191</v>
      </c>
      <c r="M580" s="95">
        <v>299760</v>
      </c>
      <c r="N580" s="95">
        <v>4000</v>
      </c>
      <c r="O580" s="95">
        <v>6000</v>
      </c>
      <c r="P580" s="96">
        <v>379990</v>
      </c>
      <c r="Q580" s="152"/>
      <c r="R580" s="95">
        <v>309990</v>
      </c>
      <c r="S580" s="95">
        <f>R580/24</f>
        <v>12916.25</v>
      </c>
      <c r="T580" s="95">
        <v>299760</v>
      </c>
      <c r="U580" s="95">
        <f>T580/24</f>
        <v>12490</v>
      </c>
      <c r="V580" s="95">
        <v>299760</v>
      </c>
      <c r="W580" s="95">
        <f>V580/24</f>
        <v>12490</v>
      </c>
      <c r="X580" s="128"/>
      <c r="Y580" s="95">
        <v>39900</v>
      </c>
      <c r="Z580" s="95">
        <v>26000</v>
      </c>
      <c r="AA580" s="95">
        <f>IFERROR(IF(D580="Premium",0.4*Y580,0),"No Disp")</f>
        <v>0</v>
      </c>
      <c r="AB580" s="95">
        <f>IFERROR(IF(4*Y580&gt;AC580,1.5*Y580,4*Y580),"No Disp")</f>
        <v>159600</v>
      </c>
      <c r="AC580" s="95">
        <f>IF(Z580="No Disp","No Disp",(Z580*18)+Y580)</f>
        <v>507900</v>
      </c>
      <c r="AD580" s="95">
        <f>18*Z580-100+Y580</f>
        <v>507800</v>
      </c>
      <c r="AE580" s="95">
        <v>0</v>
      </c>
      <c r="AF580" s="95">
        <v>25000</v>
      </c>
      <c r="AG580" s="95">
        <f>IF(AF580="No Disp","No Disp",(AF580*18)+AE580)</f>
        <v>450000</v>
      </c>
      <c r="AH580" s="98">
        <f>18*AF580-100+AE580</f>
        <v>449900</v>
      </c>
      <c r="AI580" s="95" t="s">
        <v>4613</v>
      </c>
      <c r="AJ580" s="99"/>
      <c r="AK580" s="100" t="s">
        <v>43</v>
      </c>
      <c r="AL580" s="100" t="s">
        <v>43</v>
      </c>
      <c r="AM580" s="100" t="str">
        <f>IF(AL580&lt;&gt;"No Disp",AK580+12*AL580,"No Disp")</f>
        <v>No Disp</v>
      </c>
      <c r="AN580" s="100" t="s">
        <v>43</v>
      </c>
      <c r="AO580" s="100" t="s">
        <v>43</v>
      </c>
      <c r="AP580" s="100" t="str">
        <f>IF(AO580&lt;&gt;"No Disp",AN580+12*AO580,"No Disp")</f>
        <v>No Disp</v>
      </c>
      <c r="AQ580" s="100" t="s">
        <v>43</v>
      </c>
      <c r="AR580" s="100" t="s">
        <v>43</v>
      </c>
      <c r="AS580" s="100" t="str">
        <f>IF(AR580&lt;&gt;"No Disp",AQ580+12*AR580,"No Disp")</f>
        <v>No Disp</v>
      </c>
    </row>
    <row r="581" spans="1:45" s="101" customFormat="1" x14ac:dyDescent="0.25">
      <c r="A581" s="90" t="s">
        <v>38</v>
      </c>
      <c r="B581" s="90" t="s">
        <v>39</v>
      </c>
      <c r="C581" s="90" t="s">
        <v>40</v>
      </c>
      <c r="D581" s="90" t="s">
        <v>4541</v>
      </c>
      <c r="E581" s="90" t="s">
        <v>4542</v>
      </c>
      <c r="F581" s="91">
        <v>578</v>
      </c>
      <c r="G581" s="92">
        <v>70013169</v>
      </c>
      <c r="H581" s="91">
        <v>70013170</v>
      </c>
      <c r="I581" s="93" t="s">
        <v>41</v>
      </c>
      <c r="J581" s="94" t="s">
        <v>2795</v>
      </c>
      <c r="K581" s="94" t="s">
        <v>2794</v>
      </c>
      <c r="L581" s="94" t="s">
        <v>2796</v>
      </c>
      <c r="M581" s="95">
        <v>89900</v>
      </c>
      <c r="N581" s="95">
        <v>2500</v>
      </c>
      <c r="O581" s="95">
        <v>4000</v>
      </c>
      <c r="P581" s="96">
        <v>119990</v>
      </c>
      <c r="Q581" s="152"/>
      <c r="R581" s="95">
        <v>99990</v>
      </c>
      <c r="S581" s="95">
        <f>R581/24</f>
        <v>4166.25</v>
      </c>
      <c r="T581" s="95">
        <v>89900</v>
      </c>
      <c r="U581" s="95">
        <f>T581/24</f>
        <v>3745.8333333333335</v>
      </c>
      <c r="V581" s="95">
        <v>89900</v>
      </c>
      <c r="W581" s="95">
        <f>V581/24</f>
        <v>3745.8333333333335</v>
      </c>
      <c r="X581" s="128"/>
      <c r="Y581" s="95">
        <v>0</v>
      </c>
      <c r="Z581" s="95">
        <v>8500</v>
      </c>
      <c r="AA581" s="95">
        <f>IFERROR(IF(D581="Premium",0.4*Y581,0),"No Disp")</f>
        <v>0</v>
      </c>
      <c r="AB581" s="95">
        <f>IFERROR(IF(4*Y581&gt;AC581,1.5*Y581,4*Y581),"No Disp")</f>
        <v>0</v>
      </c>
      <c r="AC581" s="95">
        <f>IF(Z581="No Disp","No Disp",(Z581*18)+Y581)</f>
        <v>153000</v>
      </c>
      <c r="AD581" s="95">
        <f>18*Z581-100+Y581</f>
        <v>152900</v>
      </c>
      <c r="AE581" s="95">
        <v>0</v>
      </c>
      <c r="AF581" s="95">
        <v>7500</v>
      </c>
      <c r="AG581" s="95">
        <f>IF(AF581="No Disp","No Disp",(AF581*18)+AE581)</f>
        <v>135000</v>
      </c>
      <c r="AH581" s="98">
        <f>18*AF581-100+AE581</f>
        <v>134900</v>
      </c>
      <c r="AI581" s="95" t="s">
        <v>4613</v>
      </c>
      <c r="AJ581" s="99"/>
      <c r="AK581" s="100" t="s">
        <v>43</v>
      </c>
      <c r="AL581" s="100" t="s">
        <v>43</v>
      </c>
      <c r="AM581" s="100" t="str">
        <f>IF(AL581&lt;&gt;"No Disp",AK581+12*AL581,"No Disp")</f>
        <v>No Disp</v>
      </c>
      <c r="AN581" s="100" t="s">
        <v>43</v>
      </c>
      <c r="AO581" s="100" t="s">
        <v>43</v>
      </c>
      <c r="AP581" s="100" t="str">
        <f>IF(AO581&lt;&gt;"No Disp",AN581+12*AO581,"No Disp")</f>
        <v>No Disp</v>
      </c>
      <c r="AQ581" s="100" t="s">
        <v>43</v>
      </c>
      <c r="AR581" s="100" t="s">
        <v>43</v>
      </c>
      <c r="AS581" s="100" t="str">
        <f>IF(AR581&lt;&gt;"No Disp",AQ581+12*AR581,"No Disp")</f>
        <v>No Disp</v>
      </c>
    </row>
    <row r="582" spans="1:45" s="101" customFormat="1" x14ac:dyDescent="0.25">
      <c r="A582" s="90" t="s">
        <v>38</v>
      </c>
      <c r="B582" s="90" t="s">
        <v>39</v>
      </c>
      <c r="C582" s="90" t="s">
        <v>40</v>
      </c>
      <c r="D582" s="90" t="s">
        <v>4541</v>
      </c>
      <c r="E582" s="90" t="s">
        <v>4538</v>
      </c>
      <c r="F582" s="91">
        <v>572</v>
      </c>
      <c r="G582" s="92">
        <v>70013193</v>
      </c>
      <c r="H582" s="91">
        <v>70013194</v>
      </c>
      <c r="I582" s="93" t="s">
        <v>87</v>
      </c>
      <c r="J582" s="94" t="s">
        <v>3914</v>
      </c>
      <c r="K582" s="94" t="s">
        <v>4303</v>
      </c>
      <c r="L582" s="94" t="s">
        <v>2787</v>
      </c>
      <c r="M582" s="95">
        <v>89900</v>
      </c>
      <c r="N582" s="95">
        <v>2500</v>
      </c>
      <c r="O582" s="95">
        <v>4000</v>
      </c>
      <c r="P582" s="96">
        <v>139990</v>
      </c>
      <c r="Q582" s="152"/>
      <c r="R582" s="95">
        <v>99990</v>
      </c>
      <c r="S582" s="95">
        <f>R582/24</f>
        <v>4166.25</v>
      </c>
      <c r="T582" s="95">
        <v>89900</v>
      </c>
      <c r="U582" s="95">
        <f>T582/24</f>
        <v>3745.8333333333335</v>
      </c>
      <c r="V582" s="95">
        <v>89900</v>
      </c>
      <c r="W582" s="95">
        <f>V582/24</f>
        <v>3745.8333333333335</v>
      </c>
      <c r="X582" s="128"/>
      <c r="Y582" s="95">
        <v>0</v>
      </c>
      <c r="Z582" s="95">
        <v>10000</v>
      </c>
      <c r="AA582" s="95">
        <f>IFERROR(IF(D582="Premium",0.4*Y582,0),"No Disp")</f>
        <v>0</v>
      </c>
      <c r="AB582" s="95">
        <f>IFERROR(IF(4*Y582&gt;AC582,1.5*Y582,4*Y582),"No Disp")</f>
        <v>0</v>
      </c>
      <c r="AC582" s="95">
        <f>IF(Z582="No Disp","No Disp",(Z582*18)+Y582)</f>
        <v>180000</v>
      </c>
      <c r="AD582" s="95">
        <f>18*Z582-100+Y582</f>
        <v>179900</v>
      </c>
      <c r="AE582" s="95">
        <v>0</v>
      </c>
      <c r="AF582" s="95">
        <v>9000</v>
      </c>
      <c r="AG582" s="95">
        <f>IF(AF582="No Disp","No Disp",(AF582*18)+AE582)</f>
        <v>162000</v>
      </c>
      <c r="AH582" s="98">
        <f>18*AF582-100+AE582</f>
        <v>161900</v>
      </c>
      <c r="AI582" s="95" t="s">
        <v>4613</v>
      </c>
      <c r="AJ582" s="99"/>
      <c r="AK582" s="100" t="s">
        <v>43</v>
      </c>
      <c r="AL582" s="100" t="s">
        <v>43</v>
      </c>
      <c r="AM582" s="100" t="str">
        <f>IF(AL582&lt;&gt;"No Disp",AK582+12*AL582,"No Disp")</f>
        <v>No Disp</v>
      </c>
      <c r="AN582" s="100" t="s">
        <v>43</v>
      </c>
      <c r="AO582" s="100" t="s">
        <v>43</v>
      </c>
      <c r="AP582" s="100" t="str">
        <f>IF(AO582&lt;&gt;"No Disp",AN582+12*AO582,"No Disp")</f>
        <v>No Disp</v>
      </c>
      <c r="AQ582" s="100" t="s">
        <v>43</v>
      </c>
      <c r="AR582" s="100" t="s">
        <v>43</v>
      </c>
      <c r="AS582" s="100" t="str">
        <f>IF(AR582&lt;&gt;"No Disp",AQ582+12*AR582,"No Disp")</f>
        <v>No Disp</v>
      </c>
    </row>
    <row r="583" spans="1:45" s="101" customFormat="1" x14ac:dyDescent="0.25">
      <c r="A583" s="90" t="s">
        <v>38</v>
      </c>
      <c r="B583" s="90" t="s">
        <v>39</v>
      </c>
      <c r="C583" s="90" t="s">
        <v>40</v>
      </c>
      <c r="D583" s="90" t="s">
        <v>4539</v>
      </c>
      <c r="E583" s="90" t="s">
        <v>4542</v>
      </c>
      <c r="F583" s="91">
        <v>599</v>
      </c>
      <c r="G583" s="92">
        <v>70013196</v>
      </c>
      <c r="H583" s="91">
        <v>70013197</v>
      </c>
      <c r="I583" s="93" t="s">
        <v>131</v>
      </c>
      <c r="J583" s="94" t="s">
        <v>3878</v>
      </c>
      <c r="K583" s="94" t="s">
        <v>2850</v>
      </c>
      <c r="L583" s="94" t="s">
        <v>2851</v>
      </c>
      <c r="M583" s="95">
        <v>239900</v>
      </c>
      <c r="N583" s="95">
        <v>4000</v>
      </c>
      <c r="O583" s="95">
        <v>6000</v>
      </c>
      <c r="P583" s="96">
        <v>279990</v>
      </c>
      <c r="Q583" s="152"/>
      <c r="R583" s="95">
        <v>269990</v>
      </c>
      <c r="S583" s="95">
        <f>R583/24</f>
        <v>11249.583333333334</v>
      </c>
      <c r="T583" s="95">
        <v>239900</v>
      </c>
      <c r="U583" s="95">
        <f>T583/24</f>
        <v>9995.8333333333339</v>
      </c>
      <c r="V583" s="95">
        <v>239900</v>
      </c>
      <c r="W583" s="95">
        <f>V583/24</f>
        <v>9995.8333333333339</v>
      </c>
      <c r="X583" s="128"/>
      <c r="Y583" s="95">
        <v>0</v>
      </c>
      <c r="Z583" s="95">
        <v>24000</v>
      </c>
      <c r="AA583" s="95">
        <f>IFERROR(IF(D583="Premium",0.4*Y583,0),"No Disp")</f>
        <v>0</v>
      </c>
      <c r="AB583" s="95">
        <f>IFERROR(IF(4*Y583&gt;AC583,1.5*Y583,4*Y583),"No Disp")</f>
        <v>0</v>
      </c>
      <c r="AC583" s="95">
        <f>IF(Z583="No Disp","No Disp",(Z583*18)+Y583)</f>
        <v>432000</v>
      </c>
      <c r="AD583" s="95">
        <f>18*Z583-100+Y583</f>
        <v>431900</v>
      </c>
      <c r="AE583" s="95">
        <v>0</v>
      </c>
      <c r="AF583" s="95">
        <v>21000</v>
      </c>
      <c r="AG583" s="95">
        <f>IF(AF583="No Disp","No Disp",(AF583*18)+AE583)</f>
        <v>378000</v>
      </c>
      <c r="AH583" s="98">
        <f>18*AF583-100+AE583</f>
        <v>377900</v>
      </c>
      <c r="AI583" s="95" t="s">
        <v>4613</v>
      </c>
      <c r="AJ583" s="99"/>
      <c r="AK583" s="100" t="s">
        <v>43</v>
      </c>
      <c r="AL583" s="100" t="s">
        <v>43</v>
      </c>
      <c r="AM583" s="100" t="str">
        <f>IF(AL583&lt;&gt;"No Disp",AK583+12*AL583,"No Disp")</f>
        <v>No Disp</v>
      </c>
      <c r="AN583" s="100" t="s">
        <v>43</v>
      </c>
      <c r="AO583" s="100" t="s">
        <v>43</v>
      </c>
      <c r="AP583" s="100" t="str">
        <f>IF(AO583&lt;&gt;"No Disp",AN583+12*AO583,"No Disp")</f>
        <v>No Disp</v>
      </c>
      <c r="AQ583" s="100" t="s">
        <v>43</v>
      </c>
      <c r="AR583" s="100" t="s">
        <v>43</v>
      </c>
      <c r="AS583" s="100" t="str">
        <f>IF(AR583&lt;&gt;"No Disp",AQ583+12*AR583,"No Disp")</f>
        <v>No Disp</v>
      </c>
    </row>
    <row r="584" spans="1:45" s="101" customFormat="1" x14ac:dyDescent="0.25">
      <c r="A584" s="90" t="s">
        <v>38</v>
      </c>
      <c r="B584" s="90" t="s">
        <v>39</v>
      </c>
      <c r="C584" s="90" t="s">
        <v>40</v>
      </c>
      <c r="D584" s="90" t="s">
        <v>4540</v>
      </c>
      <c r="E584" s="90" t="s">
        <v>4542</v>
      </c>
      <c r="F584" s="91">
        <v>538</v>
      </c>
      <c r="G584" s="92">
        <v>70013202</v>
      </c>
      <c r="H584" s="91">
        <v>70013203</v>
      </c>
      <c r="I584" s="93" t="s">
        <v>46</v>
      </c>
      <c r="J584" s="94" t="s">
        <v>56</v>
      </c>
      <c r="K584" s="94" t="s">
        <v>57</v>
      </c>
      <c r="L584" s="94" t="s">
        <v>58</v>
      </c>
      <c r="M584" s="95">
        <v>499900</v>
      </c>
      <c r="N584" s="95">
        <v>6000</v>
      </c>
      <c r="O584" s="95">
        <v>8500</v>
      </c>
      <c r="P584" s="96">
        <v>799990</v>
      </c>
      <c r="Q584" s="152"/>
      <c r="R584" s="95">
        <v>559990</v>
      </c>
      <c r="S584" s="95">
        <f>R584/24</f>
        <v>23332.916666666668</v>
      </c>
      <c r="T584" s="95">
        <v>499900</v>
      </c>
      <c r="U584" s="95">
        <f>T584/24</f>
        <v>20829.166666666668</v>
      </c>
      <c r="V584" s="95">
        <v>499900</v>
      </c>
      <c r="W584" s="95">
        <f>V584/24</f>
        <v>20829.166666666668</v>
      </c>
      <c r="X584" s="128"/>
      <c r="Y584" s="95">
        <v>79900</v>
      </c>
      <c r="Z584" s="95">
        <v>44000</v>
      </c>
      <c r="AA584" s="95">
        <f>IFERROR(IF(D584="Premium",0.4*Y584,0),"No Disp")</f>
        <v>31960</v>
      </c>
      <c r="AB584" s="95">
        <f>IFERROR(IF(4*Y584&gt;AC584,1.5*Y584,4*Y584),"No Disp")</f>
        <v>319600</v>
      </c>
      <c r="AC584" s="95">
        <f>IF(Z584="No Disp","No Disp",(Z584*18)+Y584)</f>
        <v>871900</v>
      </c>
      <c r="AD584" s="95">
        <f>18*Z584-100+Y584</f>
        <v>871800</v>
      </c>
      <c r="AE584" s="95">
        <v>39900</v>
      </c>
      <c r="AF584" s="95">
        <v>42000</v>
      </c>
      <c r="AG584" s="95">
        <f>IF(AF584="No Disp","No Disp",(AF584*18)+AE584)</f>
        <v>795900</v>
      </c>
      <c r="AH584" s="98">
        <f>18*AF584-100+AE584</f>
        <v>795800</v>
      </c>
      <c r="AI584" s="95" t="s">
        <v>4613</v>
      </c>
      <c r="AJ584" s="99"/>
      <c r="AK584" s="100">
        <v>0</v>
      </c>
      <c r="AL584" s="100">
        <v>32000</v>
      </c>
      <c r="AM584" s="100">
        <f>IF(AL584&lt;&gt;"No Disp",AK584+12*AL584,"No Disp")</f>
        <v>384000</v>
      </c>
      <c r="AN584" s="100">
        <v>0</v>
      </c>
      <c r="AO584" s="100">
        <v>32000</v>
      </c>
      <c r="AP584" s="100">
        <f>IF(AO584&lt;&gt;"No Disp",AN584+12*AO584,"No Disp")</f>
        <v>384000</v>
      </c>
      <c r="AQ584" s="100">
        <v>0</v>
      </c>
      <c r="AR584" s="100">
        <v>32000</v>
      </c>
      <c r="AS584" s="100">
        <f>IF(AR584&lt;&gt;"No Disp",AQ584+12*AR584,"No Disp")</f>
        <v>384000</v>
      </c>
    </row>
    <row r="585" spans="1:45" s="101" customFormat="1" x14ac:dyDescent="0.25">
      <c r="A585" s="90" t="s">
        <v>38</v>
      </c>
      <c r="B585" s="90" t="s">
        <v>39</v>
      </c>
      <c r="C585" s="90" t="s">
        <v>40</v>
      </c>
      <c r="D585" s="90" t="s">
        <v>4540</v>
      </c>
      <c r="E585" s="90" t="s">
        <v>4538</v>
      </c>
      <c r="F585" s="91">
        <v>529</v>
      </c>
      <c r="G585" s="92">
        <v>70013210</v>
      </c>
      <c r="H585" s="91">
        <v>70013211</v>
      </c>
      <c r="I585" s="93" t="s">
        <v>46</v>
      </c>
      <c r="J585" s="94" t="s">
        <v>80</v>
      </c>
      <c r="K585" s="94" t="s">
        <v>81</v>
      </c>
      <c r="L585" s="94" t="s">
        <v>82</v>
      </c>
      <c r="M585" s="95">
        <v>449900</v>
      </c>
      <c r="N585" s="95">
        <v>6000</v>
      </c>
      <c r="O585" s="95">
        <v>8500</v>
      </c>
      <c r="P585" s="96">
        <v>699990</v>
      </c>
      <c r="Q585" s="152"/>
      <c r="R585" s="95">
        <v>499990</v>
      </c>
      <c r="S585" s="95">
        <f>R585/24</f>
        <v>20832.916666666668</v>
      </c>
      <c r="T585" s="95">
        <v>449900</v>
      </c>
      <c r="U585" s="95">
        <f>T585/24</f>
        <v>18745.833333333332</v>
      </c>
      <c r="V585" s="95">
        <v>449900</v>
      </c>
      <c r="W585" s="95">
        <f>V585/24</f>
        <v>18745.833333333332</v>
      </c>
      <c r="X585" s="128"/>
      <c r="Y585" s="95">
        <v>49900</v>
      </c>
      <c r="Z585" s="95">
        <v>43000</v>
      </c>
      <c r="AA585" s="95">
        <f>IFERROR(IF(D585="Premium",0.4*Y585,0),"No Disp")</f>
        <v>19960</v>
      </c>
      <c r="AB585" s="95">
        <f>IFERROR(IF(4*Y585&gt;AC585,1.5*Y585,4*Y585),"No Disp")</f>
        <v>199600</v>
      </c>
      <c r="AC585" s="95">
        <f>IF(Z585="No Disp","No Disp",(Z585*18)+Y585)</f>
        <v>823900</v>
      </c>
      <c r="AD585" s="95">
        <f>18*Z585-100+Y585</f>
        <v>823800</v>
      </c>
      <c r="AE585" s="95">
        <v>29900</v>
      </c>
      <c r="AF585" s="95">
        <v>38000</v>
      </c>
      <c r="AG585" s="95">
        <f>IF(AF585="No Disp","No Disp",(AF585*18)+AE585)</f>
        <v>713900</v>
      </c>
      <c r="AH585" s="98">
        <f>18*AF585-100+AE585</f>
        <v>713800</v>
      </c>
      <c r="AI585" s="95" t="s">
        <v>4613</v>
      </c>
      <c r="AJ585" s="99"/>
      <c r="AK585" s="100">
        <v>0</v>
      </c>
      <c r="AL585" s="100">
        <v>24000</v>
      </c>
      <c r="AM585" s="100">
        <f>IF(AL585&lt;&gt;"No Disp",AK585+12*AL585,"No Disp")</f>
        <v>288000</v>
      </c>
      <c r="AN585" s="100">
        <v>0</v>
      </c>
      <c r="AO585" s="100">
        <v>24000</v>
      </c>
      <c r="AP585" s="100">
        <f>IF(AO585&lt;&gt;"No Disp",AN585+12*AO585,"No Disp")</f>
        <v>288000</v>
      </c>
      <c r="AQ585" s="100">
        <v>0</v>
      </c>
      <c r="AR585" s="100">
        <v>24000</v>
      </c>
      <c r="AS585" s="100">
        <f>IF(AR585&lt;&gt;"No Disp",AQ585+12*AR585,"No Disp")</f>
        <v>288000</v>
      </c>
    </row>
    <row r="586" spans="1:45" s="101" customFormat="1" x14ac:dyDescent="0.25">
      <c r="A586" s="90" t="s">
        <v>38</v>
      </c>
      <c r="B586" s="90" t="s">
        <v>39</v>
      </c>
      <c r="C586" s="90" t="s">
        <v>40</v>
      </c>
      <c r="D586" s="90" t="s">
        <v>4537</v>
      </c>
      <c r="E586" s="90" t="s">
        <v>4542</v>
      </c>
      <c r="F586" s="91">
        <v>536</v>
      </c>
      <c r="G586" s="92">
        <v>70013241</v>
      </c>
      <c r="H586" s="91">
        <v>70013242</v>
      </c>
      <c r="I586" s="93" t="s">
        <v>87</v>
      </c>
      <c r="J586" s="94" t="s">
        <v>218</v>
      </c>
      <c r="K586" s="94" t="s">
        <v>176</v>
      </c>
      <c r="L586" s="94" t="s">
        <v>177</v>
      </c>
      <c r="M586" s="95">
        <v>449900</v>
      </c>
      <c r="N586" s="95">
        <v>6000</v>
      </c>
      <c r="O586" s="95">
        <v>8500</v>
      </c>
      <c r="P586" s="96">
        <v>599990</v>
      </c>
      <c r="Q586" s="152"/>
      <c r="R586" s="95">
        <v>499990</v>
      </c>
      <c r="S586" s="95">
        <f>R586/24</f>
        <v>20832.916666666668</v>
      </c>
      <c r="T586" s="95">
        <v>449900</v>
      </c>
      <c r="U586" s="95">
        <f>T586/24</f>
        <v>18745.833333333332</v>
      </c>
      <c r="V586" s="95">
        <v>449900</v>
      </c>
      <c r="W586" s="95">
        <f>V586/24</f>
        <v>18745.833333333332</v>
      </c>
      <c r="X586" s="128"/>
      <c r="Y586" s="95">
        <v>0</v>
      </c>
      <c r="Z586" s="95">
        <v>46000</v>
      </c>
      <c r="AA586" s="95">
        <f>IFERROR(IF(D586="Premium",0.4*Y586,0),"No Disp")</f>
        <v>0</v>
      </c>
      <c r="AB586" s="95">
        <f>IFERROR(IF(4*Y586&gt;AC586,1.5*Y586,4*Y586),"No Disp")</f>
        <v>0</v>
      </c>
      <c r="AC586" s="95">
        <f>IF(Z586="No Disp","No Disp",(Z586*18)+Y586)</f>
        <v>828000</v>
      </c>
      <c r="AD586" s="95">
        <f>18*Z586-100+Y586</f>
        <v>827900</v>
      </c>
      <c r="AE586" s="95">
        <v>0</v>
      </c>
      <c r="AF586" s="95">
        <v>40000</v>
      </c>
      <c r="AG586" s="95">
        <f>IF(AF586="No Disp","No Disp",(AF586*18)+AE586)</f>
        <v>720000</v>
      </c>
      <c r="AH586" s="98">
        <f>18*AF586-100+AE586</f>
        <v>719900</v>
      </c>
      <c r="AI586" s="95" t="s">
        <v>4613</v>
      </c>
      <c r="AJ586" s="99"/>
      <c r="AK586" s="100">
        <v>0</v>
      </c>
      <c r="AL586" s="100">
        <v>20000</v>
      </c>
      <c r="AM586" s="100">
        <f>IF(AL586&lt;&gt;"No Disp",AK586+12*AL586,"No Disp")</f>
        <v>240000</v>
      </c>
      <c r="AN586" s="100">
        <v>0</v>
      </c>
      <c r="AO586" s="100">
        <v>20000</v>
      </c>
      <c r="AP586" s="100">
        <f>IF(AO586&lt;&gt;"No Disp",AN586+12*AO586,"No Disp")</f>
        <v>240000</v>
      </c>
      <c r="AQ586" s="100">
        <v>0</v>
      </c>
      <c r="AR586" s="100">
        <v>20000</v>
      </c>
      <c r="AS586" s="100">
        <f>IF(AR586&lt;&gt;"No Disp",AQ586+12*AR586,"No Disp")</f>
        <v>240000</v>
      </c>
    </row>
    <row r="587" spans="1:45" s="101" customFormat="1" x14ac:dyDescent="0.25">
      <c r="A587" s="90" t="s">
        <v>102</v>
      </c>
      <c r="B587" s="90" t="s">
        <v>39</v>
      </c>
      <c r="C587" s="90" t="s">
        <v>40</v>
      </c>
      <c r="D587" s="90" t="s">
        <v>4539</v>
      </c>
      <c r="E587" s="90" t="s">
        <v>4542</v>
      </c>
      <c r="F587" s="91">
        <v>537</v>
      </c>
      <c r="G587" s="92">
        <v>70013252</v>
      </c>
      <c r="H587" s="91">
        <v>70013252</v>
      </c>
      <c r="I587" s="93" t="s">
        <v>112</v>
      </c>
      <c r="J587" s="94" t="s">
        <v>174</v>
      </c>
      <c r="K587" s="94" t="s">
        <v>175</v>
      </c>
      <c r="L587" s="94" t="s">
        <v>174</v>
      </c>
      <c r="M587" s="95">
        <v>54900</v>
      </c>
      <c r="N587" s="95">
        <v>2500</v>
      </c>
      <c r="O587" s="95">
        <v>4000</v>
      </c>
      <c r="P587" s="96">
        <v>89990</v>
      </c>
      <c r="Q587" s="152"/>
      <c r="R587" s="95">
        <v>54990</v>
      </c>
      <c r="S587" s="95">
        <f>R587/24</f>
        <v>2291.25</v>
      </c>
      <c r="T587" s="95">
        <v>54900</v>
      </c>
      <c r="U587" s="95">
        <f>T587/24</f>
        <v>2287.5</v>
      </c>
      <c r="V587" s="95">
        <v>54900</v>
      </c>
      <c r="W587" s="95">
        <f>V587/24</f>
        <v>2287.5</v>
      </c>
      <c r="X587" s="128"/>
      <c r="Y587" s="95">
        <v>0</v>
      </c>
      <c r="Z587" s="95">
        <v>5000</v>
      </c>
      <c r="AA587" s="95">
        <f>IFERROR(IF(D587="Premium",0.4*Y587,0),"No Disp")</f>
        <v>0</v>
      </c>
      <c r="AB587" s="95">
        <f>IFERROR(IF(4*Y587&gt;AC587,1.5*Y587,4*Y587),"No Disp")</f>
        <v>0</v>
      </c>
      <c r="AC587" s="95">
        <f>IF(Z587="No Disp","No Disp",(Z587*18)+Y587)</f>
        <v>90000</v>
      </c>
      <c r="AD587" s="95">
        <f>18*Z587-100+Y587</f>
        <v>89900</v>
      </c>
      <c r="AE587" s="95">
        <v>0</v>
      </c>
      <c r="AF587" s="95">
        <v>4500</v>
      </c>
      <c r="AG587" s="95">
        <f>IF(AF587="No Disp","No Disp",(AF587*18)+AE587)</f>
        <v>81000</v>
      </c>
      <c r="AH587" s="98">
        <f>18*AF587-100+AE587</f>
        <v>80900</v>
      </c>
      <c r="AI587" s="95" t="s">
        <v>4613</v>
      </c>
      <c r="AJ587" s="99"/>
      <c r="AK587" s="100" t="s">
        <v>43</v>
      </c>
      <c r="AL587" s="100" t="s">
        <v>43</v>
      </c>
      <c r="AM587" s="100" t="str">
        <f>IF(AL587&lt;&gt;"No Disp",AK587+12*AL587,"No Disp")</f>
        <v>No Disp</v>
      </c>
      <c r="AN587" s="100" t="s">
        <v>43</v>
      </c>
      <c r="AO587" s="100" t="s">
        <v>43</v>
      </c>
      <c r="AP587" s="100" t="str">
        <f>IF(AO587&lt;&gt;"No Disp",AN587+12*AO587,"No Disp")</f>
        <v>No Disp</v>
      </c>
      <c r="AQ587" s="100" t="s">
        <v>43</v>
      </c>
      <c r="AR587" s="100" t="s">
        <v>43</v>
      </c>
      <c r="AS587" s="100" t="str">
        <f>IF(AR587&lt;&gt;"No Disp",AQ587+12*AR587,"No Disp")</f>
        <v>No Disp</v>
      </c>
    </row>
    <row r="588" spans="1:45" s="101" customFormat="1" x14ac:dyDescent="0.25">
      <c r="A588" s="90" t="s">
        <v>38</v>
      </c>
      <c r="B588" s="90" t="s">
        <v>40</v>
      </c>
      <c r="C588" s="90" t="s">
        <v>39</v>
      </c>
      <c r="D588" s="90" t="s">
        <v>4540</v>
      </c>
      <c r="E588" s="90" t="s">
        <v>4538</v>
      </c>
      <c r="F588" s="91">
        <v>585</v>
      </c>
      <c r="G588" s="92">
        <v>70013311</v>
      </c>
      <c r="H588" s="91">
        <v>70013312</v>
      </c>
      <c r="I588" s="93" t="s">
        <v>41</v>
      </c>
      <c r="J588" s="94" t="s">
        <v>2839</v>
      </c>
      <c r="K588" s="94" t="s">
        <v>2842</v>
      </c>
      <c r="L588" s="94" t="s">
        <v>2843</v>
      </c>
      <c r="M588" s="95">
        <v>899900</v>
      </c>
      <c r="N588" s="95">
        <v>9500</v>
      </c>
      <c r="O588" s="95">
        <v>13500</v>
      </c>
      <c r="P588" s="96">
        <v>1499990</v>
      </c>
      <c r="Q588" s="152"/>
      <c r="R588" s="95">
        <v>1009990</v>
      </c>
      <c r="S588" s="95">
        <f>R588/24</f>
        <v>42082.916666666664</v>
      </c>
      <c r="T588" s="95">
        <v>899900</v>
      </c>
      <c r="U588" s="95">
        <f>T588/24</f>
        <v>37495.833333333336</v>
      </c>
      <c r="V588" s="95">
        <v>899900</v>
      </c>
      <c r="W588" s="95">
        <f>V588/24</f>
        <v>37495.833333333336</v>
      </c>
      <c r="X588" s="128"/>
      <c r="Y588" s="95">
        <v>299900</v>
      </c>
      <c r="Z588" s="95">
        <v>69000</v>
      </c>
      <c r="AA588" s="95">
        <f>IFERROR(IF(D588="Premium",0.4*Y588,0),"No Disp")</f>
        <v>119960</v>
      </c>
      <c r="AB588" s="95">
        <f>IFERROR(IF(4*Y588&gt;AC588,1.5*Y588,4*Y588),"No Disp")</f>
        <v>1199600</v>
      </c>
      <c r="AC588" s="95">
        <f>IF(Z588="No Disp","No Disp",(Z588*18)+Y588)</f>
        <v>1541900</v>
      </c>
      <c r="AD588" s="95">
        <f>18*Z588-100+Y588</f>
        <v>1541800</v>
      </c>
      <c r="AE588" s="95">
        <v>199900</v>
      </c>
      <c r="AF588" s="95">
        <v>66000</v>
      </c>
      <c r="AG588" s="95">
        <f>IF(AF588="No Disp","No Disp",(AF588*18)+AE588)</f>
        <v>1387900</v>
      </c>
      <c r="AH588" s="98">
        <f>18*AF588-100+AE588</f>
        <v>1387800</v>
      </c>
      <c r="AI588" s="95" t="s">
        <v>4613</v>
      </c>
      <c r="AJ588" s="99"/>
      <c r="AK588" s="100">
        <v>0</v>
      </c>
      <c r="AL588" s="100">
        <v>52000</v>
      </c>
      <c r="AM588" s="100">
        <f>IF(AL588&lt;&gt;"No Disp",AK588+12*AL588,"No Disp")</f>
        <v>624000</v>
      </c>
      <c r="AN588" s="100">
        <v>0</v>
      </c>
      <c r="AO588" s="100">
        <v>52000</v>
      </c>
      <c r="AP588" s="100">
        <f>IF(AO588&lt;&gt;"No Disp",AN588+12*AO588,"No Disp")</f>
        <v>624000</v>
      </c>
      <c r="AQ588" s="100">
        <v>0</v>
      </c>
      <c r="AR588" s="100">
        <v>52000</v>
      </c>
      <c r="AS588" s="100">
        <f>IF(AR588&lt;&gt;"No Disp",AQ588+12*AR588,"No Disp")</f>
        <v>624000</v>
      </c>
    </row>
    <row r="589" spans="1:45" s="101" customFormat="1" x14ac:dyDescent="0.25">
      <c r="A589" s="90" t="s">
        <v>38</v>
      </c>
      <c r="B589" s="90" t="s">
        <v>39</v>
      </c>
      <c r="C589" s="90" t="s">
        <v>40</v>
      </c>
      <c r="D589" s="90" t="s">
        <v>4539</v>
      </c>
      <c r="E589" s="90" t="s">
        <v>4542</v>
      </c>
      <c r="F589" s="91">
        <v>561</v>
      </c>
      <c r="G589" s="92">
        <v>70013316</v>
      </c>
      <c r="H589" s="91">
        <v>70013317</v>
      </c>
      <c r="I589" s="93" t="s">
        <v>41</v>
      </c>
      <c r="J589" s="94" t="s">
        <v>142</v>
      </c>
      <c r="K589" s="94" t="s">
        <v>143</v>
      </c>
      <c r="L589" s="94" t="s">
        <v>144</v>
      </c>
      <c r="M589" s="95">
        <v>159900</v>
      </c>
      <c r="N589" s="95">
        <v>2500</v>
      </c>
      <c r="O589" s="95">
        <v>4000</v>
      </c>
      <c r="P589" s="96">
        <v>249990</v>
      </c>
      <c r="Q589" s="152"/>
      <c r="R589" s="95">
        <v>179990</v>
      </c>
      <c r="S589" s="95">
        <f>R589/24</f>
        <v>7499.583333333333</v>
      </c>
      <c r="T589" s="95">
        <v>159900</v>
      </c>
      <c r="U589" s="95">
        <f>T589/24</f>
        <v>6662.5</v>
      </c>
      <c r="V589" s="95">
        <v>159900</v>
      </c>
      <c r="W589" s="95">
        <f>V589/24</f>
        <v>6662.5</v>
      </c>
      <c r="X589" s="128"/>
      <c r="Y589" s="95">
        <v>0</v>
      </c>
      <c r="Z589" s="95">
        <v>16500</v>
      </c>
      <c r="AA589" s="95">
        <f>IFERROR(IF(D589="Premium",0.4*Y589,0),"No Disp")</f>
        <v>0</v>
      </c>
      <c r="AB589" s="95">
        <f>IFERROR(IF(4*Y589&gt;AC589,1.5*Y589,4*Y589),"No Disp")</f>
        <v>0</v>
      </c>
      <c r="AC589" s="95">
        <f>IF(Z589="No Disp","No Disp",(Z589*18)+Y589)</f>
        <v>297000</v>
      </c>
      <c r="AD589" s="95">
        <f>18*Z589-100+Y589</f>
        <v>296900</v>
      </c>
      <c r="AE589" s="95">
        <v>0</v>
      </c>
      <c r="AF589" s="95">
        <v>14000</v>
      </c>
      <c r="AG589" s="95">
        <f>IF(AF589="No Disp","No Disp",(AF589*18)+AE589)</f>
        <v>252000</v>
      </c>
      <c r="AH589" s="98">
        <f>18*AF589-100+AE589</f>
        <v>251900</v>
      </c>
      <c r="AI589" s="95" t="s">
        <v>4613</v>
      </c>
      <c r="AJ589" s="99"/>
      <c r="AK589" s="100" t="s">
        <v>43</v>
      </c>
      <c r="AL589" s="100" t="s">
        <v>43</v>
      </c>
      <c r="AM589" s="100" t="str">
        <f>IF(AL589&lt;&gt;"No Disp",AK589+12*AL589,"No Disp")</f>
        <v>No Disp</v>
      </c>
      <c r="AN589" s="100" t="s">
        <v>43</v>
      </c>
      <c r="AO589" s="100" t="s">
        <v>43</v>
      </c>
      <c r="AP589" s="100" t="str">
        <f>IF(AO589&lt;&gt;"No Disp",AN589+12*AO589,"No Disp")</f>
        <v>No Disp</v>
      </c>
      <c r="AQ589" s="100" t="s">
        <v>43</v>
      </c>
      <c r="AR589" s="100" t="s">
        <v>43</v>
      </c>
      <c r="AS589" s="100" t="str">
        <f>IF(AR589&lt;&gt;"No Disp",AQ589+12*AR589,"No Disp")</f>
        <v>No Disp</v>
      </c>
    </row>
    <row r="590" spans="1:45" s="101" customFormat="1" x14ac:dyDescent="0.25">
      <c r="A590" s="90" t="s">
        <v>38</v>
      </c>
      <c r="B590" s="90" t="s">
        <v>39</v>
      </c>
      <c r="C590" s="90" t="s">
        <v>40</v>
      </c>
      <c r="D590" s="90" t="s">
        <v>4540</v>
      </c>
      <c r="E590" s="90" t="s">
        <v>4538</v>
      </c>
      <c r="F590" s="91">
        <v>560</v>
      </c>
      <c r="G590" s="92">
        <v>70013325</v>
      </c>
      <c r="H590" s="91">
        <v>70013326</v>
      </c>
      <c r="I590" s="93" t="s">
        <v>46</v>
      </c>
      <c r="J590" s="94" t="s">
        <v>47</v>
      </c>
      <c r="K590" s="94" t="s">
        <v>48</v>
      </c>
      <c r="L590" s="94" t="s">
        <v>49</v>
      </c>
      <c r="M590" s="95">
        <v>669360</v>
      </c>
      <c r="N590" s="95">
        <v>6000</v>
      </c>
      <c r="O590" s="95">
        <v>8500</v>
      </c>
      <c r="P590" s="96">
        <v>949990</v>
      </c>
      <c r="Q590" s="152"/>
      <c r="R590" s="95">
        <v>749990</v>
      </c>
      <c r="S590" s="95">
        <f>R590/24</f>
        <v>31249.583333333332</v>
      </c>
      <c r="T590" s="95">
        <v>669360</v>
      </c>
      <c r="U590" s="95">
        <f>T590/24</f>
        <v>27890</v>
      </c>
      <c r="V590" s="95">
        <v>669360</v>
      </c>
      <c r="W590" s="95">
        <f>V590/24</f>
        <v>27890</v>
      </c>
      <c r="X590" s="128"/>
      <c r="Y590" s="95">
        <v>199900</v>
      </c>
      <c r="Z590" s="95">
        <v>50000</v>
      </c>
      <c r="AA590" s="95">
        <f>IFERROR(IF(D590="Premium",0.4*Y590,0),"No Disp")</f>
        <v>79960</v>
      </c>
      <c r="AB590" s="95">
        <f>IFERROR(IF(4*Y590&gt;AC590,1.5*Y590,4*Y590),"No Disp")</f>
        <v>799600</v>
      </c>
      <c r="AC590" s="95">
        <f>IF(Z590="No Disp","No Disp",(Z590*18)+Y590)</f>
        <v>1099900</v>
      </c>
      <c r="AD590" s="95">
        <f>18*Z590-100+Y590</f>
        <v>1099800</v>
      </c>
      <c r="AE590" s="95">
        <v>99900</v>
      </c>
      <c r="AF590" s="95">
        <v>52000</v>
      </c>
      <c r="AG590" s="95">
        <f>IF(AF590="No Disp","No Disp",(AF590*18)+AE590)</f>
        <v>1035900</v>
      </c>
      <c r="AH590" s="98">
        <f>18*AF590-100+AE590</f>
        <v>1035800</v>
      </c>
      <c r="AI590" s="95" t="s">
        <v>4613</v>
      </c>
      <c r="AJ590" s="99"/>
      <c r="AK590" s="100">
        <v>0</v>
      </c>
      <c r="AL590" s="100">
        <v>30000</v>
      </c>
      <c r="AM590" s="100">
        <f>IF(AL590&lt;&gt;"No Disp",AK590+12*AL590,"No Disp")</f>
        <v>360000</v>
      </c>
      <c r="AN590" s="100">
        <v>0</v>
      </c>
      <c r="AO590" s="100">
        <v>30000</v>
      </c>
      <c r="AP590" s="100">
        <f>IF(AO590&lt;&gt;"No Disp",AN590+12*AO590,"No Disp")</f>
        <v>360000</v>
      </c>
      <c r="AQ590" s="100">
        <v>0</v>
      </c>
      <c r="AR590" s="100">
        <v>30000</v>
      </c>
      <c r="AS590" s="100">
        <f>IF(AR590&lt;&gt;"No Disp",AQ590+12*AR590,"No Disp")</f>
        <v>360000</v>
      </c>
    </row>
    <row r="591" spans="1:45" s="101" customFormat="1" x14ac:dyDescent="0.25">
      <c r="A591" s="90" t="s">
        <v>38</v>
      </c>
      <c r="B591" s="90" t="s">
        <v>39</v>
      </c>
      <c r="C591" s="90" t="s">
        <v>40</v>
      </c>
      <c r="D591" s="90" t="s">
        <v>4540</v>
      </c>
      <c r="E591" s="90" t="s">
        <v>4538</v>
      </c>
      <c r="F591" s="91">
        <v>559</v>
      </c>
      <c r="G591" s="92">
        <v>70013339</v>
      </c>
      <c r="H591" s="91">
        <v>70013340</v>
      </c>
      <c r="I591" s="93" t="s">
        <v>46</v>
      </c>
      <c r="J591" s="94" t="s">
        <v>47</v>
      </c>
      <c r="K591" s="94" t="s">
        <v>50</v>
      </c>
      <c r="L591" s="94" t="s">
        <v>51</v>
      </c>
      <c r="M591" s="95">
        <v>669360</v>
      </c>
      <c r="N591" s="95">
        <v>6000</v>
      </c>
      <c r="O591" s="95">
        <v>8500</v>
      </c>
      <c r="P591" s="96">
        <v>949990</v>
      </c>
      <c r="Q591" s="152"/>
      <c r="R591" s="95">
        <v>749990</v>
      </c>
      <c r="S591" s="95">
        <f>R591/24</f>
        <v>31249.583333333332</v>
      </c>
      <c r="T591" s="95">
        <v>669360</v>
      </c>
      <c r="U591" s="95">
        <f>T591/24</f>
        <v>27890</v>
      </c>
      <c r="V591" s="95">
        <v>669360</v>
      </c>
      <c r="W591" s="95">
        <f>V591/24</f>
        <v>27890</v>
      </c>
      <c r="X591" s="128"/>
      <c r="Y591" s="95">
        <v>199900</v>
      </c>
      <c r="Z591" s="95">
        <v>50000</v>
      </c>
      <c r="AA591" s="95">
        <f>IFERROR(IF(D591="Premium",0.4*Y591,0),"No Disp")</f>
        <v>79960</v>
      </c>
      <c r="AB591" s="95">
        <f>IFERROR(IF(4*Y591&gt;AC591,1.5*Y591,4*Y591),"No Disp")</f>
        <v>799600</v>
      </c>
      <c r="AC591" s="95">
        <f>IF(Z591="No Disp","No Disp",(Z591*18)+Y591)</f>
        <v>1099900</v>
      </c>
      <c r="AD591" s="95">
        <f>18*Z591-100+Y591</f>
        <v>1099800</v>
      </c>
      <c r="AE591" s="95">
        <v>99900</v>
      </c>
      <c r="AF591" s="95">
        <v>52000</v>
      </c>
      <c r="AG591" s="95">
        <f>IF(AF591="No Disp","No Disp",(AF591*18)+AE591)</f>
        <v>1035900</v>
      </c>
      <c r="AH591" s="98">
        <f>18*AF591-100+AE591</f>
        <v>1035800</v>
      </c>
      <c r="AI591" s="95" t="s">
        <v>4613</v>
      </c>
      <c r="AJ591" s="99"/>
      <c r="AK591" s="100">
        <v>0</v>
      </c>
      <c r="AL591" s="100">
        <v>30000</v>
      </c>
      <c r="AM591" s="100">
        <f>IF(AL591&lt;&gt;"No Disp",AK591+12*AL591,"No Disp")</f>
        <v>360000</v>
      </c>
      <c r="AN591" s="100">
        <v>0</v>
      </c>
      <c r="AO591" s="100">
        <v>30000</v>
      </c>
      <c r="AP591" s="100">
        <f>IF(AO591&lt;&gt;"No Disp",AN591+12*AO591,"No Disp")</f>
        <v>360000</v>
      </c>
      <c r="AQ591" s="100">
        <v>0</v>
      </c>
      <c r="AR591" s="100">
        <v>30000</v>
      </c>
      <c r="AS591" s="100">
        <f>IF(AR591&lt;&gt;"No Disp",AQ591+12*AR591,"No Disp")</f>
        <v>360000</v>
      </c>
    </row>
    <row r="592" spans="1:45" s="101" customFormat="1" x14ac:dyDescent="0.25">
      <c r="A592" s="90" t="s">
        <v>38</v>
      </c>
      <c r="B592" s="90" t="s">
        <v>39</v>
      </c>
      <c r="C592" s="90" t="s">
        <v>40</v>
      </c>
      <c r="D592" s="90" t="s">
        <v>4540</v>
      </c>
      <c r="E592" s="90" t="s">
        <v>4538</v>
      </c>
      <c r="F592" s="91">
        <v>558</v>
      </c>
      <c r="G592" s="92">
        <v>70013343</v>
      </c>
      <c r="H592" s="91">
        <v>70013344</v>
      </c>
      <c r="I592" s="93" t="s">
        <v>46</v>
      </c>
      <c r="J592" s="94" t="s">
        <v>47</v>
      </c>
      <c r="K592" s="94" t="s">
        <v>52</v>
      </c>
      <c r="L592" s="94" t="s">
        <v>53</v>
      </c>
      <c r="M592" s="95">
        <v>669360</v>
      </c>
      <c r="N592" s="95">
        <v>6000</v>
      </c>
      <c r="O592" s="95">
        <v>8500</v>
      </c>
      <c r="P592" s="96">
        <v>949990</v>
      </c>
      <c r="Q592" s="152"/>
      <c r="R592" s="95">
        <v>749990</v>
      </c>
      <c r="S592" s="95">
        <f>R592/24</f>
        <v>31249.583333333332</v>
      </c>
      <c r="T592" s="95">
        <v>669360</v>
      </c>
      <c r="U592" s="95">
        <f>T592/24</f>
        <v>27890</v>
      </c>
      <c r="V592" s="95">
        <v>669360</v>
      </c>
      <c r="W592" s="95">
        <f>V592/24</f>
        <v>27890</v>
      </c>
      <c r="X592" s="128"/>
      <c r="Y592" s="95">
        <v>199900</v>
      </c>
      <c r="Z592" s="95">
        <v>50000</v>
      </c>
      <c r="AA592" s="95">
        <f>IFERROR(IF(D592="Premium",0.4*Y592,0),"No Disp")</f>
        <v>79960</v>
      </c>
      <c r="AB592" s="95">
        <f>IFERROR(IF(4*Y592&gt;AC592,1.5*Y592,4*Y592),"No Disp")</f>
        <v>799600</v>
      </c>
      <c r="AC592" s="95">
        <f>IF(Z592="No Disp","No Disp",(Z592*18)+Y592)</f>
        <v>1099900</v>
      </c>
      <c r="AD592" s="95">
        <f>18*Z592-100+Y592</f>
        <v>1099800</v>
      </c>
      <c r="AE592" s="95">
        <v>99900</v>
      </c>
      <c r="AF592" s="95">
        <v>52000</v>
      </c>
      <c r="AG592" s="95">
        <f>IF(AF592="No Disp","No Disp",(AF592*18)+AE592)</f>
        <v>1035900</v>
      </c>
      <c r="AH592" s="98">
        <f>18*AF592-100+AE592</f>
        <v>1035800</v>
      </c>
      <c r="AI592" s="95" t="s">
        <v>4613</v>
      </c>
      <c r="AJ592" s="99"/>
      <c r="AK592" s="100">
        <v>0</v>
      </c>
      <c r="AL592" s="100">
        <v>30000</v>
      </c>
      <c r="AM592" s="100">
        <f>IF(AL592&lt;&gt;"No Disp",AK592+12*AL592,"No Disp")</f>
        <v>360000</v>
      </c>
      <c r="AN592" s="100">
        <v>0</v>
      </c>
      <c r="AO592" s="100">
        <v>30000</v>
      </c>
      <c r="AP592" s="100">
        <f>IF(AO592&lt;&gt;"No Disp",AN592+12*AO592,"No Disp")</f>
        <v>360000</v>
      </c>
      <c r="AQ592" s="100">
        <v>0</v>
      </c>
      <c r="AR592" s="100">
        <v>30000</v>
      </c>
      <c r="AS592" s="100">
        <f>IF(AR592&lt;&gt;"No Disp",AQ592+12*AR592,"No Disp")</f>
        <v>360000</v>
      </c>
    </row>
    <row r="593" spans="1:45" s="101" customFormat="1" x14ac:dyDescent="0.25">
      <c r="A593" s="90" t="s">
        <v>38</v>
      </c>
      <c r="B593" s="90" t="s">
        <v>39</v>
      </c>
      <c r="C593" s="90" t="s">
        <v>40</v>
      </c>
      <c r="D593" s="90" t="s">
        <v>4540</v>
      </c>
      <c r="E593" s="90" t="s">
        <v>4538</v>
      </c>
      <c r="F593" s="91">
        <v>557</v>
      </c>
      <c r="G593" s="92">
        <v>70013347</v>
      </c>
      <c r="H593" s="91">
        <v>70013348</v>
      </c>
      <c r="I593" s="93" t="s">
        <v>46</v>
      </c>
      <c r="J593" s="94" t="s">
        <v>123</v>
      </c>
      <c r="K593" s="94" t="s">
        <v>145</v>
      </c>
      <c r="L593" s="94" t="s">
        <v>146</v>
      </c>
      <c r="M593" s="95">
        <v>799900</v>
      </c>
      <c r="N593" s="95">
        <v>7000</v>
      </c>
      <c r="O593" s="95">
        <v>10000</v>
      </c>
      <c r="P593" s="96">
        <v>1069990</v>
      </c>
      <c r="Q593" s="152"/>
      <c r="R593" s="95">
        <v>899990</v>
      </c>
      <c r="S593" s="95">
        <f>R593/24</f>
        <v>37499.583333333336</v>
      </c>
      <c r="T593" s="95">
        <v>799900</v>
      </c>
      <c r="U593" s="95">
        <f>T593/24</f>
        <v>33329.166666666664</v>
      </c>
      <c r="V593" s="95">
        <v>799900</v>
      </c>
      <c r="W593" s="95">
        <f>V593/24</f>
        <v>33329.166666666664</v>
      </c>
      <c r="X593" s="128"/>
      <c r="Y593" s="95">
        <v>249900</v>
      </c>
      <c r="Z593" s="95">
        <v>58000</v>
      </c>
      <c r="AA593" s="95">
        <f>IFERROR(IF(D593="Premium",0.4*Y593,0),"No Disp")</f>
        <v>99960</v>
      </c>
      <c r="AB593" s="95">
        <f>IFERROR(IF(4*Y593&gt;AC593,1.5*Y593,4*Y593),"No Disp")</f>
        <v>999600</v>
      </c>
      <c r="AC593" s="95">
        <f>IF(Z593="No Disp","No Disp",(Z593*18)+Y593)</f>
        <v>1293900</v>
      </c>
      <c r="AD593" s="95">
        <f>18*Z593-100+Y593</f>
        <v>1293800</v>
      </c>
      <c r="AE593" s="95">
        <v>149900</v>
      </c>
      <c r="AF593" s="95">
        <v>58000</v>
      </c>
      <c r="AG593" s="95">
        <f>IF(AF593="No Disp","No Disp",(AF593*18)+AE593)</f>
        <v>1193900</v>
      </c>
      <c r="AH593" s="98">
        <f>18*AF593-100+AE593</f>
        <v>1193800</v>
      </c>
      <c r="AI593" s="95" t="s">
        <v>4613</v>
      </c>
      <c r="AJ593" s="99"/>
      <c r="AK593" s="100">
        <v>0</v>
      </c>
      <c r="AL593" s="100">
        <v>42000</v>
      </c>
      <c r="AM593" s="100">
        <f>IF(AL593&lt;&gt;"No Disp",AK593+12*AL593,"No Disp")</f>
        <v>504000</v>
      </c>
      <c r="AN593" s="100">
        <v>0</v>
      </c>
      <c r="AO593" s="100">
        <v>42000</v>
      </c>
      <c r="AP593" s="100">
        <f>IF(AO593&lt;&gt;"No Disp",AN593+12*AO593,"No Disp")</f>
        <v>504000</v>
      </c>
      <c r="AQ593" s="100">
        <v>0</v>
      </c>
      <c r="AR593" s="100">
        <v>42000</v>
      </c>
      <c r="AS593" s="100">
        <f>IF(AR593&lt;&gt;"No Disp",AQ593+12*AR593,"No Disp")</f>
        <v>504000</v>
      </c>
    </row>
    <row r="594" spans="1:45" s="101" customFormat="1" x14ac:dyDescent="0.25">
      <c r="A594" s="90" t="s">
        <v>38</v>
      </c>
      <c r="B594" s="90" t="s">
        <v>39</v>
      </c>
      <c r="C594" s="90" t="s">
        <v>40</v>
      </c>
      <c r="D594" s="90" t="s">
        <v>4540</v>
      </c>
      <c r="E594" s="90" t="s">
        <v>4538</v>
      </c>
      <c r="F594" s="91">
        <v>556</v>
      </c>
      <c r="G594" s="92">
        <v>70013351</v>
      </c>
      <c r="H594" s="91">
        <v>70013352</v>
      </c>
      <c r="I594" s="93" t="s">
        <v>46</v>
      </c>
      <c r="J594" s="94" t="s">
        <v>123</v>
      </c>
      <c r="K594" s="94" t="s">
        <v>147</v>
      </c>
      <c r="L594" s="94" t="s">
        <v>148</v>
      </c>
      <c r="M594" s="95">
        <v>799900</v>
      </c>
      <c r="N594" s="95">
        <v>7000</v>
      </c>
      <c r="O594" s="95">
        <v>10000</v>
      </c>
      <c r="P594" s="96">
        <v>1069990</v>
      </c>
      <c r="Q594" s="152"/>
      <c r="R594" s="95">
        <v>899990</v>
      </c>
      <c r="S594" s="95">
        <f>R594/24</f>
        <v>37499.583333333336</v>
      </c>
      <c r="T594" s="95">
        <v>799900</v>
      </c>
      <c r="U594" s="95">
        <f>T594/24</f>
        <v>33329.166666666664</v>
      </c>
      <c r="V594" s="95">
        <v>799900</v>
      </c>
      <c r="W594" s="95">
        <f>V594/24</f>
        <v>33329.166666666664</v>
      </c>
      <c r="X594" s="128"/>
      <c r="Y594" s="95">
        <v>249900</v>
      </c>
      <c r="Z594" s="95">
        <v>58000</v>
      </c>
      <c r="AA594" s="95">
        <f>IFERROR(IF(D594="Premium",0.4*Y594,0),"No Disp")</f>
        <v>99960</v>
      </c>
      <c r="AB594" s="95">
        <f>IFERROR(IF(4*Y594&gt;AC594,1.5*Y594,4*Y594),"No Disp")</f>
        <v>999600</v>
      </c>
      <c r="AC594" s="95">
        <f>IF(Z594="No Disp","No Disp",(Z594*18)+Y594)</f>
        <v>1293900</v>
      </c>
      <c r="AD594" s="95">
        <f>18*Z594-100+Y594</f>
        <v>1293800</v>
      </c>
      <c r="AE594" s="95">
        <v>149900</v>
      </c>
      <c r="AF594" s="95">
        <v>58000</v>
      </c>
      <c r="AG594" s="95">
        <f>IF(AF594="No Disp","No Disp",(AF594*18)+AE594)</f>
        <v>1193900</v>
      </c>
      <c r="AH594" s="98">
        <f>18*AF594-100+AE594</f>
        <v>1193800</v>
      </c>
      <c r="AI594" s="95" t="s">
        <v>4613</v>
      </c>
      <c r="AJ594" s="99"/>
      <c r="AK594" s="100">
        <v>0</v>
      </c>
      <c r="AL594" s="100">
        <v>42000</v>
      </c>
      <c r="AM594" s="100">
        <f>IF(AL594&lt;&gt;"No Disp",AK594+12*AL594,"No Disp")</f>
        <v>504000</v>
      </c>
      <c r="AN594" s="100">
        <v>0</v>
      </c>
      <c r="AO594" s="100">
        <v>42000</v>
      </c>
      <c r="AP594" s="100">
        <f>IF(AO594&lt;&gt;"No Disp",AN594+12*AO594,"No Disp")</f>
        <v>504000</v>
      </c>
      <c r="AQ594" s="100">
        <v>0</v>
      </c>
      <c r="AR594" s="100">
        <v>42000</v>
      </c>
      <c r="AS594" s="100">
        <f>IF(AR594&lt;&gt;"No Disp",AQ594+12*AR594,"No Disp")</f>
        <v>504000</v>
      </c>
    </row>
    <row r="595" spans="1:45" s="101" customFormat="1" x14ac:dyDescent="0.25">
      <c r="A595" s="90" t="s">
        <v>38</v>
      </c>
      <c r="B595" s="90" t="s">
        <v>39</v>
      </c>
      <c r="C595" s="90" t="s">
        <v>40</v>
      </c>
      <c r="D595" s="90" t="s">
        <v>4540</v>
      </c>
      <c r="E595" s="90" t="s">
        <v>4538</v>
      </c>
      <c r="F595" s="91">
        <v>555</v>
      </c>
      <c r="G595" s="92">
        <v>70013355</v>
      </c>
      <c r="H595" s="91">
        <v>70013356</v>
      </c>
      <c r="I595" s="93" t="s">
        <v>46</v>
      </c>
      <c r="J595" s="94" t="s">
        <v>123</v>
      </c>
      <c r="K595" s="94" t="s">
        <v>149</v>
      </c>
      <c r="L595" s="94" t="s">
        <v>150</v>
      </c>
      <c r="M595" s="95">
        <v>799900</v>
      </c>
      <c r="N595" s="95">
        <v>7000</v>
      </c>
      <c r="O595" s="95">
        <v>10000</v>
      </c>
      <c r="P595" s="96">
        <v>1069990</v>
      </c>
      <c r="Q595" s="152"/>
      <c r="R595" s="95">
        <v>899990</v>
      </c>
      <c r="S595" s="95">
        <f>R595/24</f>
        <v>37499.583333333336</v>
      </c>
      <c r="T595" s="95">
        <v>799900</v>
      </c>
      <c r="U595" s="95">
        <f>T595/24</f>
        <v>33329.166666666664</v>
      </c>
      <c r="V595" s="95">
        <v>799900</v>
      </c>
      <c r="W595" s="95">
        <f>V595/24</f>
        <v>33329.166666666664</v>
      </c>
      <c r="X595" s="128"/>
      <c r="Y595" s="95">
        <v>249900</v>
      </c>
      <c r="Z595" s="95">
        <v>58000</v>
      </c>
      <c r="AA595" s="95">
        <f>IFERROR(IF(D595="Premium",0.4*Y595,0),"No Disp")</f>
        <v>99960</v>
      </c>
      <c r="AB595" s="95">
        <f>IFERROR(IF(4*Y595&gt;AC595,1.5*Y595,4*Y595),"No Disp")</f>
        <v>999600</v>
      </c>
      <c r="AC595" s="95">
        <f>IF(Z595="No Disp","No Disp",(Z595*18)+Y595)</f>
        <v>1293900</v>
      </c>
      <c r="AD595" s="95">
        <f>18*Z595-100+Y595</f>
        <v>1293800</v>
      </c>
      <c r="AE595" s="95">
        <v>149900</v>
      </c>
      <c r="AF595" s="95">
        <v>58000</v>
      </c>
      <c r="AG595" s="95">
        <f>IF(AF595="No Disp","No Disp",(AF595*18)+AE595)</f>
        <v>1193900</v>
      </c>
      <c r="AH595" s="98">
        <f>18*AF595-100+AE595</f>
        <v>1193800</v>
      </c>
      <c r="AI595" s="95" t="s">
        <v>4613</v>
      </c>
      <c r="AJ595" s="99"/>
      <c r="AK595" s="100">
        <v>0</v>
      </c>
      <c r="AL595" s="100">
        <v>42000</v>
      </c>
      <c r="AM595" s="100">
        <f>IF(AL595&lt;&gt;"No Disp",AK595+12*AL595,"No Disp")</f>
        <v>504000</v>
      </c>
      <c r="AN595" s="100">
        <v>0</v>
      </c>
      <c r="AO595" s="100">
        <v>42000</v>
      </c>
      <c r="AP595" s="100">
        <f>IF(AO595&lt;&gt;"No Disp",AN595+12*AO595,"No Disp")</f>
        <v>504000</v>
      </c>
      <c r="AQ595" s="100">
        <v>0</v>
      </c>
      <c r="AR595" s="100">
        <v>42000</v>
      </c>
      <c r="AS595" s="100">
        <f>IF(AR595&lt;&gt;"No Disp",AQ595+12*AR595,"No Disp")</f>
        <v>504000</v>
      </c>
    </row>
    <row r="596" spans="1:45" s="101" customFormat="1" x14ac:dyDescent="0.25">
      <c r="A596" s="90" t="s">
        <v>38</v>
      </c>
      <c r="B596" s="90" t="s">
        <v>39</v>
      </c>
      <c r="C596" s="90" t="s">
        <v>40</v>
      </c>
      <c r="D596" s="90" t="s">
        <v>4540</v>
      </c>
      <c r="E596" s="90" t="s">
        <v>4538</v>
      </c>
      <c r="F596" s="91">
        <v>554</v>
      </c>
      <c r="G596" s="92">
        <v>70013359</v>
      </c>
      <c r="H596" s="91">
        <v>70013360</v>
      </c>
      <c r="I596" s="93" t="s">
        <v>46</v>
      </c>
      <c r="J596" s="94" t="s">
        <v>69</v>
      </c>
      <c r="K596" s="94" t="s">
        <v>70</v>
      </c>
      <c r="L596" s="94" t="s">
        <v>71</v>
      </c>
      <c r="M596" s="95">
        <v>1139900</v>
      </c>
      <c r="N596" s="95">
        <v>9500</v>
      </c>
      <c r="O596" s="95">
        <v>13500</v>
      </c>
      <c r="P596" s="96">
        <v>1469990</v>
      </c>
      <c r="Q596" s="152"/>
      <c r="R596" s="95">
        <v>1279990</v>
      </c>
      <c r="S596" s="95">
        <f>R596/24</f>
        <v>53332.916666666664</v>
      </c>
      <c r="T596" s="95">
        <v>1139900</v>
      </c>
      <c r="U596" s="95">
        <f>T596/24</f>
        <v>47495.833333333336</v>
      </c>
      <c r="V596" s="95">
        <v>1139900</v>
      </c>
      <c r="W596" s="95">
        <f>V596/24</f>
        <v>47495.833333333336</v>
      </c>
      <c r="X596" s="128"/>
      <c r="Y596" s="95">
        <v>399900</v>
      </c>
      <c r="Z596" s="95">
        <v>77000</v>
      </c>
      <c r="AA596" s="95">
        <f>IFERROR(IF(D596="Premium",0.4*Y596,0),"No Disp")</f>
        <v>159960</v>
      </c>
      <c r="AB596" s="95">
        <f>IFERROR(IF(4*Y596&gt;AC596,1.5*Y596,4*Y596),"No Disp")</f>
        <v>1599600</v>
      </c>
      <c r="AC596" s="95">
        <f>IF(Z596="No Disp","No Disp",(Z596*18)+Y596)</f>
        <v>1785900</v>
      </c>
      <c r="AD596" s="95">
        <f>18*Z596-100+Y596</f>
        <v>1785800</v>
      </c>
      <c r="AE596" s="95">
        <v>249900</v>
      </c>
      <c r="AF596" s="95">
        <v>77000</v>
      </c>
      <c r="AG596" s="95">
        <f>IF(AF596="No Disp","No Disp",(AF596*18)+AE596)</f>
        <v>1635900</v>
      </c>
      <c r="AH596" s="98">
        <f>18*AF596-100+AE596</f>
        <v>1635800</v>
      </c>
      <c r="AI596" s="95" t="s">
        <v>4613</v>
      </c>
      <c r="AJ596" s="99"/>
      <c r="AK596" s="100">
        <v>0</v>
      </c>
      <c r="AL596" s="100">
        <v>58000</v>
      </c>
      <c r="AM596" s="100">
        <f>IF(AL596&lt;&gt;"No Disp",AK596+12*AL596,"No Disp")</f>
        <v>696000</v>
      </c>
      <c r="AN596" s="100">
        <v>0</v>
      </c>
      <c r="AO596" s="100">
        <v>58000</v>
      </c>
      <c r="AP596" s="100">
        <f>IF(AO596&lt;&gt;"No Disp",AN596+12*AO596,"No Disp")</f>
        <v>696000</v>
      </c>
      <c r="AQ596" s="100">
        <v>0</v>
      </c>
      <c r="AR596" s="100">
        <v>58000</v>
      </c>
      <c r="AS596" s="100">
        <f>IF(AR596&lt;&gt;"No Disp",AQ596+12*AR596,"No Disp")</f>
        <v>696000</v>
      </c>
    </row>
    <row r="597" spans="1:45" s="101" customFormat="1" x14ac:dyDescent="0.25">
      <c r="A597" s="90" t="s">
        <v>38</v>
      </c>
      <c r="B597" s="90" t="s">
        <v>39</v>
      </c>
      <c r="C597" s="90" t="s">
        <v>40</v>
      </c>
      <c r="D597" s="90" t="s">
        <v>4540</v>
      </c>
      <c r="E597" s="90" t="s">
        <v>4538</v>
      </c>
      <c r="F597" s="91">
        <v>553</v>
      </c>
      <c r="G597" s="92">
        <v>70013363</v>
      </c>
      <c r="H597" s="91">
        <v>70013364</v>
      </c>
      <c r="I597" s="93" t="s">
        <v>46</v>
      </c>
      <c r="J597" s="94" t="s">
        <v>69</v>
      </c>
      <c r="K597" s="94" t="s">
        <v>72</v>
      </c>
      <c r="L597" s="94" t="s">
        <v>73</v>
      </c>
      <c r="M597" s="95">
        <v>1139900</v>
      </c>
      <c r="N597" s="95">
        <v>9500</v>
      </c>
      <c r="O597" s="95">
        <v>13500</v>
      </c>
      <c r="P597" s="96">
        <v>1469990</v>
      </c>
      <c r="Q597" s="152"/>
      <c r="R597" s="95">
        <v>1279990</v>
      </c>
      <c r="S597" s="95">
        <f>R597/24</f>
        <v>53332.916666666664</v>
      </c>
      <c r="T597" s="95">
        <v>1139900</v>
      </c>
      <c r="U597" s="95">
        <f>T597/24</f>
        <v>47495.833333333336</v>
      </c>
      <c r="V597" s="95">
        <v>1139900</v>
      </c>
      <c r="W597" s="95">
        <f>V597/24</f>
        <v>47495.833333333336</v>
      </c>
      <c r="X597" s="128"/>
      <c r="Y597" s="95">
        <v>399900</v>
      </c>
      <c r="Z597" s="95">
        <v>77000</v>
      </c>
      <c r="AA597" s="95">
        <f>IFERROR(IF(D597="Premium",0.4*Y597,0),"No Disp")</f>
        <v>159960</v>
      </c>
      <c r="AB597" s="95">
        <f>IFERROR(IF(4*Y597&gt;AC597,1.5*Y597,4*Y597),"No Disp")</f>
        <v>1599600</v>
      </c>
      <c r="AC597" s="95">
        <f>IF(Z597="No Disp","No Disp",(Z597*18)+Y597)</f>
        <v>1785900</v>
      </c>
      <c r="AD597" s="95">
        <f>18*Z597-100+Y597</f>
        <v>1785800</v>
      </c>
      <c r="AE597" s="95">
        <v>249900</v>
      </c>
      <c r="AF597" s="95">
        <v>77000</v>
      </c>
      <c r="AG597" s="95">
        <f>IF(AF597="No Disp","No Disp",(AF597*18)+AE597)</f>
        <v>1635900</v>
      </c>
      <c r="AH597" s="98">
        <f>18*AF597-100+AE597</f>
        <v>1635800</v>
      </c>
      <c r="AI597" s="95" t="s">
        <v>4613</v>
      </c>
      <c r="AJ597" s="99"/>
      <c r="AK597" s="100">
        <v>0</v>
      </c>
      <c r="AL597" s="100">
        <v>58000</v>
      </c>
      <c r="AM597" s="100">
        <f>IF(AL597&lt;&gt;"No Disp",AK597+12*AL597,"No Disp")</f>
        <v>696000</v>
      </c>
      <c r="AN597" s="100">
        <v>0</v>
      </c>
      <c r="AO597" s="100">
        <v>58000</v>
      </c>
      <c r="AP597" s="100">
        <f>IF(AO597&lt;&gt;"No Disp",AN597+12*AO597,"No Disp")</f>
        <v>696000</v>
      </c>
      <c r="AQ597" s="100">
        <v>0</v>
      </c>
      <c r="AR597" s="100">
        <v>58000</v>
      </c>
      <c r="AS597" s="100">
        <f>IF(AR597&lt;&gt;"No Disp",AQ597+12*AR597,"No Disp")</f>
        <v>696000</v>
      </c>
    </row>
    <row r="598" spans="1:45" s="101" customFormat="1" x14ac:dyDescent="0.25">
      <c r="A598" s="90" t="s">
        <v>38</v>
      </c>
      <c r="B598" s="90" t="s">
        <v>39</v>
      </c>
      <c r="C598" s="90" t="s">
        <v>40</v>
      </c>
      <c r="D598" s="90" t="s">
        <v>4540</v>
      </c>
      <c r="E598" s="90" t="s">
        <v>4538</v>
      </c>
      <c r="F598" s="91">
        <v>552</v>
      </c>
      <c r="G598" s="92">
        <v>70013367</v>
      </c>
      <c r="H598" s="91">
        <v>70013368</v>
      </c>
      <c r="I598" s="93" t="s">
        <v>46</v>
      </c>
      <c r="J598" s="94" t="s">
        <v>69</v>
      </c>
      <c r="K598" s="94" t="s">
        <v>74</v>
      </c>
      <c r="L598" s="94" t="s">
        <v>75</v>
      </c>
      <c r="M598" s="95">
        <v>1139900</v>
      </c>
      <c r="N598" s="95">
        <v>9500</v>
      </c>
      <c r="O598" s="95">
        <v>13500</v>
      </c>
      <c r="P598" s="96">
        <v>1469990</v>
      </c>
      <c r="Q598" s="152"/>
      <c r="R598" s="95">
        <v>1279990</v>
      </c>
      <c r="S598" s="95">
        <f>R598/24</f>
        <v>53332.916666666664</v>
      </c>
      <c r="T598" s="95">
        <v>1139900</v>
      </c>
      <c r="U598" s="95">
        <f>T598/24</f>
        <v>47495.833333333336</v>
      </c>
      <c r="V598" s="95">
        <v>1139900</v>
      </c>
      <c r="W598" s="95">
        <f>V598/24</f>
        <v>47495.833333333336</v>
      </c>
      <c r="X598" s="128"/>
      <c r="Y598" s="95">
        <v>399900</v>
      </c>
      <c r="Z598" s="95">
        <v>77000</v>
      </c>
      <c r="AA598" s="95">
        <f>IFERROR(IF(D598="Premium",0.4*Y598,0),"No Disp")</f>
        <v>159960</v>
      </c>
      <c r="AB598" s="95">
        <f>IFERROR(IF(4*Y598&gt;AC598,1.5*Y598,4*Y598),"No Disp")</f>
        <v>1599600</v>
      </c>
      <c r="AC598" s="95">
        <f>IF(Z598="No Disp","No Disp",(Z598*18)+Y598)</f>
        <v>1785900</v>
      </c>
      <c r="AD598" s="95">
        <f>18*Z598-100+Y598</f>
        <v>1785800</v>
      </c>
      <c r="AE598" s="95">
        <v>249900</v>
      </c>
      <c r="AF598" s="95">
        <v>77000</v>
      </c>
      <c r="AG598" s="95">
        <f>IF(AF598="No Disp","No Disp",(AF598*18)+AE598)</f>
        <v>1635900</v>
      </c>
      <c r="AH598" s="98">
        <f>18*AF598-100+AE598</f>
        <v>1635800</v>
      </c>
      <c r="AI598" s="95" t="s">
        <v>4613</v>
      </c>
      <c r="AJ598" s="99"/>
      <c r="AK598" s="100">
        <v>0</v>
      </c>
      <c r="AL598" s="100">
        <v>58000</v>
      </c>
      <c r="AM598" s="100">
        <f>IF(AL598&lt;&gt;"No Disp",AK598+12*AL598,"No Disp")</f>
        <v>696000</v>
      </c>
      <c r="AN598" s="100">
        <v>0</v>
      </c>
      <c r="AO598" s="100">
        <v>58000</v>
      </c>
      <c r="AP598" s="100">
        <f>IF(AO598&lt;&gt;"No Disp",AN598+12*AO598,"No Disp")</f>
        <v>696000</v>
      </c>
      <c r="AQ598" s="100">
        <v>0</v>
      </c>
      <c r="AR598" s="100">
        <v>58000</v>
      </c>
      <c r="AS598" s="100">
        <f>IF(AR598&lt;&gt;"No Disp",AQ598+12*AR598,"No Disp")</f>
        <v>696000</v>
      </c>
    </row>
    <row r="599" spans="1:45" s="101" customFormat="1" x14ac:dyDescent="0.25">
      <c r="A599" s="90" t="s">
        <v>38</v>
      </c>
      <c r="B599" s="90" t="s">
        <v>39</v>
      </c>
      <c r="C599" s="90" t="s">
        <v>40</v>
      </c>
      <c r="D599" s="90" t="s">
        <v>4540</v>
      </c>
      <c r="E599" s="90" t="s">
        <v>4538</v>
      </c>
      <c r="F599" s="91">
        <v>551</v>
      </c>
      <c r="G599" s="92">
        <v>70013371</v>
      </c>
      <c r="H599" s="91">
        <v>70013372</v>
      </c>
      <c r="I599" s="93" t="s">
        <v>46</v>
      </c>
      <c r="J599" s="94" t="s">
        <v>69</v>
      </c>
      <c r="K599" s="94" t="s">
        <v>76</v>
      </c>
      <c r="L599" s="94" t="s">
        <v>77</v>
      </c>
      <c r="M599" s="95">
        <v>1139900</v>
      </c>
      <c r="N599" s="95">
        <v>9500</v>
      </c>
      <c r="O599" s="95">
        <v>13500</v>
      </c>
      <c r="P599" s="96">
        <v>1469990</v>
      </c>
      <c r="Q599" s="152"/>
      <c r="R599" s="95">
        <v>1279990</v>
      </c>
      <c r="S599" s="95">
        <f>R599/24</f>
        <v>53332.916666666664</v>
      </c>
      <c r="T599" s="95">
        <v>1139900</v>
      </c>
      <c r="U599" s="95">
        <f>T599/24</f>
        <v>47495.833333333336</v>
      </c>
      <c r="V599" s="95">
        <v>1139900</v>
      </c>
      <c r="W599" s="95">
        <f>V599/24</f>
        <v>47495.833333333336</v>
      </c>
      <c r="X599" s="128"/>
      <c r="Y599" s="95">
        <v>399900</v>
      </c>
      <c r="Z599" s="95">
        <v>77000</v>
      </c>
      <c r="AA599" s="95">
        <f>IFERROR(IF(D599="Premium",0.4*Y599,0),"No Disp")</f>
        <v>159960</v>
      </c>
      <c r="AB599" s="95">
        <f>IFERROR(IF(4*Y599&gt;AC599,1.5*Y599,4*Y599),"No Disp")</f>
        <v>1599600</v>
      </c>
      <c r="AC599" s="95">
        <f>IF(Z599="No Disp","No Disp",(Z599*18)+Y599)</f>
        <v>1785900</v>
      </c>
      <c r="AD599" s="95">
        <f>18*Z599-100+Y599</f>
        <v>1785800</v>
      </c>
      <c r="AE599" s="95">
        <v>249900</v>
      </c>
      <c r="AF599" s="95">
        <v>77000</v>
      </c>
      <c r="AG599" s="95">
        <f>IF(AF599="No Disp","No Disp",(AF599*18)+AE599)</f>
        <v>1635900</v>
      </c>
      <c r="AH599" s="98">
        <f>18*AF599-100+AE599</f>
        <v>1635800</v>
      </c>
      <c r="AI599" s="95" t="s">
        <v>4613</v>
      </c>
      <c r="AJ599" s="99"/>
      <c r="AK599" s="100">
        <v>0</v>
      </c>
      <c r="AL599" s="100">
        <v>58000</v>
      </c>
      <c r="AM599" s="100">
        <f>IF(AL599&lt;&gt;"No Disp",AK599+12*AL599,"No Disp")</f>
        <v>696000</v>
      </c>
      <c r="AN599" s="100">
        <v>0</v>
      </c>
      <c r="AO599" s="100">
        <v>58000</v>
      </c>
      <c r="AP599" s="100">
        <f>IF(AO599&lt;&gt;"No Disp",AN599+12*AO599,"No Disp")</f>
        <v>696000</v>
      </c>
      <c r="AQ599" s="100">
        <v>0</v>
      </c>
      <c r="AR599" s="100">
        <v>58000</v>
      </c>
      <c r="AS599" s="100">
        <f>IF(AR599&lt;&gt;"No Disp",AQ599+12*AR599,"No Disp")</f>
        <v>696000</v>
      </c>
    </row>
    <row r="600" spans="1:45" s="101" customFormat="1" x14ac:dyDescent="0.25">
      <c r="A600" s="90" t="s">
        <v>38</v>
      </c>
      <c r="B600" s="90" t="s">
        <v>39</v>
      </c>
      <c r="C600" s="90" t="s">
        <v>40</v>
      </c>
      <c r="D600" s="90" t="s">
        <v>4540</v>
      </c>
      <c r="E600" s="90" t="s">
        <v>4538</v>
      </c>
      <c r="F600" s="91">
        <v>550</v>
      </c>
      <c r="G600" s="92">
        <v>70013375</v>
      </c>
      <c r="H600" s="91">
        <v>70013376</v>
      </c>
      <c r="I600" s="93" t="s">
        <v>46</v>
      </c>
      <c r="J600" s="94" t="s">
        <v>151</v>
      </c>
      <c r="K600" s="94" t="s">
        <v>152</v>
      </c>
      <c r="L600" s="94" t="s">
        <v>153</v>
      </c>
      <c r="M600" s="95">
        <v>999900</v>
      </c>
      <c r="N600" s="95">
        <v>7000</v>
      </c>
      <c r="O600" s="95">
        <v>10000</v>
      </c>
      <c r="P600" s="96">
        <v>1229990</v>
      </c>
      <c r="Q600" s="152"/>
      <c r="R600" s="95">
        <v>1119990</v>
      </c>
      <c r="S600" s="95">
        <f>R600/24</f>
        <v>46666.25</v>
      </c>
      <c r="T600" s="95">
        <v>999900</v>
      </c>
      <c r="U600" s="95">
        <f>T600/24</f>
        <v>41662.5</v>
      </c>
      <c r="V600" s="95">
        <v>999900</v>
      </c>
      <c r="W600" s="95">
        <f>V600/24</f>
        <v>41662.5</v>
      </c>
      <c r="X600" s="128"/>
      <c r="Y600" s="95">
        <v>289900</v>
      </c>
      <c r="Z600" s="95">
        <v>69900</v>
      </c>
      <c r="AA600" s="95">
        <f>IFERROR(IF(D600="Premium",0.4*Y600,0),"No Disp")</f>
        <v>115960</v>
      </c>
      <c r="AB600" s="95">
        <f>IFERROR(IF(4*Y600&gt;AC600,1.5*Y600,4*Y600),"No Disp")</f>
        <v>1159600</v>
      </c>
      <c r="AC600" s="95">
        <f>IF(Z600="No Disp","No Disp",(Z600*18)+Y600)</f>
        <v>1548100</v>
      </c>
      <c r="AD600" s="95">
        <f>18*Z600-100+Y600</f>
        <v>1548000</v>
      </c>
      <c r="AE600" s="95">
        <v>179900</v>
      </c>
      <c r="AF600" s="95">
        <v>70000</v>
      </c>
      <c r="AG600" s="95">
        <f>IF(AF600="No Disp","No Disp",(AF600*18)+AE600)</f>
        <v>1439900</v>
      </c>
      <c r="AH600" s="98">
        <f>18*AF600-100+AE600</f>
        <v>1439800</v>
      </c>
      <c r="AI600" s="95" t="s">
        <v>4613</v>
      </c>
      <c r="AJ600" s="99"/>
      <c r="AK600" s="100">
        <v>0</v>
      </c>
      <c r="AL600" s="100">
        <v>43000</v>
      </c>
      <c r="AM600" s="100">
        <f>IF(AL600&lt;&gt;"No Disp",AK600+12*AL600,"No Disp")</f>
        <v>516000</v>
      </c>
      <c r="AN600" s="100">
        <v>0</v>
      </c>
      <c r="AO600" s="100">
        <v>43000</v>
      </c>
      <c r="AP600" s="100">
        <f>IF(AO600&lt;&gt;"No Disp",AN600+12*AO600,"No Disp")</f>
        <v>516000</v>
      </c>
      <c r="AQ600" s="100">
        <v>0</v>
      </c>
      <c r="AR600" s="100">
        <v>43000</v>
      </c>
      <c r="AS600" s="100">
        <f>IF(AR600&lt;&gt;"No Disp",AQ600+12*AR600,"No Disp")</f>
        <v>516000</v>
      </c>
    </row>
    <row r="601" spans="1:45" s="101" customFormat="1" x14ac:dyDescent="0.25">
      <c r="A601" s="90" t="s">
        <v>38</v>
      </c>
      <c r="B601" s="90" t="s">
        <v>39</v>
      </c>
      <c r="C601" s="90" t="s">
        <v>40</v>
      </c>
      <c r="D601" s="90" t="s">
        <v>4540</v>
      </c>
      <c r="E601" s="90" t="s">
        <v>4538</v>
      </c>
      <c r="F601" s="91">
        <v>549</v>
      </c>
      <c r="G601" s="92">
        <v>70013379</v>
      </c>
      <c r="H601" s="91">
        <v>70013380</v>
      </c>
      <c r="I601" s="93" t="s">
        <v>46</v>
      </c>
      <c r="J601" s="94" t="s">
        <v>151</v>
      </c>
      <c r="K601" s="94" t="s">
        <v>154</v>
      </c>
      <c r="L601" s="94" t="s">
        <v>155</v>
      </c>
      <c r="M601" s="95">
        <v>999900</v>
      </c>
      <c r="N601" s="95">
        <v>7000</v>
      </c>
      <c r="O601" s="95">
        <v>10000</v>
      </c>
      <c r="P601" s="96">
        <v>1229990</v>
      </c>
      <c r="Q601" s="152"/>
      <c r="R601" s="95">
        <v>1119990</v>
      </c>
      <c r="S601" s="95">
        <f>R601/24</f>
        <v>46666.25</v>
      </c>
      <c r="T601" s="95">
        <v>999900</v>
      </c>
      <c r="U601" s="95">
        <f>T601/24</f>
        <v>41662.5</v>
      </c>
      <c r="V601" s="95">
        <v>999900</v>
      </c>
      <c r="W601" s="95">
        <f>V601/24</f>
        <v>41662.5</v>
      </c>
      <c r="X601" s="128"/>
      <c r="Y601" s="95">
        <v>289900</v>
      </c>
      <c r="Z601" s="95">
        <v>69900</v>
      </c>
      <c r="AA601" s="95">
        <f>IFERROR(IF(D601="Premium",0.4*Y601,0),"No Disp")</f>
        <v>115960</v>
      </c>
      <c r="AB601" s="95">
        <f>IFERROR(IF(4*Y601&gt;AC601,1.5*Y601,4*Y601),"No Disp")</f>
        <v>1159600</v>
      </c>
      <c r="AC601" s="95">
        <f>IF(Z601="No Disp","No Disp",(Z601*18)+Y601)</f>
        <v>1548100</v>
      </c>
      <c r="AD601" s="95">
        <f>18*Z601-100+Y601</f>
        <v>1548000</v>
      </c>
      <c r="AE601" s="95">
        <v>179900</v>
      </c>
      <c r="AF601" s="95">
        <v>70000</v>
      </c>
      <c r="AG601" s="95">
        <f>IF(AF601="No Disp","No Disp",(AF601*18)+AE601)</f>
        <v>1439900</v>
      </c>
      <c r="AH601" s="98">
        <f>18*AF601-100+AE601</f>
        <v>1439800</v>
      </c>
      <c r="AI601" s="95" t="s">
        <v>4613</v>
      </c>
      <c r="AJ601" s="99"/>
      <c r="AK601" s="100">
        <v>0</v>
      </c>
      <c r="AL601" s="100">
        <v>43000</v>
      </c>
      <c r="AM601" s="100">
        <f>IF(AL601&lt;&gt;"No Disp",AK601+12*AL601,"No Disp")</f>
        <v>516000</v>
      </c>
      <c r="AN601" s="100">
        <v>0</v>
      </c>
      <c r="AO601" s="100">
        <v>43000</v>
      </c>
      <c r="AP601" s="100">
        <f>IF(AO601&lt;&gt;"No Disp",AN601+12*AO601,"No Disp")</f>
        <v>516000</v>
      </c>
      <c r="AQ601" s="100">
        <v>0</v>
      </c>
      <c r="AR601" s="100">
        <v>43000</v>
      </c>
      <c r="AS601" s="100">
        <f>IF(AR601&lt;&gt;"No Disp",AQ601+12*AR601,"No Disp")</f>
        <v>516000</v>
      </c>
    </row>
    <row r="602" spans="1:45" s="101" customFormat="1" x14ac:dyDescent="0.25">
      <c r="A602" s="90" t="s">
        <v>38</v>
      </c>
      <c r="B602" s="90" t="s">
        <v>39</v>
      </c>
      <c r="C602" s="90" t="s">
        <v>40</v>
      </c>
      <c r="D602" s="90" t="s">
        <v>4540</v>
      </c>
      <c r="E602" s="90" t="s">
        <v>4538</v>
      </c>
      <c r="F602" s="91">
        <v>548</v>
      </c>
      <c r="G602" s="92">
        <v>70013383</v>
      </c>
      <c r="H602" s="91">
        <v>70013384</v>
      </c>
      <c r="I602" s="93" t="s">
        <v>46</v>
      </c>
      <c r="J602" s="94" t="s">
        <v>151</v>
      </c>
      <c r="K602" s="94" t="s">
        <v>156</v>
      </c>
      <c r="L602" s="94" t="s">
        <v>157</v>
      </c>
      <c r="M602" s="95">
        <v>999900</v>
      </c>
      <c r="N602" s="95">
        <v>7000</v>
      </c>
      <c r="O602" s="95">
        <v>10000</v>
      </c>
      <c r="P602" s="96">
        <v>1229990</v>
      </c>
      <c r="Q602" s="152"/>
      <c r="R602" s="95">
        <v>1119990</v>
      </c>
      <c r="S602" s="95">
        <f>R602/24</f>
        <v>46666.25</v>
      </c>
      <c r="T602" s="95">
        <v>999900</v>
      </c>
      <c r="U602" s="95">
        <f>T602/24</f>
        <v>41662.5</v>
      </c>
      <c r="V602" s="95">
        <v>999900</v>
      </c>
      <c r="W602" s="95">
        <f>V602/24</f>
        <v>41662.5</v>
      </c>
      <c r="X602" s="128"/>
      <c r="Y602" s="95">
        <v>289900</v>
      </c>
      <c r="Z602" s="95">
        <v>69900</v>
      </c>
      <c r="AA602" s="95">
        <f>IFERROR(IF(D602="Premium",0.4*Y602,0),"No Disp")</f>
        <v>115960</v>
      </c>
      <c r="AB602" s="95">
        <f>IFERROR(IF(4*Y602&gt;AC602,1.5*Y602,4*Y602),"No Disp")</f>
        <v>1159600</v>
      </c>
      <c r="AC602" s="95">
        <f>IF(Z602="No Disp","No Disp",(Z602*18)+Y602)</f>
        <v>1548100</v>
      </c>
      <c r="AD602" s="95">
        <f>18*Z602-100+Y602</f>
        <v>1548000</v>
      </c>
      <c r="AE602" s="95">
        <v>179900</v>
      </c>
      <c r="AF602" s="95">
        <v>70000</v>
      </c>
      <c r="AG602" s="95">
        <f>IF(AF602="No Disp","No Disp",(AF602*18)+AE602)</f>
        <v>1439900</v>
      </c>
      <c r="AH602" s="98">
        <f>18*AF602-100+AE602</f>
        <v>1439800</v>
      </c>
      <c r="AI602" s="95" t="s">
        <v>4613</v>
      </c>
      <c r="AJ602" s="99"/>
      <c r="AK602" s="100">
        <v>0</v>
      </c>
      <c r="AL602" s="100">
        <v>43000</v>
      </c>
      <c r="AM602" s="100">
        <f>IF(AL602&lt;&gt;"No Disp",AK602+12*AL602,"No Disp")</f>
        <v>516000</v>
      </c>
      <c r="AN602" s="100">
        <v>0</v>
      </c>
      <c r="AO602" s="100">
        <v>43000</v>
      </c>
      <c r="AP602" s="100">
        <f>IF(AO602&lt;&gt;"No Disp",AN602+12*AO602,"No Disp")</f>
        <v>516000</v>
      </c>
      <c r="AQ602" s="100">
        <v>0</v>
      </c>
      <c r="AR602" s="100">
        <v>43000</v>
      </c>
      <c r="AS602" s="100">
        <f>IF(AR602&lt;&gt;"No Disp",AQ602+12*AR602,"No Disp")</f>
        <v>516000</v>
      </c>
    </row>
    <row r="603" spans="1:45" s="101" customFormat="1" x14ac:dyDescent="0.25">
      <c r="A603" s="90" t="s">
        <v>38</v>
      </c>
      <c r="B603" s="90" t="s">
        <v>39</v>
      </c>
      <c r="C603" s="90" t="s">
        <v>40</v>
      </c>
      <c r="D603" s="90" t="s">
        <v>4537</v>
      </c>
      <c r="E603" s="90" t="s">
        <v>4538</v>
      </c>
      <c r="F603" s="91">
        <v>602</v>
      </c>
      <c r="G603" s="92">
        <v>70013387</v>
      </c>
      <c r="H603" s="91">
        <v>70013388</v>
      </c>
      <c r="I603" s="93" t="s">
        <v>171</v>
      </c>
      <c r="J603" s="94" t="s">
        <v>3913</v>
      </c>
      <c r="K603" s="94" t="s">
        <v>2859</v>
      </c>
      <c r="L603" s="94" t="s">
        <v>4519</v>
      </c>
      <c r="M603" s="95">
        <v>519900</v>
      </c>
      <c r="N603" s="95">
        <v>6000</v>
      </c>
      <c r="O603" s="95">
        <v>8500</v>
      </c>
      <c r="P603" s="96">
        <v>749990</v>
      </c>
      <c r="Q603" s="152"/>
      <c r="R603" s="95">
        <v>579990</v>
      </c>
      <c r="S603" s="95">
        <f>R603/24</f>
        <v>24166.25</v>
      </c>
      <c r="T603" s="95">
        <v>519900</v>
      </c>
      <c r="U603" s="95">
        <f>T603/24</f>
        <v>21662.5</v>
      </c>
      <c r="V603" s="95">
        <v>519900</v>
      </c>
      <c r="W603" s="95">
        <f>V603/24</f>
        <v>21662.5</v>
      </c>
      <c r="X603" s="128"/>
      <c r="Y603" s="95">
        <v>99900</v>
      </c>
      <c r="Z603" s="95">
        <v>49500</v>
      </c>
      <c r="AA603" s="95">
        <f>IFERROR(IF(D603="Premium",0.4*Y603,0),"No Disp")</f>
        <v>0</v>
      </c>
      <c r="AB603" s="95">
        <f>IFERROR(IF(4*Y603&gt;AC603,1.5*Y603,4*Y603),"No Disp")</f>
        <v>399600</v>
      </c>
      <c r="AC603" s="95">
        <f>IF(Z603="No Disp","No Disp",(Z603*18)+Y603)</f>
        <v>990900</v>
      </c>
      <c r="AD603" s="95">
        <f>18*Z603-100+Y603</f>
        <v>990800</v>
      </c>
      <c r="AE603" s="95">
        <v>69900</v>
      </c>
      <c r="AF603" s="95">
        <v>45500</v>
      </c>
      <c r="AG603" s="95">
        <f>IF(AF603="No Disp","No Disp",(AF603*18)+AE603)</f>
        <v>888900</v>
      </c>
      <c r="AH603" s="98">
        <f>18*AF603-100+AE603</f>
        <v>888800</v>
      </c>
      <c r="AI603" s="95" t="s">
        <v>4613</v>
      </c>
      <c r="AJ603" s="99"/>
      <c r="AK603" s="100">
        <v>0</v>
      </c>
      <c r="AL603" s="100">
        <v>32000</v>
      </c>
      <c r="AM603" s="100">
        <f>IF(AL603&lt;&gt;"No Disp",AK603+12*AL603,"No Disp")</f>
        <v>384000</v>
      </c>
      <c r="AN603" s="100">
        <v>0</v>
      </c>
      <c r="AO603" s="100">
        <v>32000</v>
      </c>
      <c r="AP603" s="100">
        <f>IF(AO603&lt;&gt;"No Disp",AN603+12*AO603,"No Disp")</f>
        <v>384000</v>
      </c>
      <c r="AQ603" s="100">
        <v>0</v>
      </c>
      <c r="AR603" s="100">
        <v>32000</v>
      </c>
      <c r="AS603" s="100">
        <f>IF(AR603&lt;&gt;"No Disp",AQ603+12*AR603,"No Disp")</f>
        <v>384000</v>
      </c>
    </row>
    <row r="604" spans="1:45" s="101" customFormat="1" x14ac:dyDescent="0.25">
      <c r="A604" s="90" t="s">
        <v>38</v>
      </c>
      <c r="B604" s="90" t="s">
        <v>39</v>
      </c>
      <c r="C604" s="90" t="s">
        <v>40</v>
      </c>
      <c r="D604" s="90" t="s">
        <v>4537</v>
      </c>
      <c r="E604" s="90" t="s">
        <v>4538</v>
      </c>
      <c r="F604" s="91">
        <v>601</v>
      </c>
      <c r="G604" s="92">
        <v>70013391</v>
      </c>
      <c r="H604" s="91">
        <v>70013392</v>
      </c>
      <c r="I604" s="93" t="s">
        <v>171</v>
      </c>
      <c r="J604" s="94" t="s">
        <v>3913</v>
      </c>
      <c r="K604" s="94" t="s">
        <v>2860</v>
      </c>
      <c r="L604" s="94" t="s">
        <v>2863</v>
      </c>
      <c r="M604" s="95">
        <v>519900</v>
      </c>
      <c r="N604" s="95">
        <v>6000</v>
      </c>
      <c r="O604" s="95">
        <v>8500</v>
      </c>
      <c r="P604" s="96">
        <v>749990</v>
      </c>
      <c r="Q604" s="152"/>
      <c r="R604" s="95">
        <v>579990</v>
      </c>
      <c r="S604" s="95">
        <f>R604/24</f>
        <v>24166.25</v>
      </c>
      <c r="T604" s="95">
        <v>519900</v>
      </c>
      <c r="U604" s="95">
        <f>T604/24</f>
        <v>21662.5</v>
      </c>
      <c r="V604" s="95">
        <v>519900</v>
      </c>
      <c r="W604" s="95">
        <f>V604/24</f>
        <v>21662.5</v>
      </c>
      <c r="X604" s="128"/>
      <c r="Y604" s="95">
        <v>99900</v>
      </c>
      <c r="Z604" s="95">
        <v>49500</v>
      </c>
      <c r="AA604" s="95">
        <f>IFERROR(IF(D604="Premium",0.4*Y604,0),"No Disp")</f>
        <v>0</v>
      </c>
      <c r="AB604" s="95">
        <f>IFERROR(IF(4*Y604&gt;AC604,1.5*Y604,4*Y604),"No Disp")</f>
        <v>399600</v>
      </c>
      <c r="AC604" s="95">
        <f>IF(Z604="No Disp","No Disp",(Z604*18)+Y604)</f>
        <v>990900</v>
      </c>
      <c r="AD604" s="95">
        <f>18*Z604-100+Y604</f>
        <v>990800</v>
      </c>
      <c r="AE604" s="95">
        <v>69900</v>
      </c>
      <c r="AF604" s="95">
        <v>45500</v>
      </c>
      <c r="AG604" s="95">
        <f>IF(AF604="No Disp","No Disp",(AF604*18)+AE604)</f>
        <v>888900</v>
      </c>
      <c r="AH604" s="98">
        <f>18*AF604-100+AE604</f>
        <v>888800</v>
      </c>
      <c r="AI604" s="95" t="s">
        <v>4613</v>
      </c>
      <c r="AJ604" s="99"/>
      <c r="AK604" s="100">
        <v>0</v>
      </c>
      <c r="AL604" s="100">
        <v>32000</v>
      </c>
      <c r="AM604" s="100">
        <f>IF(AL604&lt;&gt;"No Disp",AK604+12*AL604,"No Disp")</f>
        <v>384000</v>
      </c>
      <c r="AN604" s="100">
        <v>0</v>
      </c>
      <c r="AO604" s="100">
        <v>32000</v>
      </c>
      <c r="AP604" s="100">
        <f>IF(AO604&lt;&gt;"No Disp",AN604+12*AO604,"No Disp")</f>
        <v>384000</v>
      </c>
      <c r="AQ604" s="100">
        <v>0</v>
      </c>
      <c r="AR604" s="100">
        <v>32000</v>
      </c>
      <c r="AS604" s="100">
        <f>IF(AR604&lt;&gt;"No Disp",AQ604+12*AR604,"No Disp")</f>
        <v>384000</v>
      </c>
    </row>
    <row r="605" spans="1:45" s="101" customFormat="1" x14ac:dyDescent="0.25">
      <c r="A605" s="90" t="s">
        <v>38</v>
      </c>
      <c r="B605" s="90" t="s">
        <v>39</v>
      </c>
      <c r="C605" s="90" t="s">
        <v>40</v>
      </c>
      <c r="D605" s="90" t="s">
        <v>4539</v>
      </c>
      <c r="E605" s="90" t="s">
        <v>4538</v>
      </c>
      <c r="F605" s="91">
        <v>561</v>
      </c>
      <c r="G605" s="92">
        <v>70013395</v>
      </c>
      <c r="H605" s="91">
        <v>70013396</v>
      </c>
      <c r="I605" s="93" t="s">
        <v>41</v>
      </c>
      <c r="J605" s="94" t="s">
        <v>2929</v>
      </c>
      <c r="K605" s="94" t="s">
        <v>3909</v>
      </c>
      <c r="L605" s="94" t="s">
        <v>3910</v>
      </c>
      <c r="M605" s="97">
        <v>279900</v>
      </c>
      <c r="N605" s="95">
        <v>6000</v>
      </c>
      <c r="O605" s="95">
        <v>8500</v>
      </c>
      <c r="P605" s="96">
        <v>564990</v>
      </c>
      <c r="Q605" s="152"/>
      <c r="R605" s="95">
        <v>309990</v>
      </c>
      <c r="S605" s="95">
        <f>R605/24</f>
        <v>12916.25</v>
      </c>
      <c r="T605" s="97">
        <v>279900</v>
      </c>
      <c r="U605" s="95">
        <f>T605/24</f>
        <v>11662.5</v>
      </c>
      <c r="V605" s="97">
        <v>279900</v>
      </c>
      <c r="W605" s="95">
        <f>V605/24</f>
        <v>11662.5</v>
      </c>
      <c r="X605" s="128"/>
      <c r="Y605" s="95">
        <v>29900</v>
      </c>
      <c r="Z605" s="95">
        <v>29000</v>
      </c>
      <c r="AA605" s="95">
        <f>IFERROR(IF(D605="Premium",0.4*Y605,0),"No Disp")</f>
        <v>0</v>
      </c>
      <c r="AB605" s="95">
        <f>IFERROR(IF(4*Y605&gt;AC605,1.5*Y605,4*Y605),"No Disp")</f>
        <v>119600</v>
      </c>
      <c r="AC605" s="95">
        <f>IF(Z605="No Disp","No Disp",(Z605*18)+Y605)</f>
        <v>551900</v>
      </c>
      <c r="AD605" s="95">
        <f>18*Z605-100+Y605</f>
        <v>551800</v>
      </c>
      <c r="AE605" s="95">
        <v>0</v>
      </c>
      <c r="AF605" s="95">
        <v>25000</v>
      </c>
      <c r="AG605" s="95">
        <f>IF(AF605="No Disp","No Disp",(AF605*18)+AE605)</f>
        <v>450000</v>
      </c>
      <c r="AH605" s="98">
        <f>18*AF605-100+AE605</f>
        <v>449900</v>
      </c>
      <c r="AI605" s="95" t="s">
        <v>4613</v>
      </c>
      <c r="AJ605" s="99"/>
      <c r="AK605" s="100">
        <v>0</v>
      </c>
      <c r="AL605" s="100">
        <v>16000</v>
      </c>
      <c r="AM605" s="100">
        <f>IF(AL605&lt;&gt;"No Disp",AK605+12*AL605,"No Disp")</f>
        <v>192000</v>
      </c>
      <c r="AN605" s="100">
        <v>0</v>
      </c>
      <c r="AO605" s="100">
        <v>16000</v>
      </c>
      <c r="AP605" s="100">
        <f>IF(AO605&lt;&gt;"No Disp",AN605+12*AO605,"No Disp")</f>
        <v>192000</v>
      </c>
      <c r="AQ605" s="100">
        <v>0</v>
      </c>
      <c r="AR605" s="100">
        <v>16000</v>
      </c>
      <c r="AS605" s="100">
        <f>IF(AR605&lt;&gt;"No Disp",AQ605+12*AR605,"No Disp")</f>
        <v>192000</v>
      </c>
    </row>
    <row r="606" spans="1:45" s="101" customFormat="1" x14ac:dyDescent="0.25">
      <c r="A606" s="90" t="s">
        <v>38</v>
      </c>
      <c r="B606" s="90" t="s">
        <v>39</v>
      </c>
      <c r="C606" s="90" t="s">
        <v>40</v>
      </c>
      <c r="D606" s="90" t="s">
        <v>4539</v>
      </c>
      <c r="E606" s="90" t="s">
        <v>4538</v>
      </c>
      <c r="F606" s="91">
        <v>547</v>
      </c>
      <c r="G606" s="92">
        <v>70013415</v>
      </c>
      <c r="H606" s="91">
        <v>70013416</v>
      </c>
      <c r="I606" s="93" t="s">
        <v>87</v>
      </c>
      <c r="J606" s="94" t="s">
        <v>158</v>
      </c>
      <c r="K606" s="94" t="s">
        <v>159</v>
      </c>
      <c r="L606" s="94" t="s">
        <v>160</v>
      </c>
      <c r="M606" s="95">
        <v>204900</v>
      </c>
      <c r="N606" s="95">
        <v>4000</v>
      </c>
      <c r="O606" s="95">
        <v>6000</v>
      </c>
      <c r="P606" s="96">
        <v>299990</v>
      </c>
      <c r="Q606" s="152"/>
      <c r="R606" s="95">
        <v>224990</v>
      </c>
      <c r="S606" s="95">
        <f>R606/24</f>
        <v>9374.5833333333339</v>
      </c>
      <c r="T606" s="95">
        <v>204900</v>
      </c>
      <c r="U606" s="95">
        <f>T606/24</f>
        <v>8537.5</v>
      </c>
      <c r="V606" s="95">
        <v>204900</v>
      </c>
      <c r="W606" s="95">
        <f>V606/24</f>
        <v>8537.5</v>
      </c>
      <c r="X606" s="128"/>
      <c r="Y606" s="95">
        <v>19900</v>
      </c>
      <c r="Z606" s="95">
        <v>20500</v>
      </c>
      <c r="AA606" s="95">
        <f>IFERROR(IF(D606="Premium",0.4*Y606,0),"No Disp")</f>
        <v>0</v>
      </c>
      <c r="AB606" s="95">
        <f>IFERROR(IF(4*Y606&gt;AC606,1.5*Y606,4*Y606),"No Disp")</f>
        <v>79600</v>
      </c>
      <c r="AC606" s="95">
        <f>IF(Z606="No Disp","No Disp",(Z606*18)+Y606)</f>
        <v>388900</v>
      </c>
      <c r="AD606" s="95">
        <f>18*Z606-100+Y606</f>
        <v>388800</v>
      </c>
      <c r="AE606" s="95">
        <v>0</v>
      </c>
      <c r="AF606" s="95">
        <v>19000</v>
      </c>
      <c r="AG606" s="95">
        <f>IF(AF606="No Disp","No Disp",(AF606*18)+AE606)</f>
        <v>342000</v>
      </c>
      <c r="AH606" s="98">
        <f>18*AF606-100+AE606</f>
        <v>341900</v>
      </c>
      <c r="AI606" s="95" t="s">
        <v>4613</v>
      </c>
      <c r="AJ606" s="99"/>
      <c r="AK606" s="100" t="s">
        <v>43</v>
      </c>
      <c r="AL606" s="100" t="s">
        <v>43</v>
      </c>
      <c r="AM606" s="100" t="str">
        <f>IF(AL606&lt;&gt;"No Disp",AK606+12*AL606,"No Disp")</f>
        <v>No Disp</v>
      </c>
      <c r="AN606" s="100" t="s">
        <v>43</v>
      </c>
      <c r="AO606" s="100" t="s">
        <v>43</v>
      </c>
      <c r="AP606" s="100" t="str">
        <f>IF(AO606&lt;&gt;"No Disp",AN606+12*AO606,"No Disp")</f>
        <v>No Disp</v>
      </c>
      <c r="AQ606" s="100" t="s">
        <v>43</v>
      </c>
      <c r="AR606" s="100" t="s">
        <v>43</v>
      </c>
      <c r="AS606" s="100" t="str">
        <f>IF(AR606&lt;&gt;"No Disp",AQ606+12*AR606,"No Disp")</f>
        <v>No Disp</v>
      </c>
    </row>
    <row r="607" spans="1:45" s="101" customFormat="1" x14ac:dyDescent="0.25">
      <c r="A607" s="90" t="s">
        <v>38</v>
      </c>
      <c r="B607" s="90" t="s">
        <v>39</v>
      </c>
      <c r="C607" s="90" t="s">
        <v>40</v>
      </c>
      <c r="D607" s="90" t="s">
        <v>4539</v>
      </c>
      <c r="E607" s="90" t="s">
        <v>4538</v>
      </c>
      <c r="F607" s="91">
        <v>546</v>
      </c>
      <c r="G607" s="92">
        <v>70013459</v>
      </c>
      <c r="H607" s="91">
        <v>70013460</v>
      </c>
      <c r="I607" s="93" t="s">
        <v>87</v>
      </c>
      <c r="J607" s="94" t="s">
        <v>158</v>
      </c>
      <c r="K607" s="94" t="s">
        <v>161</v>
      </c>
      <c r="L607" s="94" t="s">
        <v>162</v>
      </c>
      <c r="M607" s="95">
        <v>204900</v>
      </c>
      <c r="N607" s="95">
        <v>4000</v>
      </c>
      <c r="O607" s="95">
        <v>6000</v>
      </c>
      <c r="P607" s="96">
        <v>299990</v>
      </c>
      <c r="Q607" s="152"/>
      <c r="R607" s="95">
        <v>224990</v>
      </c>
      <c r="S607" s="95">
        <f>R607/24</f>
        <v>9374.5833333333339</v>
      </c>
      <c r="T607" s="95">
        <v>204900</v>
      </c>
      <c r="U607" s="95">
        <f>T607/24</f>
        <v>8537.5</v>
      </c>
      <c r="V607" s="95">
        <v>204900</v>
      </c>
      <c r="W607" s="95">
        <f>V607/24</f>
        <v>8537.5</v>
      </c>
      <c r="X607" s="128"/>
      <c r="Y607" s="95">
        <v>19900</v>
      </c>
      <c r="Z607" s="95">
        <v>20500</v>
      </c>
      <c r="AA607" s="95">
        <f>IFERROR(IF(D607="Premium",0.4*Y607,0),"No Disp")</f>
        <v>0</v>
      </c>
      <c r="AB607" s="95">
        <f>IFERROR(IF(4*Y607&gt;AC607,1.5*Y607,4*Y607),"No Disp")</f>
        <v>79600</v>
      </c>
      <c r="AC607" s="95">
        <f>IF(Z607="No Disp","No Disp",(Z607*18)+Y607)</f>
        <v>388900</v>
      </c>
      <c r="AD607" s="95">
        <f>18*Z607-100+Y607</f>
        <v>388800</v>
      </c>
      <c r="AE607" s="95">
        <v>0</v>
      </c>
      <c r="AF607" s="95">
        <v>19000</v>
      </c>
      <c r="AG607" s="95">
        <f>IF(AF607="No Disp","No Disp",(AF607*18)+AE607)</f>
        <v>342000</v>
      </c>
      <c r="AH607" s="98">
        <f>18*AF607-100+AE607</f>
        <v>341900</v>
      </c>
      <c r="AI607" s="95" t="s">
        <v>4613</v>
      </c>
      <c r="AJ607" s="99"/>
      <c r="AK607" s="100" t="s">
        <v>43</v>
      </c>
      <c r="AL607" s="100" t="s">
        <v>43</v>
      </c>
      <c r="AM607" s="100" t="str">
        <f>IF(AL607&lt;&gt;"No Disp",AK607+12*AL607,"No Disp")</f>
        <v>No Disp</v>
      </c>
      <c r="AN607" s="100" t="s">
        <v>43</v>
      </c>
      <c r="AO607" s="100" t="s">
        <v>43</v>
      </c>
      <c r="AP607" s="100" t="str">
        <f>IF(AO607&lt;&gt;"No Disp",AN607+12*AO607,"No Disp")</f>
        <v>No Disp</v>
      </c>
      <c r="AQ607" s="100" t="s">
        <v>43</v>
      </c>
      <c r="AR607" s="100" t="s">
        <v>43</v>
      </c>
      <c r="AS607" s="100" t="str">
        <f>IF(AR607&lt;&gt;"No Disp",AQ607+12*AR607,"No Disp")</f>
        <v>No Disp</v>
      </c>
    </row>
    <row r="608" spans="1:45" s="101" customFormat="1" x14ac:dyDescent="0.25">
      <c r="A608" s="90" t="s">
        <v>38</v>
      </c>
      <c r="B608" s="90" t="s">
        <v>39</v>
      </c>
      <c r="C608" s="90" t="s">
        <v>40</v>
      </c>
      <c r="D608" s="90" t="s">
        <v>4539</v>
      </c>
      <c r="E608" s="90" t="s">
        <v>4538</v>
      </c>
      <c r="F608" s="91">
        <v>545</v>
      </c>
      <c r="G608" s="92">
        <v>70013463</v>
      </c>
      <c r="H608" s="91">
        <v>70013464</v>
      </c>
      <c r="I608" s="93" t="s">
        <v>87</v>
      </c>
      <c r="J608" s="94" t="s">
        <v>158</v>
      </c>
      <c r="K608" s="94" t="s">
        <v>163</v>
      </c>
      <c r="L608" s="94" t="s">
        <v>164</v>
      </c>
      <c r="M608" s="95">
        <v>204900</v>
      </c>
      <c r="N608" s="95">
        <v>4000</v>
      </c>
      <c r="O608" s="95">
        <v>6000</v>
      </c>
      <c r="P608" s="96">
        <v>299990</v>
      </c>
      <c r="Q608" s="152"/>
      <c r="R608" s="95">
        <v>224990</v>
      </c>
      <c r="S608" s="95">
        <f>R608/24</f>
        <v>9374.5833333333339</v>
      </c>
      <c r="T608" s="95">
        <v>204900</v>
      </c>
      <c r="U608" s="95">
        <f>T608/24</f>
        <v>8537.5</v>
      </c>
      <c r="V608" s="95">
        <v>204900</v>
      </c>
      <c r="W608" s="95">
        <f>V608/24</f>
        <v>8537.5</v>
      </c>
      <c r="X608" s="128"/>
      <c r="Y608" s="95">
        <v>19900</v>
      </c>
      <c r="Z608" s="95">
        <v>20500</v>
      </c>
      <c r="AA608" s="95">
        <f>IFERROR(IF(D608="Premium",0.4*Y608,0),"No Disp")</f>
        <v>0</v>
      </c>
      <c r="AB608" s="95">
        <f>IFERROR(IF(4*Y608&gt;AC608,1.5*Y608,4*Y608),"No Disp")</f>
        <v>79600</v>
      </c>
      <c r="AC608" s="95">
        <f>IF(Z608="No Disp","No Disp",(Z608*18)+Y608)</f>
        <v>388900</v>
      </c>
      <c r="AD608" s="95">
        <f>18*Z608-100+Y608</f>
        <v>388800</v>
      </c>
      <c r="AE608" s="95">
        <v>0</v>
      </c>
      <c r="AF608" s="95">
        <v>19000</v>
      </c>
      <c r="AG608" s="95">
        <f>IF(AF608="No Disp","No Disp",(AF608*18)+AE608)</f>
        <v>342000</v>
      </c>
      <c r="AH608" s="98">
        <f>18*AF608-100+AE608</f>
        <v>341900</v>
      </c>
      <c r="AI608" s="95" t="s">
        <v>4613</v>
      </c>
      <c r="AJ608" s="99"/>
      <c r="AK608" s="100" t="s">
        <v>43</v>
      </c>
      <c r="AL608" s="100" t="s">
        <v>43</v>
      </c>
      <c r="AM608" s="100" t="str">
        <f>IF(AL608&lt;&gt;"No Disp",AK608+12*AL608,"No Disp")</f>
        <v>No Disp</v>
      </c>
      <c r="AN608" s="100" t="s">
        <v>43</v>
      </c>
      <c r="AO608" s="100" t="s">
        <v>43</v>
      </c>
      <c r="AP608" s="100" t="str">
        <f>IF(AO608&lt;&gt;"No Disp",AN608+12*AO608,"No Disp")</f>
        <v>No Disp</v>
      </c>
      <c r="AQ608" s="100" t="s">
        <v>43</v>
      </c>
      <c r="AR608" s="100" t="s">
        <v>43</v>
      </c>
      <c r="AS608" s="100" t="str">
        <f>IF(AR608&lt;&gt;"No Disp",AQ608+12*AR608,"No Disp")</f>
        <v>No Disp</v>
      </c>
    </row>
    <row r="609" spans="1:45" s="101" customFormat="1" x14ac:dyDescent="0.25">
      <c r="A609" s="90" t="s">
        <v>38</v>
      </c>
      <c r="B609" s="90" t="s">
        <v>40</v>
      </c>
      <c r="C609" s="90" t="s">
        <v>39</v>
      </c>
      <c r="D609" s="90" t="s">
        <v>4539</v>
      </c>
      <c r="E609" s="90" t="s">
        <v>4538</v>
      </c>
      <c r="F609" s="91">
        <v>568</v>
      </c>
      <c r="G609" s="92">
        <v>70013467</v>
      </c>
      <c r="H609" s="91">
        <v>70013468</v>
      </c>
      <c r="I609" s="93" t="s">
        <v>87</v>
      </c>
      <c r="J609" s="94" t="s">
        <v>128</v>
      </c>
      <c r="K609" s="94" t="s">
        <v>4304</v>
      </c>
      <c r="L609" s="94" t="s">
        <v>130</v>
      </c>
      <c r="M609" s="95">
        <v>268560</v>
      </c>
      <c r="N609" s="95">
        <v>4000</v>
      </c>
      <c r="O609" s="95">
        <v>6000</v>
      </c>
      <c r="P609" s="96">
        <v>399990</v>
      </c>
      <c r="Q609" s="152"/>
      <c r="R609" s="95">
        <v>268560</v>
      </c>
      <c r="S609" s="95">
        <f>R609/24</f>
        <v>11190</v>
      </c>
      <c r="T609" s="95">
        <v>268560</v>
      </c>
      <c r="U609" s="95">
        <f>T609/24</f>
        <v>11190</v>
      </c>
      <c r="V609" s="95">
        <v>268560</v>
      </c>
      <c r="W609" s="95">
        <f>V609/24</f>
        <v>11190</v>
      </c>
      <c r="X609" s="128"/>
      <c r="Y609" s="95">
        <v>29900</v>
      </c>
      <c r="Z609" s="95">
        <v>31000</v>
      </c>
      <c r="AA609" s="95">
        <f>IFERROR(IF(D609="Premium",0.4*Y609,0),"No Disp")</f>
        <v>0</v>
      </c>
      <c r="AB609" s="95">
        <f>IFERROR(IF(4*Y609&gt;AC609,1.5*Y609,4*Y609),"No Disp")</f>
        <v>119600</v>
      </c>
      <c r="AC609" s="95">
        <f>IF(Z609="No Disp","No Disp",(Z609*18)+Y609)</f>
        <v>587900</v>
      </c>
      <c r="AD609" s="95">
        <f>18*Z609-100+Y609</f>
        <v>587800</v>
      </c>
      <c r="AE609" s="95">
        <v>0</v>
      </c>
      <c r="AF609" s="95">
        <v>25000</v>
      </c>
      <c r="AG609" s="95">
        <f>IF(AF609="No Disp","No Disp",(AF609*18)+AE609)</f>
        <v>450000</v>
      </c>
      <c r="AH609" s="98">
        <f>18*AF609-100+AE609</f>
        <v>449900</v>
      </c>
      <c r="AI609" s="95" t="s">
        <v>4613</v>
      </c>
      <c r="AJ609" s="99"/>
      <c r="AK609" s="100" t="s">
        <v>43</v>
      </c>
      <c r="AL609" s="100" t="s">
        <v>43</v>
      </c>
      <c r="AM609" s="100" t="str">
        <f>IF(AL609&lt;&gt;"No Disp",AK609+12*AL609,"No Disp")</f>
        <v>No Disp</v>
      </c>
      <c r="AN609" s="100" t="s">
        <v>43</v>
      </c>
      <c r="AO609" s="100" t="s">
        <v>43</v>
      </c>
      <c r="AP609" s="100" t="str">
        <f>IF(AO609&lt;&gt;"No Disp",AN609+12*AO609,"No Disp")</f>
        <v>No Disp</v>
      </c>
      <c r="AQ609" s="100" t="s">
        <v>43</v>
      </c>
      <c r="AR609" s="100" t="s">
        <v>43</v>
      </c>
      <c r="AS609" s="100" t="str">
        <f>IF(AR609&lt;&gt;"No Disp",AQ609+12*AR609,"No Disp")</f>
        <v>No Disp</v>
      </c>
    </row>
    <row r="610" spans="1:45" s="101" customFormat="1" x14ac:dyDescent="0.25">
      <c r="A610" s="90" t="s">
        <v>38</v>
      </c>
      <c r="B610" s="90" t="s">
        <v>40</v>
      </c>
      <c r="C610" s="90" t="s">
        <v>39</v>
      </c>
      <c r="D610" s="90" t="s">
        <v>4539</v>
      </c>
      <c r="E610" s="90" t="s">
        <v>4538</v>
      </c>
      <c r="F610" s="91">
        <v>623</v>
      </c>
      <c r="G610" s="92">
        <v>70013471</v>
      </c>
      <c r="H610" s="91">
        <v>70013472</v>
      </c>
      <c r="I610" s="93" t="s">
        <v>87</v>
      </c>
      <c r="J610" s="94" t="s">
        <v>128</v>
      </c>
      <c r="K610" s="94" t="s">
        <v>2966</v>
      </c>
      <c r="L610" s="94" t="s">
        <v>2981</v>
      </c>
      <c r="M610" s="95">
        <v>268560</v>
      </c>
      <c r="N610" s="95">
        <v>4000</v>
      </c>
      <c r="O610" s="95">
        <v>6000</v>
      </c>
      <c r="P610" s="96">
        <v>399990</v>
      </c>
      <c r="Q610" s="152"/>
      <c r="R610" s="95">
        <v>268560</v>
      </c>
      <c r="S610" s="95">
        <f>R610/24</f>
        <v>11190</v>
      </c>
      <c r="T610" s="95">
        <v>268560</v>
      </c>
      <c r="U610" s="95">
        <f>T610/24</f>
        <v>11190</v>
      </c>
      <c r="V610" s="95">
        <v>268560</v>
      </c>
      <c r="W610" s="95">
        <f>V610/24</f>
        <v>11190</v>
      </c>
      <c r="X610" s="128"/>
      <c r="Y610" s="95">
        <v>29900</v>
      </c>
      <c r="Z610" s="95">
        <v>31000</v>
      </c>
      <c r="AA610" s="95">
        <f>IFERROR(IF(D610="Premium",0.4*Y610,0),"No Disp")</f>
        <v>0</v>
      </c>
      <c r="AB610" s="95">
        <f>IFERROR(IF(4*Y610&gt;AC610,1.5*Y610,4*Y610),"No Disp")</f>
        <v>119600</v>
      </c>
      <c r="AC610" s="95">
        <f>IF(Z610="No Disp","No Disp",(Z610*18)+Y610)</f>
        <v>587900</v>
      </c>
      <c r="AD610" s="95">
        <f>18*Z610-100+Y610</f>
        <v>587800</v>
      </c>
      <c r="AE610" s="95">
        <v>0</v>
      </c>
      <c r="AF610" s="95">
        <v>25000</v>
      </c>
      <c r="AG610" s="95">
        <f>IF(AF610="No Disp","No Disp",(AF610*18)+AE610)</f>
        <v>450000</v>
      </c>
      <c r="AH610" s="98">
        <f>18*AF610-100+AE610</f>
        <v>449900</v>
      </c>
      <c r="AI610" s="95" t="s">
        <v>4613</v>
      </c>
      <c r="AJ610" s="99"/>
      <c r="AK610" s="100" t="s">
        <v>43</v>
      </c>
      <c r="AL610" s="100" t="s">
        <v>43</v>
      </c>
      <c r="AM610" s="100" t="str">
        <f>IF(AL610&lt;&gt;"No Disp",AK610+12*AL610,"No Disp")</f>
        <v>No Disp</v>
      </c>
      <c r="AN610" s="100" t="s">
        <v>43</v>
      </c>
      <c r="AO610" s="100" t="s">
        <v>43</v>
      </c>
      <c r="AP610" s="100" t="str">
        <f>IF(AO610&lt;&gt;"No Disp",AN610+12*AO610,"No Disp")</f>
        <v>No Disp</v>
      </c>
      <c r="AQ610" s="100" t="s">
        <v>43</v>
      </c>
      <c r="AR610" s="100" t="s">
        <v>43</v>
      </c>
      <c r="AS610" s="100" t="str">
        <f>IF(AR610&lt;&gt;"No Disp",AQ610+12*AR610,"No Disp")</f>
        <v>No Disp</v>
      </c>
    </row>
    <row r="611" spans="1:45" s="101" customFormat="1" x14ac:dyDescent="0.25">
      <c r="A611" s="90" t="s">
        <v>38</v>
      </c>
      <c r="B611" s="90" t="s">
        <v>40</v>
      </c>
      <c r="C611" s="90" t="s">
        <v>39</v>
      </c>
      <c r="D611" s="90" t="s">
        <v>4539</v>
      </c>
      <c r="E611" s="90" t="s">
        <v>4538</v>
      </c>
      <c r="F611" s="91">
        <v>622</v>
      </c>
      <c r="G611" s="92">
        <v>70013475</v>
      </c>
      <c r="H611" s="91">
        <v>70013476</v>
      </c>
      <c r="I611" s="93" t="s">
        <v>87</v>
      </c>
      <c r="J611" s="94" t="s">
        <v>128</v>
      </c>
      <c r="K611" s="94" t="s">
        <v>2967</v>
      </c>
      <c r="L611" s="94" t="s">
        <v>2982</v>
      </c>
      <c r="M611" s="95">
        <v>268560</v>
      </c>
      <c r="N611" s="95">
        <v>4000</v>
      </c>
      <c r="O611" s="95">
        <v>6000</v>
      </c>
      <c r="P611" s="96">
        <v>399990</v>
      </c>
      <c r="Q611" s="152"/>
      <c r="R611" s="95">
        <v>268560</v>
      </c>
      <c r="S611" s="95">
        <f>R611/24</f>
        <v>11190</v>
      </c>
      <c r="T611" s="95">
        <v>268560</v>
      </c>
      <c r="U611" s="95">
        <f>T611/24</f>
        <v>11190</v>
      </c>
      <c r="V611" s="95">
        <v>268560</v>
      </c>
      <c r="W611" s="95">
        <f>V611/24</f>
        <v>11190</v>
      </c>
      <c r="X611" s="128"/>
      <c r="Y611" s="95">
        <v>29900</v>
      </c>
      <c r="Z611" s="95">
        <v>31000</v>
      </c>
      <c r="AA611" s="95">
        <f>IFERROR(IF(D611="Premium",0.4*Y611,0),"No Disp")</f>
        <v>0</v>
      </c>
      <c r="AB611" s="95">
        <f>IFERROR(IF(4*Y611&gt;AC611,1.5*Y611,4*Y611),"No Disp")</f>
        <v>119600</v>
      </c>
      <c r="AC611" s="95">
        <f>IF(Z611="No Disp","No Disp",(Z611*18)+Y611)</f>
        <v>587900</v>
      </c>
      <c r="AD611" s="95">
        <f>18*Z611-100+Y611</f>
        <v>587800</v>
      </c>
      <c r="AE611" s="95">
        <v>0</v>
      </c>
      <c r="AF611" s="95">
        <v>25000</v>
      </c>
      <c r="AG611" s="95">
        <f>IF(AF611="No Disp","No Disp",(AF611*18)+AE611)</f>
        <v>450000</v>
      </c>
      <c r="AH611" s="98">
        <f>18*AF611-100+AE611</f>
        <v>449900</v>
      </c>
      <c r="AI611" s="95" t="s">
        <v>4613</v>
      </c>
      <c r="AJ611" s="99"/>
      <c r="AK611" s="100" t="s">
        <v>43</v>
      </c>
      <c r="AL611" s="100" t="s">
        <v>43</v>
      </c>
      <c r="AM611" s="100" t="str">
        <f>IF(AL611&lt;&gt;"No Disp",AK611+12*AL611,"No Disp")</f>
        <v>No Disp</v>
      </c>
      <c r="AN611" s="100" t="s">
        <v>43</v>
      </c>
      <c r="AO611" s="100" t="s">
        <v>43</v>
      </c>
      <c r="AP611" s="100" t="str">
        <f>IF(AO611&lt;&gt;"No Disp",AN611+12*AO611,"No Disp")</f>
        <v>No Disp</v>
      </c>
      <c r="AQ611" s="100" t="s">
        <v>43</v>
      </c>
      <c r="AR611" s="100" t="s">
        <v>43</v>
      </c>
      <c r="AS611" s="100" t="str">
        <f>IF(AR611&lt;&gt;"No Disp",AQ611+12*AR611,"No Disp")</f>
        <v>No Disp</v>
      </c>
    </row>
    <row r="612" spans="1:45" s="101" customFormat="1" x14ac:dyDescent="0.25">
      <c r="A612" s="90" t="s">
        <v>38</v>
      </c>
      <c r="B612" s="90" t="s">
        <v>40</v>
      </c>
      <c r="C612" s="90" t="s">
        <v>39</v>
      </c>
      <c r="D612" s="90" t="s">
        <v>4537</v>
      </c>
      <c r="E612" s="90" t="s">
        <v>4538</v>
      </c>
      <c r="F612" s="91">
        <v>569</v>
      </c>
      <c r="G612" s="92">
        <v>70013479</v>
      </c>
      <c r="H612" s="91">
        <v>70013480</v>
      </c>
      <c r="I612" s="93" t="s">
        <v>87</v>
      </c>
      <c r="J612" s="94" t="s">
        <v>3898</v>
      </c>
      <c r="K612" s="94" t="s">
        <v>4305</v>
      </c>
      <c r="L612" s="94" t="s">
        <v>127</v>
      </c>
      <c r="M612" s="95">
        <v>399900</v>
      </c>
      <c r="N612" s="95">
        <v>6000</v>
      </c>
      <c r="O612" s="95">
        <v>8500</v>
      </c>
      <c r="P612" s="96">
        <v>479990</v>
      </c>
      <c r="Q612" s="152"/>
      <c r="R612" s="95">
        <v>449990</v>
      </c>
      <c r="S612" s="95">
        <f>R612/24</f>
        <v>18749.583333333332</v>
      </c>
      <c r="T612" s="95">
        <v>399900</v>
      </c>
      <c r="U612" s="95">
        <f>T612/24</f>
        <v>16662.5</v>
      </c>
      <c r="V612" s="95">
        <v>399900</v>
      </c>
      <c r="W612" s="95">
        <f>V612/24</f>
        <v>16662.5</v>
      </c>
      <c r="X612" s="128"/>
      <c r="Y612" s="95">
        <v>29900</v>
      </c>
      <c r="Z612" s="95">
        <v>38000</v>
      </c>
      <c r="AA612" s="95">
        <f>IFERROR(IF(D612="Premium",0.4*Y612,0),"No Disp")</f>
        <v>0</v>
      </c>
      <c r="AB612" s="95">
        <f>IFERROR(IF(4*Y612&gt;AC612,1.5*Y612,4*Y612),"No Disp")</f>
        <v>119600</v>
      </c>
      <c r="AC612" s="95">
        <f>IF(Z612="No Disp","No Disp",(Z612*18)+Y612)</f>
        <v>713900</v>
      </c>
      <c r="AD612" s="95">
        <f>18*Z612-100+Y612</f>
        <v>713800</v>
      </c>
      <c r="AE612" s="95">
        <v>29900</v>
      </c>
      <c r="AF612" s="95">
        <v>33000</v>
      </c>
      <c r="AG612" s="95">
        <f>IF(AF612="No Disp","No Disp",(AF612*18)+AE612)</f>
        <v>623900</v>
      </c>
      <c r="AH612" s="98">
        <f>18*AF612-100+AE612</f>
        <v>623800</v>
      </c>
      <c r="AI612" s="95" t="s">
        <v>4613</v>
      </c>
      <c r="AJ612" s="99"/>
      <c r="AK612" s="100" t="s">
        <v>43</v>
      </c>
      <c r="AL612" s="100" t="s">
        <v>43</v>
      </c>
      <c r="AM612" s="100" t="str">
        <f>IF(AL612&lt;&gt;"No Disp",AK612+12*AL612,"No Disp")</f>
        <v>No Disp</v>
      </c>
      <c r="AN612" s="100" t="s">
        <v>43</v>
      </c>
      <c r="AO612" s="100" t="s">
        <v>43</v>
      </c>
      <c r="AP612" s="100" t="str">
        <f>IF(AO612&lt;&gt;"No Disp",AN612+12*AO612,"No Disp")</f>
        <v>No Disp</v>
      </c>
      <c r="AQ612" s="100" t="s">
        <v>43</v>
      </c>
      <c r="AR612" s="100" t="s">
        <v>43</v>
      </c>
      <c r="AS612" s="100" t="str">
        <f>IF(AR612&lt;&gt;"No Disp",AQ612+12*AR612,"No Disp")</f>
        <v>No Disp</v>
      </c>
    </row>
    <row r="613" spans="1:45" s="101" customFormat="1" x14ac:dyDescent="0.25">
      <c r="A613" s="90" t="s">
        <v>38</v>
      </c>
      <c r="B613" s="90" t="s">
        <v>40</v>
      </c>
      <c r="C613" s="90" t="s">
        <v>39</v>
      </c>
      <c r="D613" s="90" t="s">
        <v>4537</v>
      </c>
      <c r="E613" s="90" t="s">
        <v>4538</v>
      </c>
      <c r="F613" s="91">
        <v>634</v>
      </c>
      <c r="G613" s="92">
        <v>70013483</v>
      </c>
      <c r="H613" s="91">
        <v>70013484</v>
      </c>
      <c r="I613" s="93" t="s">
        <v>87</v>
      </c>
      <c r="J613" s="94" t="s">
        <v>3898</v>
      </c>
      <c r="K613" s="94" t="s">
        <v>2968</v>
      </c>
      <c r="L613" s="94" t="s">
        <v>2972</v>
      </c>
      <c r="M613" s="95">
        <v>399900</v>
      </c>
      <c r="N613" s="95">
        <v>6000</v>
      </c>
      <c r="O613" s="95">
        <v>8500</v>
      </c>
      <c r="P613" s="96">
        <v>479990</v>
      </c>
      <c r="Q613" s="152"/>
      <c r="R613" s="95">
        <v>449990</v>
      </c>
      <c r="S613" s="95">
        <f>R613/24</f>
        <v>18749.583333333332</v>
      </c>
      <c r="T613" s="95">
        <v>399900</v>
      </c>
      <c r="U613" s="95">
        <f>T613/24</f>
        <v>16662.5</v>
      </c>
      <c r="V613" s="95">
        <v>399900</v>
      </c>
      <c r="W613" s="95">
        <f>V613/24</f>
        <v>16662.5</v>
      </c>
      <c r="X613" s="128"/>
      <c r="Y613" s="95">
        <v>29900</v>
      </c>
      <c r="Z613" s="95">
        <v>38000</v>
      </c>
      <c r="AA613" s="95">
        <f>IFERROR(IF(D613="Premium",0.4*Y613,0),"No Disp")</f>
        <v>0</v>
      </c>
      <c r="AB613" s="95">
        <f>IFERROR(IF(4*Y613&gt;AC613,1.5*Y613,4*Y613),"No Disp")</f>
        <v>119600</v>
      </c>
      <c r="AC613" s="95">
        <f>IF(Z613="No Disp","No Disp",(Z613*18)+Y613)</f>
        <v>713900</v>
      </c>
      <c r="AD613" s="95">
        <f>18*Z613-100+Y613</f>
        <v>713800</v>
      </c>
      <c r="AE613" s="95">
        <v>29900</v>
      </c>
      <c r="AF613" s="95">
        <v>33000</v>
      </c>
      <c r="AG613" s="95">
        <f>IF(AF613="No Disp","No Disp",(AF613*18)+AE613)</f>
        <v>623900</v>
      </c>
      <c r="AH613" s="98">
        <f>18*AF613-100+AE613</f>
        <v>623800</v>
      </c>
      <c r="AI613" s="95" t="s">
        <v>4613</v>
      </c>
      <c r="AJ613" s="99"/>
      <c r="AK613" s="100" t="s">
        <v>43</v>
      </c>
      <c r="AL613" s="100" t="s">
        <v>43</v>
      </c>
      <c r="AM613" s="100" t="str">
        <f>IF(AL613&lt;&gt;"No Disp",AK613+12*AL613,"No Disp")</f>
        <v>No Disp</v>
      </c>
      <c r="AN613" s="100" t="s">
        <v>43</v>
      </c>
      <c r="AO613" s="100" t="s">
        <v>43</v>
      </c>
      <c r="AP613" s="100" t="str">
        <f>IF(AO613&lt;&gt;"No Disp",AN613+12*AO613,"No Disp")</f>
        <v>No Disp</v>
      </c>
      <c r="AQ613" s="100" t="s">
        <v>43</v>
      </c>
      <c r="AR613" s="100" t="s">
        <v>43</v>
      </c>
      <c r="AS613" s="100" t="str">
        <f>IF(AR613&lt;&gt;"No Disp",AQ613+12*AR613,"No Disp")</f>
        <v>No Disp</v>
      </c>
    </row>
    <row r="614" spans="1:45" s="101" customFormat="1" x14ac:dyDescent="0.25">
      <c r="A614" s="90" t="s">
        <v>38</v>
      </c>
      <c r="B614" s="90" t="s">
        <v>39</v>
      </c>
      <c r="C614" s="90" t="s">
        <v>40</v>
      </c>
      <c r="D614" s="90" t="s">
        <v>4539</v>
      </c>
      <c r="E614" s="90" t="s">
        <v>4542</v>
      </c>
      <c r="F614" s="91">
        <v>577</v>
      </c>
      <c r="G614" s="92">
        <v>70013487</v>
      </c>
      <c r="H614" s="91">
        <v>70013488</v>
      </c>
      <c r="I614" s="93" t="s">
        <v>41</v>
      </c>
      <c r="J614" s="94" t="s">
        <v>239</v>
      </c>
      <c r="K614" s="94" t="s">
        <v>2793</v>
      </c>
      <c r="L614" s="94" t="s">
        <v>2797</v>
      </c>
      <c r="M614" s="95">
        <v>229900</v>
      </c>
      <c r="N614" s="95">
        <v>4000</v>
      </c>
      <c r="O614" s="95">
        <v>6000</v>
      </c>
      <c r="P614" s="96">
        <v>369990</v>
      </c>
      <c r="Q614" s="152"/>
      <c r="R614" s="95">
        <v>259990</v>
      </c>
      <c r="S614" s="95">
        <f>R614/24</f>
        <v>10832.916666666666</v>
      </c>
      <c r="T614" s="95">
        <v>229900</v>
      </c>
      <c r="U614" s="95">
        <f>T614/24</f>
        <v>9579.1666666666661</v>
      </c>
      <c r="V614" s="95">
        <v>229900</v>
      </c>
      <c r="W614" s="95">
        <f>V614/24</f>
        <v>9579.1666666666661</v>
      </c>
      <c r="X614" s="128"/>
      <c r="Y614" s="95">
        <v>0</v>
      </c>
      <c r="Z614" s="95">
        <v>22000</v>
      </c>
      <c r="AA614" s="95">
        <f>IFERROR(IF(D614="Premium",0.4*Y614,0),"No Disp")</f>
        <v>0</v>
      </c>
      <c r="AB614" s="95">
        <f>IFERROR(IF(4*Y614&gt;AC614,1.5*Y614,4*Y614),"No Disp")</f>
        <v>0</v>
      </c>
      <c r="AC614" s="95">
        <f>IF(Z614="No Disp","No Disp",(Z614*18)+Y614)</f>
        <v>396000</v>
      </c>
      <c r="AD614" s="95">
        <f>18*Z614-100+Y614</f>
        <v>395900</v>
      </c>
      <c r="AE614" s="95">
        <v>0</v>
      </c>
      <c r="AF614" s="95">
        <v>18000</v>
      </c>
      <c r="AG614" s="95">
        <f>IF(AF614="No Disp","No Disp",(AF614*18)+AE614)</f>
        <v>324000</v>
      </c>
      <c r="AH614" s="98">
        <f>18*AF614-100+AE614</f>
        <v>323900</v>
      </c>
      <c r="AI614" s="95" t="s">
        <v>4613</v>
      </c>
      <c r="AJ614" s="99"/>
      <c r="AK614" s="100" t="s">
        <v>43</v>
      </c>
      <c r="AL614" s="100" t="s">
        <v>43</v>
      </c>
      <c r="AM614" s="100" t="str">
        <f>IF(AL614&lt;&gt;"No Disp",AK614+12*AL614,"No Disp")</f>
        <v>No Disp</v>
      </c>
      <c r="AN614" s="100" t="s">
        <v>43</v>
      </c>
      <c r="AO614" s="100" t="s">
        <v>43</v>
      </c>
      <c r="AP614" s="100" t="str">
        <f>IF(AO614&lt;&gt;"No Disp",AN614+12*AO614,"No Disp")</f>
        <v>No Disp</v>
      </c>
      <c r="AQ614" s="100" t="s">
        <v>43</v>
      </c>
      <c r="AR614" s="100" t="s">
        <v>43</v>
      </c>
      <c r="AS614" s="100" t="str">
        <f>IF(AR614&lt;&gt;"No Disp",AQ614+12*AR614,"No Disp")</f>
        <v>No Disp</v>
      </c>
    </row>
    <row r="615" spans="1:45" s="101" customFormat="1" x14ac:dyDescent="0.25">
      <c r="A615" s="90" t="s">
        <v>38</v>
      </c>
      <c r="B615" s="90" t="s">
        <v>39</v>
      </c>
      <c r="C615" s="90" t="s">
        <v>40</v>
      </c>
      <c r="D615" s="90" t="s">
        <v>4540</v>
      </c>
      <c r="E615" s="90" t="s">
        <v>4538</v>
      </c>
      <c r="F615" s="91">
        <v>544</v>
      </c>
      <c r="G615" s="92">
        <v>70013491</v>
      </c>
      <c r="H615" s="91">
        <v>70013492</v>
      </c>
      <c r="I615" s="93" t="s">
        <v>46</v>
      </c>
      <c r="J615" s="94" t="s">
        <v>47</v>
      </c>
      <c r="K615" s="94" t="s">
        <v>54</v>
      </c>
      <c r="L615" s="94" t="s">
        <v>55</v>
      </c>
      <c r="M615" s="95">
        <v>669360</v>
      </c>
      <c r="N615" s="95">
        <v>6000</v>
      </c>
      <c r="O615" s="95">
        <v>8500</v>
      </c>
      <c r="P615" s="96">
        <v>949990</v>
      </c>
      <c r="Q615" s="152"/>
      <c r="R615" s="95">
        <v>749990</v>
      </c>
      <c r="S615" s="95">
        <f>R615/24</f>
        <v>31249.583333333332</v>
      </c>
      <c r="T615" s="95">
        <v>669360</v>
      </c>
      <c r="U615" s="95">
        <f>T615/24</f>
        <v>27890</v>
      </c>
      <c r="V615" s="95">
        <v>669360</v>
      </c>
      <c r="W615" s="95">
        <f>V615/24</f>
        <v>27890</v>
      </c>
      <c r="X615" s="128"/>
      <c r="Y615" s="95">
        <v>199900</v>
      </c>
      <c r="Z615" s="95">
        <v>50000</v>
      </c>
      <c r="AA615" s="95">
        <f>IFERROR(IF(D615="Premium",0.4*Y615,0),"No Disp")</f>
        <v>79960</v>
      </c>
      <c r="AB615" s="95">
        <f>IFERROR(IF(4*Y615&gt;AC615,1.5*Y615,4*Y615),"No Disp")</f>
        <v>799600</v>
      </c>
      <c r="AC615" s="95">
        <f>IF(Z615="No Disp","No Disp",(Z615*18)+Y615)</f>
        <v>1099900</v>
      </c>
      <c r="AD615" s="95">
        <f>18*Z615-100+Y615</f>
        <v>1099800</v>
      </c>
      <c r="AE615" s="95">
        <v>99900</v>
      </c>
      <c r="AF615" s="95">
        <v>52000</v>
      </c>
      <c r="AG615" s="95">
        <f>IF(AF615="No Disp","No Disp",(AF615*18)+AE615)</f>
        <v>1035900</v>
      </c>
      <c r="AH615" s="98">
        <f>18*AF615-100+AE615</f>
        <v>1035800</v>
      </c>
      <c r="AI615" s="95" t="s">
        <v>4613</v>
      </c>
      <c r="AJ615" s="99"/>
      <c r="AK615" s="100">
        <v>0</v>
      </c>
      <c r="AL615" s="100">
        <v>30000</v>
      </c>
      <c r="AM615" s="100">
        <f>IF(AL615&lt;&gt;"No Disp",AK615+12*AL615,"No Disp")</f>
        <v>360000</v>
      </c>
      <c r="AN615" s="100">
        <v>0</v>
      </c>
      <c r="AO615" s="100">
        <v>30000</v>
      </c>
      <c r="AP615" s="100">
        <f>IF(AO615&lt;&gt;"No Disp",AN615+12*AO615,"No Disp")</f>
        <v>360000</v>
      </c>
      <c r="AQ615" s="100">
        <v>0</v>
      </c>
      <c r="AR615" s="100">
        <v>30000</v>
      </c>
      <c r="AS615" s="100">
        <f>IF(AR615&lt;&gt;"No Disp",AQ615+12*AR615,"No Disp")</f>
        <v>360000</v>
      </c>
    </row>
    <row r="616" spans="1:45" s="101" customFormat="1" x14ac:dyDescent="0.25">
      <c r="A616" s="90" t="s">
        <v>38</v>
      </c>
      <c r="B616" s="90" t="s">
        <v>39</v>
      </c>
      <c r="C616" s="90" t="s">
        <v>40</v>
      </c>
      <c r="D616" s="90" t="s">
        <v>4540</v>
      </c>
      <c r="E616" s="90" t="s">
        <v>4538</v>
      </c>
      <c r="F616" s="91">
        <v>543</v>
      </c>
      <c r="G616" s="92">
        <v>70013495</v>
      </c>
      <c r="H616" s="91">
        <v>70013496</v>
      </c>
      <c r="I616" s="93" t="s">
        <v>46</v>
      </c>
      <c r="J616" s="94" t="s">
        <v>69</v>
      </c>
      <c r="K616" s="94" t="s">
        <v>78</v>
      </c>
      <c r="L616" s="94" t="s">
        <v>79</v>
      </c>
      <c r="M616" s="95">
        <v>1139900</v>
      </c>
      <c r="N616" s="95">
        <v>9500</v>
      </c>
      <c r="O616" s="95">
        <v>13500</v>
      </c>
      <c r="P616" s="96">
        <v>1469990</v>
      </c>
      <c r="Q616" s="152"/>
      <c r="R616" s="95">
        <v>1279990</v>
      </c>
      <c r="S616" s="95">
        <f>R616/24</f>
        <v>53332.916666666664</v>
      </c>
      <c r="T616" s="95">
        <v>1139900</v>
      </c>
      <c r="U616" s="95">
        <f>T616/24</f>
        <v>47495.833333333336</v>
      </c>
      <c r="V616" s="95">
        <v>1139900</v>
      </c>
      <c r="W616" s="95">
        <f>V616/24</f>
        <v>47495.833333333336</v>
      </c>
      <c r="X616" s="128"/>
      <c r="Y616" s="95">
        <v>399900</v>
      </c>
      <c r="Z616" s="95">
        <v>77000</v>
      </c>
      <c r="AA616" s="95">
        <f>IFERROR(IF(D616="Premium",0.4*Y616,0),"No Disp")</f>
        <v>159960</v>
      </c>
      <c r="AB616" s="95">
        <f>IFERROR(IF(4*Y616&gt;AC616,1.5*Y616,4*Y616),"No Disp")</f>
        <v>1599600</v>
      </c>
      <c r="AC616" s="95">
        <f>IF(Z616="No Disp","No Disp",(Z616*18)+Y616)</f>
        <v>1785900</v>
      </c>
      <c r="AD616" s="95">
        <f>18*Z616-100+Y616</f>
        <v>1785800</v>
      </c>
      <c r="AE616" s="95">
        <v>249900</v>
      </c>
      <c r="AF616" s="95">
        <v>77000</v>
      </c>
      <c r="AG616" s="95">
        <f>IF(AF616="No Disp","No Disp",(AF616*18)+AE616)</f>
        <v>1635900</v>
      </c>
      <c r="AH616" s="98">
        <f>18*AF616-100+AE616</f>
        <v>1635800</v>
      </c>
      <c r="AI616" s="95" t="s">
        <v>4613</v>
      </c>
      <c r="AJ616" s="99"/>
      <c r="AK616" s="100">
        <v>0</v>
      </c>
      <c r="AL616" s="100">
        <v>58000</v>
      </c>
      <c r="AM616" s="100">
        <f>IF(AL616&lt;&gt;"No Disp",AK616+12*AL616,"No Disp")</f>
        <v>696000</v>
      </c>
      <c r="AN616" s="100">
        <v>0</v>
      </c>
      <c r="AO616" s="100">
        <v>58000</v>
      </c>
      <c r="AP616" s="100">
        <f>IF(AO616&lt;&gt;"No Disp",AN616+12*AO616,"No Disp")</f>
        <v>696000</v>
      </c>
      <c r="AQ616" s="100">
        <v>0</v>
      </c>
      <c r="AR616" s="100">
        <v>58000</v>
      </c>
      <c r="AS616" s="100">
        <f>IF(AR616&lt;&gt;"No Disp",AQ616+12*AR616,"No Disp")</f>
        <v>696000</v>
      </c>
    </row>
    <row r="617" spans="1:45" s="101" customFormat="1" x14ac:dyDescent="0.25">
      <c r="A617" s="90" t="s">
        <v>38</v>
      </c>
      <c r="B617" s="90" t="s">
        <v>39</v>
      </c>
      <c r="C617" s="90" t="s">
        <v>40</v>
      </c>
      <c r="D617" s="90" t="s">
        <v>4540</v>
      </c>
      <c r="E617" s="90" t="s">
        <v>4538</v>
      </c>
      <c r="F617" s="91">
        <v>542</v>
      </c>
      <c r="G617" s="92">
        <v>70013509</v>
      </c>
      <c r="H617" s="91">
        <v>70013510</v>
      </c>
      <c r="I617" s="93" t="s">
        <v>46</v>
      </c>
      <c r="J617" s="94" t="s">
        <v>151</v>
      </c>
      <c r="K617" s="94" t="s">
        <v>165</v>
      </c>
      <c r="L617" s="94" t="s">
        <v>166</v>
      </c>
      <c r="M617" s="95">
        <v>999900</v>
      </c>
      <c r="N617" s="95">
        <v>7000</v>
      </c>
      <c r="O617" s="95">
        <v>10000</v>
      </c>
      <c r="P617" s="96">
        <v>1229990</v>
      </c>
      <c r="Q617" s="152"/>
      <c r="R617" s="95">
        <v>1119990</v>
      </c>
      <c r="S617" s="95">
        <f>R617/24</f>
        <v>46666.25</v>
      </c>
      <c r="T617" s="95">
        <v>999900</v>
      </c>
      <c r="U617" s="95">
        <f>T617/24</f>
        <v>41662.5</v>
      </c>
      <c r="V617" s="95">
        <v>999900</v>
      </c>
      <c r="W617" s="95">
        <f>V617/24</f>
        <v>41662.5</v>
      </c>
      <c r="X617" s="128"/>
      <c r="Y617" s="95">
        <v>289900</v>
      </c>
      <c r="Z617" s="95">
        <v>69900</v>
      </c>
      <c r="AA617" s="95">
        <f>IFERROR(IF(D617="Premium",0.4*Y617,0),"No Disp")</f>
        <v>115960</v>
      </c>
      <c r="AB617" s="95">
        <f>IFERROR(IF(4*Y617&gt;AC617,1.5*Y617,4*Y617),"No Disp")</f>
        <v>1159600</v>
      </c>
      <c r="AC617" s="95">
        <f>IF(Z617="No Disp","No Disp",(Z617*18)+Y617)</f>
        <v>1548100</v>
      </c>
      <c r="AD617" s="95">
        <f>18*Z617-100+Y617</f>
        <v>1548000</v>
      </c>
      <c r="AE617" s="95">
        <v>179900</v>
      </c>
      <c r="AF617" s="95">
        <v>70000</v>
      </c>
      <c r="AG617" s="95">
        <f>IF(AF617="No Disp","No Disp",(AF617*18)+AE617)</f>
        <v>1439900</v>
      </c>
      <c r="AH617" s="98">
        <f>18*AF617-100+AE617</f>
        <v>1439800</v>
      </c>
      <c r="AI617" s="95" t="s">
        <v>4613</v>
      </c>
      <c r="AJ617" s="99"/>
      <c r="AK617" s="100">
        <v>0</v>
      </c>
      <c r="AL617" s="100">
        <v>43000</v>
      </c>
      <c r="AM617" s="100">
        <f>IF(AL617&lt;&gt;"No Disp",AK617+12*AL617,"No Disp")</f>
        <v>516000</v>
      </c>
      <c r="AN617" s="100">
        <v>0</v>
      </c>
      <c r="AO617" s="100">
        <v>43000</v>
      </c>
      <c r="AP617" s="100">
        <f>IF(AO617&lt;&gt;"No Disp",AN617+12*AO617,"No Disp")</f>
        <v>516000</v>
      </c>
      <c r="AQ617" s="100">
        <v>0</v>
      </c>
      <c r="AR617" s="100">
        <v>43000</v>
      </c>
      <c r="AS617" s="100">
        <f>IF(AR617&lt;&gt;"No Disp",AQ617+12*AR617,"No Disp")</f>
        <v>516000</v>
      </c>
    </row>
    <row r="618" spans="1:45" s="101" customFormat="1" x14ac:dyDescent="0.25">
      <c r="A618" s="90" t="s">
        <v>38</v>
      </c>
      <c r="B618" s="90" t="s">
        <v>40</v>
      </c>
      <c r="C618" s="90" t="s">
        <v>39</v>
      </c>
      <c r="D618" s="90" t="s">
        <v>4540</v>
      </c>
      <c r="E618" s="90" t="s">
        <v>4538</v>
      </c>
      <c r="F618" s="91">
        <v>570</v>
      </c>
      <c r="G618" s="92">
        <v>70013532</v>
      </c>
      <c r="H618" s="91">
        <v>70013533</v>
      </c>
      <c r="I618" s="93" t="s">
        <v>46</v>
      </c>
      <c r="J618" s="94" t="s">
        <v>123</v>
      </c>
      <c r="K618" s="94" t="s">
        <v>4306</v>
      </c>
      <c r="L618" s="94" t="s">
        <v>125</v>
      </c>
      <c r="M618" s="95">
        <v>799900</v>
      </c>
      <c r="N618" s="95">
        <v>7000</v>
      </c>
      <c r="O618" s="95">
        <v>10000</v>
      </c>
      <c r="P618" s="96">
        <v>1069990</v>
      </c>
      <c r="Q618" s="152"/>
      <c r="R618" s="95">
        <v>899990</v>
      </c>
      <c r="S618" s="95">
        <f>R618/24</f>
        <v>37499.583333333336</v>
      </c>
      <c r="T618" s="95">
        <v>799900</v>
      </c>
      <c r="U618" s="95">
        <f>T618/24</f>
        <v>33329.166666666664</v>
      </c>
      <c r="V618" s="95">
        <v>799900</v>
      </c>
      <c r="W618" s="95">
        <f>V618/24</f>
        <v>33329.166666666664</v>
      </c>
      <c r="X618" s="128"/>
      <c r="Y618" s="95">
        <v>249900</v>
      </c>
      <c r="Z618" s="95">
        <v>58000</v>
      </c>
      <c r="AA618" s="95">
        <f>IFERROR(IF(D618="Premium",0.4*Y618,0),"No Disp")</f>
        <v>99960</v>
      </c>
      <c r="AB618" s="95">
        <f>IFERROR(IF(4*Y618&gt;AC618,1.5*Y618,4*Y618),"No Disp")</f>
        <v>999600</v>
      </c>
      <c r="AC618" s="95">
        <f>IF(Z618="No Disp","No Disp",(Z618*18)+Y618)</f>
        <v>1293900</v>
      </c>
      <c r="AD618" s="95">
        <f>18*Z618-100+Y618</f>
        <v>1293800</v>
      </c>
      <c r="AE618" s="95">
        <v>149900</v>
      </c>
      <c r="AF618" s="95">
        <v>58000</v>
      </c>
      <c r="AG618" s="95">
        <f>IF(AF618="No Disp","No Disp",(AF618*18)+AE618)</f>
        <v>1193900</v>
      </c>
      <c r="AH618" s="98">
        <f>18*AF618-100+AE618</f>
        <v>1193800</v>
      </c>
      <c r="AI618" s="95" t="s">
        <v>4613</v>
      </c>
      <c r="AJ618" s="99"/>
      <c r="AK618" s="100">
        <v>0</v>
      </c>
      <c r="AL618" s="100">
        <v>42000</v>
      </c>
      <c r="AM618" s="100">
        <f>IF(AL618&lt;&gt;"No Disp",AK618+12*AL618,"No Disp")</f>
        <v>504000</v>
      </c>
      <c r="AN618" s="100">
        <v>0</v>
      </c>
      <c r="AO618" s="100">
        <v>42000</v>
      </c>
      <c r="AP618" s="100">
        <f>IF(AO618&lt;&gt;"No Disp",AN618+12*AO618,"No Disp")</f>
        <v>504000</v>
      </c>
      <c r="AQ618" s="100">
        <v>0</v>
      </c>
      <c r="AR618" s="100">
        <v>42000</v>
      </c>
      <c r="AS618" s="100">
        <f>IF(AR618&lt;&gt;"No Disp",AQ618+12*AR618,"No Disp")</f>
        <v>504000</v>
      </c>
    </row>
    <row r="619" spans="1:45" s="101" customFormat="1" x14ac:dyDescent="0.25">
      <c r="A619" s="90" t="s">
        <v>38</v>
      </c>
      <c r="B619" s="90" t="s">
        <v>40</v>
      </c>
      <c r="C619" s="90" t="s">
        <v>39</v>
      </c>
      <c r="D619" s="90" t="s">
        <v>4540</v>
      </c>
      <c r="E619" s="90" t="s">
        <v>4538</v>
      </c>
      <c r="F619" s="91">
        <v>565</v>
      </c>
      <c r="G619" s="92">
        <v>70013616</v>
      </c>
      <c r="H619" s="91">
        <v>70013617</v>
      </c>
      <c r="I619" s="93" t="s">
        <v>63</v>
      </c>
      <c r="J619" s="94" t="s">
        <v>64</v>
      </c>
      <c r="K619" s="94" t="s">
        <v>67</v>
      </c>
      <c r="L619" s="94" t="s">
        <v>68</v>
      </c>
      <c r="M619" s="95">
        <v>549900</v>
      </c>
      <c r="N619" s="95">
        <v>6000</v>
      </c>
      <c r="O619" s="95">
        <v>8500</v>
      </c>
      <c r="P619" s="96">
        <v>699990</v>
      </c>
      <c r="Q619" s="152"/>
      <c r="R619" s="95">
        <v>619990</v>
      </c>
      <c r="S619" s="95">
        <f>R619/24</f>
        <v>25832.916666666668</v>
      </c>
      <c r="T619" s="95">
        <v>549900</v>
      </c>
      <c r="U619" s="95">
        <f>T619/24</f>
        <v>22912.5</v>
      </c>
      <c r="V619" s="95">
        <v>549900</v>
      </c>
      <c r="W619" s="95">
        <f>V619/24</f>
        <v>22912.5</v>
      </c>
      <c r="X619" s="128"/>
      <c r="Y619" s="95">
        <v>199900</v>
      </c>
      <c r="Z619" s="95">
        <v>41000</v>
      </c>
      <c r="AA619" s="95">
        <f>IFERROR(IF(D619="Premium",0.4*Y619,0),"No Disp")</f>
        <v>79960</v>
      </c>
      <c r="AB619" s="95">
        <f>IFERROR(IF(4*Y619&gt;AC619,1.5*Y619,4*Y619),"No Disp")</f>
        <v>799600</v>
      </c>
      <c r="AC619" s="95">
        <f>IF(Z619="No Disp","No Disp",(Z619*18)+Y619)</f>
        <v>937900</v>
      </c>
      <c r="AD619" s="95">
        <f>18*Z619-100+Y619</f>
        <v>937800</v>
      </c>
      <c r="AE619" s="95">
        <v>89900</v>
      </c>
      <c r="AF619" s="95">
        <v>42000</v>
      </c>
      <c r="AG619" s="95">
        <f>IF(AF619="No Disp","No Disp",(AF619*18)+AE619)</f>
        <v>845900</v>
      </c>
      <c r="AH619" s="98">
        <f>18*AF619-100+AE619</f>
        <v>845800</v>
      </c>
      <c r="AI619" s="95" t="s">
        <v>4613</v>
      </c>
      <c r="AJ619" s="99"/>
      <c r="AK619" s="100">
        <v>0</v>
      </c>
      <c r="AL619" s="100">
        <v>32000</v>
      </c>
      <c r="AM619" s="100">
        <f>IF(AL619&lt;&gt;"No Disp",AK619+12*AL619,"No Disp")</f>
        <v>384000</v>
      </c>
      <c r="AN619" s="100">
        <v>0</v>
      </c>
      <c r="AO619" s="100">
        <v>32000</v>
      </c>
      <c r="AP619" s="100">
        <f>IF(AO619&lt;&gt;"No Disp",AN619+12*AO619,"No Disp")</f>
        <v>384000</v>
      </c>
      <c r="AQ619" s="100">
        <v>0</v>
      </c>
      <c r="AR619" s="100">
        <v>32000</v>
      </c>
      <c r="AS619" s="100">
        <f>IF(AR619&lt;&gt;"No Disp",AQ619+12*AR619,"No Disp")</f>
        <v>384000</v>
      </c>
    </row>
    <row r="620" spans="1:45" s="101" customFormat="1" x14ac:dyDescent="0.25">
      <c r="A620" s="90" t="s">
        <v>38</v>
      </c>
      <c r="B620" s="90" t="s">
        <v>40</v>
      </c>
      <c r="C620" s="90" t="s">
        <v>39</v>
      </c>
      <c r="D620" s="90" t="s">
        <v>4541</v>
      </c>
      <c r="E620" s="90" t="s">
        <v>4538</v>
      </c>
      <c r="F620" s="91">
        <v>567</v>
      </c>
      <c r="G620" s="92">
        <v>70013602</v>
      </c>
      <c r="H620" s="91">
        <v>70013634</v>
      </c>
      <c r="I620" s="93" t="s">
        <v>131</v>
      </c>
      <c r="J620" s="94" t="s">
        <v>132</v>
      </c>
      <c r="K620" s="94" t="s">
        <v>4307</v>
      </c>
      <c r="L620" s="94" t="s">
        <v>134</v>
      </c>
      <c r="M620" s="95">
        <v>109900</v>
      </c>
      <c r="N620" s="95">
        <v>2500</v>
      </c>
      <c r="O620" s="95">
        <v>4000</v>
      </c>
      <c r="P620" s="96">
        <v>169990</v>
      </c>
      <c r="Q620" s="152"/>
      <c r="R620" s="95">
        <v>119990</v>
      </c>
      <c r="S620" s="95">
        <f>R620/24</f>
        <v>4999.583333333333</v>
      </c>
      <c r="T620" s="95">
        <v>109900</v>
      </c>
      <c r="U620" s="95">
        <f>T620/24</f>
        <v>4579.166666666667</v>
      </c>
      <c r="V620" s="95">
        <v>109900</v>
      </c>
      <c r="W620" s="95">
        <f>V620/24</f>
        <v>4579.166666666667</v>
      </c>
      <c r="X620" s="128"/>
      <c r="Y620" s="95">
        <v>0</v>
      </c>
      <c r="Z620" s="95">
        <v>12500</v>
      </c>
      <c r="AA620" s="95">
        <f>IFERROR(IF(D620="Premium",0.4*Y620,0),"No Disp")</f>
        <v>0</v>
      </c>
      <c r="AB620" s="95">
        <f>IFERROR(IF(4*Y620&gt;AC620,1.5*Y620,4*Y620),"No Disp")</f>
        <v>0</v>
      </c>
      <c r="AC620" s="95">
        <f>IF(Z620="No Disp","No Disp",(Z620*18)+Y620)</f>
        <v>225000</v>
      </c>
      <c r="AD620" s="95">
        <f>18*Z620-100+Y620</f>
        <v>224900</v>
      </c>
      <c r="AE620" s="95">
        <v>0</v>
      </c>
      <c r="AF620" s="95">
        <v>11000</v>
      </c>
      <c r="AG620" s="95">
        <f>IF(AF620="No Disp","No Disp",(AF620*18)+AE620)</f>
        <v>198000</v>
      </c>
      <c r="AH620" s="98">
        <f>18*AF620-100+AE620</f>
        <v>197900</v>
      </c>
      <c r="AI620" s="95" t="s">
        <v>4613</v>
      </c>
      <c r="AJ620" s="99"/>
      <c r="AK620" s="100" t="s">
        <v>43</v>
      </c>
      <c r="AL620" s="100" t="s">
        <v>43</v>
      </c>
      <c r="AM620" s="100" t="str">
        <f>IF(AL620&lt;&gt;"No Disp",AK620+12*AL620,"No Disp")</f>
        <v>No Disp</v>
      </c>
      <c r="AN620" s="100" t="s">
        <v>43</v>
      </c>
      <c r="AO620" s="100" t="s">
        <v>43</v>
      </c>
      <c r="AP620" s="100" t="str">
        <f>IF(AO620&lt;&gt;"No Disp",AN620+12*AO620,"No Disp")</f>
        <v>No Disp</v>
      </c>
      <c r="AQ620" s="100" t="s">
        <v>43</v>
      </c>
      <c r="AR620" s="100" t="s">
        <v>43</v>
      </c>
      <c r="AS620" s="100" t="str">
        <f>IF(AR620&lt;&gt;"No Disp",AQ620+12*AR620,"No Disp")</f>
        <v>No Disp</v>
      </c>
    </row>
    <row r="621" spans="1:45" s="101" customFormat="1" x14ac:dyDescent="0.25">
      <c r="A621" s="90" t="s">
        <v>38</v>
      </c>
      <c r="B621" s="90" t="s">
        <v>39</v>
      </c>
      <c r="C621" s="90" t="s">
        <v>39</v>
      </c>
      <c r="D621" s="90" t="s">
        <v>4541</v>
      </c>
      <c r="E621" s="90" t="s">
        <v>4538</v>
      </c>
      <c r="F621" s="91">
        <v>651</v>
      </c>
      <c r="G621" s="92">
        <v>70013321</v>
      </c>
      <c r="H621" s="91">
        <v>70013644</v>
      </c>
      <c r="I621" s="93" t="s">
        <v>46</v>
      </c>
      <c r="J621" s="94" t="s">
        <v>3424</v>
      </c>
      <c r="K621" s="94" t="s">
        <v>3411</v>
      </c>
      <c r="L621" s="94" t="s">
        <v>3426</v>
      </c>
      <c r="M621" s="95">
        <v>89900</v>
      </c>
      <c r="N621" s="95">
        <v>2500</v>
      </c>
      <c r="O621" s="95">
        <v>4000</v>
      </c>
      <c r="P621" s="96">
        <v>129990</v>
      </c>
      <c r="Q621" s="152"/>
      <c r="R621" s="95">
        <v>99990</v>
      </c>
      <c r="S621" s="95">
        <f>R621/24</f>
        <v>4166.25</v>
      </c>
      <c r="T621" s="95">
        <v>89900</v>
      </c>
      <c r="U621" s="95">
        <f>T621/24</f>
        <v>3745.8333333333335</v>
      </c>
      <c r="V621" s="95">
        <v>89900</v>
      </c>
      <c r="W621" s="95">
        <f>V621/24</f>
        <v>3745.8333333333335</v>
      </c>
      <c r="X621" s="128"/>
      <c r="Y621" s="95">
        <v>0</v>
      </c>
      <c r="Z621" s="95">
        <v>10000</v>
      </c>
      <c r="AA621" s="95">
        <f>IFERROR(IF(D621="Premium",0.4*Y621,0),"No Disp")</f>
        <v>0</v>
      </c>
      <c r="AB621" s="95">
        <f>IFERROR(IF(4*Y621&gt;AC621,1.5*Y621,4*Y621),"No Disp")</f>
        <v>0</v>
      </c>
      <c r="AC621" s="95">
        <f>IF(Z621="No Disp","No Disp",(Z621*18)+Y621)</f>
        <v>180000</v>
      </c>
      <c r="AD621" s="95">
        <f>18*Z621-100+Y621</f>
        <v>179900</v>
      </c>
      <c r="AE621" s="95">
        <v>0</v>
      </c>
      <c r="AF621" s="95">
        <v>9000</v>
      </c>
      <c r="AG621" s="95">
        <f>IF(AF621="No Disp","No Disp",(AF621*18)+AE621)</f>
        <v>162000</v>
      </c>
      <c r="AH621" s="98">
        <f>18*AF621-100+AE621</f>
        <v>161900</v>
      </c>
      <c r="AI621" s="95" t="s">
        <v>4613</v>
      </c>
      <c r="AJ621" s="99"/>
      <c r="AK621" s="100" t="s">
        <v>43</v>
      </c>
      <c r="AL621" s="100" t="s">
        <v>43</v>
      </c>
      <c r="AM621" s="100" t="s">
        <v>43</v>
      </c>
      <c r="AN621" s="100" t="s">
        <v>43</v>
      </c>
      <c r="AO621" s="100" t="s">
        <v>43</v>
      </c>
      <c r="AP621" s="100" t="s">
        <v>43</v>
      </c>
      <c r="AQ621" s="100" t="s">
        <v>43</v>
      </c>
      <c r="AR621" s="100" t="s">
        <v>43</v>
      </c>
      <c r="AS621" s="100" t="s">
        <v>43</v>
      </c>
    </row>
    <row r="622" spans="1:45" s="101" customFormat="1" x14ac:dyDescent="0.25">
      <c r="A622" s="90" t="s">
        <v>38</v>
      </c>
      <c r="B622" s="90" t="s">
        <v>39</v>
      </c>
      <c r="C622" s="90" t="s">
        <v>40</v>
      </c>
      <c r="D622" s="90" t="s">
        <v>4537</v>
      </c>
      <c r="E622" s="90" t="s">
        <v>4542</v>
      </c>
      <c r="F622" s="91">
        <v>600</v>
      </c>
      <c r="G622" s="92">
        <v>70013646</v>
      </c>
      <c r="H622" s="91">
        <v>70013647</v>
      </c>
      <c r="I622" s="93" t="s">
        <v>41</v>
      </c>
      <c r="J622" s="94" t="s">
        <v>2838</v>
      </c>
      <c r="K622" s="94" t="s">
        <v>2837</v>
      </c>
      <c r="L622" s="94" t="s">
        <v>2836</v>
      </c>
      <c r="M622" s="95">
        <v>359900</v>
      </c>
      <c r="N622" s="95">
        <v>6000</v>
      </c>
      <c r="O622" s="95">
        <v>8500</v>
      </c>
      <c r="P622" s="96">
        <v>699990</v>
      </c>
      <c r="Q622" s="152"/>
      <c r="R622" s="95">
        <v>399990</v>
      </c>
      <c r="S622" s="95">
        <f>R622/24</f>
        <v>16666.25</v>
      </c>
      <c r="T622" s="95">
        <v>359900</v>
      </c>
      <c r="U622" s="95">
        <f>T622/24</f>
        <v>14995.833333333334</v>
      </c>
      <c r="V622" s="95">
        <v>359900</v>
      </c>
      <c r="W622" s="95">
        <f>V622/24</f>
        <v>14995.833333333334</v>
      </c>
      <c r="X622" s="128"/>
      <c r="Y622" s="95">
        <v>0</v>
      </c>
      <c r="Z622" s="95">
        <v>34500</v>
      </c>
      <c r="AA622" s="95">
        <f>IFERROR(IF(D622="Premium",0.4*Y622,0),"No Disp")</f>
        <v>0</v>
      </c>
      <c r="AB622" s="95">
        <f>IFERROR(IF(4*Y622&gt;AC622,1.5*Y622,4*Y622),"No Disp")</f>
        <v>0</v>
      </c>
      <c r="AC622" s="95">
        <f>IF(Z622="No Disp","No Disp",(Z622*18)+Y622)</f>
        <v>621000</v>
      </c>
      <c r="AD622" s="95">
        <f>18*Z622-100+Y622</f>
        <v>620900</v>
      </c>
      <c r="AE622" s="95">
        <v>0</v>
      </c>
      <c r="AF622" s="95">
        <v>32000</v>
      </c>
      <c r="AG622" s="95">
        <f>IF(AF622="No Disp","No Disp",(AF622*18)+AE622)</f>
        <v>576000</v>
      </c>
      <c r="AH622" s="98">
        <f>18*AF622-100+AE622</f>
        <v>575900</v>
      </c>
      <c r="AI622" s="95" t="s">
        <v>4613</v>
      </c>
      <c r="AJ622" s="99"/>
      <c r="AK622" s="100">
        <v>0</v>
      </c>
      <c r="AL622" s="100">
        <v>20000</v>
      </c>
      <c r="AM622" s="100">
        <f>IF(AL622&lt;&gt;"No Disp",AK622+12*AL622,"No Disp")</f>
        <v>240000</v>
      </c>
      <c r="AN622" s="100">
        <v>0</v>
      </c>
      <c r="AO622" s="100">
        <v>20000</v>
      </c>
      <c r="AP622" s="100">
        <f>IF(AO622&lt;&gt;"No Disp",AN622+12*AO622,"No Disp")</f>
        <v>240000</v>
      </c>
      <c r="AQ622" s="100">
        <v>0</v>
      </c>
      <c r="AR622" s="100">
        <v>20000</v>
      </c>
      <c r="AS622" s="100">
        <f>IF(AR622&lt;&gt;"No Disp",AQ622+12*AR622,"No Disp")</f>
        <v>240000</v>
      </c>
    </row>
    <row r="623" spans="1:45" s="101" customFormat="1" x14ac:dyDescent="0.25">
      <c r="A623" s="90" t="s">
        <v>38</v>
      </c>
      <c r="B623" s="90" t="s">
        <v>40</v>
      </c>
      <c r="C623" s="90" t="s">
        <v>39</v>
      </c>
      <c r="D623" s="90" t="s">
        <v>4540</v>
      </c>
      <c r="E623" s="90" t="s">
        <v>4538</v>
      </c>
      <c r="F623" s="91">
        <v>566</v>
      </c>
      <c r="G623" s="92">
        <v>70013650</v>
      </c>
      <c r="H623" s="91">
        <v>70013651</v>
      </c>
      <c r="I623" s="93" t="s">
        <v>63</v>
      </c>
      <c r="J623" s="94" t="s">
        <v>64</v>
      </c>
      <c r="K623" s="94" t="s">
        <v>65</v>
      </c>
      <c r="L623" s="94" t="s">
        <v>66</v>
      </c>
      <c r="M623" s="95">
        <v>549900</v>
      </c>
      <c r="N623" s="95">
        <v>6000</v>
      </c>
      <c r="O623" s="95">
        <v>8500</v>
      </c>
      <c r="P623" s="96">
        <v>699990</v>
      </c>
      <c r="Q623" s="152"/>
      <c r="R623" s="95">
        <v>619990</v>
      </c>
      <c r="S623" s="95">
        <f>R623/24</f>
        <v>25832.916666666668</v>
      </c>
      <c r="T623" s="95">
        <v>549900</v>
      </c>
      <c r="U623" s="95">
        <f>T623/24</f>
        <v>22912.5</v>
      </c>
      <c r="V623" s="95">
        <v>549900</v>
      </c>
      <c r="W623" s="95">
        <f>V623/24</f>
        <v>22912.5</v>
      </c>
      <c r="X623" s="128"/>
      <c r="Y623" s="95">
        <v>199900</v>
      </c>
      <c r="Z623" s="95">
        <v>41000</v>
      </c>
      <c r="AA623" s="95">
        <f>IFERROR(IF(D623="Premium",0.4*Y623,0),"No Disp")</f>
        <v>79960</v>
      </c>
      <c r="AB623" s="95">
        <f>IFERROR(IF(4*Y623&gt;AC623,1.5*Y623,4*Y623),"No Disp")</f>
        <v>799600</v>
      </c>
      <c r="AC623" s="95">
        <f>IF(Z623="No Disp","No Disp",(Z623*18)+Y623)</f>
        <v>937900</v>
      </c>
      <c r="AD623" s="95">
        <f>18*Z623-100+Y623</f>
        <v>937800</v>
      </c>
      <c r="AE623" s="95">
        <v>89900</v>
      </c>
      <c r="AF623" s="95">
        <v>42000</v>
      </c>
      <c r="AG623" s="95">
        <f>IF(AF623="No Disp","No Disp",(AF623*18)+AE623)</f>
        <v>845900</v>
      </c>
      <c r="AH623" s="98">
        <f>18*AF623-100+AE623</f>
        <v>845800</v>
      </c>
      <c r="AI623" s="95" t="s">
        <v>4613</v>
      </c>
      <c r="AJ623" s="99"/>
      <c r="AK623" s="100">
        <v>0</v>
      </c>
      <c r="AL623" s="100">
        <v>32000</v>
      </c>
      <c r="AM623" s="100">
        <f>IF(AL623&lt;&gt;"No Disp",AK623+12*AL623,"No Disp")</f>
        <v>384000</v>
      </c>
      <c r="AN623" s="100">
        <v>0</v>
      </c>
      <c r="AO623" s="100">
        <v>32000</v>
      </c>
      <c r="AP623" s="100">
        <f>IF(AO623&lt;&gt;"No Disp",AN623+12*AO623,"No Disp")</f>
        <v>384000</v>
      </c>
      <c r="AQ623" s="100">
        <v>0</v>
      </c>
      <c r="AR623" s="100">
        <v>32000</v>
      </c>
      <c r="AS623" s="100">
        <f>IF(AR623&lt;&gt;"No Disp",AQ623+12*AR623,"No Disp")</f>
        <v>384000</v>
      </c>
    </row>
    <row r="624" spans="1:45" s="101" customFormat="1" x14ac:dyDescent="0.25">
      <c r="A624" s="90" t="s">
        <v>38</v>
      </c>
      <c r="B624" s="90" t="s">
        <v>40</v>
      </c>
      <c r="C624" s="90" t="s">
        <v>39</v>
      </c>
      <c r="D624" s="90" t="s">
        <v>4540</v>
      </c>
      <c r="E624" s="90" t="s">
        <v>4538</v>
      </c>
      <c r="F624" s="91">
        <v>586</v>
      </c>
      <c r="G624" s="92">
        <v>70013662</v>
      </c>
      <c r="H624" s="91">
        <v>70013663</v>
      </c>
      <c r="I624" s="93" t="s">
        <v>41</v>
      </c>
      <c r="J624" s="94" t="s">
        <v>2839</v>
      </c>
      <c r="K624" s="94" t="s">
        <v>2840</v>
      </c>
      <c r="L624" s="94" t="s">
        <v>2841</v>
      </c>
      <c r="M624" s="95">
        <v>899900</v>
      </c>
      <c r="N624" s="95">
        <v>9500</v>
      </c>
      <c r="O624" s="95">
        <v>13500</v>
      </c>
      <c r="P624" s="96">
        <v>1499990</v>
      </c>
      <c r="Q624" s="152"/>
      <c r="R624" s="95">
        <v>1009990</v>
      </c>
      <c r="S624" s="95">
        <f>R624/24</f>
        <v>42082.916666666664</v>
      </c>
      <c r="T624" s="95">
        <v>899900</v>
      </c>
      <c r="U624" s="95">
        <f>T624/24</f>
        <v>37495.833333333336</v>
      </c>
      <c r="V624" s="95">
        <v>899900</v>
      </c>
      <c r="W624" s="95">
        <f>V624/24</f>
        <v>37495.833333333336</v>
      </c>
      <c r="X624" s="128"/>
      <c r="Y624" s="95">
        <v>299900</v>
      </c>
      <c r="Z624" s="95">
        <v>69000</v>
      </c>
      <c r="AA624" s="95">
        <f>IFERROR(IF(D624="Premium",0.4*Y624,0),"No Disp")</f>
        <v>119960</v>
      </c>
      <c r="AB624" s="95">
        <f>IFERROR(IF(4*Y624&gt;AC624,1.5*Y624,4*Y624),"No Disp")</f>
        <v>1199600</v>
      </c>
      <c r="AC624" s="95">
        <f>IF(Z624="No Disp","No Disp",(Z624*18)+Y624)</f>
        <v>1541900</v>
      </c>
      <c r="AD624" s="95">
        <f>18*Z624-100+Y624</f>
        <v>1541800</v>
      </c>
      <c r="AE624" s="95">
        <v>199900</v>
      </c>
      <c r="AF624" s="95">
        <v>66000</v>
      </c>
      <c r="AG624" s="95">
        <f>IF(AF624="No Disp","No Disp",(AF624*18)+AE624)</f>
        <v>1387900</v>
      </c>
      <c r="AH624" s="98">
        <f>18*AF624-100+AE624</f>
        <v>1387800</v>
      </c>
      <c r="AI624" s="95" t="s">
        <v>4613</v>
      </c>
      <c r="AJ624" s="99"/>
      <c r="AK624" s="100">
        <v>0</v>
      </c>
      <c r="AL624" s="100">
        <v>52000</v>
      </c>
      <c r="AM624" s="100">
        <f>IF(AL624&lt;&gt;"No Disp",AK624+12*AL624,"No Disp")</f>
        <v>624000</v>
      </c>
      <c r="AN624" s="100">
        <v>0</v>
      </c>
      <c r="AO624" s="100">
        <v>52000</v>
      </c>
      <c r="AP624" s="100">
        <f>IF(AO624&lt;&gt;"No Disp",AN624+12*AO624,"No Disp")</f>
        <v>624000</v>
      </c>
      <c r="AQ624" s="100">
        <v>0</v>
      </c>
      <c r="AR624" s="100">
        <v>52000</v>
      </c>
      <c r="AS624" s="100">
        <f>IF(AR624&lt;&gt;"No Disp",AQ624+12*AR624,"No Disp")</f>
        <v>624000</v>
      </c>
    </row>
    <row r="625" spans="1:45" s="101" customFormat="1" x14ac:dyDescent="0.25">
      <c r="A625" s="90" t="s">
        <v>38</v>
      </c>
      <c r="B625" s="90" t="s">
        <v>39</v>
      </c>
      <c r="C625" s="90" t="s">
        <v>40</v>
      </c>
      <c r="D625" s="90" t="s">
        <v>4541</v>
      </c>
      <c r="E625" s="90" t="s">
        <v>4542</v>
      </c>
      <c r="F625" s="91">
        <v>580</v>
      </c>
      <c r="G625" s="92">
        <v>70013676</v>
      </c>
      <c r="H625" s="91">
        <v>70013665</v>
      </c>
      <c r="I625" s="93" t="s">
        <v>46</v>
      </c>
      <c r="J625" s="94" t="s">
        <v>2801</v>
      </c>
      <c r="K625" s="94" t="s">
        <v>2799</v>
      </c>
      <c r="L625" s="94" t="s">
        <v>2803</v>
      </c>
      <c r="M625" s="95">
        <v>88900</v>
      </c>
      <c r="N625" s="95">
        <v>2500</v>
      </c>
      <c r="O625" s="95">
        <v>4000</v>
      </c>
      <c r="P625" s="96">
        <v>129990</v>
      </c>
      <c r="Q625" s="152"/>
      <c r="R625" s="95">
        <v>98990</v>
      </c>
      <c r="S625" s="95">
        <f>R625/24</f>
        <v>4124.583333333333</v>
      </c>
      <c r="T625" s="95">
        <v>88900</v>
      </c>
      <c r="U625" s="95">
        <f>T625/24</f>
        <v>3704.1666666666665</v>
      </c>
      <c r="V625" s="95">
        <v>88900</v>
      </c>
      <c r="W625" s="95">
        <f>V625/24</f>
        <v>3704.1666666666665</v>
      </c>
      <c r="X625" s="128"/>
      <c r="Y625" s="95">
        <v>0</v>
      </c>
      <c r="Z625" s="95">
        <v>9500</v>
      </c>
      <c r="AA625" s="95">
        <f>IFERROR(IF(D625="Premium",0.4*Y625,0),"No Disp")</f>
        <v>0</v>
      </c>
      <c r="AB625" s="95">
        <f>IFERROR(IF(4*Y625&gt;AC625,1.5*Y625,4*Y625),"No Disp")</f>
        <v>0</v>
      </c>
      <c r="AC625" s="95">
        <f>IF(Z625="No Disp","No Disp",(Z625*18)+Y625)</f>
        <v>171000</v>
      </c>
      <c r="AD625" s="95">
        <f>18*Z625-100+Y625</f>
        <v>170900</v>
      </c>
      <c r="AE625" s="95">
        <v>0</v>
      </c>
      <c r="AF625" s="95">
        <v>8000</v>
      </c>
      <c r="AG625" s="95">
        <f>IF(AF625="No Disp","No Disp",(AF625*18)+AE625)</f>
        <v>144000</v>
      </c>
      <c r="AH625" s="98">
        <f>18*AF625-100+AE625</f>
        <v>143900</v>
      </c>
      <c r="AI625" s="95" t="s">
        <v>4613</v>
      </c>
      <c r="AJ625" s="99"/>
      <c r="AK625" s="100" t="s">
        <v>43</v>
      </c>
      <c r="AL625" s="100" t="s">
        <v>43</v>
      </c>
      <c r="AM625" s="100" t="str">
        <f>IF(AL625&lt;&gt;"No Disp",AK625+12*AL625,"No Disp")</f>
        <v>No Disp</v>
      </c>
      <c r="AN625" s="100" t="s">
        <v>43</v>
      </c>
      <c r="AO625" s="100" t="s">
        <v>43</v>
      </c>
      <c r="AP625" s="100" t="str">
        <f>IF(AO625&lt;&gt;"No Disp",AN625+12*AO625,"No Disp")</f>
        <v>No Disp</v>
      </c>
      <c r="AQ625" s="100" t="s">
        <v>43</v>
      </c>
      <c r="AR625" s="100" t="s">
        <v>43</v>
      </c>
      <c r="AS625" s="100" t="str">
        <f>IF(AR625&lt;&gt;"No Disp",AQ625+12*AR625,"No Disp")</f>
        <v>No Disp</v>
      </c>
    </row>
    <row r="626" spans="1:45" s="101" customFormat="1" x14ac:dyDescent="0.25">
      <c r="A626" s="90" t="s">
        <v>38</v>
      </c>
      <c r="B626" s="90" t="s">
        <v>39</v>
      </c>
      <c r="C626" s="90" t="s">
        <v>40</v>
      </c>
      <c r="D626" s="90" t="s">
        <v>4541</v>
      </c>
      <c r="E626" s="90" t="s">
        <v>4542</v>
      </c>
      <c r="F626" s="91">
        <v>581</v>
      </c>
      <c r="G626" s="92">
        <v>70013672</v>
      </c>
      <c r="H626" s="91">
        <v>70013673</v>
      </c>
      <c r="I626" s="93" t="s">
        <v>46</v>
      </c>
      <c r="J626" s="94" t="s">
        <v>2801</v>
      </c>
      <c r="K626" s="94" t="s">
        <v>2798</v>
      </c>
      <c r="L626" s="94" t="s">
        <v>2802</v>
      </c>
      <c r="M626" s="95">
        <v>88900</v>
      </c>
      <c r="N626" s="95">
        <v>2500</v>
      </c>
      <c r="O626" s="95">
        <v>4000</v>
      </c>
      <c r="P626" s="96">
        <v>129990</v>
      </c>
      <c r="Q626" s="152"/>
      <c r="R626" s="95">
        <v>98990</v>
      </c>
      <c r="S626" s="95">
        <f>R626/24</f>
        <v>4124.583333333333</v>
      </c>
      <c r="T626" s="95">
        <v>88900</v>
      </c>
      <c r="U626" s="95">
        <f>T626/24</f>
        <v>3704.1666666666665</v>
      </c>
      <c r="V626" s="95">
        <v>88900</v>
      </c>
      <c r="W626" s="95">
        <f>V626/24</f>
        <v>3704.1666666666665</v>
      </c>
      <c r="X626" s="128"/>
      <c r="Y626" s="95">
        <v>0</v>
      </c>
      <c r="Z626" s="95">
        <v>9500</v>
      </c>
      <c r="AA626" s="95">
        <f>IFERROR(IF(D626="Premium",0.4*Y626,0),"No Disp")</f>
        <v>0</v>
      </c>
      <c r="AB626" s="95">
        <f>IFERROR(IF(4*Y626&gt;AC626,1.5*Y626,4*Y626),"No Disp")</f>
        <v>0</v>
      </c>
      <c r="AC626" s="95">
        <f>IF(Z626="No Disp","No Disp",(Z626*18)+Y626)</f>
        <v>171000</v>
      </c>
      <c r="AD626" s="95">
        <f>18*Z626-100+Y626</f>
        <v>170900</v>
      </c>
      <c r="AE626" s="95">
        <v>0</v>
      </c>
      <c r="AF626" s="95">
        <v>8000</v>
      </c>
      <c r="AG626" s="95">
        <f>IF(AF626="No Disp","No Disp",(AF626*18)+AE626)</f>
        <v>144000</v>
      </c>
      <c r="AH626" s="98">
        <f>18*AF626-100+AE626</f>
        <v>143900</v>
      </c>
      <c r="AI626" s="95" t="s">
        <v>4613</v>
      </c>
      <c r="AJ626" s="99"/>
      <c r="AK626" s="100" t="s">
        <v>43</v>
      </c>
      <c r="AL626" s="100" t="s">
        <v>43</v>
      </c>
      <c r="AM626" s="100" t="str">
        <f>IF(AL626&lt;&gt;"No Disp",AK626+12*AL626,"No Disp")</f>
        <v>No Disp</v>
      </c>
      <c r="AN626" s="100" t="s">
        <v>43</v>
      </c>
      <c r="AO626" s="100" t="s">
        <v>43</v>
      </c>
      <c r="AP626" s="100" t="str">
        <f>IF(AO626&lt;&gt;"No Disp",AN626+12*AO626,"No Disp")</f>
        <v>No Disp</v>
      </c>
      <c r="AQ626" s="100" t="s">
        <v>43</v>
      </c>
      <c r="AR626" s="100" t="s">
        <v>43</v>
      </c>
      <c r="AS626" s="100" t="str">
        <f>IF(AR626&lt;&gt;"No Disp",AQ626+12*AR626,"No Disp")</f>
        <v>No Disp</v>
      </c>
    </row>
    <row r="627" spans="1:45" s="101" customFormat="1" x14ac:dyDescent="0.25">
      <c r="A627" s="90" t="s">
        <v>38</v>
      </c>
      <c r="B627" s="90" t="s">
        <v>39</v>
      </c>
      <c r="C627" s="90" t="s">
        <v>40</v>
      </c>
      <c r="D627" s="90" t="s">
        <v>4541</v>
      </c>
      <c r="E627" s="90" t="s">
        <v>4542</v>
      </c>
      <c r="F627" s="91">
        <v>579</v>
      </c>
      <c r="G627" s="92">
        <v>70013678</v>
      </c>
      <c r="H627" s="91">
        <v>70013679</v>
      </c>
      <c r="I627" s="93" t="s">
        <v>46</v>
      </c>
      <c r="J627" s="94" t="s">
        <v>2801</v>
      </c>
      <c r="K627" s="94" t="s">
        <v>2800</v>
      </c>
      <c r="L627" s="94" t="s">
        <v>2804</v>
      </c>
      <c r="M627" s="95">
        <v>88900</v>
      </c>
      <c r="N627" s="95">
        <v>2500</v>
      </c>
      <c r="O627" s="95">
        <v>4000</v>
      </c>
      <c r="P627" s="96">
        <v>129990</v>
      </c>
      <c r="Q627" s="152"/>
      <c r="R627" s="95">
        <v>98990</v>
      </c>
      <c r="S627" s="95">
        <f>R627/24</f>
        <v>4124.583333333333</v>
      </c>
      <c r="T627" s="95">
        <v>88900</v>
      </c>
      <c r="U627" s="95">
        <f>T627/24</f>
        <v>3704.1666666666665</v>
      </c>
      <c r="V627" s="95">
        <v>88900</v>
      </c>
      <c r="W627" s="95">
        <f>V627/24</f>
        <v>3704.1666666666665</v>
      </c>
      <c r="X627" s="128"/>
      <c r="Y627" s="95">
        <v>0</v>
      </c>
      <c r="Z627" s="95">
        <v>9500</v>
      </c>
      <c r="AA627" s="95">
        <f>IFERROR(IF(D627="Premium",0.4*Y627,0),"No Disp")</f>
        <v>0</v>
      </c>
      <c r="AB627" s="95">
        <f>IFERROR(IF(4*Y627&gt;AC627,1.5*Y627,4*Y627),"No Disp")</f>
        <v>0</v>
      </c>
      <c r="AC627" s="95">
        <f>IF(Z627="No Disp","No Disp",(Z627*18)+Y627)</f>
        <v>171000</v>
      </c>
      <c r="AD627" s="95">
        <f>18*Z627-100+Y627</f>
        <v>170900</v>
      </c>
      <c r="AE627" s="95">
        <v>0</v>
      </c>
      <c r="AF627" s="95">
        <v>8000</v>
      </c>
      <c r="AG627" s="95">
        <f>IF(AF627="No Disp","No Disp",(AF627*18)+AE627)</f>
        <v>144000</v>
      </c>
      <c r="AH627" s="98">
        <f>18*AF627-100+AE627</f>
        <v>143900</v>
      </c>
      <c r="AI627" s="95" t="s">
        <v>4613</v>
      </c>
      <c r="AJ627" s="99"/>
      <c r="AK627" s="100" t="s">
        <v>43</v>
      </c>
      <c r="AL627" s="100" t="s">
        <v>43</v>
      </c>
      <c r="AM627" s="100" t="str">
        <f>IF(AL627&lt;&gt;"No Disp",AK627+12*AL627,"No Disp")</f>
        <v>No Disp</v>
      </c>
      <c r="AN627" s="100" t="s">
        <v>43</v>
      </c>
      <c r="AO627" s="100" t="s">
        <v>43</v>
      </c>
      <c r="AP627" s="100" t="str">
        <f>IF(AO627&lt;&gt;"No Disp",AN627+12*AO627,"No Disp")</f>
        <v>No Disp</v>
      </c>
      <c r="AQ627" s="100" t="s">
        <v>43</v>
      </c>
      <c r="AR627" s="100" t="s">
        <v>43</v>
      </c>
      <c r="AS627" s="100" t="str">
        <f>IF(AR627&lt;&gt;"No Disp",AQ627+12*AR627,"No Disp")</f>
        <v>No Disp</v>
      </c>
    </row>
    <row r="628" spans="1:45" s="101" customFormat="1" x14ac:dyDescent="0.25">
      <c r="A628" s="90" t="s">
        <v>38</v>
      </c>
      <c r="B628" s="90" t="s">
        <v>40</v>
      </c>
      <c r="C628" s="90" t="s">
        <v>39</v>
      </c>
      <c r="D628" s="90" t="s">
        <v>4539</v>
      </c>
      <c r="E628" s="90" t="s">
        <v>4538</v>
      </c>
      <c r="F628" s="91">
        <v>636</v>
      </c>
      <c r="G628" s="92">
        <v>70013759</v>
      </c>
      <c r="H628" s="91">
        <v>70013683</v>
      </c>
      <c r="I628" s="93" t="s">
        <v>112</v>
      </c>
      <c r="J628" s="94" t="s">
        <v>3906</v>
      </c>
      <c r="K628" s="94" t="s">
        <v>3337</v>
      </c>
      <c r="L628" s="94" t="s">
        <v>3341</v>
      </c>
      <c r="M628" s="95">
        <v>139900</v>
      </c>
      <c r="N628" s="95">
        <v>2500</v>
      </c>
      <c r="O628" s="95">
        <v>4000</v>
      </c>
      <c r="P628" s="96">
        <v>299990</v>
      </c>
      <c r="Q628" s="152"/>
      <c r="R628" s="95">
        <v>149990</v>
      </c>
      <c r="S628" s="95">
        <f>R628/24</f>
        <v>6249.583333333333</v>
      </c>
      <c r="T628" s="95">
        <v>139900</v>
      </c>
      <c r="U628" s="95">
        <f>T628/24</f>
        <v>5829.166666666667</v>
      </c>
      <c r="V628" s="95">
        <v>139900</v>
      </c>
      <c r="W628" s="95">
        <f>V628/24</f>
        <v>5829.166666666667</v>
      </c>
      <c r="X628" s="128"/>
      <c r="Y628" s="184">
        <v>0</v>
      </c>
      <c r="Z628" s="184">
        <v>15000</v>
      </c>
      <c r="AA628" s="95">
        <f>IFERROR(IF(D628="Premium",0.4*Y628,0),"No Disp")</f>
        <v>0</v>
      </c>
      <c r="AB628" s="95">
        <f>IFERROR(IF(4*Y628&gt;AC628,1.5*Y628,4*Y628),"No Disp")</f>
        <v>0</v>
      </c>
      <c r="AC628" s="95">
        <f>IF(Z628="No Disp","No Disp",(Z628*18)+Y628)</f>
        <v>270000</v>
      </c>
      <c r="AD628" s="95">
        <f>18*Z628-100+Y628</f>
        <v>269900</v>
      </c>
      <c r="AE628" s="95">
        <v>0</v>
      </c>
      <c r="AF628" s="95">
        <v>13500</v>
      </c>
      <c r="AG628" s="95">
        <f>IF(AF628="No Disp","No Disp",(AF628*18)+AE628)</f>
        <v>243000</v>
      </c>
      <c r="AH628" s="98">
        <f>18*AF628-100+AE628</f>
        <v>242900</v>
      </c>
      <c r="AI628" s="95" t="s">
        <v>4613</v>
      </c>
      <c r="AJ628" s="99"/>
      <c r="AK628" s="100" t="s">
        <v>43</v>
      </c>
      <c r="AL628" s="100" t="s">
        <v>43</v>
      </c>
      <c r="AM628" s="100" t="str">
        <f>IF(AL628&lt;&gt;"No Disp",AK628+12*AL628,"No Disp")</f>
        <v>No Disp</v>
      </c>
      <c r="AN628" s="100" t="s">
        <v>43</v>
      </c>
      <c r="AO628" s="100" t="s">
        <v>43</v>
      </c>
      <c r="AP628" s="100" t="str">
        <f>IF(AO628&lt;&gt;"No Disp",AN628+12*AO628,"No Disp")</f>
        <v>No Disp</v>
      </c>
      <c r="AQ628" s="100" t="s">
        <v>43</v>
      </c>
      <c r="AR628" s="100" t="s">
        <v>43</v>
      </c>
      <c r="AS628" s="100" t="str">
        <f>IF(AR628&lt;&gt;"No Disp",AQ628+12*AR628,"No Disp")</f>
        <v>No Disp</v>
      </c>
    </row>
    <row r="629" spans="1:45" s="101" customFormat="1" x14ac:dyDescent="0.25">
      <c r="A629" s="90" t="s">
        <v>38</v>
      </c>
      <c r="B629" s="90" t="s">
        <v>40</v>
      </c>
      <c r="C629" s="90" t="s">
        <v>39</v>
      </c>
      <c r="D629" s="90" t="s">
        <v>4539</v>
      </c>
      <c r="E629" s="90" t="s">
        <v>4538</v>
      </c>
      <c r="F629" s="91">
        <v>635</v>
      </c>
      <c r="G629" s="92">
        <v>70013686</v>
      </c>
      <c r="H629" s="91">
        <v>70013687</v>
      </c>
      <c r="I629" s="93" t="s">
        <v>112</v>
      </c>
      <c r="J629" s="94" t="s">
        <v>3906</v>
      </c>
      <c r="K629" s="94" t="s">
        <v>3336</v>
      </c>
      <c r="L629" s="94" t="s">
        <v>3340</v>
      </c>
      <c r="M629" s="95">
        <v>139900</v>
      </c>
      <c r="N629" s="95">
        <v>2500</v>
      </c>
      <c r="O629" s="95">
        <v>4000</v>
      </c>
      <c r="P629" s="96">
        <v>299990</v>
      </c>
      <c r="Q629" s="152"/>
      <c r="R629" s="95">
        <v>149990</v>
      </c>
      <c r="S629" s="95">
        <f>R629/24</f>
        <v>6249.583333333333</v>
      </c>
      <c r="T629" s="95">
        <v>139900</v>
      </c>
      <c r="U629" s="95">
        <f>T629/24</f>
        <v>5829.166666666667</v>
      </c>
      <c r="V629" s="95">
        <v>139900</v>
      </c>
      <c r="W629" s="95">
        <f>V629/24</f>
        <v>5829.166666666667</v>
      </c>
      <c r="X629" s="128"/>
      <c r="Y629" s="184">
        <v>0</v>
      </c>
      <c r="Z629" s="184">
        <v>15000</v>
      </c>
      <c r="AA629" s="95">
        <f>IFERROR(IF(D629="Premium",0.4*Y629,0),"No Disp")</f>
        <v>0</v>
      </c>
      <c r="AB629" s="95">
        <f>IFERROR(IF(4*Y629&gt;AC629,1.5*Y629,4*Y629),"No Disp")</f>
        <v>0</v>
      </c>
      <c r="AC629" s="95">
        <f>IF(Z629="No Disp","No Disp",(Z629*18)+Y629)</f>
        <v>270000</v>
      </c>
      <c r="AD629" s="95">
        <f>18*Z629-100+Y629</f>
        <v>269900</v>
      </c>
      <c r="AE629" s="95">
        <v>0</v>
      </c>
      <c r="AF629" s="95">
        <v>13500</v>
      </c>
      <c r="AG629" s="95">
        <f>IF(AF629="No Disp","No Disp",(AF629*18)+AE629)</f>
        <v>243000</v>
      </c>
      <c r="AH629" s="98">
        <f>18*AF629-100+AE629</f>
        <v>242900</v>
      </c>
      <c r="AI629" s="95" t="s">
        <v>4613</v>
      </c>
      <c r="AJ629" s="99"/>
      <c r="AK629" s="100" t="s">
        <v>43</v>
      </c>
      <c r="AL629" s="100" t="s">
        <v>43</v>
      </c>
      <c r="AM629" s="100" t="str">
        <f>IF(AL629&lt;&gt;"No Disp",AK629+12*AL629,"No Disp")</f>
        <v>No Disp</v>
      </c>
      <c r="AN629" s="100" t="s">
        <v>43</v>
      </c>
      <c r="AO629" s="100" t="s">
        <v>43</v>
      </c>
      <c r="AP629" s="100" t="str">
        <f>IF(AO629&lt;&gt;"No Disp",AN629+12*AO629,"No Disp")</f>
        <v>No Disp</v>
      </c>
      <c r="AQ629" s="100" t="s">
        <v>43</v>
      </c>
      <c r="AR629" s="100" t="s">
        <v>43</v>
      </c>
      <c r="AS629" s="100" t="str">
        <f>IF(AR629&lt;&gt;"No Disp",AQ629+12*AR629,"No Disp")</f>
        <v>No Disp</v>
      </c>
    </row>
    <row r="630" spans="1:45" s="101" customFormat="1" x14ac:dyDescent="0.25">
      <c r="A630" s="90" t="s">
        <v>38</v>
      </c>
      <c r="B630" s="90" t="s">
        <v>39</v>
      </c>
      <c r="C630" s="90" t="s">
        <v>40</v>
      </c>
      <c r="D630" s="90" t="s">
        <v>4540</v>
      </c>
      <c r="E630" s="90" t="s">
        <v>4538</v>
      </c>
      <c r="F630" s="91">
        <v>573</v>
      </c>
      <c r="G630" s="92">
        <v>70013689</v>
      </c>
      <c r="H630" s="91">
        <v>70013690</v>
      </c>
      <c r="I630" s="93" t="s">
        <v>87</v>
      </c>
      <c r="J630" s="94" t="s">
        <v>2784</v>
      </c>
      <c r="K630" s="94" t="s">
        <v>4308</v>
      </c>
      <c r="L630" s="94" t="s">
        <v>2786</v>
      </c>
      <c r="M630" s="95">
        <v>815900</v>
      </c>
      <c r="N630" s="95">
        <v>7000</v>
      </c>
      <c r="O630" s="95">
        <v>10000</v>
      </c>
      <c r="P630" s="96">
        <v>1099990</v>
      </c>
      <c r="Q630" s="152"/>
      <c r="R630" s="95">
        <v>915990</v>
      </c>
      <c r="S630" s="95">
        <f>R630/24</f>
        <v>38166.25</v>
      </c>
      <c r="T630" s="95">
        <v>815900</v>
      </c>
      <c r="U630" s="95">
        <f>T630/24</f>
        <v>33995.833333333336</v>
      </c>
      <c r="V630" s="95">
        <v>815900</v>
      </c>
      <c r="W630" s="95">
        <f>V630/24</f>
        <v>33995.833333333336</v>
      </c>
      <c r="X630" s="128"/>
      <c r="Y630" s="95">
        <v>299900</v>
      </c>
      <c r="Z630" s="95">
        <v>66000</v>
      </c>
      <c r="AA630" s="95">
        <f>IFERROR(IF(D630="Premium",0.4*Y630,0),"No Disp")</f>
        <v>119960</v>
      </c>
      <c r="AB630" s="95">
        <f>IFERROR(IF(4*Y630&gt;AC630,1.5*Y630,4*Y630),"No Disp")</f>
        <v>1199600</v>
      </c>
      <c r="AC630" s="95">
        <f>IF(Z630="No Disp","No Disp",(Z630*18)+Y630)</f>
        <v>1487900</v>
      </c>
      <c r="AD630" s="95">
        <f>18*Z630-100+Y630</f>
        <v>1487800</v>
      </c>
      <c r="AE630" s="95">
        <v>199900</v>
      </c>
      <c r="AF630" s="95">
        <v>62000</v>
      </c>
      <c r="AG630" s="95">
        <f>IF(AF630="No Disp","No Disp",(AF630*18)+AE630)</f>
        <v>1315900</v>
      </c>
      <c r="AH630" s="98">
        <f>18*AF630-100+AE630</f>
        <v>1315800</v>
      </c>
      <c r="AI630" s="95" t="s">
        <v>4613</v>
      </c>
      <c r="AJ630" s="99"/>
      <c r="AK630" s="100">
        <v>0</v>
      </c>
      <c r="AL630" s="100">
        <v>36000</v>
      </c>
      <c r="AM630" s="100">
        <f>IF(AL630&lt;&gt;"No Disp",AK630+12*AL630,"No Disp")</f>
        <v>432000</v>
      </c>
      <c r="AN630" s="100">
        <v>0</v>
      </c>
      <c r="AO630" s="100">
        <v>36000</v>
      </c>
      <c r="AP630" s="100">
        <f>IF(AO630&lt;&gt;"No Disp",AN630+12*AO630,"No Disp")</f>
        <v>432000</v>
      </c>
      <c r="AQ630" s="100">
        <v>0</v>
      </c>
      <c r="AR630" s="100">
        <v>36000</v>
      </c>
      <c r="AS630" s="100">
        <f>IF(AR630&lt;&gt;"No Disp",AQ630+12*AR630,"No Disp")</f>
        <v>432000</v>
      </c>
    </row>
    <row r="631" spans="1:45" s="101" customFormat="1" x14ac:dyDescent="0.25">
      <c r="A631" s="90" t="s">
        <v>38</v>
      </c>
      <c r="B631" s="90" t="s">
        <v>39</v>
      </c>
      <c r="C631" s="90" t="s">
        <v>40</v>
      </c>
      <c r="D631" s="90" t="s">
        <v>4540</v>
      </c>
      <c r="E631" s="90" t="s">
        <v>4538</v>
      </c>
      <c r="F631" s="91">
        <v>574</v>
      </c>
      <c r="G631" s="92">
        <v>70013681</v>
      </c>
      <c r="H631" s="91">
        <v>70013692</v>
      </c>
      <c r="I631" s="93" t="s">
        <v>87</v>
      </c>
      <c r="J631" s="94" t="s">
        <v>2783</v>
      </c>
      <c r="K631" s="94" t="s">
        <v>4309</v>
      </c>
      <c r="L631" s="94" t="s">
        <v>2785</v>
      </c>
      <c r="M631" s="95">
        <v>1209900</v>
      </c>
      <c r="N631" s="95">
        <v>9500</v>
      </c>
      <c r="O631" s="95">
        <v>13500</v>
      </c>
      <c r="P631" s="96">
        <v>1499990</v>
      </c>
      <c r="Q631" s="152"/>
      <c r="R631" s="95">
        <v>1359990</v>
      </c>
      <c r="S631" s="95">
        <f>R631/24</f>
        <v>56666.25</v>
      </c>
      <c r="T631" s="95">
        <v>1209900</v>
      </c>
      <c r="U631" s="95">
        <f>T631/24</f>
        <v>50412.5</v>
      </c>
      <c r="V631" s="95">
        <v>1209900</v>
      </c>
      <c r="W631" s="95">
        <f>V631/24</f>
        <v>50412.5</v>
      </c>
      <c r="X631" s="128"/>
      <c r="Y631" s="95">
        <v>1000000</v>
      </c>
      <c r="Z631" s="95">
        <v>100000</v>
      </c>
      <c r="AA631" s="95">
        <f>IFERROR(IF(D631="Premium",0.4*Y631,0),"No Disp")</f>
        <v>400000</v>
      </c>
      <c r="AB631" s="95">
        <f>IFERROR(IF(4*Y631&gt;AC631,1.5*Y631,4*Y631),"No Disp")</f>
        <v>1500000</v>
      </c>
      <c r="AC631" s="95">
        <f>IF(Z631="No Disp","No Disp",(Z631*18)+Y631)</f>
        <v>2800000</v>
      </c>
      <c r="AD631" s="95">
        <f>18*Z631-100+Y631</f>
        <v>2799900</v>
      </c>
      <c r="AE631" s="95">
        <v>1000000</v>
      </c>
      <c r="AF631" s="95">
        <v>100000</v>
      </c>
      <c r="AG631" s="95">
        <f>IF(AF631="No Disp","No Disp",(AF631*18)+AE631)</f>
        <v>2800000</v>
      </c>
      <c r="AH631" s="98">
        <f>18*AF631-100+AE631</f>
        <v>2799900</v>
      </c>
      <c r="AI631" s="95" t="s">
        <v>4613</v>
      </c>
      <c r="AJ631" s="99"/>
      <c r="AK631" s="100">
        <v>129900</v>
      </c>
      <c r="AL631" s="100">
        <v>60000</v>
      </c>
      <c r="AM631" s="100">
        <f>IF(AL631&lt;&gt;"No Disp",AK631+12*AL631,"No Disp")</f>
        <v>849900</v>
      </c>
      <c r="AN631" s="100">
        <v>129900</v>
      </c>
      <c r="AO631" s="100">
        <v>60000</v>
      </c>
      <c r="AP631" s="100">
        <f>IF(AO631&lt;&gt;"No Disp",AN631+12*AO631,"No Disp")</f>
        <v>849900</v>
      </c>
      <c r="AQ631" s="100">
        <v>129900</v>
      </c>
      <c r="AR631" s="100">
        <v>60000</v>
      </c>
      <c r="AS631" s="100">
        <f>IF(AR631&lt;&gt;"No Disp",AQ631+12*AR631,"No Disp")</f>
        <v>849900</v>
      </c>
    </row>
    <row r="632" spans="1:45" s="101" customFormat="1" x14ac:dyDescent="0.25">
      <c r="A632" s="90" t="s">
        <v>38</v>
      </c>
      <c r="B632" s="90" t="s">
        <v>39</v>
      </c>
      <c r="C632" s="90" t="s">
        <v>40</v>
      </c>
      <c r="D632" s="90" t="s">
        <v>4540</v>
      </c>
      <c r="E632" s="90" t="s">
        <v>4538</v>
      </c>
      <c r="F632" s="91">
        <v>575</v>
      </c>
      <c r="G632" s="92">
        <v>70013695</v>
      </c>
      <c r="H632" s="91">
        <v>70013696</v>
      </c>
      <c r="I632" s="93" t="s">
        <v>87</v>
      </c>
      <c r="J632" s="94" t="s">
        <v>2784</v>
      </c>
      <c r="K632" s="94" t="s">
        <v>4310</v>
      </c>
      <c r="L632" s="94" t="s">
        <v>2790</v>
      </c>
      <c r="M632" s="95">
        <v>815900</v>
      </c>
      <c r="N632" s="95">
        <v>7000</v>
      </c>
      <c r="O632" s="95">
        <v>10000</v>
      </c>
      <c r="P632" s="96">
        <v>1099990</v>
      </c>
      <c r="Q632" s="152"/>
      <c r="R632" s="95">
        <v>915990</v>
      </c>
      <c r="S632" s="95">
        <f>R632/24</f>
        <v>38166.25</v>
      </c>
      <c r="T632" s="95">
        <v>815900</v>
      </c>
      <c r="U632" s="95">
        <f>T632/24</f>
        <v>33995.833333333336</v>
      </c>
      <c r="V632" s="95">
        <v>815900</v>
      </c>
      <c r="W632" s="95">
        <f>V632/24</f>
        <v>33995.833333333336</v>
      </c>
      <c r="X632" s="128"/>
      <c r="Y632" s="95">
        <v>299900</v>
      </c>
      <c r="Z632" s="95">
        <v>66000</v>
      </c>
      <c r="AA632" s="95">
        <f>IFERROR(IF(D632="Premium",0.4*Y632,0),"No Disp")</f>
        <v>119960</v>
      </c>
      <c r="AB632" s="95">
        <f>IFERROR(IF(4*Y632&gt;AC632,1.5*Y632,4*Y632),"No Disp")</f>
        <v>1199600</v>
      </c>
      <c r="AC632" s="95">
        <f>IF(Z632="No Disp","No Disp",(Z632*18)+Y632)</f>
        <v>1487900</v>
      </c>
      <c r="AD632" s="95">
        <f>18*Z632-100+Y632</f>
        <v>1487800</v>
      </c>
      <c r="AE632" s="95">
        <v>199900</v>
      </c>
      <c r="AF632" s="95">
        <v>62000</v>
      </c>
      <c r="AG632" s="95">
        <f>IF(AF632="No Disp","No Disp",(AF632*18)+AE632)</f>
        <v>1315900</v>
      </c>
      <c r="AH632" s="98">
        <f>18*AF632-100+AE632</f>
        <v>1315800</v>
      </c>
      <c r="AI632" s="95" t="s">
        <v>4613</v>
      </c>
      <c r="AJ632" s="99"/>
      <c r="AK632" s="100">
        <v>0</v>
      </c>
      <c r="AL632" s="100">
        <v>36000</v>
      </c>
      <c r="AM632" s="100">
        <f>IF(AL632&lt;&gt;"No Disp",AK632+12*AL632,"No Disp")</f>
        <v>432000</v>
      </c>
      <c r="AN632" s="100">
        <v>0</v>
      </c>
      <c r="AO632" s="100">
        <v>36000</v>
      </c>
      <c r="AP632" s="100">
        <f>IF(AO632&lt;&gt;"No Disp",AN632+12*AO632,"No Disp")</f>
        <v>432000</v>
      </c>
      <c r="AQ632" s="100">
        <v>0</v>
      </c>
      <c r="AR632" s="100">
        <v>36000</v>
      </c>
      <c r="AS632" s="100">
        <f>IF(AR632&lt;&gt;"No Disp",AQ632+12*AR632,"No Disp")</f>
        <v>432000</v>
      </c>
    </row>
    <row r="633" spans="1:45" s="101" customFormat="1" x14ac:dyDescent="0.25">
      <c r="A633" s="90" t="s">
        <v>38</v>
      </c>
      <c r="B633" s="90" t="s">
        <v>39</v>
      </c>
      <c r="C633" s="90" t="s">
        <v>40</v>
      </c>
      <c r="D633" s="90" t="s">
        <v>4540</v>
      </c>
      <c r="E633" s="90" t="s">
        <v>4538</v>
      </c>
      <c r="F633" s="91">
        <v>576</v>
      </c>
      <c r="G633" s="92">
        <v>70013607</v>
      </c>
      <c r="H633" s="91">
        <v>70013698</v>
      </c>
      <c r="I633" s="93" t="s">
        <v>87</v>
      </c>
      <c r="J633" s="94" t="s">
        <v>2783</v>
      </c>
      <c r="K633" s="94" t="s">
        <v>2791</v>
      </c>
      <c r="L633" s="94" t="s">
        <v>2789</v>
      </c>
      <c r="M633" s="95">
        <v>1209900</v>
      </c>
      <c r="N633" s="95">
        <v>9500</v>
      </c>
      <c r="O633" s="95">
        <v>13500</v>
      </c>
      <c r="P633" s="96">
        <v>1499990</v>
      </c>
      <c r="Q633" s="152"/>
      <c r="R633" s="95">
        <v>1359990</v>
      </c>
      <c r="S633" s="95">
        <f>R633/24</f>
        <v>56666.25</v>
      </c>
      <c r="T633" s="95">
        <v>1209900</v>
      </c>
      <c r="U633" s="95">
        <f>T633/24</f>
        <v>50412.5</v>
      </c>
      <c r="V633" s="95">
        <v>1209900</v>
      </c>
      <c r="W633" s="95">
        <f>V633/24</f>
        <v>50412.5</v>
      </c>
      <c r="X633" s="128"/>
      <c r="Y633" s="95">
        <v>1000000</v>
      </c>
      <c r="Z633" s="95">
        <v>100000</v>
      </c>
      <c r="AA633" s="95">
        <f>IFERROR(IF(D633="Premium",0.4*Y633,0),"No Disp")</f>
        <v>400000</v>
      </c>
      <c r="AB633" s="95">
        <f>IFERROR(IF(4*Y633&gt;AC633,1.5*Y633,4*Y633),"No Disp")</f>
        <v>1500000</v>
      </c>
      <c r="AC633" s="95">
        <f>IF(Z633="No Disp","No Disp",(Z633*18)+Y633)</f>
        <v>2800000</v>
      </c>
      <c r="AD633" s="95">
        <f>18*Z633-100+Y633</f>
        <v>2799900</v>
      </c>
      <c r="AE633" s="95">
        <v>1000000</v>
      </c>
      <c r="AF633" s="95">
        <v>100000</v>
      </c>
      <c r="AG633" s="95">
        <f>IF(AF633="No Disp","No Disp",(AF633*18)+AE633)</f>
        <v>2800000</v>
      </c>
      <c r="AH633" s="98">
        <f>18*AF633-100+AE633</f>
        <v>2799900</v>
      </c>
      <c r="AI633" s="95" t="s">
        <v>4613</v>
      </c>
      <c r="AJ633" s="99"/>
      <c r="AK633" s="100">
        <v>129900</v>
      </c>
      <c r="AL633" s="100">
        <v>60000</v>
      </c>
      <c r="AM633" s="100">
        <f>IF(AL633&lt;&gt;"No Disp",AK633+12*AL633,"No Disp")</f>
        <v>849900</v>
      </c>
      <c r="AN633" s="100">
        <v>129900</v>
      </c>
      <c r="AO633" s="100">
        <v>60000</v>
      </c>
      <c r="AP633" s="100">
        <f>IF(AO633&lt;&gt;"No Disp",AN633+12*AO633,"No Disp")</f>
        <v>849900</v>
      </c>
      <c r="AQ633" s="100">
        <v>129900</v>
      </c>
      <c r="AR633" s="100">
        <v>60000</v>
      </c>
      <c r="AS633" s="100">
        <f>IF(AR633&lt;&gt;"No Disp",AQ633+12*AR633,"No Disp")</f>
        <v>849900</v>
      </c>
    </row>
    <row r="634" spans="1:45" s="101" customFormat="1" x14ac:dyDescent="0.25">
      <c r="A634" s="90" t="s">
        <v>38</v>
      </c>
      <c r="B634" s="90" t="s">
        <v>40</v>
      </c>
      <c r="C634" s="90" t="s">
        <v>39</v>
      </c>
      <c r="D634" s="90" t="s">
        <v>4541</v>
      </c>
      <c r="E634" s="90" t="s">
        <v>4538</v>
      </c>
      <c r="F634" s="91">
        <v>625</v>
      </c>
      <c r="G634" s="92">
        <v>70013700</v>
      </c>
      <c r="H634" s="91">
        <v>70013701</v>
      </c>
      <c r="I634" s="93" t="s">
        <v>131</v>
      </c>
      <c r="J634" s="94" t="s">
        <v>3912</v>
      </c>
      <c r="K634" s="94" t="s">
        <v>2956</v>
      </c>
      <c r="L634" s="94" t="s">
        <v>2979</v>
      </c>
      <c r="M634" s="95">
        <v>89900</v>
      </c>
      <c r="N634" s="95">
        <v>2500</v>
      </c>
      <c r="O634" s="95">
        <v>4000</v>
      </c>
      <c r="P634" s="96">
        <v>119990</v>
      </c>
      <c r="Q634" s="152"/>
      <c r="R634" s="95">
        <v>99990</v>
      </c>
      <c r="S634" s="95">
        <f>R634/24</f>
        <v>4166.25</v>
      </c>
      <c r="T634" s="95">
        <v>89900</v>
      </c>
      <c r="U634" s="95">
        <f>T634/24</f>
        <v>3745.8333333333335</v>
      </c>
      <c r="V634" s="95">
        <v>89900</v>
      </c>
      <c r="W634" s="95">
        <f>V634/24</f>
        <v>3745.8333333333335</v>
      </c>
      <c r="X634" s="128"/>
      <c r="Y634" s="95">
        <v>0</v>
      </c>
      <c r="Z634" s="95">
        <v>9000</v>
      </c>
      <c r="AA634" s="95">
        <f>IFERROR(IF(D634="Premium",0.4*Y634,0),"No Disp")</f>
        <v>0</v>
      </c>
      <c r="AB634" s="95">
        <f>IFERROR(IF(4*Y634&gt;AC634,1.5*Y634,4*Y634),"No Disp")</f>
        <v>0</v>
      </c>
      <c r="AC634" s="95">
        <f>IF(Z634="No Disp","No Disp",(Z634*18)+Y634)</f>
        <v>162000</v>
      </c>
      <c r="AD634" s="95">
        <f>18*Z634-100+Y634</f>
        <v>161900</v>
      </c>
      <c r="AE634" s="95">
        <v>0</v>
      </c>
      <c r="AF634" s="95">
        <v>8500</v>
      </c>
      <c r="AG634" s="95">
        <f>IF(AF634="No Disp","No Disp",(AF634*18)+AE634)</f>
        <v>153000</v>
      </c>
      <c r="AH634" s="98">
        <f>18*AF634-100+AE634</f>
        <v>152900</v>
      </c>
      <c r="AI634" s="95" t="s">
        <v>4613</v>
      </c>
      <c r="AJ634" s="99"/>
      <c r="AK634" s="100" t="s">
        <v>43</v>
      </c>
      <c r="AL634" s="100" t="s">
        <v>43</v>
      </c>
      <c r="AM634" s="100" t="str">
        <f>IF(AL634&lt;&gt;"No Disp",AK634+12*AL634,"No Disp")</f>
        <v>No Disp</v>
      </c>
      <c r="AN634" s="100" t="s">
        <v>43</v>
      </c>
      <c r="AO634" s="100" t="s">
        <v>43</v>
      </c>
      <c r="AP634" s="100" t="str">
        <f>IF(AO634&lt;&gt;"No Disp",AN634+12*AO634,"No Disp")</f>
        <v>No Disp</v>
      </c>
      <c r="AQ634" s="100" t="s">
        <v>43</v>
      </c>
      <c r="AR634" s="100" t="s">
        <v>43</v>
      </c>
      <c r="AS634" s="100" t="str">
        <f>IF(AR634&lt;&gt;"No Disp",AQ634+12*AR634,"No Disp")</f>
        <v>No Disp</v>
      </c>
    </row>
    <row r="635" spans="1:45" s="101" customFormat="1" x14ac:dyDescent="0.25">
      <c r="A635" s="90" t="s">
        <v>38</v>
      </c>
      <c r="B635" s="90" t="s">
        <v>40</v>
      </c>
      <c r="C635" s="90" t="s">
        <v>39</v>
      </c>
      <c r="D635" s="90" t="s">
        <v>4541</v>
      </c>
      <c r="E635" s="90" t="s">
        <v>4538</v>
      </c>
      <c r="F635" s="91">
        <v>624</v>
      </c>
      <c r="G635" s="92">
        <v>70013704</v>
      </c>
      <c r="H635" s="91">
        <v>70013705</v>
      </c>
      <c r="I635" s="93" t="s">
        <v>131</v>
      </c>
      <c r="J635" s="94" t="s">
        <v>3912</v>
      </c>
      <c r="K635" s="94" t="s">
        <v>2957</v>
      </c>
      <c r="L635" s="94" t="s">
        <v>2980</v>
      </c>
      <c r="M635" s="95">
        <v>89900</v>
      </c>
      <c r="N635" s="95">
        <v>2500</v>
      </c>
      <c r="O635" s="95">
        <v>4000</v>
      </c>
      <c r="P635" s="96">
        <v>119990</v>
      </c>
      <c r="Q635" s="152"/>
      <c r="R635" s="95">
        <v>99990</v>
      </c>
      <c r="S635" s="95">
        <f>R635/24</f>
        <v>4166.25</v>
      </c>
      <c r="T635" s="95">
        <v>89900</v>
      </c>
      <c r="U635" s="95">
        <f>T635/24</f>
        <v>3745.8333333333335</v>
      </c>
      <c r="V635" s="95">
        <v>89900</v>
      </c>
      <c r="W635" s="95">
        <f>V635/24</f>
        <v>3745.8333333333335</v>
      </c>
      <c r="X635" s="128"/>
      <c r="Y635" s="95">
        <v>0</v>
      </c>
      <c r="Z635" s="95">
        <v>9000</v>
      </c>
      <c r="AA635" s="95">
        <f>IFERROR(IF(D635="Premium",0.4*Y635,0),"No Disp")</f>
        <v>0</v>
      </c>
      <c r="AB635" s="95">
        <f>IFERROR(IF(4*Y635&gt;AC635,1.5*Y635,4*Y635),"No Disp")</f>
        <v>0</v>
      </c>
      <c r="AC635" s="95">
        <f>IF(Z635="No Disp","No Disp",(Z635*18)+Y635)</f>
        <v>162000</v>
      </c>
      <c r="AD635" s="95">
        <f>18*Z635-100+Y635</f>
        <v>161900</v>
      </c>
      <c r="AE635" s="95">
        <v>0</v>
      </c>
      <c r="AF635" s="95">
        <v>8500</v>
      </c>
      <c r="AG635" s="95">
        <f>IF(AF635="No Disp","No Disp",(AF635*18)+AE635)</f>
        <v>153000</v>
      </c>
      <c r="AH635" s="98">
        <f>18*AF635-100+AE635</f>
        <v>152900</v>
      </c>
      <c r="AI635" s="95" t="s">
        <v>4613</v>
      </c>
      <c r="AJ635" s="99"/>
      <c r="AK635" s="100" t="s">
        <v>43</v>
      </c>
      <c r="AL635" s="100" t="s">
        <v>43</v>
      </c>
      <c r="AM635" s="100" t="str">
        <f>IF(AL635&lt;&gt;"No Disp",AK635+12*AL635,"No Disp")</f>
        <v>No Disp</v>
      </c>
      <c r="AN635" s="100" t="s">
        <v>43</v>
      </c>
      <c r="AO635" s="100" t="s">
        <v>43</v>
      </c>
      <c r="AP635" s="100" t="str">
        <f>IF(AO635&lt;&gt;"No Disp",AN635+12*AO635,"No Disp")</f>
        <v>No Disp</v>
      </c>
      <c r="AQ635" s="100" t="s">
        <v>43</v>
      </c>
      <c r="AR635" s="100" t="s">
        <v>43</v>
      </c>
      <c r="AS635" s="100" t="str">
        <f>IF(AR635&lt;&gt;"No Disp",AQ635+12*AR635,"No Disp")</f>
        <v>No Disp</v>
      </c>
    </row>
    <row r="636" spans="1:45" s="101" customFormat="1" x14ac:dyDescent="0.25">
      <c r="A636" s="90" t="s">
        <v>38</v>
      </c>
      <c r="B636" s="90" t="s">
        <v>40</v>
      </c>
      <c r="C636" s="90" t="s">
        <v>39</v>
      </c>
      <c r="D636" s="90" t="s">
        <v>4539</v>
      </c>
      <c r="E636" s="90" t="s">
        <v>4538</v>
      </c>
      <c r="F636" s="91">
        <v>626</v>
      </c>
      <c r="G636" s="92">
        <v>70013736</v>
      </c>
      <c r="H636" s="91">
        <v>70013737</v>
      </c>
      <c r="I636" s="93" t="s">
        <v>171</v>
      </c>
      <c r="J636" s="94" t="s">
        <v>3911</v>
      </c>
      <c r="K636" s="94" t="s">
        <v>2961</v>
      </c>
      <c r="L636" s="94" t="s">
        <v>2978</v>
      </c>
      <c r="M636" s="95">
        <v>169900</v>
      </c>
      <c r="N636" s="95">
        <v>2500</v>
      </c>
      <c r="O636" s="95">
        <v>4000</v>
      </c>
      <c r="P636" s="96">
        <v>289990</v>
      </c>
      <c r="Q636" s="152"/>
      <c r="R636" s="95">
        <v>189990</v>
      </c>
      <c r="S636" s="95">
        <f>R636/24</f>
        <v>7916.25</v>
      </c>
      <c r="T636" s="95">
        <v>169900</v>
      </c>
      <c r="U636" s="95">
        <f>T636/24</f>
        <v>7079.166666666667</v>
      </c>
      <c r="V636" s="95">
        <v>169900</v>
      </c>
      <c r="W636" s="95">
        <f>V636/24</f>
        <v>7079.166666666667</v>
      </c>
      <c r="X636" s="128"/>
      <c r="Y636" s="95">
        <v>0</v>
      </c>
      <c r="Z636" s="95">
        <v>17000</v>
      </c>
      <c r="AA636" s="95">
        <f>IFERROR(IF(D636="Premium",0.4*Y636,0),"No Disp")</f>
        <v>0</v>
      </c>
      <c r="AB636" s="95">
        <f>IFERROR(IF(4*Y636&gt;AC636,1.5*Y636,4*Y636),"No Disp")</f>
        <v>0</v>
      </c>
      <c r="AC636" s="95">
        <f>IF(Z636="No Disp","No Disp",(Z636*18)+Y636)</f>
        <v>306000</v>
      </c>
      <c r="AD636" s="95">
        <f>18*Z636-100+Y636</f>
        <v>305900</v>
      </c>
      <c r="AE636" s="95">
        <v>0</v>
      </c>
      <c r="AF636" s="95">
        <v>14500</v>
      </c>
      <c r="AG636" s="95">
        <f>IF(AF636="No Disp","No Disp",(AF636*18)+AE636)</f>
        <v>261000</v>
      </c>
      <c r="AH636" s="98">
        <f>18*AF636-100+AE636</f>
        <v>260900</v>
      </c>
      <c r="AI636" s="95" t="s">
        <v>4613</v>
      </c>
      <c r="AJ636" s="99"/>
      <c r="AK636" s="100" t="s">
        <v>43</v>
      </c>
      <c r="AL636" s="100" t="s">
        <v>43</v>
      </c>
      <c r="AM636" s="100" t="str">
        <f>IF(AL636&lt;&gt;"No Disp",AK636+12*AL636,"No Disp")</f>
        <v>No Disp</v>
      </c>
      <c r="AN636" s="100" t="s">
        <v>43</v>
      </c>
      <c r="AO636" s="100" t="s">
        <v>43</v>
      </c>
      <c r="AP636" s="100" t="str">
        <f>IF(AO636&lt;&gt;"No Disp",AN636+12*AO636,"No Disp")</f>
        <v>No Disp</v>
      </c>
      <c r="AQ636" s="100" t="s">
        <v>43</v>
      </c>
      <c r="AR636" s="100" t="s">
        <v>43</v>
      </c>
      <c r="AS636" s="100" t="str">
        <f>IF(AR636&lt;&gt;"No Disp",AQ636+12*AR636,"No Disp")</f>
        <v>No Disp</v>
      </c>
    </row>
    <row r="637" spans="1:45" s="101" customFormat="1" x14ac:dyDescent="0.25">
      <c r="A637" s="90" t="s">
        <v>38</v>
      </c>
      <c r="B637" s="90" t="s">
        <v>40</v>
      </c>
      <c r="C637" s="90" t="s">
        <v>39</v>
      </c>
      <c r="D637" s="90" t="s">
        <v>4539</v>
      </c>
      <c r="E637" s="90" t="s">
        <v>4538</v>
      </c>
      <c r="F637" s="91">
        <v>627</v>
      </c>
      <c r="G637" s="92">
        <v>70013740</v>
      </c>
      <c r="H637" s="91">
        <v>70013741</v>
      </c>
      <c r="I637" s="93" t="s">
        <v>171</v>
      </c>
      <c r="J637" s="94" t="s">
        <v>3911</v>
      </c>
      <c r="K637" s="94" t="s">
        <v>2960</v>
      </c>
      <c r="L637" s="94" t="s">
        <v>2977</v>
      </c>
      <c r="M637" s="95">
        <v>169900</v>
      </c>
      <c r="N637" s="95">
        <v>2500</v>
      </c>
      <c r="O637" s="95">
        <v>4000</v>
      </c>
      <c r="P637" s="96">
        <v>289990</v>
      </c>
      <c r="Q637" s="152"/>
      <c r="R637" s="95">
        <v>189990</v>
      </c>
      <c r="S637" s="95">
        <f>R637/24</f>
        <v>7916.25</v>
      </c>
      <c r="T637" s="95">
        <v>169900</v>
      </c>
      <c r="U637" s="95">
        <f>T637/24</f>
        <v>7079.166666666667</v>
      </c>
      <c r="V637" s="95">
        <v>169900</v>
      </c>
      <c r="W637" s="95">
        <f>V637/24</f>
        <v>7079.166666666667</v>
      </c>
      <c r="X637" s="128"/>
      <c r="Y637" s="95">
        <v>0</v>
      </c>
      <c r="Z637" s="95">
        <v>17000</v>
      </c>
      <c r="AA637" s="95">
        <f>IFERROR(IF(D637="Premium",0.4*Y637,0),"No Disp")</f>
        <v>0</v>
      </c>
      <c r="AB637" s="95">
        <f>IFERROR(IF(4*Y637&gt;AC637,1.5*Y637,4*Y637),"No Disp")</f>
        <v>0</v>
      </c>
      <c r="AC637" s="95">
        <f>IF(Z637="No Disp","No Disp",(Z637*18)+Y637)</f>
        <v>306000</v>
      </c>
      <c r="AD637" s="95">
        <f>18*Z637-100+Y637</f>
        <v>305900</v>
      </c>
      <c r="AE637" s="95">
        <v>0</v>
      </c>
      <c r="AF637" s="95">
        <v>14500</v>
      </c>
      <c r="AG637" s="95">
        <f>IF(AF637="No Disp","No Disp",(AF637*18)+AE637)</f>
        <v>261000</v>
      </c>
      <c r="AH637" s="98">
        <f>18*AF637-100+AE637</f>
        <v>260900</v>
      </c>
      <c r="AI637" s="95" t="s">
        <v>4613</v>
      </c>
      <c r="AJ637" s="99"/>
      <c r="AK637" s="100" t="s">
        <v>43</v>
      </c>
      <c r="AL637" s="100" t="s">
        <v>43</v>
      </c>
      <c r="AM637" s="100" t="str">
        <f>IF(AL637&lt;&gt;"No Disp",AK637+12*AL637,"No Disp")</f>
        <v>No Disp</v>
      </c>
      <c r="AN637" s="100" t="s">
        <v>43</v>
      </c>
      <c r="AO637" s="100" t="s">
        <v>43</v>
      </c>
      <c r="AP637" s="100" t="str">
        <f>IF(AO637&lt;&gt;"No Disp",AN637+12*AO637,"No Disp")</f>
        <v>No Disp</v>
      </c>
      <c r="AQ637" s="100" t="s">
        <v>43</v>
      </c>
      <c r="AR637" s="100" t="s">
        <v>43</v>
      </c>
      <c r="AS637" s="100" t="str">
        <f>IF(AR637&lt;&gt;"No Disp",AQ637+12*AR637,"No Disp")</f>
        <v>No Disp</v>
      </c>
    </row>
    <row r="638" spans="1:45" s="101" customFormat="1" x14ac:dyDescent="0.25">
      <c r="A638" s="90" t="s">
        <v>38</v>
      </c>
      <c r="B638" s="90" t="s">
        <v>40</v>
      </c>
      <c r="C638" s="90" t="s">
        <v>39</v>
      </c>
      <c r="D638" s="90" t="s">
        <v>4539</v>
      </c>
      <c r="E638" s="90" t="s">
        <v>4538</v>
      </c>
      <c r="F638" s="91">
        <v>629</v>
      </c>
      <c r="G638" s="92">
        <v>70013744</v>
      </c>
      <c r="H638" s="91">
        <v>70013745</v>
      </c>
      <c r="I638" s="93" t="s">
        <v>171</v>
      </c>
      <c r="J638" s="94" t="s">
        <v>2969</v>
      </c>
      <c r="K638" s="94" t="s">
        <v>2964</v>
      </c>
      <c r="L638" s="94" t="s">
        <v>2975</v>
      </c>
      <c r="M638" s="95">
        <v>229900</v>
      </c>
      <c r="N638" s="95">
        <v>4000</v>
      </c>
      <c r="O638" s="95">
        <v>6000</v>
      </c>
      <c r="P638" s="96">
        <v>349990</v>
      </c>
      <c r="Q638" s="152"/>
      <c r="R638" s="95">
        <v>259990</v>
      </c>
      <c r="S638" s="95">
        <f>R638/24</f>
        <v>10832.916666666666</v>
      </c>
      <c r="T638" s="95">
        <v>229900</v>
      </c>
      <c r="U638" s="95">
        <f>T638/24</f>
        <v>9579.1666666666661</v>
      </c>
      <c r="V638" s="95">
        <v>229900</v>
      </c>
      <c r="W638" s="95">
        <f>V638/24</f>
        <v>9579.1666666666661</v>
      </c>
      <c r="X638" s="128"/>
      <c r="Y638" s="95">
        <v>0</v>
      </c>
      <c r="Z638" s="95">
        <v>22000</v>
      </c>
      <c r="AA638" s="95">
        <f>IFERROR(IF(D638="Premium",0.4*Y638,0),"No Disp")</f>
        <v>0</v>
      </c>
      <c r="AB638" s="95">
        <f>IFERROR(IF(4*Y638&gt;AC638,1.5*Y638,4*Y638),"No Disp")</f>
        <v>0</v>
      </c>
      <c r="AC638" s="95">
        <f>IF(Z638="No Disp","No Disp",(Z638*18)+Y638)</f>
        <v>396000</v>
      </c>
      <c r="AD638" s="95">
        <f>18*Z638-100+Y638</f>
        <v>395900</v>
      </c>
      <c r="AE638" s="95">
        <v>0</v>
      </c>
      <c r="AF638" s="95">
        <v>20000</v>
      </c>
      <c r="AG638" s="95">
        <f>IF(AF638="No Disp","No Disp",(AF638*18)+AE638)</f>
        <v>360000</v>
      </c>
      <c r="AH638" s="98">
        <f>18*AF638-100+AE638</f>
        <v>359900</v>
      </c>
      <c r="AI638" s="95" t="s">
        <v>4613</v>
      </c>
      <c r="AJ638" s="99"/>
      <c r="AK638" s="100" t="s">
        <v>43</v>
      </c>
      <c r="AL638" s="100" t="s">
        <v>43</v>
      </c>
      <c r="AM638" s="100" t="str">
        <f>IF(AL638&lt;&gt;"No Disp",AK638+12*AL638,"No Disp")</f>
        <v>No Disp</v>
      </c>
      <c r="AN638" s="100" t="s">
        <v>43</v>
      </c>
      <c r="AO638" s="100" t="s">
        <v>43</v>
      </c>
      <c r="AP638" s="100" t="str">
        <f>IF(AO638&lt;&gt;"No Disp",AN638+12*AO638,"No Disp")</f>
        <v>No Disp</v>
      </c>
      <c r="AQ638" s="100" t="s">
        <v>43</v>
      </c>
      <c r="AR638" s="100" t="s">
        <v>43</v>
      </c>
      <c r="AS638" s="100" t="str">
        <f>IF(AR638&lt;&gt;"No Disp",AQ638+12*AR638,"No Disp")</f>
        <v>No Disp</v>
      </c>
    </row>
    <row r="639" spans="1:45" s="101" customFormat="1" x14ac:dyDescent="0.25">
      <c r="A639" s="90" t="s">
        <v>38</v>
      </c>
      <c r="B639" s="90" t="s">
        <v>40</v>
      </c>
      <c r="C639" s="90" t="s">
        <v>39</v>
      </c>
      <c r="D639" s="90" t="s">
        <v>4539</v>
      </c>
      <c r="E639" s="90" t="s">
        <v>4538</v>
      </c>
      <c r="F639" s="91">
        <v>631</v>
      </c>
      <c r="G639" s="92">
        <v>70013697</v>
      </c>
      <c r="H639" s="91">
        <v>70013748</v>
      </c>
      <c r="I639" s="93" t="s">
        <v>171</v>
      </c>
      <c r="J639" s="94" t="s">
        <v>2969</v>
      </c>
      <c r="K639" s="94" t="s">
        <v>2962</v>
      </c>
      <c r="L639" s="94" t="s">
        <v>2973</v>
      </c>
      <c r="M639" s="95">
        <v>229900</v>
      </c>
      <c r="N639" s="95">
        <v>4000</v>
      </c>
      <c r="O639" s="95">
        <v>6000</v>
      </c>
      <c r="P639" s="96">
        <v>349990</v>
      </c>
      <c r="Q639" s="152"/>
      <c r="R639" s="95">
        <v>259990</v>
      </c>
      <c r="S639" s="95">
        <f>R639/24</f>
        <v>10832.916666666666</v>
      </c>
      <c r="T639" s="95">
        <v>229900</v>
      </c>
      <c r="U639" s="95">
        <f>T639/24</f>
        <v>9579.1666666666661</v>
      </c>
      <c r="V639" s="95">
        <v>229900</v>
      </c>
      <c r="W639" s="95">
        <f>V639/24</f>
        <v>9579.1666666666661</v>
      </c>
      <c r="X639" s="128"/>
      <c r="Y639" s="95">
        <v>0</v>
      </c>
      <c r="Z639" s="95">
        <v>22000</v>
      </c>
      <c r="AA639" s="95">
        <f>IFERROR(IF(D639="Premium",0.4*Y639,0),"No Disp")</f>
        <v>0</v>
      </c>
      <c r="AB639" s="95">
        <f>IFERROR(IF(4*Y639&gt;AC639,1.5*Y639,4*Y639),"No Disp")</f>
        <v>0</v>
      </c>
      <c r="AC639" s="95">
        <f>IF(Z639="No Disp","No Disp",(Z639*18)+Y639)</f>
        <v>396000</v>
      </c>
      <c r="AD639" s="95">
        <f>18*Z639-100+Y639</f>
        <v>395900</v>
      </c>
      <c r="AE639" s="95">
        <v>0</v>
      </c>
      <c r="AF639" s="95">
        <v>20000</v>
      </c>
      <c r="AG639" s="95">
        <f>IF(AF639="No Disp","No Disp",(AF639*18)+AE639)</f>
        <v>360000</v>
      </c>
      <c r="AH639" s="98">
        <f>18*AF639-100+AE639</f>
        <v>359900</v>
      </c>
      <c r="AI639" s="95" t="s">
        <v>4613</v>
      </c>
      <c r="AJ639" s="99"/>
      <c r="AK639" s="100" t="s">
        <v>43</v>
      </c>
      <c r="AL639" s="100" t="s">
        <v>43</v>
      </c>
      <c r="AM639" s="100" t="str">
        <f>IF(AL639&lt;&gt;"No Disp",AK639+12*AL639,"No Disp")</f>
        <v>No Disp</v>
      </c>
      <c r="AN639" s="100" t="s">
        <v>43</v>
      </c>
      <c r="AO639" s="100" t="s">
        <v>43</v>
      </c>
      <c r="AP639" s="100" t="str">
        <f>IF(AO639&lt;&gt;"No Disp",AN639+12*AO639,"No Disp")</f>
        <v>No Disp</v>
      </c>
      <c r="AQ639" s="100" t="s">
        <v>43</v>
      </c>
      <c r="AR639" s="100" t="s">
        <v>43</v>
      </c>
      <c r="AS639" s="100" t="str">
        <f>IF(AR639&lt;&gt;"No Disp",AQ639+12*AR639,"No Disp")</f>
        <v>No Disp</v>
      </c>
    </row>
    <row r="640" spans="1:45" s="101" customFormat="1" x14ac:dyDescent="0.25">
      <c r="A640" s="90" t="s">
        <v>38</v>
      </c>
      <c r="B640" s="90" t="s">
        <v>39</v>
      </c>
      <c r="C640" s="90" t="s">
        <v>40</v>
      </c>
      <c r="D640" s="90" t="s">
        <v>4539</v>
      </c>
      <c r="E640" s="90" t="s">
        <v>4538</v>
      </c>
      <c r="F640" s="91">
        <v>604</v>
      </c>
      <c r="G640" s="92">
        <v>70013751</v>
      </c>
      <c r="H640" s="91">
        <v>70013752</v>
      </c>
      <c r="I640" s="93" t="s">
        <v>171</v>
      </c>
      <c r="J640" s="94" t="s">
        <v>2856</v>
      </c>
      <c r="K640" s="94" t="s">
        <v>2857</v>
      </c>
      <c r="L640" s="94" t="s">
        <v>4520</v>
      </c>
      <c r="M640" s="95">
        <v>329900</v>
      </c>
      <c r="N640" s="95">
        <v>4000</v>
      </c>
      <c r="O640" s="95">
        <v>6000</v>
      </c>
      <c r="P640" s="96">
        <v>399990</v>
      </c>
      <c r="Q640" s="152"/>
      <c r="R640" s="95">
        <v>369990</v>
      </c>
      <c r="S640" s="95">
        <f>R640/24</f>
        <v>15416.25</v>
      </c>
      <c r="T640" s="95">
        <v>329900</v>
      </c>
      <c r="U640" s="95">
        <f>T640/24</f>
        <v>13745.833333333334</v>
      </c>
      <c r="V640" s="95">
        <v>329900</v>
      </c>
      <c r="W640" s="95">
        <f>V640/24</f>
        <v>13745.833333333334</v>
      </c>
      <c r="X640" s="128"/>
      <c r="Y640" s="95">
        <v>0</v>
      </c>
      <c r="Z640" s="95">
        <v>31000</v>
      </c>
      <c r="AA640" s="95">
        <f>IFERROR(IF(D640="Premium",0.4*Y640,0),"No Disp")</f>
        <v>0</v>
      </c>
      <c r="AB640" s="95">
        <f>IFERROR(IF(4*Y640&gt;AC640,1.5*Y640,4*Y640),"No Disp")</f>
        <v>0</v>
      </c>
      <c r="AC640" s="95">
        <f>IF(Z640="No Disp","No Disp",(Z640*18)+Y640)</f>
        <v>558000</v>
      </c>
      <c r="AD640" s="95">
        <f>18*Z640-100+Y640</f>
        <v>557900</v>
      </c>
      <c r="AE640" s="95">
        <v>0</v>
      </c>
      <c r="AF640" s="95">
        <v>28000</v>
      </c>
      <c r="AG640" s="95">
        <f>IF(AF640="No Disp","No Disp",(AF640*18)+AE640)</f>
        <v>504000</v>
      </c>
      <c r="AH640" s="98">
        <f>18*AF640-100+AE640</f>
        <v>503900</v>
      </c>
      <c r="AI640" s="95" t="s">
        <v>4613</v>
      </c>
      <c r="AJ640" s="99"/>
      <c r="AK640" s="100" t="s">
        <v>43</v>
      </c>
      <c r="AL640" s="100" t="s">
        <v>43</v>
      </c>
      <c r="AM640" s="100" t="str">
        <f>IF(AL640&lt;&gt;"No Disp",AK640+12*AL640,"No Disp")</f>
        <v>No Disp</v>
      </c>
      <c r="AN640" s="100" t="s">
        <v>43</v>
      </c>
      <c r="AO640" s="100" t="s">
        <v>43</v>
      </c>
      <c r="AP640" s="100" t="str">
        <f>IF(AO640&lt;&gt;"No Disp",AN640+12*AO640,"No Disp")</f>
        <v>No Disp</v>
      </c>
      <c r="AQ640" s="100" t="s">
        <v>43</v>
      </c>
      <c r="AR640" s="100" t="s">
        <v>43</v>
      </c>
      <c r="AS640" s="100" t="str">
        <f>IF(AR640&lt;&gt;"No Disp",AQ640+12*AR640,"No Disp")</f>
        <v>No Disp</v>
      </c>
    </row>
    <row r="641" spans="1:45" s="101" customFormat="1" x14ac:dyDescent="0.25">
      <c r="A641" s="90" t="s">
        <v>38</v>
      </c>
      <c r="B641" s="90" t="s">
        <v>39</v>
      </c>
      <c r="C641" s="90" t="s">
        <v>40</v>
      </c>
      <c r="D641" s="90" t="s">
        <v>4539</v>
      </c>
      <c r="E641" s="90" t="s">
        <v>4538</v>
      </c>
      <c r="F641" s="91">
        <v>603</v>
      </c>
      <c r="G641" s="92">
        <v>70013755</v>
      </c>
      <c r="H641" s="91">
        <v>70013756</v>
      </c>
      <c r="I641" s="93" t="s">
        <v>171</v>
      </c>
      <c r="J641" s="94" t="s">
        <v>2856</v>
      </c>
      <c r="K641" s="94" t="s">
        <v>2858</v>
      </c>
      <c r="L641" s="94" t="s">
        <v>4521</v>
      </c>
      <c r="M641" s="95">
        <v>329900</v>
      </c>
      <c r="N641" s="95">
        <v>4000</v>
      </c>
      <c r="O641" s="95">
        <v>6000</v>
      </c>
      <c r="P641" s="96">
        <v>399990</v>
      </c>
      <c r="Q641" s="152"/>
      <c r="R641" s="95">
        <v>369990</v>
      </c>
      <c r="S641" s="95">
        <f>R641/24</f>
        <v>15416.25</v>
      </c>
      <c r="T641" s="95">
        <v>329900</v>
      </c>
      <c r="U641" s="95">
        <f>T641/24</f>
        <v>13745.833333333334</v>
      </c>
      <c r="V641" s="95">
        <v>329900</v>
      </c>
      <c r="W641" s="95">
        <f>V641/24</f>
        <v>13745.833333333334</v>
      </c>
      <c r="X641" s="128"/>
      <c r="Y641" s="95">
        <v>0</v>
      </c>
      <c r="Z641" s="95">
        <v>31000</v>
      </c>
      <c r="AA641" s="95">
        <f>IFERROR(IF(D641="Premium",0.4*Y641,0),"No Disp")</f>
        <v>0</v>
      </c>
      <c r="AB641" s="95">
        <f>IFERROR(IF(4*Y641&gt;AC641,1.5*Y641,4*Y641),"No Disp")</f>
        <v>0</v>
      </c>
      <c r="AC641" s="95">
        <f>IF(Z641="No Disp","No Disp",(Z641*18)+Y641)</f>
        <v>558000</v>
      </c>
      <c r="AD641" s="95">
        <f>18*Z641-100+Y641</f>
        <v>557900</v>
      </c>
      <c r="AE641" s="95">
        <v>0</v>
      </c>
      <c r="AF641" s="95">
        <v>28000</v>
      </c>
      <c r="AG641" s="95">
        <f>IF(AF641="No Disp","No Disp",(AF641*18)+AE641)</f>
        <v>504000</v>
      </c>
      <c r="AH641" s="98">
        <f>18*AF641-100+AE641</f>
        <v>503900</v>
      </c>
      <c r="AI641" s="95" t="s">
        <v>4613</v>
      </c>
      <c r="AJ641" s="99"/>
      <c r="AK641" s="100" t="s">
        <v>43</v>
      </c>
      <c r="AL641" s="100" t="s">
        <v>43</v>
      </c>
      <c r="AM641" s="100" t="str">
        <f>IF(AL641&lt;&gt;"No Disp",AK641+12*AL641,"No Disp")</f>
        <v>No Disp</v>
      </c>
      <c r="AN641" s="100" t="s">
        <v>43</v>
      </c>
      <c r="AO641" s="100" t="s">
        <v>43</v>
      </c>
      <c r="AP641" s="100" t="str">
        <f>IF(AO641&lt;&gt;"No Disp",AN641+12*AO641,"No Disp")</f>
        <v>No Disp</v>
      </c>
      <c r="AQ641" s="100" t="s">
        <v>43</v>
      </c>
      <c r="AR641" s="100" t="s">
        <v>43</v>
      </c>
      <c r="AS641" s="100" t="str">
        <f>IF(AR641&lt;&gt;"No Disp",AQ641+12*AR641,"No Disp")</f>
        <v>No Disp</v>
      </c>
    </row>
    <row r="642" spans="1:45" s="101" customFormat="1" x14ac:dyDescent="0.25">
      <c r="A642" s="90" t="s">
        <v>38</v>
      </c>
      <c r="B642" s="90" t="s">
        <v>39</v>
      </c>
      <c r="C642" s="90" t="s">
        <v>40</v>
      </c>
      <c r="D642" s="90" t="s">
        <v>4537</v>
      </c>
      <c r="E642" s="90" t="s">
        <v>4538</v>
      </c>
      <c r="F642" s="91">
        <v>609</v>
      </c>
      <c r="G642" s="92">
        <v>70013762</v>
      </c>
      <c r="H642" s="91">
        <v>70013762</v>
      </c>
      <c r="I642" s="93" t="s">
        <v>46</v>
      </c>
      <c r="J642" s="94" t="s">
        <v>2805</v>
      </c>
      <c r="K642" s="94" t="s">
        <v>3897</v>
      </c>
      <c r="L642" s="94" t="s">
        <v>2807</v>
      </c>
      <c r="M642" s="95">
        <v>359900</v>
      </c>
      <c r="N642" s="95">
        <v>6000</v>
      </c>
      <c r="O642" s="95">
        <v>8500</v>
      </c>
      <c r="P642" s="96">
        <v>549990</v>
      </c>
      <c r="Q642" s="152"/>
      <c r="R642" s="95">
        <v>399990</v>
      </c>
      <c r="S642" s="95">
        <f>R642/24</f>
        <v>16666.25</v>
      </c>
      <c r="T642" s="95">
        <v>359900</v>
      </c>
      <c r="U642" s="95">
        <f>T642/24</f>
        <v>14995.833333333334</v>
      </c>
      <c r="V642" s="95">
        <v>359900</v>
      </c>
      <c r="W642" s="95">
        <f>V642/24</f>
        <v>14995.833333333334</v>
      </c>
      <c r="X642" s="128"/>
      <c r="Y642" s="95">
        <v>49900</v>
      </c>
      <c r="Z642" s="95">
        <v>32000</v>
      </c>
      <c r="AA642" s="95">
        <f>IFERROR(IF(D642="Premium",0.4*Y642,0),"No Disp")</f>
        <v>0</v>
      </c>
      <c r="AB642" s="95">
        <f>IFERROR(IF(4*Y642&gt;AC642,1.5*Y642,4*Y642),"No Disp")</f>
        <v>199600</v>
      </c>
      <c r="AC642" s="95">
        <f>IF(Z642="No Disp","No Disp",(Z642*18)+Y642)</f>
        <v>625900</v>
      </c>
      <c r="AD642" s="95">
        <f>18*Z642-100+Y642</f>
        <v>625800</v>
      </c>
      <c r="AE642" s="95">
        <v>29900</v>
      </c>
      <c r="AF642" s="95">
        <v>28000</v>
      </c>
      <c r="AG642" s="95">
        <f>IF(AF642="No Disp","No Disp",(AF642*18)+AE642)</f>
        <v>533900</v>
      </c>
      <c r="AH642" s="98">
        <f>18*AF642-100+AE642</f>
        <v>533800</v>
      </c>
      <c r="AI642" s="95" t="s">
        <v>4613</v>
      </c>
      <c r="AJ642" s="99"/>
      <c r="AK642" s="100">
        <v>0</v>
      </c>
      <c r="AL642" s="100">
        <v>22000</v>
      </c>
      <c r="AM642" s="100">
        <f>IF(AL642&lt;&gt;"No Disp",AK642+12*AL642,"No Disp")</f>
        <v>264000</v>
      </c>
      <c r="AN642" s="100">
        <v>0</v>
      </c>
      <c r="AO642" s="100">
        <v>22000</v>
      </c>
      <c r="AP642" s="100">
        <f>IF(AO642&lt;&gt;"No Disp",AN642+12*AO642,"No Disp")</f>
        <v>264000</v>
      </c>
      <c r="AQ642" s="100">
        <v>0</v>
      </c>
      <c r="AR642" s="100">
        <v>22000</v>
      </c>
      <c r="AS642" s="100">
        <f>IF(AR642&lt;&gt;"No Disp",AQ642+12*AR642,"No Disp")</f>
        <v>264000</v>
      </c>
    </row>
    <row r="643" spans="1:45" s="101" customFormat="1" x14ac:dyDescent="0.25">
      <c r="A643" s="90" t="s">
        <v>102</v>
      </c>
      <c r="B643" s="90" t="s">
        <v>39</v>
      </c>
      <c r="C643" s="90" t="s">
        <v>40</v>
      </c>
      <c r="D643" s="90" t="s">
        <v>4537</v>
      </c>
      <c r="E643" s="90" t="s">
        <v>4538</v>
      </c>
      <c r="F643" s="91">
        <v>608</v>
      </c>
      <c r="G643" s="92">
        <v>70013763</v>
      </c>
      <c r="H643" s="91">
        <v>70013764</v>
      </c>
      <c r="I643" s="93" t="s">
        <v>46</v>
      </c>
      <c r="J643" s="94" t="s">
        <v>2805</v>
      </c>
      <c r="K643" s="94" t="s">
        <v>2828</v>
      </c>
      <c r="L643" s="94" t="s">
        <v>2829</v>
      </c>
      <c r="M643" s="95">
        <v>359900</v>
      </c>
      <c r="N643" s="95">
        <v>6000</v>
      </c>
      <c r="O643" s="95">
        <v>8500</v>
      </c>
      <c r="P643" s="96">
        <v>549990</v>
      </c>
      <c r="Q643" s="152"/>
      <c r="R643" s="95">
        <v>399990</v>
      </c>
      <c r="S643" s="95">
        <f>R643/24</f>
        <v>16666.25</v>
      </c>
      <c r="T643" s="95">
        <v>359900</v>
      </c>
      <c r="U643" s="95">
        <f>T643/24</f>
        <v>14995.833333333334</v>
      </c>
      <c r="V643" s="95">
        <v>359900</v>
      </c>
      <c r="W643" s="95">
        <f>V643/24</f>
        <v>14995.833333333334</v>
      </c>
      <c r="X643" s="128"/>
      <c r="Y643" s="95">
        <v>49900</v>
      </c>
      <c r="Z643" s="95">
        <v>32000</v>
      </c>
      <c r="AA643" s="95">
        <f>IFERROR(IF(D643="Premium",0.4*Y643,0),"No Disp")</f>
        <v>0</v>
      </c>
      <c r="AB643" s="95">
        <f>IFERROR(IF(4*Y643&gt;AC643,1.5*Y643,4*Y643),"No Disp")</f>
        <v>199600</v>
      </c>
      <c r="AC643" s="95">
        <f>IF(Z643="No Disp","No Disp",(Z643*18)+Y643)</f>
        <v>625900</v>
      </c>
      <c r="AD643" s="95">
        <f>18*Z643-100+Y643</f>
        <v>625800</v>
      </c>
      <c r="AE643" s="95">
        <v>29900</v>
      </c>
      <c r="AF643" s="95">
        <v>28000</v>
      </c>
      <c r="AG643" s="95">
        <f>IF(AF643="No Disp","No Disp",(AF643*18)+AE643)</f>
        <v>533900</v>
      </c>
      <c r="AH643" s="98">
        <f>18*AF643-100+AE643</f>
        <v>533800</v>
      </c>
      <c r="AI643" s="95" t="s">
        <v>4613</v>
      </c>
      <c r="AJ643" s="99"/>
      <c r="AK643" s="100">
        <v>0</v>
      </c>
      <c r="AL643" s="100">
        <v>22000</v>
      </c>
      <c r="AM643" s="100">
        <f>IF(AL643&lt;&gt;"No Disp",AK643+12*AL643,"No Disp")</f>
        <v>264000</v>
      </c>
      <c r="AN643" s="100">
        <v>0</v>
      </c>
      <c r="AO643" s="100">
        <v>22000</v>
      </c>
      <c r="AP643" s="100">
        <f>IF(AO643&lt;&gt;"No Disp",AN643+12*AO643,"No Disp")</f>
        <v>264000</v>
      </c>
      <c r="AQ643" s="100">
        <v>0</v>
      </c>
      <c r="AR643" s="100">
        <v>22000</v>
      </c>
      <c r="AS643" s="100">
        <f>IF(AR643&lt;&gt;"No Disp",AQ643+12*AR643,"No Disp")</f>
        <v>264000</v>
      </c>
    </row>
    <row r="644" spans="1:45" s="101" customFormat="1" x14ac:dyDescent="0.25">
      <c r="A644" s="90" t="s">
        <v>38</v>
      </c>
      <c r="B644" s="90" t="s">
        <v>40</v>
      </c>
      <c r="C644" s="90" t="s">
        <v>39</v>
      </c>
      <c r="D644" s="90" t="s">
        <v>4539</v>
      </c>
      <c r="E644" s="90" t="s">
        <v>4538</v>
      </c>
      <c r="F644" s="91">
        <v>637</v>
      </c>
      <c r="G644" s="92">
        <v>70013770</v>
      </c>
      <c r="H644" s="91">
        <v>70013771</v>
      </c>
      <c r="I644" s="93" t="s">
        <v>112</v>
      </c>
      <c r="J644" s="94" t="s">
        <v>3906</v>
      </c>
      <c r="K644" s="94" t="s">
        <v>3338</v>
      </c>
      <c r="L644" s="94" t="s">
        <v>3342</v>
      </c>
      <c r="M644" s="95">
        <v>139900</v>
      </c>
      <c r="N644" s="95">
        <v>2500</v>
      </c>
      <c r="O644" s="95">
        <v>4000</v>
      </c>
      <c r="P644" s="96">
        <v>299990</v>
      </c>
      <c r="Q644" s="152"/>
      <c r="R644" s="95">
        <v>149990</v>
      </c>
      <c r="S644" s="95">
        <f>R644/24</f>
        <v>6249.583333333333</v>
      </c>
      <c r="T644" s="95">
        <v>139900</v>
      </c>
      <c r="U644" s="95">
        <f>T644/24</f>
        <v>5829.166666666667</v>
      </c>
      <c r="V644" s="95">
        <v>139900</v>
      </c>
      <c r="W644" s="95">
        <f>V644/24</f>
        <v>5829.166666666667</v>
      </c>
      <c r="X644" s="128"/>
      <c r="Y644" s="184">
        <v>0</v>
      </c>
      <c r="Z644" s="184">
        <v>15000</v>
      </c>
      <c r="AA644" s="95">
        <f>IFERROR(IF(D644="Premium",0.4*Y644,0),"No Disp")</f>
        <v>0</v>
      </c>
      <c r="AB644" s="95">
        <f>IFERROR(IF(4*Y644&gt;AC644,1.5*Y644,4*Y644),"No Disp")</f>
        <v>0</v>
      </c>
      <c r="AC644" s="95">
        <f>IF(Z644="No Disp","No Disp",(Z644*18)+Y644)</f>
        <v>270000</v>
      </c>
      <c r="AD644" s="95">
        <f>18*Z644-100+Y644</f>
        <v>269900</v>
      </c>
      <c r="AE644" s="95">
        <v>0</v>
      </c>
      <c r="AF644" s="95">
        <v>13500</v>
      </c>
      <c r="AG644" s="95">
        <f>IF(AF644="No Disp","No Disp",(AF644*18)+AE644)</f>
        <v>243000</v>
      </c>
      <c r="AH644" s="98">
        <f>18*AF644-100+AE644</f>
        <v>242900</v>
      </c>
      <c r="AI644" s="95" t="s">
        <v>4613</v>
      </c>
      <c r="AJ644" s="99"/>
      <c r="AK644" s="100" t="s">
        <v>43</v>
      </c>
      <c r="AL644" s="100" t="s">
        <v>43</v>
      </c>
      <c r="AM644" s="100" t="str">
        <f>IF(AL644&lt;&gt;"No Disp",AK644+12*AL644,"No Disp")</f>
        <v>No Disp</v>
      </c>
      <c r="AN644" s="100" t="s">
        <v>43</v>
      </c>
      <c r="AO644" s="100" t="s">
        <v>43</v>
      </c>
      <c r="AP644" s="100" t="str">
        <f>IF(AO644&lt;&gt;"No Disp",AN644+12*AO644,"No Disp")</f>
        <v>No Disp</v>
      </c>
      <c r="AQ644" s="100" t="s">
        <v>43</v>
      </c>
      <c r="AR644" s="100" t="s">
        <v>43</v>
      </c>
      <c r="AS644" s="100" t="str">
        <f>IF(AR644&lt;&gt;"No Disp",AQ644+12*AR644,"No Disp")</f>
        <v>No Disp</v>
      </c>
    </row>
    <row r="645" spans="1:45" s="101" customFormat="1" x14ac:dyDescent="0.25">
      <c r="A645" s="90" t="s">
        <v>38</v>
      </c>
      <c r="B645" s="90" t="s">
        <v>39</v>
      </c>
      <c r="C645" s="90" t="s">
        <v>40</v>
      </c>
      <c r="D645" s="90" t="s">
        <v>4539</v>
      </c>
      <c r="E645" s="90" t="s">
        <v>4538</v>
      </c>
      <c r="F645" s="91">
        <v>613</v>
      </c>
      <c r="G645" s="92">
        <v>70013784</v>
      </c>
      <c r="H645" s="91">
        <v>70013785</v>
      </c>
      <c r="I645" s="93" t="s">
        <v>41</v>
      </c>
      <c r="J645" s="94" t="s">
        <v>2940</v>
      </c>
      <c r="K645" s="94" t="s">
        <v>4297</v>
      </c>
      <c r="L645" s="94" t="s">
        <v>2948</v>
      </c>
      <c r="M645" s="95">
        <v>258960</v>
      </c>
      <c r="N645" s="95">
        <v>4000</v>
      </c>
      <c r="O645" s="95">
        <v>6000</v>
      </c>
      <c r="P645" s="96">
        <v>349990</v>
      </c>
      <c r="Q645" s="152"/>
      <c r="R645" s="95">
        <v>288990</v>
      </c>
      <c r="S645" s="95">
        <f>R645/24</f>
        <v>12041.25</v>
      </c>
      <c r="T645" s="95">
        <v>258960</v>
      </c>
      <c r="U645" s="95">
        <f>T645/24</f>
        <v>10790</v>
      </c>
      <c r="V645" s="95">
        <v>258960</v>
      </c>
      <c r="W645" s="95">
        <f>V645/24</f>
        <v>10790</v>
      </c>
      <c r="X645" s="128"/>
      <c r="Y645" s="95">
        <v>19900</v>
      </c>
      <c r="Z645" s="95">
        <v>26000</v>
      </c>
      <c r="AA645" s="95">
        <f>IFERROR(IF(D645="Premium",0.4*Y645,0),"No Disp")</f>
        <v>0</v>
      </c>
      <c r="AB645" s="95">
        <f>IFERROR(IF(4*Y645&gt;AC645,1.5*Y645,4*Y645),"No Disp")</f>
        <v>79600</v>
      </c>
      <c r="AC645" s="95">
        <f>IF(Z645="No Disp","No Disp",(Z645*18)+Y645)</f>
        <v>487900</v>
      </c>
      <c r="AD645" s="95">
        <f>18*Z645-100+Y645</f>
        <v>487800</v>
      </c>
      <c r="AE645" s="95">
        <v>0</v>
      </c>
      <c r="AF645" s="95">
        <v>25000</v>
      </c>
      <c r="AG645" s="95">
        <f>IF(AF645="No Disp","No Disp",(AF645*18)+AE645)</f>
        <v>450000</v>
      </c>
      <c r="AH645" s="98">
        <f>18*AF645-100+AE645</f>
        <v>449900</v>
      </c>
      <c r="AI645" s="95" t="s">
        <v>4613</v>
      </c>
      <c r="AJ645" s="99"/>
      <c r="AK645" s="100" t="s">
        <v>43</v>
      </c>
      <c r="AL645" s="100" t="s">
        <v>43</v>
      </c>
      <c r="AM645" s="100" t="str">
        <f>IF(AL645&lt;&gt;"No Disp",AK645+12*AL645,"No Disp")</f>
        <v>No Disp</v>
      </c>
      <c r="AN645" s="100" t="s">
        <v>43</v>
      </c>
      <c r="AO645" s="100" t="s">
        <v>43</v>
      </c>
      <c r="AP645" s="100" t="str">
        <f>IF(AO645&lt;&gt;"No Disp",AN645+12*AO645,"No Disp")</f>
        <v>No Disp</v>
      </c>
      <c r="AQ645" s="100" t="s">
        <v>43</v>
      </c>
      <c r="AR645" s="100" t="s">
        <v>43</v>
      </c>
      <c r="AS645" s="100" t="str">
        <f>IF(AR645&lt;&gt;"No Disp",AQ645+12*AR645,"No Disp")</f>
        <v>No Disp</v>
      </c>
    </row>
    <row r="646" spans="1:45" s="101" customFormat="1" x14ac:dyDescent="0.25">
      <c r="A646" s="90" t="s">
        <v>38</v>
      </c>
      <c r="B646" s="90" t="s">
        <v>39</v>
      </c>
      <c r="C646" s="90" t="s">
        <v>40</v>
      </c>
      <c r="D646" s="90" t="s">
        <v>4539</v>
      </c>
      <c r="E646" s="90" t="s">
        <v>4538</v>
      </c>
      <c r="F646" s="91">
        <v>612</v>
      </c>
      <c r="G646" s="92">
        <v>70013808</v>
      </c>
      <c r="H646" s="91">
        <v>70013809</v>
      </c>
      <c r="I646" s="93" t="s">
        <v>41</v>
      </c>
      <c r="J646" s="94" t="s">
        <v>2940</v>
      </c>
      <c r="K646" s="94" t="s">
        <v>4298</v>
      </c>
      <c r="L646" s="94" t="s">
        <v>2949</v>
      </c>
      <c r="M646" s="95">
        <v>258960</v>
      </c>
      <c r="N646" s="95">
        <v>4000</v>
      </c>
      <c r="O646" s="95">
        <v>6000</v>
      </c>
      <c r="P646" s="96">
        <v>349990</v>
      </c>
      <c r="Q646" s="152"/>
      <c r="R646" s="95">
        <v>288990</v>
      </c>
      <c r="S646" s="95">
        <f>R646/24</f>
        <v>12041.25</v>
      </c>
      <c r="T646" s="95">
        <v>258960</v>
      </c>
      <c r="U646" s="95">
        <f>T646/24</f>
        <v>10790</v>
      </c>
      <c r="V646" s="95">
        <v>258960</v>
      </c>
      <c r="W646" s="95">
        <f>V646/24</f>
        <v>10790</v>
      </c>
      <c r="X646" s="128"/>
      <c r="Y646" s="95">
        <v>19900</v>
      </c>
      <c r="Z646" s="95">
        <v>26000</v>
      </c>
      <c r="AA646" s="95">
        <f>IFERROR(IF(D646="Premium",0.4*Y646,0),"No Disp")</f>
        <v>0</v>
      </c>
      <c r="AB646" s="95">
        <f>IFERROR(IF(4*Y646&gt;AC646,1.5*Y646,4*Y646),"No Disp")</f>
        <v>79600</v>
      </c>
      <c r="AC646" s="95">
        <f>IF(Z646="No Disp","No Disp",(Z646*18)+Y646)</f>
        <v>487900</v>
      </c>
      <c r="AD646" s="95">
        <f>18*Z646-100+Y646</f>
        <v>487800</v>
      </c>
      <c r="AE646" s="95">
        <v>0</v>
      </c>
      <c r="AF646" s="95">
        <v>25000</v>
      </c>
      <c r="AG646" s="95">
        <f>IF(AF646="No Disp","No Disp",(AF646*18)+AE646)</f>
        <v>450000</v>
      </c>
      <c r="AH646" s="98">
        <f>18*AF646-100+AE646</f>
        <v>449900</v>
      </c>
      <c r="AI646" s="95" t="s">
        <v>4613</v>
      </c>
      <c r="AJ646" s="99"/>
      <c r="AK646" s="100" t="s">
        <v>43</v>
      </c>
      <c r="AL646" s="100" t="s">
        <v>43</v>
      </c>
      <c r="AM646" s="100" t="str">
        <f>IF(AL646&lt;&gt;"No Disp",AK646+12*AL646,"No Disp")</f>
        <v>No Disp</v>
      </c>
      <c r="AN646" s="100" t="s">
        <v>43</v>
      </c>
      <c r="AO646" s="100" t="s">
        <v>43</v>
      </c>
      <c r="AP646" s="100" t="str">
        <f>IF(AO646&lt;&gt;"No Disp",AN646+12*AO646,"No Disp")</f>
        <v>No Disp</v>
      </c>
      <c r="AQ646" s="100" t="s">
        <v>43</v>
      </c>
      <c r="AR646" s="100" t="s">
        <v>43</v>
      </c>
      <c r="AS646" s="100" t="str">
        <f>IF(AR646&lt;&gt;"No Disp",AQ646+12*AR646,"No Disp")</f>
        <v>No Disp</v>
      </c>
    </row>
    <row r="647" spans="1:45" s="101" customFormat="1" x14ac:dyDescent="0.25">
      <c r="A647" s="90" t="s">
        <v>38</v>
      </c>
      <c r="B647" s="90" t="s">
        <v>39</v>
      </c>
      <c r="C647" s="90" t="s">
        <v>40</v>
      </c>
      <c r="D647" s="90" t="s">
        <v>4539</v>
      </c>
      <c r="E647" s="90" t="s">
        <v>4538</v>
      </c>
      <c r="F647" s="91">
        <v>598</v>
      </c>
      <c r="G647" s="92">
        <v>70013812</v>
      </c>
      <c r="H647" s="91">
        <v>70013813</v>
      </c>
      <c r="I647" s="93" t="s">
        <v>131</v>
      </c>
      <c r="J647" s="94" t="s">
        <v>2852</v>
      </c>
      <c r="K647" s="94" t="s">
        <v>2853</v>
      </c>
      <c r="L647" s="94" t="s">
        <v>2864</v>
      </c>
      <c r="M647" s="95">
        <v>179900</v>
      </c>
      <c r="N647" s="95">
        <v>2500</v>
      </c>
      <c r="O647" s="95">
        <v>4000</v>
      </c>
      <c r="P647" s="96">
        <v>229990</v>
      </c>
      <c r="Q647" s="152"/>
      <c r="R647" s="95">
        <v>199990</v>
      </c>
      <c r="S647" s="95">
        <f>R647/24</f>
        <v>8332.9166666666661</v>
      </c>
      <c r="T647" s="95">
        <v>179900</v>
      </c>
      <c r="U647" s="95">
        <f>T647/24</f>
        <v>7495.833333333333</v>
      </c>
      <c r="V647" s="95">
        <v>179900</v>
      </c>
      <c r="W647" s="95">
        <f>V647/24</f>
        <v>7495.833333333333</v>
      </c>
      <c r="X647" s="128"/>
      <c r="Y647" s="95">
        <v>0</v>
      </c>
      <c r="Z647" s="95">
        <v>18000</v>
      </c>
      <c r="AA647" s="95">
        <f>IFERROR(IF(D647="Premium",0.4*Y647,0),"No Disp")</f>
        <v>0</v>
      </c>
      <c r="AB647" s="95">
        <f>IFERROR(IF(4*Y647&gt;AC647,1.5*Y647,4*Y647),"No Disp")</f>
        <v>0</v>
      </c>
      <c r="AC647" s="95">
        <f>IF(Z647="No Disp","No Disp",(Z647*18)+Y647)</f>
        <v>324000</v>
      </c>
      <c r="AD647" s="95">
        <f>18*Z647-100+Y647</f>
        <v>323900</v>
      </c>
      <c r="AE647" s="95">
        <v>0</v>
      </c>
      <c r="AF647" s="95">
        <v>16500</v>
      </c>
      <c r="AG647" s="95">
        <f>IF(AF647="No Disp","No Disp",(AF647*18)+AE647)</f>
        <v>297000</v>
      </c>
      <c r="AH647" s="98">
        <f>18*AF647-100+AE647</f>
        <v>296900</v>
      </c>
      <c r="AI647" s="95" t="s">
        <v>4613</v>
      </c>
      <c r="AJ647" s="99"/>
      <c r="AK647" s="100" t="s">
        <v>43</v>
      </c>
      <c r="AL647" s="100" t="s">
        <v>43</v>
      </c>
      <c r="AM647" s="100" t="str">
        <f>IF(AL647&lt;&gt;"No Disp",AK647+12*AL647,"No Disp")</f>
        <v>No Disp</v>
      </c>
      <c r="AN647" s="100" t="s">
        <v>43</v>
      </c>
      <c r="AO647" s="100" t="s">
        <v>43</v>
      </c>
      <c r="AP647" s="100" t="str">
        <f>IF(AO647&lt;&gt;"No Disp",AN647+12*AO647,"No Disp")</f>
        <v>No Disp</v>
      </c>
      <c r="AQ647" s="100" t="s">
        <v>43</v>
      </c>
      <c r="AR647" s="100" t="s">
        <v>43</v>
      </c>
      <c r="AS647" s="100" t="str">
        <f>IF(AR647&lt;&gt;"No Disp",AQ647+12*AR647,"No Disp")</f>
        <v>No Disp</v>
      </c>
    </row>
    <row r="648" spans="1:45" s="101" customFormat="1" x14ac:dyDescent="0.25">
      <c r="A648" s="90" t="s">
        <v>38</v>
      </c>
      <c r="B648" s="90" t="s">
        <v>39</v>
      </c>
      <c r="C648" s="90" t="s">
        <v>40</v>
      </c>
      <c r="D648" s="90" t="s">
        <v>4539</v>
      </c>
      <c r="E648" s="90" t="s">
        <v>4538</v>
      </c>
      <c r="F648" s="91">
        <v>597</v>
      </c>
      <c r="G648" s="92">
        <v>70013816</v>
      </c>
      <c r="H648" s="91">
        <v>70013817</v>
      </c>
      <c r="I648" s="93" t="s">
        <v>131</v>
      </c>
      <c r="J648" s="94" t="s">
        <v>2852</v>
      </c>
      <c r="K648" s="94" t="s">
        <v>2854</v>
      </c>
      <c r="L648" s="94" t="s">
        <v>2865</v>
      </c>
      <c r="M648" s="95">
        <v>179900</v>
      </c>
      <c r="N648" s="95">
        <v>2500</v>
      </c>
      <c r="O648" s="95">
        <v>4000</v>
      </c>
      <c r="P648" s="96">
        <v>229990</v>
      </c>
      <c r="Q648" s="152"/>
      <c r="R648" s="95">
        <v>199990</v>
      </c>
      <c r="S648" s="95">
        <f>R648/24</f>
        <v>8332.9166666666661</v>
      </c>
      <c r="T648" s="95">
        <v>179900</v>
      </c>
      <c r="U648" s="95">
        <f>T648/24</f>
        <v>7495.833333333333</v>
      </c>
      <c r="V648" s="95">
        <v>179900</v>
      </c>
      <c r="W648" s="95">
        <f>V648/24</f>
        <v>7495.833333333333</v>
      </c>
      <c r="X648" s="128"/>
      <c r="Y648" s="95">
        <v>0</v>
      </c>
      <c r="Z648" s="95">
        <v>18000</v>
      </c>
      <c r="AA648" s="95">
        <f>IFERROR(IF(D648="Premium",0.4*Y648,0),"No Disp")</f>
        <v>0</v>
      </c>
      <c r="AB648" s="95">
        <f>IFERROR(IF(4*Y648&gt;AC648,1.5*Y648,4*Y648),"No Disp")</f>
        <v>0</v>
      </c>
      <c r="AC648" s="95">
        <f>IF(Z648="No Disp","No Disp",(Z648*18)+Y648)</f>
        <v>324000</v>
      </c>
      <c r="AD648" s="95">
        <f>18*Z648-100+Y648</f>
        <v>323900</v>
      </c>
      <c r="AE648" s="95">
        <v>0</v>
      </c>
      <c r="AF648" s="95">
        <v>16500</v>
      </c>
      <c r="AG648" s="95">
        <f>IF(AF648="No Disp","No Disp",(AF648*18)+AE648)</f>
        <v>297000</v>
      </c>
      <c r="AH648" s="98">
        <f>18*AF648-100+AE648</f>
        <v>296900</v>
      </c>
      <c r="AI648" s="95" t="s">
        <v>4613</v>
      </c>
      <c r="AJ648" s="99"/>
      <c r="AK648" s="100" t="s">
        <v>43</v>
      </c>
      <c r="AL648" s="100" t="s">
        <v>43</v>
      </c>
      <c r="AM648" s="100" t="str">
        <f>IF(AL648&lt;&gt;"No Disp",AK648+12*AL648,"No Disp")</f>
        <v>No Disp</v>
      </c>
      <c r="AN648" s="100" t="s">
        <v>43</v>
      </c>
      <c r="AO648" s="100" t="s">
        <v>43</v>
      </c>
      <c r="AP648" s="100" t="str">
        <f>IF(AO648&lt;&gt;"No Disp",AN648+12*AO648,"No Disp")</f>
        <v>No Disp</v>
      </c>
      <c r="AQ648" s="100" t="s">
        <v>43</v>
      </c>
      <c r="AR648" s="100" t="s">
        <v>43</v>
      </c>
      <c r="AS648" s="100" t="str">
        <f>IF(AR648&lt;&gt;"No Disp",AQ648+12*AR648,"No Disp")</f>
        <v>No Disp</v>
      </c>
    </row>
    <row r="649" spans="1:45" s="101" customFormat="1" x14ac:dyDescent="0.25">
      <c r="A649" s="90" t="s">
        <v>38</v>
      </c>
      <c r="B649" s="90" t="s">
        <v>39</v>
      </c>
      <c r="C649" s="90" t="s">
        <v>40</v>
      </c>
      <c r="D649" s="90" t="s">
        <v>4537</v>
      </c>
      <c r="E649" s="90" t="s">
        <v>4538</v>
      </c>
      <c r="F649" s="91">
        <v>607</v>
      </c>
      <c r="G649" s="92">
        <v>70013829</v>
      </c>
      <c r="H649" s="91">
        <v>70013830</v>
      </c>
      <c r="I649" s="93" t="s">
        <v>46</v>
      </c>
      <c r="J649" s="94" t="s">
        <v>2805</v>
      </c>
      <c r="K649" s="94" t="s">
        <v>2830</v>
      </c>
      <c r="L649" s="94" t="s">
        <v>2831</v>
      </c>
      <c r="M649" s="95">
        <v>359900</v>
      </c>
      <c r="N649" s="95">
        <v>6000</v>
      </c>
      <c r="O649" s="95">
        <v>8500</v>
      </c>
      <c r="P649" s="96">
        <v>549990</v>
      </c>
      <c r="Q649" s="152"/>
      <c r="R649" s="95">
        <v>399990</v>
      </c>
      <c r="S649" s="95">
        <f>R649/24</f>
        <v>16666.25</v>
      </c>
      <c r="T649" s="95">
        <v>359900</v>
      </c>
      <c r="U649" s="95">
        <f>T649/24</f>
        <v>14995.833333333334</v>
      </c>
      <c r="V649" s="95">
        <v>359900</v>
      </c>
      <c r="W649" s="95">
        <f>V649/24</f>
        <v>14995.833333333334</v>
      </c>
      <c r="X649" s="128"/>
      <c r="Y649" s="95">
        <v>49900</v>
      </c>
      <c r="Z649" s="95">
        <v>32000</v>
      </c>
      <c r="AA649" s="95">
        <f>IFERROR(IF(D649="Premium",0.4*Y649,0),"No Disp")</f>
        <v>0</v>
      </c>
      <c r="AB649" s="95">
        <f>IFERROR(IF(4*Y649&gt;AC649,1.5*Y649,4*Y649),"No Disp")</f>
        <v>199600</v>
      </c>
      <c r="AC649" s="95">
        <f>IF(Z649="No Disp","No Disp",(Z649*18)+Y649)</f>
        <v>625900</v>
      </c>
      <c r="AD649" s="95">
        <f>18*Z649-100+Y649</f>
        <v>625800</v>
      </c>
      <c r="AE649" s="95">
        <v>29900</v>
      </c>
      <c r="AF649" s="95">
        <v>28000</v>
      </c>
      <c r="AG649" s="95">
        <f>IF(AF649="No Disp","No Disp",(AF649*18)+AE649)</f>
        <v>533900</v>
      </c>
      <c r="AH649" s="98">
        <f>18*AF649-100+AE649</f>
        <v>533800</v>
      </c>
      <c r="AI649" s="95" t="s">
        <v>4613</v>
      </c>
      <c r="AJ649" s="99"/>
      <c r="AK649" s="100">
        <v>0</v>
      </c>
      <c r="AL649" s="100">
        <v>22000</v>
      </c>
      <c r="AM649" s="100">
        <f>IF(AL649&lt;&gt;"No Disp",AK649+12*AL649,"No Disp")</f>
        <v>264000</v>
      </c>
      <c r="AN649" s="100">
        <v>0</v>
      </c>
      <c r="AO649" s="100">
        <v>22000</v>
      </c>
      <c r="AP649" s="100">
        <f>IF(AO649&lt;&gt;"No Disp",AN649+12*AO649,"No Disp")</f>
        <v>264000</v>
      </c>
      <c r="AQ649" s="100">
        <v>0</v>
      </c>
      <c r="AR649" s="100">
        <v>22000</v>
      </c>
      <c r="AS649" s="100">
        <f>IF(AR649&lt;&gt;"No Disp",AQ649+12*AR649,"No Disp")</f>
        <v>264000</v>
      </c>
    </row>
    <row r="650" spans="1:45" s="101" customFormat="1" x14ac:dyDescent="0.25">
      <c r="A650" s="90" t="s">
        <v>38</v>
      </c>
      <c r="B650" s="90" t="s">
        <v>40</v>
      </c>
      <c r="C650" s="90" t="s">
        <v>39</v>
      </c>
      <c r="D650" s="90" t="s">
        <v>4537</v>
      </c>
      <c r="E650" s="90" t="s">
        <v>4538</v>
      </c>
      <c r="F650" s="91">
        <v>606</v>
      </c>
      <c r="G650" s="92">
        <v>70013833</v>
      </c>
      <c r="H650" s="91">
        <v>70013834</v>
      </c>
      <c r="I650" s="93" t="s">
        <v>46</v>
      </c>
      <c r="J650" s="94" t="s">
        <v>2805</v>
      </c>
      <c r="K650" s="94" t="s">
        <v>2832</v>
      </c>
      <c r="L650" s="94" t="s">
        <v>2833</v>
      </c>
      <c r="M650" s="95">
        <v>359900</v>
      </c>
      <c r="N650" s="95">
        <v>6000</v>
      </c>
      <c r="O650" s="95">
        <v>8500</v>
      </c>
      <c r="P650" s="96">
        <v>549990</v>
      </c>
      <c r="Q650" s="152"/>
      <c r="R650" s="95">
        <v>399990</v>
      </c>
      <c r="S650" s="95">
        <f>R650/24</f>
        <v>16666.25</v>
      </c>
      <c r="T650" s="95">
        <v>359900</v>
      </c>
      <c r="U650" s="95">
        <f>T650/24</f>
        <v>14995.833333333334</v>
      </c>
      <c r="V650" s="95">
        <v>359900</v>
      </c>
      <c r="W650" s="95">
        <f>V650/24</f>
        <v>14995.833333333334</v>
      </c>
      <c r="X650" s="128"/>
      <c r="Y650" s="95">
        <v>49900</v>
      </c>
      <c r="Z650" s="95">
        <v>32000</v>
      </c>
      <c r="AA650" s="95">
        <f>IFERROR(IF(D650="Premium",0.4*Y650,0),"No Disp")</f>
        <v>0</v>
      </c>
      <c r="AB650" s="95">
        <f>IFERROR(IF(4*Y650&gt;AC650,1.5*Y650,4*Y650),"No Disp")</f>
        <v>199600</v>
      </c>
      <c r="AC650" s="95">
        <f>IF(Z650="No Disp","No Disp",(Z650*18)+Y650)</f>
        <v>625900</v>
      </c>
      <c r="AD650" s="95">
        <f>18*Z650-100+Y650</f>
        <v>625800</v>
      </c>
      <c r="AE650" s="95">
        <v>29900</v>
      </c>
      <c r="AF650" s="95">
        <v>28000</v>
      </c>
      <c r="AG650" s="95">
        <f>IF(AF650="No Disp","No Disp",(AF650*18)+AE650)</f>
        <v>533900</v>
      </c>
      <c r="AH650" s="98">
        <f>18*AF650-100+AE650</f>
        <v>533800</v>
      </c>
      <c r="AI650" s="95" t="s">
        <v>4613</v>
      </c>
      <c r="AJ650" s="99"/>
      <c r="AK650" s="100">
        <v>0</v>
      </c>
      <c r="AL650" s="100">
        <v>22000</v>
      </c>
      <c r="AM650" s="100">
        <f>IF(AL650&lt;&gt;"No Disp",AK650+12*AL650,"No Disp")</f>
        <v>264000</v>
      </c>
      <c r="AN650" s="100">
        <v>0</v>
      </c>
      <c r="AO650" s="100">
        <v>22000</v>
      </c>
      <c r="AP650" s="100">
        <f>IF(AO650&lt;&gt;"No Disp",AN650+12*AO650,"No Disp")</f>
        <v>264000</v>
      </c>
      <c r="AQ650" s="100">
        <v>0</v>
      </c>
      <c r="AR650" s="100">
        <v>22000</v>
      </c>
      <c r="AS650" s="100">
        <f>IF(AR650&lt;&gt;"No Disp",AQ650+12*AR650,"No Disp")</f>
        <v>264000</v>
      </c>
    </row>
    <row r="651" spans="1:45" s="101" customFormat="1" x14ac:dyDescent="0.25">
      <c r="A651" s="90" t="s">
        <v>38</v>
      </c>
      <c r="B651" s="90" t="s">
        <v>39</v>
      </c>
      <c r="C651" s="90" t="s">
        <v>40</v>
      </c>
      <c r="D651" s="90" t="s">
        <v>4537</v>
      </c>
      <c r="E651" s="90" t="s">
        <v>4538</v>
      </c>
      <c r="F651" s="91">
        <v>605</v>
      </c>
      <c r="G651" s="92">
        <v>70013837</v>
      </c>
      <c r="H651" s="91">
        <v>70013838</v>
      </c>
      <c r="I651" s="93" t="s">
        <v>46</v>
      </c>
      <c r="J651" s="94" t="s">
        <v>2805</v>
      </c>
      <c r="K651" s="94" t="s">
        <v>2834</v>
      </c>
      <c r="L651" s="94" t="s">
        <v>2835</v>
      </c>
      <c r="M651" s="95">
        <v>359900</v>
      </c>
      <c r="N651" s="95">
        <v>6000</v>
      </c>
      <c r="O651" s="95">
        <v>8500</v>
      </c>
      <c r="P651" s="96">
        <v>549990</v>
      </c>
      <c r="Q651" s="152"/>
      <c r="R651" s="95">
        <v>399990</v>
      </c>
      <c r="S651" s="95">
        <f>R651/24</f>
        <v>16666.25</v>
      </c>
      <c r="T651" s="95">
        <v>359900</v>
      </c>
      <c r="U651" s="95">
        <f>T651/24</f>
        <v>14995.833333333334</v>
      </c>
      <c r="V651" s="95">
        <v>359900</v>
      </c>
      <c r="W651" s="95">
        <f>V651/24</f>
        <v>14995.833333333334</v>
      </c>
      <c r="X651" s="128"/>
      <c r="Y651" s="95">
        <v>49900</v>
      </c>
      <c r="Z651" s="95">
        <v>32000</v>
      </c>
      <c r="AA651" s="95">
        <f>IFERROR(IF(D651="Premium",0.4*Y651,0),"No Disp")</f>
        <v>0</v>
      </c>
      <c r="AB651" s="95">
        <f>IFERROR(IF(4*Y651&gt;AC651,1.5*Y651,4*Y651),"No Disp")</f>
        <v>199600</v>
      </c>
      <c r="AC651" s="95">
        <f>IF(Z651="No Disp","No Disp",(Z651*18)+Y651)</f>
        <v>625900</v>
      </c>
      <c r="AD651" s="95">
        <f>18*Z651-100+Y651</f>
        <v>625800</v>
      </c>
      <c r="AE651" s="95">
        <v>29900</v>
      </c>
      <c r="AF651" s="95">
        <v>28000</v>
      </c>
      <c r="AG651" s="95">
        <f>IF(AF651="No Disp","No Disp",(AF651*18)+AE651)</f>
        <v>533900</v>
      </c>
      <c r="AH651" s="98">
        <f>18*AF651-100+AE651</f>
        <v>533800</v>
      </c>
      <c r="AI651" s="95" t="s">
        <v>4613</v>
      </c>
      <c r="AJ651" s="99"/>
      <c r="AK651" s="100">
        <v>0</v>
      </c>
      <c r="AL651" s="100">
        <v>22000</v>
      </c>
      <c r="AM651" s="100">
        <f>IF(AL651&lt;&gt;"No Disp",AK651+12*AL651,"No Disp")</f>
        <v>264000</v>
      </c>
      <c r="AN651" s="100">
        <v>0</v>
      </c>
      <c r="AO651" s="100">
        <v>22000</v>
      </c>
      <c r="AP651" s="100">
        <f>IF(AO651&lt;&gt;"No Disp",AN651+12*AO651,"No Disp")</f>
        <v>264000</v>
      </c>
      <c r="AQ651" s="100">
        <v>0</v>
      </c>
      <c r="AR651" s="100">
        <v>22000</v>
      </c>
      <c r="AS651" s="100">
        <f>IF(AR651&lt;&gt;"No Disp",AQ651+12*AR651,"No Disp")</f>
        <v>264000</v>
      </c>
    </row>
    <row r="652" spans="1:45" s="101" customFormat="1" x14ac:dyDescent="0.25">
      <c r="A652" s="90" t="s">
        <v>38</v>
      </c>
      <c r="B652" s="90" t="s">
        <v>39</v>
      </c>
      <c r="C652" s="90" t="s">
        <v>40</v>
      </c>
      <c r="D652" s="90" t="s">
        <v>4541</v>
      </c>
      <c r="E652" s="90" t="s">
        <v>4538</v>
      </c>
      <c r="F652" s="91">
        <v>571</v>
      </c>
      <c r="G652" s="92">
        <v>70013844</v>
      </c>
      <c r="H652" s="91">
        <v>70013845</v>
      </c>
      <c r="I652" s="93" t="s">
        <v>87</v>
      </c>
      <c r="J652" s="94" t="s">
        <v>3402</v>
      </c>
      <c r="K652" s="94" t="s">
        <v>4311</v>
      </c>
      <c r="L652" s="94" t="s">
        <v>2788</v>
      </c>
      <c r="M652" s="95">
        <v>59900</v>
      </c>
      <c r="N652" s="95">
        <v>2500</v>
      </c>
      <c r="O652" s="95">
        <v>4000</v>
      </c>
      <c r="P652" s="96">
        <v>99990</v>
      </c>
      <c r="Q652" s="152"/>
      <c r="R652" s="95">
        <v>59990</v>
      </c>
      <c r="S652" s="95">
        <f>R652/24</f>
        <v>2499.5833333333335</v>
      </c>
      <c r="T652" s="95">
        <v>59900</v>
      </c>
      <c r="U652" s="95">
        <f>T652/24</f>
        <v>2495.8333333333335</v>
      </c>
      <c r="V652" s="95">
        <v>59900</v>
      </c>
      <c r="W652" s="95">
        <f>V652/24</f>
        <v>2495.8333333333335</v>
      </c>
      <c r="X652" s="128"/>
      <c r="Y652" s="95">
        <v>0</v>
      </c>
      <c r="Z652" s="95">
        <v>6000</v>
      </c>
      <c r="AA652" s="95">
        <f>IFERROR(IF(D652="Premium",0.4*Y652,0),"No Disp")</f>
        <v>0</v>
      </c>
      <c r="AB652" s="95">
        <f>IFERROR(IF(4*Y652&gt;AC652,1.5*Y652,4*Y652),"No Disp")</f>
        <v>0</v>
      </c>
      <c r="AC652" s="95">
        <f>IF(Z652="No Disp","No Disp",(Z652*18)+Y652)</f>
        <v>108000</v>
      </c>
      <c r="AD652" s="95">
        <f>18*Z652-100+Y652</f>
        <v>107900</v>
      </c>
      <c r="AE652" s="95">
        <v>0</v>
      </c>
      <c r="AF652" s="95">
        <v>5500</v>
      </c>
      <c r="AG652" s="95">
        <f>IF(AF652="No Disp","No Disp",(AF652*18)+AE652)</f>
        <v>99000</v>
      </c>
      <c r="AH652" s="98">
        <f>18*AF652-100+AE652</f>
        <v>98900</v>
      </c>
      <c r="AI652" s="95" t="s">
        <v>4613</v>
      </c>
      <c r="AJ652" s="99"/>
      <c r="AK652" s="100" t="s">
        <v>43</v>
      </c>
      <c r="AL652" s="100" t="s">
        <v>43</v>
      </c>
      <c r="AM652" s="100" t="str">
        <f>IF(AL652&lt;&gt;"No Disp",AK652+12*AL652,"No Disp")</f>
        <v>No Disp</v>
      </c>
      <c r="AN652" s="100" t="s">
        <v>43</v>
      </c>
      <c r="AO652" s="100" t="s">
        <v>43</v>
      </c>
      <c r="AP652" s="100" t="str">
        <f>IF(AO652&lt;&gt;"No Disp",AN652+12*AO652,"No Disp")</f>
        <v>No Disp</v>
      </c>
      <c r="AQ652" s="100" t="s">
        <v>43</v>
      </c>
      <c r="AR652" s="100" t="s">
        <v>43</v>
      </c>
      <c r="AS652" s="100" t="str">
        <f>IF(AR652&lt;&gt;"No Disp",AQ652+12*AR652,"No Disp")</f>
        <v>No Disp</v>
      </c>
    </row>
    <row r="653" spans="1:45" s="101" customFormat="1" x14ac:dyDescent="0.25">
      <c r="A653" s="90" t="s">
        <v>38</v>
      </c>
      <c r="B653" s="90" t="s">
        <v>39</v>
      </c>
      <c r="C653" s="90" t="s">
        <v>40</v>
      </c>
      <c r="D653" s="90" t="s">
        <v>4541</v>
      </c>
      <c r="E653" s="90" t="s">
        <v>4538</v>
      </c>
      <c r="F653" s="91">
        <v>621</v>
      </c>
      <c r="G653" s="92">
        <v>70013858</v>
      </c>
      <c r="H653" s="91">
        <v>70013859</v>
      </c>
      <c r="I653" s="93" t="s">
        <v>112</v>
      </c>
      <c r="J653" s="94" t="s">
        <v>2955</v>
      </c>
      <c r="K653" s="94" t="s">
        <v>2951</v>
      </c>
      <c r="L653" s="94" t="s">
        <v>3903</v>
      </c>
      <c r="M653" s="95">
        <v>99900</v>
      </c>
      <c r="N653" s="95">
        <v>2500</v>
      </c>
      <c r="O653" s="95">
        <v>4000</v>
      </c>
      <c r="P653" s="96">
        <v>199990</v>
      </c>
      <c r="Q653" s="152"/>
      <c r="R653" s="95">
        <v>109990</v>
      </c>
      <c r="S653" s="95">
        <f>R653/24</f>
        <v>4582.916666666667</v>
      </c>
      <c r="T653" s="95">
        <v>99900</v>
      </c>
      <c r="U653" s="95">
        <f>T653/24</f>
        <v>4162.5</v>
      </c>
      <c r="V653" s="95">
        <v>99900</v>
      </c>
      <c r="W653" s="95">
        <f>V653/24</f>
        <v>4162.5</v>
      </c>
      <c r="X653" s="128"/>
      <c r="Y653" s="95">
        <v>0</v>
      </c>
      <c r="Z653" s="95">
        <v>9500</v>
      </c>
      <c r="AA653" s="95">
        <f>IFERROR(IF(D653="Premium",0.4*Y653,0),"No Disp")</f>
        <v>0</v>
      </c>
      <c r="AB653" s="95">
        <f>IFERROR(IF(4*Y653&gt;AC653,1.5*Y653,4*Y653),"No Disp")</f>
        <v>0</v>
      </c>
      <c r="AC653" s="95">
        <f>IF(Z653="No Disp","No Disp",(Z653*18)+Y653)</f>
        <v>171000</v>
      </c>
      <c r="AD653" s="95">
        <f>18*Z653-100+Y653</f>
        <v>170900</v>
      </c>
      <c r="AE653" s="95">
        <v>0</v>
      </c>
      <c r="AF653" s="95">
        <v>8500</v>
      </c>
      <c r="AG653" s="95">
        <f>IF(AF653="No Disp","No Disp",(AF653*18)+AE653)</f>
        <v>153000</v>
      </c>
      <c r="AH653" s="98">
        <f>18*AF653-100+AE653</f>
        <v>152900</v>
      </c>
      <c r="AI653" s="95" t="s">
        <v>4613</v>
      </c>
      <c r="AJ653" s="99"/>
      <c r="AK653" s="100" t="s">
        <v>43</v>
      </c>
      <c r="AL653" s="100" t="s">
        <v>43</v>
      </c>
      <c r="AM653" s="100" t="str">
        <f>IF(AL653&lt;&gt;"No Disp",AK653+12*AL653,"No Disp")</f>
        <v>No Disp</v>
      </c>
      <c r="AN653" s="100" t="s">
        <v>43</v>
      </c>
      <c r="AO653" s="100" t="s">
        <v>43</v>
      </c>
      <c r="AP653" s="100" t="str">
        <f>IF(AO653&lt;&gt;"No Disp",AN653+12*AO653,"No Disp")</f>
        <v>No Disp</v>
      </c>
      <c r="AQ653" s="100" t="s">
        <v>43</v>
      </c>
      <c r="AR653" s="100" t="s">
        <v>43</v>
      </c>
      <c r="AS653" s="100" t="str">
        <f>IF(AR653&lt;&gt;"No Disp",AQ653+12*AR653,"No Disp")</f>
        <v>No Disp</v>
      </c>
    </row>
    <row r="654" spans="1:45" s="101" customFormat="1" x14ac:dyDescent="0.25">
      <c r="A654" s="90" t="s">
        <v>38</v>
      </c>
      <c r="B654" s="90" t="s">
        <v>39</v>
      </c>
      <c r="C654" s="90" t="s">
        <v>40</v>
      </c>
      <c r="D654" s="90" t="s">
        <v>4541</v>
      </c>
      <c r="E654" s="90" t="s">
        <v>4538</v>
      </c>
      <c r="F654" s="91">
        <v>621</v>
      </c>
      <c r="G654" s="92">
        <v>70013862</v>
      </c>
      <c r="H654" s="91">
        <v>70013863</v>
      </c>
      <c r="I654" s="93" t="s">
        <v>112</v>
      </c>
      <c r="J654" s="94" t="s">
        <v>2955</v>
      </c>
      <c r="K654" s="94" t="s">
        <v>2952</v>
      </c>
      <c r="L654" s="94" t="s">
        <v>3904</v>
      </c>
      <c r="M654" s="95">
        <v>99900</v>
      </c>
      <c r="N654" s="95">
        <v>2500</v>
      </c>
      <c r="O654" s="95">
        <v>4000</v>
      </c>
      <c r="P654" s="96">
        <v>199990</v>
      </c>
      <c r="Q654" s="152"/>
      <c r="R654" s="95">
        <v>109990</v>
      </c>
      <c r="S654" s="95">
        <f>R654/24</f>
        <v>4582.916666666667</v>
      </c>
      <c r="T654" s="95">
        <v>99900</v>
      </c>
      <c r="U654" s="95">
        <f>T654/24</f>
        <v>4162.5</v>
      </c>
      <c r="V654" s="95">
        <v>99900</v>
      </c>
      <c r="W654" s="95">
        <f>V654/24</f>
        <v>4162.5</v>
      </c>
      <c r="X654" s="128"/>
      <c r="Y654" s="95">
        <v>0</v>
      </c>
      <c r="Z654" s="95">
        <v>9500</v>
      </c>
      <c r="AA654" s="95">
        <f>IFERROR(IF(D654="Premium",0.4*Y654,0),"No Disp")</f>
        <v>0</v>
      </c>
      <c r="AB654" s="95">
        <f>IFERROR(IF(4*Y654&gt;AC654,1.5*Y654,4*Y654),"No Disp")</f>
        <v>0</v>
      </c>
      <c r="AC654" s="95">
        <f>IF(Z654="No Disp","No Disp",(Z654*18)+Y654)</f>
        <v>171000</v>
      </c>
      <c r="AD654" s="95">
        <f>18*Z654-100+Y654</f>
        <v>170900</v>
      </c>
      <c r="AE654" s="95">
        <v>0</v>
      </c>
      <c r="AF654" s="95">
        <v>8500</v>
      </c>
      <c r="AG654" s="95">
        <f>IF(AF654="No Disp","No Disp",(AF654*18)+AE654)</f>
        <v>153000</v>
      </c>
      <c r="AH654" s="98">
        <f>18*AF654-100+AE654</f>
        <v>152900</v>
      </c>
      <c r="AI654" s="95" t="s">
        <v>4613</v>
      </c>
      <c r="AJ654" s="99"/>
      <c r="AK654" s="100" t="s">
        <v>43</v>
      </c>
      <c r="AL654" s="100" t="s">
        <v>43</v>
      </c>
      <c r="AM654" s="100" t="str">
        <f>IF(AL654&lt;&gt;"No Disp",AK654+12*AL654,"No Disp")</f>
        <v>No Disp</v>
      </c>
      <c r="AN654" s="100" t="s">
        <v>43</v>
      </c>
      <c r="AO654" s="100" t="s">
        <v>43</v>
      </c>
      <c r="AP654" s="100" t="str">
        <f>IF(AO654&lt;&gt;"No Disp",AN654+12*AO654,"No Disp")</f>
        <v>No Disp</v>
      </c>
      <c r="AQ654" s="100" t="s">
        <v>43</v>
      </c>
      <c r="AR654" s="100" t="s">
        <v>43</v>
      </c>
      <c r="AS654" s="100" t="str">
        <f>IF(AR654&lt;&gt;"No Disp",AQ654+12*AR654,"No Disp")</f>
        <v>No Disp</v>
      </c>
    </row>
    <row r="655" spans="1:45" s="101" customFormat="1" x14ac:dyDescent="0.25">
      <c r="A655" s="90" t="s">
        <v>38</v>
      </c>
      <c r="B655" s="90" t="s">
        <v>39</v>
      </c>
      <c r="C655" s="90" t="s">
        <v>40</v>
      </c>
      <c r="D655" s="90" t="s">
        <v>4539</v>
      </c>
      <c r="E655" s="90" t="s">
        <v>4538</v>
      </c>
      <c r="F655" s="91">
        <v>614</v>
      </c>
      <c r="G655" s="92">
        <v>70013896</v>
      </c>
      <c r="H655" s="91">
        <v>70013897</v>
      </c>
      <c r="I655" s="93" t="s">
        <v>41</v>
      </c>
      <c r="J655" s="94" t="s">
        <v>2940</v>
      </c>
      <c r="K655" s="94" t="s">
        <v>4299</v>
      </c>
      <c r="L655" s="94" t="s">
        <v>2947</v>
      </c>
      <c r="M655" s="95">
        <v>258960</v>
      </c>
      <c r="N655" s="95">
        <v>4000</v>
      </c>
      <c r="O655" s="95">
        <v>6000</v>
      </c>
      <c r="P655" s="96">
        <v>349990</v>
      </c>
      <c r="Q655" s="152"/>
      <c r="R655" s="95">
        <v>288990</v>
      </c>
      <c r="S655" s="95">
        <f>R655/24</f>
        <v>12041.25</v>
      </c>
      <c r="T655" s="95">
        <v>258960</v>
      </c>
      <c r="U655" s="95">
        <f>T655/24</f>
        <v>10790</v>
      </c>
      <c r="V655" s="95">
        <v>258960</v>
      </c>
      <c r="W655" s="95">
        <f>V655/24</f>
        <v>10790</v>
      </c>
      <c r="X655" s="128"/>
      <c r="Y655" s="95">
        <v>19900</v>
      </c>
      <c r="Z655" s="95">
        <v>26000</v>
      </c>
      <c r="AA655" s="95">
        <f>IFERROR(IF(D655="Premium",0.4*Y655,0),"No Disp")</f>
        <v>0</v>
      </c>
      <c r="AB655" s="95">
        <f>IFERROR(IF(4*Y655&gt;AC655,1.5*Y655,4*Y655),"No Disp")</f>
        <v>79600</v>
      </c>
      <c r="AC655" s="95">
        <f>IF(Z655="No Disp","No Disp",(Z655*18)+Y655)</f>
        <v>487900</v>
      </c>
      <c r="AD655" s="95">
        <f>18*Z655-100+Y655</f>
        <v>487800</v>
      </c>
      <c r="AE655" s="95">
        <v>0</v>
      </c>
      <c r="AF655" s="95">
        <v>25000</v>
      </c>
      <c r="AG655" s="95">
        <f>IF(AF655="No Disp","No Disp",(AF655*18)+AE655)</f>
        <v>450000</v>
      </c>
      <c r="AH655" s="98">
        <f>18*AF655-100+AE655</f>
        <v>449900</v>
      </c>
      <c r="AI655" s="95" t="s">
        <v>4613</v>
      </c>
      <c r="AJ655" s="99"/>
      <c r="AK655" s="100" t="s">
        <v>43</v>
      </c>
      <c r="AL655" s="100" t="s">
        <v>43</v>
      </c>
      <c r="AM655" s="100" t="str">
        <f>IF(AL655&lt;&gt;"No Disp",AK655+12*AL655,"No Disp")</f>
        <v>No Disp</v>
      </c>
      <c r="AN655" s="100" t="s">
        <v>43</v>
      </c>
      <c r="AO655" s="100" t="s">
        <v>43</v>
      </c>
      <c r="AP655" s="100" t="str">
        <f>IF(AO655&lt;&gt;"No Disp",AN655+12*AO655,"No Disp")</f>
        <v>No Disp</v>
      </c>
      <c r="AQ655" s="100" t="s">
        <v>43</v>
      </c>
      <c r="AR655" s="100" t="s">
        <v>43</v>
      </c>
      <c r="AS655" s="100" t="str">
        <f>IF(AR655&lt;&gt;"No Disp",AQ655+12*AR655,"No Disp")</f>
        <v>No Disp</v>
      </c>
    </row>
    <row r="656" spans="1:45" s="101" customFormat="1" x14ac:dyDescent="0.25">
      <c r="A656" s="90" t="s">
        <v>38</v>
      </c>
      <c r="B656" s="90" t="s">
        <v>40</v>
      </c>
      <c r="C656" s="90" t="s">
        <v>39</v>
      </c>
      <c r="D656" s="90" t="s">
        <v>4539</v>
      </c>
      <c r="E656" s="90" t="s">
        <v>4538</v>
      </c>
      <c r="F656" s="91">
        <v>632</v>
      </c>
      <c r="G656" s="92">
        <v>70013900</v>
      </c>
      <c r="H656" s="91">
        <v>70013901</v>
      </c>
      <c r="I656" s="93" t="s">
        <v>171</v>
      </c>
      <c r="J656" s="94" t="s">
        <v>2856</v>
      </c>
      <c r="K656" s="94" t="s">
        <v>2959</v>
      </c>
      <c r="L656" s="94" t="s">
        <v>2971</v>
      </c>
      <c r="M656" s="95">
        <v>329900</v>
      </c>
      <c r="N656" s="95">
        <v>4000</v>
      </c>
      <c r="O656" s="95">
        <v>6000</v>
      </c>
      <c r="P656" s="96">
        <v>399990</v>
      </c>
      <c r="Q656" s="152"/>
      <c r="R656" s="95">
        <v>369990</v>
      </c>
      <c r="S656" s="95">
        <f>R656/24</f>
        <v>15416.25</v>
      </c>
      <c r="T656" s="95">
        <v>329900</v>
      </c>
      <c r="U656" s="95">
        <f>T656/24</f>
        <v>13745.833333333334</v>
      </c>
      <c r="V656" s="95">
        <v>329900</v>
      </c>
      <c r="W656" s="95">
        <f>V656/24</f>
        <v>13745.833333333334</v>
      </c>
      <c r="X656" s="128"/>
      <c r="Y656" s="95">
        <v>0</v>
      </c>
      <c r="Z656" s="95">
        <v>31000</v>
      </c>
      <c r="AA656" s="95">
        <f>IFERROR(IF(D656="Premium",0.4*Y656,0),"No Disp")</f>
        <v>0</v>
      </c>
      <c r="AB656" s="95">
        <f>IFERROR(IF(4*Y656&gt;AC656,1.5*Y656,4*Y656),"No Disp")</f>
        <v>0</v>
      </c>
      <c r="AC656" s="95">
        <f>IF(Z656="No Disp","No Disp",(Z656*18)+Y656)</f>
        <v>558000</v>
      </c>
      <c r="AD656" s="95">
        <f>18*Z656-100+Y656</f>
        <v>557900</v>
      </c>
      <c r="AE656" s="95">
        <v>0</v>
      </c>
      <c r="AF656" s="95">
        <v>28000</v>
      </c>
      <c r="AG656" s="95">
        <f>IF(AF656="No Disp","No Disp",(AF656*18)+AE656)</f>
        <v>504000</v>
      </c>
      <c r="AH656" s="98">
        <f>18*AF656-100+AE656</f>
        <v>503900</v>
      </c>
      <c r="AI656" s="95" t="s">
        <v>4613</v>
      </c>
      <c r="AJ656" s="99"/>
      <c r="AK656" s="100" t="s">
        <v>43</v>
      </c>
      <c r="AL656" s="100" t="s">
        <v>43</v>
      </c>
      <c r="AM656" s="100" t="str">
        <f>IF(AL656&lt;&gt;"No Disp",AK656+12*AL656,"No Disp")</f>
        <v>No Disp</v>
      </c>
      <c r="AN656" s="100" t="s">
        <v>43</v>
      </c>
      <c r="AO656" s="100" t="s">
        <v>43</v>
      </c>
      <c r="AP656" s="100" t="str">
        <f>IF(AO656&lt;&gt;"No Disp",AN656+12*AO656,"No Disp")</f>
        <v>No Disp</v>
      </c>
      <c r="AQ656" s="100" t="s">
        <v>43</v>
      </c>
      <c r="AR656" s="100" t="s">
        <v>43</v>
      </c>
      <c r="AS656" s="100" t="str">
        <f>IF(AR656&lt;&gt;"No Disp",AQ656+12*AR656,"No Disp")</f>
        <v>No Disp</v>
      </c>
    </row>
    <row r="657" spans="1:45" s="101" customFormat="1" x14ac:dyDescent="0.25">
      <c r="A657" s="90" t="s">
        <v>38</v>
      </c>
      <c r="B657" s="90" t="s">
        <v>40</v>
      </c>
      <c r="C657" s="90" t="s">
        <v>39</v>
      </c>
      <c r="D657" s="90" t="s">
        <v>4539</v>
      </c>
      <c r="E657" s="90" t="s">
        <v>4538</v>
      </c>
      <c r="F657" s="91">
        <v>633</v>
      </c>
      <c r="G657" s="92">
        <v>70013904</v>
      </c>
      <c r="H657" s="91">
        <v>70013905</v>
      </c>
      <c r="I657" s="93" t="s">
        <v>171</v>
      </c>
      <c r="J657" s="94" t="s">
        <v>2856</v>
      </c>
      <c r="K657" s="94" t="s">
        <v>2958</v>
      </c>
      <c r="L657" s="94" t="s">
        <v>2970</v>
      </c>
      <c r="M657" s="95">
        <v>329900</v>
      </c>
      <c r="N657" s="95">
        <v>4000</v>
      </c>
      <c r="O657" s="95">
        <v>6000</v>
      </c>
      <c r="P657" s="96">
        <v>399990</v>
      </c>
      <c r="Q657" s="152"/>
      <c r="R657" s="95">
        <v>369990</v>
      </c>
      <c r="S657" s="95">
        <f>R657/24</f>
        <v>15416.25</v>
      </c>
      <c r="T657" s="95">
        <v>329900</v>
      </c>
      <c r="U657" s="95">
        <f>T657/24</f>
        <v>13745.833333333334</v>
      </c>
      <c r="V657" s="95">
        <v>329900</v>
      </c>
      <c r="W657" s="95">
        <f>V657/24</f>
        <v>13745.833333333334</v>
      </c>
      <c r="X657" s="128"/>
      <c r="Y657" s="95">
        <v>0</v>
      </c>
      <c r="Z657" s="95">
        <v>31000</v>
      </c>
      <c r="AA657" s="95">
        <f>IFERROR(IF(D657="Premium",0.4*Y657,0),"No Disp")</f>
        <v>0</v>
      </c>
      <c r="AB657" s="95">
        <f>IFERROR(IF(4*Y657&gt;AC657,1.5*Y657,4*Y657),"No Disp")</f>
        <v>0</v>
      </c>
      <c r="AC657" s="95">
        <f>IF(Z657="No Disp","No Disp",(Z657*18)+Y657)</f>
        <v>558000</v>
      </c>
      <c r="AD657" s="95">
        <f>18*Z657-100+Y657</f>
        <v>557900</v>
      </c>
      <c r="AE657" s="95">
        <v>0</v>
      </c>
      <c r="AF657" s="95">
        <v>28000</v>
      </c>
      <c r="AG657" s="95">
        <f>IF(AF657="No Disp","No Disp",(AF657*18)+AE657)</f>
        <v>504000</v>
      </c>
      <c r="AH657" s="98">
        <f>18*AF657-100+AE657</f>
        <v>503900</v>
      </c>
      <c r="AI657" s="95" t="s">
        <v>4613</v>
      </c>
      <c r="AJ657" s="99"/>
      <c r="AK657" s="100" t="s">
        <v>43</v>
      </c>
      <c r="AL657" s="100" t="s">
        <v>43</v>
      </c>
      <c r="AM657" s="100" t="str">
        <f>IF(AL657&lt;&gt;"No Disp",AK657+12*AL657,"No Disp")</f>
        <v>No Disp</v>
      </c>
      <c r="AN657" s="100" t="s">
        <v>43</v>
      </c>
      <c r="AO657" s="100" t="s">
        <v>43</v>
      </c>
      <c r="AP657" s="100" t="str">
        <f>IF(AO657&lt;&gt;"No Disp",AN657+12*AO657,"No Disp")</f>
        <v>No Disp</v>
      </c>
      <c r="AQ657" s="100" t="s">
        <v>43</v>
      </c>
      <c r="AR657" s="100" t="s">
        <v>43</v>
      </c>
      <c r="AS657" s="100" t="str">
        <f>IF(AR657&lt;&gt;"No Disp",AQ657+12*AR657,"No Disp")</f>
        <v>No Disp</v>
      </c>
    </row>
    <row r="658" spans="1:45" s="101" customFormat="1" x14ac:dyDescent="0.25">
      <c r="A658" s="90" t="s">
        <v>38</v>
      </c>
      <c r="B658" s="90" t="s">
        <v>40</v>
      </c>
      <c r="C658" s="90" t="s">
        <v>39</v>
      </c>
      <c r="D658" s="90" t="s">
        <v>4539</v>
      </c>
      <c r="E658" s="90" t="s">
        <v>4538</v>
      </c>
      <c r="F658" s="91">
        <v>630</v>
      </c>
      <c r="G658" s="92">
        <v>70013908</v>
      </c>
      <c r="H658" s="91">
        <v>70013909</v>
      </c>
      <c r="I658" s="93" t="s">
        <v>171</v>
      </c>
      <c r="J658" s="94" t="s">
        <v>2969</v>
      </c>
      <c r="K658" s="94" t="s">
        <v>2963</v>
      </c>
      <c r="L658" s="94" t="s">
        <v>2974</v>
      </c>
      <c r="M658" s="95">
        <v>229900</v>
      </c>
      <c r="N658" s="95">
        <v>4000</v>
      </c>
      <c r="O658" s="95">
        <v>6000</v>
      </c>
      <c r="P658" s="96">
        <v>349990</v>
      </c>
      <c r="Q658" s="152"/>
      <c r="R658" s="95">
        <v>259990</v>
      </c>
      <c r="S658" s="95">
        <f>R658/24</f>
        <v>10832.916666666666</v>
      </c>
      <c r="T658" s="95">
        <v>229900</v>
      </c>
      <c r="U658" s="95">
        <f>T658/24</f>
        <v>9579.1666666666661</v>
      </c>
      <c r="V658" s="95">
        <v>229900</v>
      </c>
      <c r="W658" s="95">
        <f>V658/24</f>
        <v>9579.1666666666661</v>
      </c>
      <c r="X658" s="128"/>
      <c r="Y658" s="95">
        <v>0</v>
      </c>
      <c r="Z658" s="95">
        <v>22000</v>
      </c>
      <c r="AA658" s="95">
        <f>IFERROR(IF(D658="Premium",0.4*Y658,0),"No Disp")</f>
        <v>0</v>
      </c>
      <c r="AB658" s="95">
        <f>IFERROR(IF(4*Y658&gt;AC658,1.5*Y658,4*Y658),"No Disp")</f>
        <v>0</v>
      </c>
      <c r="AC658" s="95">
        <f>IF(Z658="No Disp","No Disp",(Z658*18)+Y658)</f>
        <v>396000</v>
      </c>
      <c r="AD658" s="95">
        <f>18*Z658-100+Y658</f>
        <v>395900</v>
      </c>
      <c r="AE658" s="95">
        <v>0</v>
      </c>
      <c r="AF658" s="95">
        <v>20000</v>
      </c>
      <c r="AG658" s="95">
        <f>IF(AF658="No Disp","No Disp",(AF658*18)+AE658)</f>
        <v>360000</v>
      </c>
      <c r="AH658" s="98">
        <f>18*AF658-100+AE658</f>
        <v>359900</v>
      </c>
      <c r="AI658" s="95" t="s">
        <v>4613</v>
      </c>
      <c r="AJ658" s="99"/>
      <c r="AK658" s="100" t="s">
        <v>43</v>
      </c>
      <c r="AL658" s="100" t="s">
        <v>43</v>
      </c>
      <c r="AM658" s="100" t="str">
        <f>IF(AL658&lt;&gt;"No Disp",AK658+12*AL658,"No Disp")</f>
        <v>No Disp</v>
      </c>
      <c r="AN658" s="100" t="s">
        <v>43</v>
      </c>
      <c r="AO658" s="100" t="s">
        <v>43</v>
      </c>
      <c r="AP658" s="100" t="str">
        <f>IF(AO658&lt;&gt;"No Disp",AN658+12*AO658,"No Disp")</f>
        <v>No Disp</v>
      </c>
      <c r="AQ658" s="100" t="s">
        <v>43</v>
      </c>
      <c r="AR658" s="100" t="s">
        <v>43</v>
      </c>
      <c r="AS658" s="100" t="str">
        <f>IF(AR658&lt;&gt;"No Disp",AQ658+12*AR658,"No Disp")</f>
        <v>No Disp</v>
      </c>
    </row>
    <row r="659" spans="1:45" s="101" customFormat="1" x14ac:dyDescent="0.25">
      <c r="A659" s="90" t="s">
        <v>38</v>
      </c>
      <c r="B659" s="90" t="s">
        <v>40</v>
      </c>
      <c r="C659" s="90" t="s">
        <v>39</v>
      </c>
      <c r="D659" s="90" t="s">
        <v>4539</v>
      </c>
      <c r="E659" s="90" t="s">
        <v>4538</v>
      </c>
      <c r="F659" s="91">
        <v>628</v>
      </c>
      <c r="G659" s="92">
        <v>70013912</v>
      </c>
      <c r="H659" s="91">
        <v>70013913</v>
      </c>
      <c r="I659" s="93" t="s">
        <v>171</v>
      </c>
      <c r="J659" s="94" t="s">
        <v>2969</v>
      </c>
      <c r="K659" s="94" t="s">
        <v>2965</v>
      </c>
      <c r="L659" s="94" t="s">
        <v>2976</v>
      </c>
      <c r="M659" s="95">
        <v>229900</v>
      </c>
      <c r="N659" s="95">
        <v>4000</v>
      </c>
      <c r="O659" s="95">
        <v>6000</v>
      </c>
      <c r="P659" s="96">
        <v>349990</v>
      </c>
      <c r="Q659" s="152"/>
      <c r="R659" s="95">
        <v>259990</v>
      </c>
      <c r="S659" s="95">
        <f>R659/24</f>
        <v>10832.916666666666</v>
      </c>
      <c r="T659" s="95">
        <v>229900</v>
      </c>
      <c r="U659" s="95">
        <f>T659/24</f>
        <v>9579.1666666666661</v>
      </c>
      <c r="V659" s="95">
        <v>229900</v>
      </c>
      <c r="W659" s="95">
        <f>V659/24</f>
        <v>9579.1666666666661</v>
      </c>
      <c r="X659" s="128"/>
      <c r="Y659" s="95">
        <v>0</v>
      </c>
      <c r="Z659" s="95">
        <v>22000</v>
      </c>
      <c r="AA659" s="95">
        <f>IFERROR(IF(D659="Premium",0.4*Y659,0),"No Disp")</f>
        <v>0</v>
      </c>
      <c r="AB659" s="95">
        <f>IFERROR(IF(4*Y659&gt;AC659,1.5*Y659,4*Y659),"No Disp")</f>
        <v>0</v>
      </c>
      <c r="AC659" s="95">
        <f>IF(Z659="No Disp","No Disp",(Z659*18)+Y659)</f>
        <v>396000</v>
      </c>
      <c r="AD659" s="95">
        <f>18*Z659-100+Y659</f>
        <v>395900</v>
      </c>
      <c r="AE659" s="95">
        <v>0</v>
      </c>
      <c r="AF659" s="95">
        <v>20000</v>
      </c>
      <c r="AG659" s="95">
        <f>IF(AF659="No Disp","No Disp",(AF659*18)+AE659)</f>
        <v>360000</v>
      </c>
      <c r="AH659" s="98">
        <f>18*AF659-100+AE659</f>
        <v>359900</v>
      </c>
      <c r="AI659" s="95" t="s">
        <v>4613</v>
      </c>
      <c r="AJ659" s="99"/>
      <c r="AK659" s="100" t="s">
        <v>43</v>
      </c>
      <c r="AL659" s="100" t="s">
        <v>43</v>
      </c>
      <c r="AM659" s="100" t="str">
        <f>IF(AL659&lt;&gt;"No Disp",AK659+12*AL659,"No Disp")</f>
        <v>No Disp</v>
      </c>
      <c r="AN659" s="100" t="s">
        <v>43</v>
      </c>
      <c r="AO659" s="100" t="s">
        <v>43</v>
      </c>
      <c r="AP659" s="100" t="str">
        <f>IF(AO659&lt;&gt;"No Disp",AN659+12*AO659,"No Disp")</f>
        <v>No Disp</v>
      </c>
      <c r="AQ659" s="100" t="s">
        <v>43</v>
      </c>
      <c r="AR659" s="100" t="s">
        <v>43</v>
      </c>
      <c r="AS659" s="100" t="str">
        <f>IF(AR659&lt;&gt;"No Disp",AQ659+12*AR659,"No Disp")</f>
        <v>No Disp</v>
      </c>
    </row>
    <row r="660" spans="1:45" s="101" customFormat="1" x14ac:dyDescent="0.25">
      <c r="A660" s="90" t="s">
        <v>38</v>
      </c>
      <c r="B660" s="90" t="s">
        <v>39</v>
      </c>
      <c r="C660" s="90" t="s">
        <v>40</v>
      </c>
      <c r="D660" s="90" t="s">
        <v>4539</v>
      </c>
      <c r="E660" s="90" t="s">
        <v>4538</v>
      </c>
      <c r="F660" s="91">
        <v>611</v>
      </c>
      <c r="G660" s="92">
        <v>70013916</v>
      </c>
      <c r="H660" s="91">
        <v>70013917</v>
      </c>
      <c r="I660" s="93" t="s">
        <v>131</v>
      </c>
      <c r="J660" s="94" t="s">
        <v>2852</v>
      </c>
      <c r="K660" s="94" t="s">
        <v>2930</v>
      </c>
      <c r="L660" s="94" t="s">
        <v>2950</v>
      </c>
      <c r="M660" s="95">
        <v>179900</v>
      </c>
      <c r="N660" s="95">
        <v>2500</v>
      </c>
      <c r="O660" s="95">
        <v>4000</v>
      </c>
      <c r="P660" s="96">
        <v>229990</v>
      </c>
      <c r="Q660" s="152"/>
      <c r="R660" s="95">
        <v>199990</v>
      </c>
      <c r="S660" s="95">
        <f>R660/24</f>
        <v>8332.9166666666661</v>
      </c>
      <c r="T660" s="95">
        <v>179900</v>
      </c>
      <c r="U660" s="95">
        <f>T660/24</f>
        <v>7495.833333333333</v>
      </c>
      <c r="V660" s="95">
        <v>179900</v>
      </c>
      <c r="W660" s="95">
        <f>V660/24</f>
        <v>7495.833333333333</v>
      </c>
      <c r="X660" s="128"/>
      <c r="Y660" s="95">
        <v>0</v>
      </c>
      <c r="Z660" s="95">
        <v>18000</v>
      </c>
      <c r="AA660" s="95">
        <f>IFERROR(IF(D660="Premium",0.4*Y660,0),"No Disp")</f>
        <v>0</v>
      </c>
      <c r="AB660" s="95">
        <f>IFERROR(IF(4*Y660&gt;AC660,1.5*Y660,4*Y660),"No Disp")</f>
        <v>0</v>
      </c>
      <c r="AC660" s="95">
        <f>IF(Z660="No Disp","No Disp",(Z660*18)+Y660)</f>
        <v>324000</v>
      </c>
      <c r="AD660" s="95">
        <f>18*Z660-100+Y660</f>
        <v>323900</v>
      </c>
      <c r="AE660" s="95">
        <v>0</v>
      </c>
      <c r="AF660" s="95">
        <v>16500</v>
      </c>
      <c r="AG660" s="95">
        <f>IF(AF660="No Disp","No Disp",(AF660*18)+AE660)</f>
        <v>297000</v>
      </c>
      <c r="AH660" s="98">
        <f>18*AF660-100+AE660</f>
        <v>296900</v>
      </c>
      <c r="AI660" s="95" t="s">
        <v>4613</v>
      </c>
      <c r="AJ660" s="99"/>
      <c r="AK660" s="100" t="s">
        <v>43</v>
      </c>
      <c r="AL660" s="100" t="s">
        <v>43</v>
      </c>
      <c r="AM660" s="100" t="str">
        <f>IF(AL660&lt;&gt;"No Disp",AK660+12*AL660,"No Disp")</f>
        <v>No Disp</v>
      </c>
      <c r="AN660" s="100" t="s">
        <v>43</v>
      </c>
      <c r="AO660" s="100" t="s">
        <v>43</v>
      </c>
      <c r="AP660" s="100" t="str">
        <f>IF(AO660&lt;&gt;"No Disp",AN660+12*AO660,"No Disp")</f>
        <v>No Disp</v>
      </c>
      <c r="AQ660" s="100" t="s">
        <v>43</v>
      </c>
      <c r="AR660" s="100" t="s">
        <v>43</v>
      </c>
      <c r="AS660" s="100" t="str">
        <f>IF(AR660&lt;&gt;"No Disp",AQ660+12*AR660,"No Disp")</f>
        <v>No Disp</v>
      </c>
    </row>
    <row r="661" spans="1:45" s="101" customFormat="1" x14ac:dyDescent="0.25">
      <c r="A661" s="90" t="s">
        <v>38</v>
      </c>
      <c r="B661" s="90" t="s">
        <v>39</v>
      </c>
      <c r="C661" s="90" t="s">
        <v>40</v>
      </c>
      <c r="D661" s="90" t="s">
        <v>4539</v>
      </c>
      <c r="E661" s="90" t="s">
        <v>4538</v>
      </c>
      <c r="F661" s="91">
        <v>596</v>
      </c>
      <c r="G661" s="92">
        <v>70013603</v>
      </c>
      <c r="H661" s="91">
        <v>70013917</v>
      </c>
      <c r="I661" s="93" t="s">
        <v>131</v>
      </c>
      <c r="J661" s="94" t="s">
        <v>2852</v>
      </c>
      <c r="K661" s="94" t="s">
        <v>2855</v>
      </c>
      <c r="L661" s="94" t="s">
        <v>2866</v>
      </c>
      <c r="M661" s="95">
        <v>179900</v>
      </c>
      <c r="N661" s="95">
        <v>2500</v>
      </c>
      <c r="O661" s="95">
        <v>4000</v>
      </c>
      <c r="P661" s="96">
        <v>229990</v>
      </c>
      <c r="Q661" s="152"/>
      <c r="R661" s="95">
        <v>199990</v>
      </c>
      <c r="S661" s="95">
        <f>R661/24</f>
        <v>8332.9166666666661</v>
      </c>
      <c r="T661" s="95">
        <v>179900</v>
      </c>
      <c r="U661" s="95">
        <f>T661/24</f>
        <v>7495.833333333333</v>
      </c>
      <c r="V661" s="95">
        <v>179900</v>
      </c>
      <c r="W661" s="95">
        <f>V661/24</f>
        <v>7495.833333333333</v>
      </c>
      <c r="X661" s="128"/>
      <c r="Y661" s="95">
        <v>0</v>
      </c>
      <c r="Z661" s="95">
        <v>18000</v>
      </c>
      <c r="AA661" s="95">
        <f>IFERROR(IF(D661="Premium",0.4*Y661,0),"No Disp")</f>
        <v>0</v>
      </c>
      <c r="AB661" s="95">
        <f>IFERROR(IF(4*Y661&gt;AC661,1.5*Y661,4*Y661),"No Disp")</f>
        <v>0</v>
      </c>
      <c r="AC661" s="95">
        <f>IF(Z661="No Disp","No Disp",(Z661*18)+Y661)</f>
        <v>324000</v>
      </c>
      <c r="AD661" s="95">
        <f>18*Z661-100+Y661</f>
        <v>323900</v>
      </c>
      <c r="AE661" s="95">
        <v>0</v>
      </c>
      <c r="AF661" s="95">
        <v>16500</v>
      </c>
      <c r="AG661" s="95">
        <f>IF(AF661="No Disp","No Disp",(AF661*18)+AE661)</f>
        <v>297000</v>
      </c>
      <c r="AH661" s="98">
        <f>18*AF661-100+AE661</f>
        <v>296900</v>
      </c>
      <c r="AI661" s="95" t="s">
        <v>4613</v>
      </c>
      <c r="AJ661" s="99"/>
      <c r="AK661" s="100" t="s">
        <v>43</v>
      </c>
      <c r="AL661" s="100" t="s">
        <v>43</v>
      </c>
      <c r="AM661" s="100" t="str">
        <f>IF(AL661&lt;&gt;"No Disp",AK661+12*AL661,"No Disp")</f>
        <v>No Disp</v>
      </c>
      <c r="AN661" s="100" t="s">
        <v>43</v>
      </c>
      <c r="AO661" s="100" t="s">
        <v>43</v>
      </c>
      <c r="AP661" s="100" t="str">
        <f>IF(AO661&lt;&gt;"No Disp",AN661+12*AO661,"No Disp")</f>
        <v>No Disp</v>
      </c>
      <c r="AQ661" s="100" t="s">
        <v>43</v>
      </c>
      <c r="AR661" s="100" t="s">
        <v>43</v>
      </c>
      <c r="AS661" s="100" t="str">
        <f>IF(AR661&lt;&gt;"No Disp",AQ661+12*AR661,"No Disp")</f>
        <v>No Disp</v>
      </c>
    </row>
    <row r="662" spans="1:45" s="101" customFormat="1" x14ac:dyDescent="0.25">
      <c r="A662" s="90" t="s">
        <v>38</v>
      </c>
      <c r="B662" s="90" t="s">
        <v>39</v>
      </c>
      <c r="C662" s="90" t="s">
        <v>40</v>
      </c>
      <c r="D662" s="90" t="s">
        <v>4537</v>
      </c>
      <c r="E662" s="90" t="s">
        <v>4538</v>
      </c>
      <c r="F662" s="91">
        <v>643</v>
      </c>
      <c r="G662" s="92">
        <v>70013920</v>
      </c>
      <c r="H662" s="91">
        <v>70013921</v>
      </c>
      <c r="I662" s="93" t="s">
        <v>46</v>
      </c>
      <c r="J662" s="94" t="s">
        <v>2805</v>
      </c>
      <c r="K662" s="94" t="s">
        <v>3298</v>
      </c>
      <c r="L662" s="94" t="s">
        <v>3299</v>
      </c>
      <c r="M662" s="95">
        <v>359900</v>
      </c>
      <c r="N662" s="95">
        <v>6000</v>
      </c>
      <c r="O662" s="95">
        <v>8500</v>
      </c>
      <c r="P662" s="96">
        <v>549990</v>
      </c>
      <c r="Q662" s="152"/>
      <c r="R662" s="95">
        <v>399990</v>
      </c>
      <c r="S662" s="95">
        <f>R662/24</f>
        <v>16666.25</v>
      </c>
      <c r="T662" s="95">
        <v>359900</v>
      </c>
      <c r="U662" s="95">
        <f>T662/24</f>
        <v>14995.833333333334</v>
      </c>
      <c r="V662" s="95">
        <v>359900</v>
      </c>
      <c r="W662" s="95">
        <f>V662/24</f>
        <v>14995.833333333334</v>
      </c>
      <c r="X662" s="128"/>
      <c r="Y662" s="95">
        <v>49900</v>
      </c>
      <c r="Z662" s="95">
        <v>32000</v>
      </c>
      <c r="AA662" s="95">
        <f>IFERROR(IF(D662="Premium",0.4*Y662,0),"No Disp")</f>
        <v>0</v>
      </c>
      <c r="AB662" s="95">
        <f>IFERROR(IF(4*Y662&gt;AC662,1.5*Y662,4*Y662),"No Disp")</f>
        <v>199600</v>
      </c>
      <c r="AC662" s="95">
        <f>IF(Z662="No Disp","No Disp",(Z662*18)+Y662)</f>
        <v>625900</v>
      </c>
      <c r="AD662" s="95">
        <f>18*Z662-100+Y662</f>
        <v>625800</v>
      </c>
      <c r="AE662" s="95">
        <v>29900</v>
      </c>
      <c r="AF662" s="95">
        <v>28000</v>
      </c>
      <c r="AG662" s="95">
        <f>IF(AF662="No Disp","No Disp",(AF662*18)+AE662)</f>
        <v>533900</v>
      </c>
      <c r="AH662" s="98">
        <f>18*AF662-100+AE662</f>
        <v>533800</v>
      </c>
      <c r="AI662" s="95" t="s">
        <v>4613</v>
      </c>
      <c r="AJ662" s="99"/>
      <c r="AK662" s="100">
        <v>0</v>
      </c>
      <c r="AL662" s="100">
        <v>22000</v>
      </c>
      <c r="AM662" s="100">
        <f>IF(AL662&lt;&gt;"No Disp",AK662+12*AL662,"No Disp")</f>
        <v>264000</v>
      </c>
      <c r="AN662" s="100">
        <v>0</v>
      </c>
      <c r="AO662" s="100">
        <v>22000</v>
      </c>
      <c r="AP662" s="100">
        <f>IF(AO662&lt;&gt;"No Disp",AN662+12*AO662,"No Disp")</f>
        <v>264000</v>
      </c>
      <c r="AQ662" s="100">
        <v>0</v>
      </c>
      <c r="AR662" s="100">
        <v>22000</v>
      </c>
      <c r="AS662" s="100">
        <f>IF(AR662&lt;&gt;"No Disp",AQ662+12*AR662,"No Disp")</f>
        <v>264000</v>
      </c>
    </row>
    <row r="663" spans="1:45" s="101" customFormat="1" x14ac:dyDescent="0.25">
      <c r="A663" s="90" t="s">
        <v>38</v>
      </c>
      <c r="B663" s="90" t="s">
        <v>39</v>
      </c>
      <c r="C663" s="90" t="s">
        <v>40</v>
      </c>
      <c r="D663" s="90" t="s">
        <v>4539</v>
      </c>
      <c r="E663" s="90" t="s">
        <v>4538</v>
      </c>
      <c r="F663" s="91">
        <v>617</v>
      </c>
      <c r="G663" s="92">
        <v>70013926</v>
      </c>
      <c r="H663" s="91">
        <v>70013927</v>
      </c>
      <c r="I663" s="93" t="s">
        <v>41</v>
      </c>
      <c r="J663" s="94" t="s">
        <v>2940</v>
      </c>
      <c r="K663" s="94" t="s">
        <v>4300</v>
      </c>
      <c r="L663" s="94" t="s">
        <v>2944</v>
      </c>
      <c r="M663" s="95">
        <v>258960</v>
      </c>
      <c r="N663" s="95">
        <v>4000</v>
      </c>
      <c r="O663" s="95">
        <v>6000</v>
      </c>
      <c r="P663" s="96">
        <v>349990</v>
      </c>
      <c r="Q663" s="152"/>
      <c r="R663" s="95">
        <v>288990</v>
      </c>
      <c r="S663" s="95">
        <f>R663/24</f>
        <v>12041.25</v>
      </c>
      <c r="T663" s="95">
        <v>258960</v>
      </c>
      <c r="U663" s="95">
        <f>T663/24</f>
        <v>10790</v>
      </c>
      <c r="V663" s="95">
        <v>258960</v>
      </c>
      <c r="W663" s="95">
        <f>V663/24</f>
        <v>10790</v>
      </c>
      <c r="X663" s="128"/>
      <c r="Y663" s="95">
        <v>19900</v>
      </c>
      <c r="Z663" s="95">
        <v>26000</v>
      </c>
      <c r="AA663" s="95">
        <f>IFERROR(IF(D663="Premium",0.4*Y663,0),"No Disp")</f>
        <v>0</v>
      </c>
      <c r="AB663" s="95">
        <f>IFERROR(IF(4*Y663&gt;AC663,1.5*Y663,4*Y663),"No Disp")</f>
        <v>79600</v>
      </c>
      <c r="AC663" s="95">
        <f>IF(Z663="No Disp","No Disp",(Z663*18)+Y663)</f>
        <v>487900</v>
      </c>
      <c r="AD663" s="95">
        <f>18*Z663-100+Y663</f>
        <v>487800</v>
      </c>
      <c r="AE663" s="95">
        <v>0</v>
      </c>
      <c r="AF663" s="95">
        <v>25000</v>
      </c>
      <c r="AG663" s="95">
        <f>IF(AF663="No Disp","No Disp",(AF663*18)+AE663)</f>
        <v>450000</v>
      </c>
      <c r="AH663" s="98">
        <f>18*AF663-100+AE663</f>
        <v>449900</v>
      </c>
      <c r="AI663" s="95" t="s">
        <v>4613</v>
      </c>
      <c r="AJ663" s="99"/>
      <c r="AK663" s="100" t="s">
        <v>43</v>
      </c>
      <c r="AL663" s="100" t="s">
        <v>43</v>
      </c>
      <c r="AM663" s="100" t="str">
        <f>IF(AL663&lt;&gt;"No Disp",AK663+12*AL663,"No Disp")</f>
        <v>No Disp</v>
      </c>
      <c r="AN663" s="100" t="s">
        <v>43</v>
      </c>
      <c r="AO663" s="100" t="s">
        <v>43</v>
      </c>
      <c r="AP663" s="100" t="str">
        <f>IF(AO663&lt;&gt;"No Disp",AN663+12*AO663,"No Disp")</f>
        <v>No Disp</v>
      </c>
      <c r="AQ663" s="100" t="s">
        <v>43</v>
      </c>
      <c r="AR663" s="100" t="s">
        <v>43</v>
      </c>
      <c r="AS663" s="100" t="str">
        <f>IF(AR663&lt;&gt;"No Disp",AQ663+12*AR663,"No Disp")</f>
        <v>No Disp</v>
      </c>
    </row>
    <row r="664" spans="1:45" s="101" customFormat="1" x14ac:dyDescent="0.25">
      <c r="A664" s="90" t="s">
        <v>38</v>
      </c>
      <c r="B664" s="90" t="s">
        <v>39</v>
      </c>
      <c r="C664" s="90" t="s">
        <v>40</v>
      </c>
      <c r="D664" s="90" t="s">
        <v>4539</v>
      </c>
      <c r="E664" s="90" t="s">
        <v>4538</v>
      </c>
      <c r="F664" s="91">
        <v>616</v>
      </c>
      <c r="G664" s="92">
        <v>70013928</v>
      </c>
      <c r="H664" s="91">
        <v>70013929</v>
      </c>
      <c r="I664" s="93" t="s">
        <v>41</v>
      </c>
      <c r="J664" s="94" t="s">
        <v>2940</v>
      </c>
      <c r="K664" s="94" t="s">
        <v>4301</v>
      </c>
      <c r="L664" s="94" t="s">
        <v>2945</v>
      </c>
      <c r="M664" s="95">
        <v>258960</v>
      </c>
      <c r="N664" s="95">
        <v>4000</v>
      </c>
      <c r="O664" s="95">
        <v>6000</v>
      </c>
      <c r="P664" s="96">
        <v>349990</v>
      </c>
      <c r="Q664" s="152"/>
      <c r="R664" s="95">
        <v>288990</v>
      </c>
      <c r="S664" s="95">
        <f>R664/24</f>
        <v>12041.25</v>
      </c>
      <c r="T664" s="95">
        <v>258960</v>
      </c>
      <c r="U664" s="95">
        <f>T664/24</f>
        <v>10790</v>
      </c>
      <c r="V664" s="95">
        <v>258960</v>
      </c>
      <c r="W664" s="95">
        <f>V664/24</f>
        <v>10790</v>
      </c>
      <c r="X664" s="128"/>
      <c r="Y664" s="95">
        <v>19900</v>
      </c>
      <c r="Z664" s="95">
        <v>26000</v>
      </c>
      <c r="AA664" s="95">
        <f>IFERROR(IF(D664="Premium",0.4*Y664,0),"No Disp")</f>
        <v>0</v>
      </c>
      <c r="AB664" s="95">
        <f>IFERROR(IF(4*Y664&gt;AC664,1.5*Y664,4*Y664),"No Disp")</f>
        <v>79600</v>
      </c>
      <c r="AC664" s="95">
        <f>IF(Z664="No Disp","No Disp",(Z664*18)+Y664)</f>
        <v>487900</v>
      </c>
      <c r="AD664" s="95">
        <f>18*Z664-100+Y664</f>
        <v>487800</v>
      </c>
      <c r="AE664" s="95">
        <v>0</v>
      </c>
      <c r="AF664" s="95">
        <v>25000</v>
      </c>
      <c r="AG664" s="95">
        <f>IF(AF664="No Disp","No Disp",(AF664*18)+AE664)</f>
        <v>450000</v>
      </c>
      <c r="AH664" s="98">
        <f>18*AF664-100+AE664</f>
        <v>449900</v>
      </c>
      <c r="AI664" s="95" t="s">
        <v>4613</v>
      </c>
      <c r="AJ664" s="99"/>
      <c r="AK664" s="100" t="s">
        <v>43</v>
      </c>
      <c r="AL664" s="100" t="s">
        <v>43</v>
      </c>
      <c r="AM664" s="100" t="str">
        <f>IF(AL664&lt;&gt;"No Disp",AK664+12*AL664,"No Disp")</f>
        <v>No Disp</v>
      </c>
      <c r="AN664" s="100" t="s">
        <v>43</v>
      </c>
      <c r="AO664" s="100" t="s">
        <v>43</v>
      </c>
      <c r="AP664" s="100" t="str">
        <f>IF(AO664&lt;&gt;"No Disp",AN664+12*AO664,"No Disp")</f>
        <v>No Disp</v>
      </c>
      <c r="AQ664" s="100" t="s">
        <v>43</v>
      </c>
      <c r="AR664" s="100" t="s">
        <v>43</v>
      </c>
      <c r="AS664" s="100" t="str">
        <f>IF(AR664&lt;&gt;"No Disp",AQ664+12*AR664,"No Disp")</f>
        <v>No Disp</v>
      </c>
    </row>
    <row r="665" spans="1:45" s="101" customFormat="1" x14ac:dyDescent="0.25">
      <c r="A665" s="90" t="s">
        <v>38</v>
      </c>
      <c r="B665" s="90" t="s">
        <v>39</v>
      </c>
      <c r="C665" s="90" t="s">
        <v>40</v>
      </c>
      <c r="D665" s="90" t="s">
        <v>4539</v>
      </c>
      <c r="E665" s="90" t="s">
        <v>4538</v>
      </c>
      <c r="F665" s="91">
        <v>615</v>
      </c>
      <c r="G665" s="92">
        <v>70013933</v>
      </c>
      <c r="H665" s="91">
        <v>70013934</v>
      </c>
      <c r="I665" s="93" t="s">
        <v>41</v>
      </c>
      <c r="J665" s="94" t="s">
        <v>2940</v>
      </c>
      <c r="K665" s="94" t="s">
        <v>4302</v>
      </c>
      <c r="L665" s="94" t="s">
        <v>2946</v>
      </c>
      <c r="M665" s="95">
        <v>258960</v>
      </c>
      <c r="N665" s="95">
        <v>4000</v>
      </c>
      <c r="O665" s="95">
        <v>6000</v>
      </c>
      <c r="P665" s="96">
        <v>349990</v>
      </c>
      <c r="Q665" s="152"/>
      <c r="R665" s="95">
        <v>288990</v>
      </c>
      <c r="S665" s="95">
        <f>R665/24</f>
        <v>12041.25</v>
      </c>
      <c r="T665" s="95">
        <v>258960</v>
      </c>
      <c r="U665" s="95">
        <f>T665/24</f>
        <v>10790</v>
      </c>
      <c r="V665" s="95">
        <v>258960</v>
      </c>
      <c r="W665" s="95">
        <f>V665/24</f>
        <v>10790</v>
      </c>
      <c r="X665" s="128"/>
      <c r="Y665" s="95">
        <v>19900</v>
      </c>
      <c r="Z665" s="95">
        <v>26000</v>
      </c>
      <c r="AA665" s="95">
        <f>IFERROR(IF(D665="Premium",0.4*Y665,0),"No Disp")</f>
        <v>0</v>
      </c>
      <c r="AB665" s="95">
        <f>IFERROR(IF(4*Y665&gt;AC665,1.5*Y665,4*Y665),"No Disp")</f>
        <v>79600</v>
      </c>
      <c r="AC665" s="95">
        <f>IF(Z665="No Disp","No Disp",(Z665*18)+Y665)</f>
        <v>487900</v>
      </c>
      <c r="AD665" s="95">
        <f>18*Z665-100+Y665</f>
        <v>487800</v>
      </c>
      <c r="AE665" s="95">
        <v>0</v>
      </c>
      <c r="AF665" s="95">
        <v>25000</v>
      </c>
      <c r="AG665" s="95">
        <f>IF(AF665="No Disp","No Disp",(AF665*18)+AE665)</f>
        <v>450000</v>
      </c>
      <c r="AH665" s="98">
        <f>18*AF665-100+AE665</f>
        <v>449900</v>
      </c>
      <c r="AI665" s="95" t="s">
        <v>4613</v>
      </c>
      <c r="AJ665" s="99"/>
      <c r="AK665" s="100" t="s">
        <v>43</v>
      </c>
      <c r="AL665" s="100" t="s">
        <v>43</v>
      </c>
      <c r="AM665" s="100" t="str">
        <f>IF(AL665&lt;&gt;"No Disp",AK665+12*AL665,"No Disp")</f>
        <v>No Disp</v>
      </c>
      <c r="AN665" s="100" t="s">
        <v>43</v>
      </c>
      <c r="AO665" s="100" t="s">
        <v>43</v>
      </c>
      <c r="AP665" s="100" t="str">
        <f>IF(AO665&lt;&gt;"No Disp",AN665+12*AO665,"No Disp")</f>
        <v>No Disp</v>
      </c>
      <c r="AQ665" s="100" t="s">
        <v>43</v>
      </c>
      <c r="AR665" s="100" t="s">
        <v>43</v>
      </c>
      <c r="AS665" s="100" t="str">
        <f>IF(AR665&lt;&gt;"No Disp",AQ665+12*AR665,"No Disp")</f>
        <v>No Disp</v>
      </c>
    </row>
    <row r="666" spans="1:45" s="101" customFormat="1" x14ac:dyDescent="0.25">
      <c r="A666" s="90" t="s">
        <v>38</v>
      </c>
      <c r="B666" s="90" t="s">
        <v>39</v>
      </c>
      <c r="C666" s="90" t="s">
        <v>40</v>
      </c>
      <c r="D666" s="90" t="s">
        <v>4539</v>
      </c>
      <c r="E666" s="90" t="s">
        <v>4538</v>
      </c>
      <c r="F666" s="91">
        <v>620</v>
      </c>
      <c r="G666" s="92">
        <v>70013949</v>
      </c>
      <c r="H666" s="91">
        <v>70013950</v>
      </c>
      <c r="I666" s="93" t="s">
        <v>41</v>
      </c>
      <c r="J666" s="94" t="s">
        <v>2940</v>
      </c>
      <c r="K666" s="94" t="s">
        <v>2931</v>
      </c>
      <c r="L666" s="94" t="s">
        <v>2941</v>
      </c>
      <c r="M666" s="95">
        <v>258960</v>
      </c>
      <c r="N666" s="95">
        <v>4000</v>
      </c>
      <c r="O666" s="95">
        <v>6000</v>
      </c>
      <c r="P666" s="96">
        <v>349990</v>
      </c>
      <c r="Q666" s="152"/>
      <c r="R666" s="95">
        <v>288990</v>
      </c>
      <c r="S666" s="95">
        <f>R666/24</f>
        <v>12041.25</v>
      </c>
      <c r="T666" s="95">
        <v>258960</v>
      </c>
      <c r="U666" s="95">
        <f>T666/24</f>
        <v>10790</v>
      </c>
      <c r="V666" s="95">
        <v>258960</v>
      </c>
      <c r="W666" s="95">
        <f>V666/24</f>
        <v>10790</v>
      </c>
      <c r="X666" s="128"/>
      <c r="Y666" s="95">
        <v>19900</v>
      </c>
      <c r="Z666" s="95">
        <v>26000</v>
      </c>
      <c r="AA666" s="95">
        <f>IFERROR(IF(D666="Premium",0.4*Y666,0),"No Disp")</f>
        <v>0</v>
      </c>
      <c r="AB666" s="95">
        <f>IFERROR(IF(4*Y666&gt;AC666,1.5*Y666,4*Y666),"No Disp")</f>
        <v>79600</v>
      </c>
      <c r="AC666" s="95">
        <f>IF(Z666="No Disp","No Disp",(Z666*18)+Y666)</f>
        <v>487900</v>
      </c>
      <c r="AD666" s="95">
        <f>18*Z666-100+Y666</f>
        <v>487800</v>
      </c>
      <c r="AE666" s="95">
        <v>0</v>
      </c>
      <c r="AF666" s="95">
        <v>25000</v>
      </c>
      <c r="AG666" s="95">
        <f>IF(AF666="No Disp","No Disp",(AF666*18)+AE666)</f>
        <v>450000</v>
      </c>
      <c r="AH666" s="98">
        <f>18*AF666-100+AE666</f>
        <v>449900</v>
      </c>
      <c r="AI666" s="95" t="s">
        <v>4613</v>
      </c>
      <c r="AJ666" s="99"/>
      <c r="AK666" s="100" t="s">
        <v>43</v>
      </c>
      <c r="AL666" s="100" t="s">
        <v>43</v>
      </c>
      <c r="AM666" s="100" t="str">
        <f>IF(AL666&lt;&gt;"No Disp",AK666+12*AL666,"No Disp")</f>
        <v>No Disp</v>
      </c>
      <c r="AN666" s="100" t="s">
        <v>43</v>
      </c>
      <c r="AO666" s="100" t="s">
        <v>43</v>
      </c>
      <c r="AP666" s="100" t="str">
        <f>IF(AO666&lt;&gt;"No Disp",AN666+12*AO666,"No Disp")</f>
        <v>No Disp</v>
      </c>
      <c r="AQ666" s="100" t="s">
        <v>43</v>
      </c>
      <c r="AR666" s="100" t="s">
        <v>43</v>
      </c>
      <c r="AS666" s="100" t="str">
        <f>IF(AR666&lt;&gt;"No Disp",AQ666+12*AR666,"No Disp")</f>
        <v>No Disp</v>
      </c>
    </row>
    <row r="667" spans="1:45" s="101" customFormat="1" x14ac:dyDescent="0.25">
      <c r="A667" s="90" t="s">
        <v>38</v>
      </c>
      <c r="B667" s="90" t="s">
        <v>39</v>
      </c>
      <c r="C667" s="90" t="s">
        <v>40</v>
      </c>
      <c r="D667" s="90" t="s">
        <v>4539</v>
      </c>
      <c r="E667" s="90" t="s">
        <v>4538</v>
      </c>
      <c r="F667" s="91">
        <v>619</v>
      </c>
      <c r="G667" s="92">
        <v>70013953</v>
      </c>
      <c r="H667" s="91">
        <v>70013954</v>
      </c>
      <c r="I667" s="93" t="s">
        <v>41</v>
      </c>
      <c r="J667" s="94" t="s">
        <v>2940</v>
      </c>
      <c r="K667" s="94" t="s">
        <v>2932</v>
      </c>
      <c r="L667" s="94" t="s">
        <v>2942</v>
      </c>
      <c r="M667" s="95">
        <v>258960</v>
      </c>
      <c r="N667" s="95">
        <v>4000</v>
      </c>
      <c r="O667" s="95">
        <v>6000</v>
      </c>
      <c r="P667" s="96">
        <v>349990</v>
      </c>
      <c r="Q667" s="152"/>
      <c r="R667" s="95">
        <v>288990</v>
      </c>
      <c r="S667" s="95">
        <f>R667/24</f>
        <v>12041.25</v>
      </c>
      <c r="T667" s="95">
        <v>258960</v>
      </c>
      <c r="U667" s="95">
        <f>T667/24</f>
        <v>10790</v>
      </c>
      <c r="V667" s="95">
        <v>258960</v>
      </c>
      <c r="W667" s="95">
        <f>V667/24</f>
        <v>10790</v>
      </c>
      <c r="X667" s="128"/>
      <c r="Y667" s="95">
        <v>19900</v>
      </c>
      <c r="Z667" s="95">
        <v>26000</v>
      </c>
      <c r="AA667" s="95">
        <f>IFERROR(IF(D667="Premium",0.4*Y667,0),"No Disp")</f>
        <v>0</v>
      </c>
      <c r="AB667" s="95">
        <f>IFERROR(IF(4*Y667&gt;AC667,1.5*Y667,4*Y667),"No Disp")</f>
        <v>79600</v>
      </c>
      <c r="AC667" s="95">
        <f>IF(Z667="No Disp","No Disp",(Z667*18)+Y667)</f>
        <v>487900</v>
      </c>
      <c r="AD667" s="95">
        <f>18*Z667-100+Y667</f>
        <v>487800</v>
      </c>
      <c r="AE667" s="95">
        <v>0</v>
      </c>
      <c r="AF667" s="95">
        <v>25000</v>
      </c>
      <c r="AG667" s="95">
        <f>IF(AF667="No Disp","No Disp",(AF667*18)+AE667)</f>
        <v>450000</v>
      </c>
      <c r="AH667" s="98">
        <f>18*AF667-100+AE667</f>
        <v>449900</v>
      </c>
      <c r="AI667" s="95" t="s">
        <v>4613</v>
      </c>
      <c r="AJ667" s="99"/>
      <c r="AK667" s="100" t="s">
        <v>43</v>
      </c>
      <c r="AL667" s="100" t="s">
        <v>43</v>
      </c>
      <c r="AM667" s="100" t="str">
        <f>IF(AL667&lt;&gt;"No Disp",AK667+12*AL667,"No Disp")</f>
        <v>No Disp</v>
      </c>
      <c r="AN667" s="100" t="s">
        <v>43</v>
      </c>
      <c r="AO667" s="100" t="s">
        <v>43</v>
      </c>
      <c r="AP667" s="100" t="str">
        <f>IF(AO667&lt;&gt;"No Disp",AN667+12*AO667,"No Disp")</f>
        <v>No Disp</v>
      </c>
      <c r="AQ667" s="100" t="s">
        <v>43</v>
      </c>
      <c r="AR667" s="100" t="s">
        <v>43</v>
      </c>
      <c r="AS667" s="100" t="str">
        <f>IF(AR667&lt;&gt;"No Disp",AQ667+12*AR667,"No Disp")</f>
        <v>No Disp</v>
      </c>
    </row>
    <row r="668" spans="1:45" s="101" customFormat="1" x14ac:dyDescent="0.25">
      <c r="A668" s="90" t="s">
        <v>38</v>
      </c>
      <c r="B668" s="90" t="s">
        <v>39</v>
      </c>
      <c r="C668" s="90" t="s">
        <v>40</v>
      </c>
      <c r="D668" s="90" t="s">
        <v>4539</v>
      </c>
      <c r="E668" s="90" t="s">
        <v>4538</v>
      </c>
      <c r="F668" s="91">
        <v>618</v>
      </c>
      <c r="G668" s="92">
        <v>70013957</v>
      </c>
      <c r="H668" s="91">
        <v>70013958</v>
      </c>
      <c r="I668" s="93" t="s">
        <v>41</v>
      </c>
      <c r="J668" s="94" t="s">
        <v>2940</v>
      </c>
      <c r="K668" s="94" t="s">
        <v>2933</v>
      </c>
      <c r="L668" s="94" t="s">
        <v>2943</v>
      </c>
      <c r="M668" s="95">
        <v>258960</v>
      </c>
      <c r="N668" s="95">
        <v>4000</v>
      </c>
      <c r="O668" s="95">
        <v>6000</v>
      </c>
      <c r="P668" s="96">
        <v>349990</v>
      </c>
      <c r="Q668" s="152"/>
      <c r="R668" s="95">
        <v>288990</v>
      </c>
      <c r="S668" s="95">
        <f>R668/24</f>
        <v>12041.25</v>
      </c>
      <c r="T668" s="95">
        <v>258960</v>
      </c>
      <c r="U668" s="95">
        <f>T668/24</f>
        <v>10790</v>
      </c>
      <c r="V668" s="95">
        <v>258960</v>
      </c>
      <c r="W668" s="95">
        <f>V668/24</f>
        <v>10790</v>
      </c>
      <c r="X668" s="128"/>
      <c r="Y668" s="95">
        <v>19900</v>
      </c>
      <c r="Z668" s="95">
        <v>26000</v>
      </c>
      <c r="AA668" s="95">
        <f>IFERROR(IF(D668="Premium",0.4*Y668,0),"No Disp")</f>
        <v>0</v>
      </c>
      <c r="AB668" s="95">
        <f>IFERROR(IF(4*Y668&gt;AC668,1.5*Y668,4*Y668),"No Disp")</f>
        <v>79600</v>
      </c>
      <c r="AC668" s="95">
        <f>IF(Z668="No Disp","No Disp",(Z668*18)+Y668)</f>
        <v>487900</v>
      </c>
      <c r="AD668" s="95">
        <f>18*Z668-100+Y668</f>
        <v>487800</v>
      </c>
      <c r="AE668" s="95">
        <v>0</v>
      </c>
      <c r="AF668" s="95">
        <v>25000</v>
      </c>
      <c r="AG668" s="95">
        <f>IF(AF668="No Disp","No Disp",(AF668*18)+AE668)</f>
        <v>450000</v>
      </c>
      <c r="AH668" s="98">
        <f>18*AF668-100+AE668</f>
        <v>449900</v>
      </c>
      <c r="AI668" s="95" t="s">
        <v>4613</v>
      </c>
      <c r="AJ668" s="99"/>
      <c r="AK668" s="100" t="s">
        <v>43</v>
      </c>
      <c r="AL668" s="100" t="s">
        <v>43</v>
      </c>
      <c r="AM668" s="100" t="str">
        <f>IF(AL668&lt;&gt;"No Disp",AK668+12*AL668,"No Disp")</f>
        <v>No Disp</v>
      </c>
      <c r="AN668" s="100" t="s">
        <v>43</v>
      </c>
      <c r="AO668" s="100" t="s">
        <v>43</v>
      </c>
      <c r="AP668" s="100" t="str">
        <f>IF(AO668&lt;&gt;"No Disp",AN668+12*AO668,"No Disp")</f>
        <v>No Disp</v>
      </c>
      <c r="AQ668" s="100" t="s">
        <v>43</v>
      </c>
      <c r="AR668" s="100" t="s">
        <v>43</v>
      </c>
      <c r="AS668" s="100" t="str">
        <f>IF(AR668&lt;&gt;"No Disp",AQ668+12*AR668,"No Disp")</f>
        <v>No Disp</v>
      </c>
    </row>
    <row r="669" spans="1:45" s="101" customFormat="1" x14ac:dyDescent="0.25">
      <c r="A669" s="90" t="s">
        <v>38</v>
      </c>
      <c r="B669" s="90" t="s">
        <v>40</v>
      </c>
      <c r="C669" s="90" t="s">
        <v>39</v>
      </c>
      <c r="D669" s="90" t="s">
        <v>4540</v>
      </c>
      <c r="E669" s="90" t="s">
        <v>4538</v>
      </c>
      <c r="F669" s="91">
        <v>646</v>
      </c>
      <c r="G669" s="92">
        <v>70014379</v>
      </c>
      <c r="H669" s="91">
        <v>70014380</v>
      </c>
      <c r="I669" s="93" t="s">
        <v>87</v>
      </c>
      <c r="J669" s="94" t="s">
        <v>2783</v>
      </c>
      <c r="K669" s="94" t="s">
        <v>3335</v>
      </c>
      <c r="L669" s="94" t="s">
        <v>3339</v>
      </c>
      <c r="M669" s="95">
        <v>1209900</v>
      </c>
      <c r="N669" s="95">
        <v>9500</v>
      </c>
      <c r="O669" s="95">
        <v>13500</v>
      </c>
      <c r="P669" s="96">
        <v>1499990</v>
      </c>
      <c r="Q669" s="152"/>
      <c r="R669" s="95">
        <v>1359990</v>
      </c>
      <c r="S669" s="95">
        <f>R669/24</f>
        <v>56666.25</v>
      </c>
      <c r="T669" s="95">
        <v>1209900</v>
      </c>
      <c r="U669" s="95">
        <f>T669/24</f>
        <v>50412.5</v>
      </c>
      <c r="V669" s="95">
        <v>1209900</v>
      </c>
      <c r="W669" s="95">
        <f>V669/24</f>
        <v>50412.5</v>
      </c>
      <c r="X669" s="128"/>
      <c r="Y669" s="95">
        <v>1000000</v>
      </c>
      <c r="Z669" s="95">
        <v>100000</v>
      </c>
      <c r="AA669" s="95">
        <f>IFERROR(IF(D669="Premium",0.4*Y669,0),"No Disp")</f>
        <v>400000</v>
      </c>
      <c r="AB669" s="95">
        <f>IFERROR(IF(4*Y669&gt;AC669,1.5*Y669,4*Y669),"No Disp")</f>
        <v>1500000</v>
      </c>
      <c r="AC669" s="95">
        <f>IF(Z669="No Disp","No Disp",(Z669*18)+Y669)</f>
        <v>2800000</v>
      </c>
      <c r="AD669" s="95">
        <f>18*Z669-100+Y669</f>
        <v>2799900</v>
      </c>
      <c r="AE669" s="95">
        <v>1000000</v>
      </c>
      <c r="AF669" s="95">
        <v>100000</v>
      </c>
      <c r="AG669" s="95">
        <f>IF(AF669="No Disp","No Disp",(AF669*18)+AE669)</f>
        <v>2800000</v>
      </c>
      <c r="AH669" s="98">
        <f>18*AF669-100+AE669</f>
        <v>2799900</v>
      </c>
      <c r="AI669" s="95" t="s">
        <v>4613</v>
      </c>
      <c r="AJ669" s="99"/>
      <c r="AK669" s="100" t="s">
        <v>43</v>
      </c>
      <c r="AL669" s="100" t="s">
        <v>43</v>
      </c>
      <c r="AM669" s="100" t="str">
        <f>IF(AL669&lt;&gt;"No Disp",AK669+12*AL669,"No Disp")</f>
        <v>No Disp</v>
      </c>
      <c r="AN669" s="100" t="s">
        <v>43</v>
      </c>
      <c r="AO669" s="100" t="s">
        <v>43</v>
      </c>
      <c r="AP669" s="100" t="str">
        <f>IF(AO669&lt;&gt;"No Disp",AN669+12*AO669,"No Disp")</f>
        <v>No Disp</v>
      </c>
      <c r="AQ669" s="100" t="s">
        <v>43</v>
      </c>
      <c r="AR669" s="100" t="s">
        <v>43</v>
      </c>
      <c r="AS669" s="100" t="str">
        <f>IF(AR669&lt;&gt;"No Disp",AQ669+12*AR669,"No Disp")</f>
        <v>No Disp</v>
      </c>
    </row>
    <row r="670" spans="1:45" s="101" customFormat="1" x14ac:dyDescent="0.25">
      <c r="A670" s="90" t="s">
        <v>38</v>
      </c>
      <c r="B670" s="90" t="s">
        <v>40</v>
      </c>
      <c r="C670" s="90" t="s">
        <v>39</v>
      </c>
      <c r="D670" s="90" t="s">
        <v>4540</v>
      </c>
      <c r="E670" s="90" t="s">
        <v>4538</v>
      </c>
      <c r="F670" s="91">
        <v>647</v>
      </c>
      <c r="G670" s="92">
        <v>70014385</v>
      </c>
      <c r="H670" s="91">
        <v>70014386</v>
      </c>
      <c r="I670" s="93" t="s">
        <v>87</v>
      </c>
      <c r="J670" s="94" t="s">
        <v>2783</v>
      </c>
      <c r="K670" s="94" t="s">
        <v>3334</v>
      </c>
      <c r="L670" s="94" t="s">
        <v>3339</v>
      </c>
      <c r="M670" s="95">
        <v>1209900</v>
      </c>
      <c r="N670" s="95">
        <v>9500</v>
      </c>
      <c r="O670" s="95">
        <v>13500</v>
      </c>
      <c r="P670" s="96">
        <v>1499990</v>
      </c>
      <c r="Q670" s="152"/>
      <c r="R670" s="95">
        <v>1359990</v>
      </c>
      <c r="S670" s="95">
        <f>R670/24</f>
        <v>56666.25</v>
      </c>
      <c r="T670" s="95">
        <v>1209900</v>
      </c>
      <c r="U670" s="95">
        <f>T670/24</f>
        <v>50412.5</v>
      </c>
      <c r="V670" s="95">
        <v>1209900</v>
      </c>
      <c r="W670" s="95">
        <f>V670/24</f>
        <v>50412.5</v>
      </c>
      <c r="X670" s="128"/>
      <c r="Y670" s="95">
        <v>1000000</v>
      </c>
      <c r="Z670" s="95">
        <v>100000</v>
      </c>
      <c r="AA670" s="95">
        <f>IFERROR(IF(D670="Premium",0.4*Y670,0),"No Disp")</f>
        <v>400000</v>
      </c>
      <c r="AB670" s="95">
        <f>IFERROR(IF(4*Y670&gt;AC670,1.5*Y670,4*Y670),"No Disp")</f>
        <v>1500000</v>
      </c>
      <c r="AC670" s="95">
        <f>IF(Z670="No Disp","No Disp",(Z670*18)+Y670)</f>
        <v>2800000</v>
      </c>
      <c r="AD670" s="95">
        <f>18*Z670-100+Y670</f>
        <v>2799900</v>
      </c>
      <c r="AE670" s="95">
        <v>1000000</v>
      </c>
      <c r="AF670" s="95">
        <v>100000</v>
      </c>
      <c r="AG670" s="95">
        <f>IF(AF670="No Disp","No Disp",(AF670*18)+AE670)</f>
        <v>2800000</v>
      </c>
      <c r="AH670" s="98">
        <f>18*AF670-100+AE670</f>
        <v>2799900</v>
      </c>
      <c r="AI670" s="95" t="s">
        <v>4613</v>
      </c>
      <c r="AJ670" s="99"/>
      <c r="AK670" s="100" t="s">
        <v>43</v>
      </c>
      <c r="AL670" s="100" t="s">
        <v>43</v>
      </c>
      <c r="AM670" s="100" t="str">
        <f>IF(AL670&lt;&gt;"No Disp",AK670+12*AL670,"No Disp")</f>
        <v>No Disp</v>
      </c>
      <c r="AN670" s="100" t="s">
        <v>43</v>
      </c>
      <c r="AO670" s="100" t="s">
        <v>43</v>
      </c>
      <c r="AP670" s="100" t="str">
        <f>IF(AO670&lt;&gt;"No Disp",AN670+12*AO670,"No Disp")</f>
        <v>No Disp</v>
      </c>
      <c r="AQ670" s="100" t="s">
        <v>43</v>
      </c>
      <c r="AR670" s="100" t="s">
        <v>43</v>
      </c>
      <c r="AS670" s="100" t="str">
        <f>IF(AR670&lt;&gt;"No Disp",AQ670+12*AR670,"No Disp")</f>
        <v>No Disp</v>
      </c>
    </row>
    <row r="671" spans="1:45" s="101" customFormat="1" x14ac:dyDescent="0.25">
      <c r="A671" s="90" t="s">
        <v>38</v>
      </c>
      <c r="B671" s="90" t="s">
        <v>39</v>
      </c>
      <c r="C671" s="90" t="s">
        <v>39</v>
      </c>
      <c r="D671" s="90" t="s">
        <v>4537</v>
      </c>
      <c r="E671" s="90" t="s">
        <v>4538</v>
      </c>
      <c r="F671" s="91">
        <v>655</v>
      </c>
      <c r="G671" s="92">
        <v>70014613</v>
      </c>
      <c r="H671" s="91">
        <v>70014614</v>
      </c>
      <c r="I671" s="93" t="s">
        <v>41</v>
      </c>
      <c r="J671" s="94" t="s">
        <v>3458</v>
      </c>
      <c r="K671" s="94" t="s">
        <v>3431</v>
      </c>
      <c r="L671" s="94" t="s">
        <v>3899</v>
      </c>
      <c r="M671" s="95">
        <v>479900</v>
      </c>
      <c r="N671" s="95">
        <v>6000</v>
      </c>
      <c r="O671" s="95">
        <v>8500</v>
      </c>
      <c r="P671" s="96">
        <v>549990</v>
      </c>
      <c r="Q671" s="152"/>
      <c r="R671" s="95">
        <v>539990</v>
      </c>
      <c r="S671" s="95">
        <f>R671/24</f>
        <v>22499.583333333332</v>
      </c>
      <c r="T671" s="95">
        <v>479900</v>
      </c>
      <c r="U671" s="95">
        <f>T671/24</f>
        <v>19995.833333333332</v>
      </c>
      <c r="V671" s="95">
        <v>479900</v>
      </c>
      <c r="W671" s="95">
        <f>V671/24</f>
        <v>19995.833333333332</v>
      </c>
      <c r="X671" s="128"/>
      <c r="Y671" s="95">
        <v>69900</v>
      </c>
      <c r="Z671" s="95">
        <v>37500</v>
      </c>
      <c r="AA671" s="95">
        <f>IFERROR(IF(D671="Premium",0.4*Y671,0),"No Disp")</f>
        <v>0</v>
      </c>
      <c r="AB671" s="95">
        <f>IFERROR(IF(4*Y671&gt;AC671,1.5*Y671,4*Y671),"No Disp")</f>
        <v>279600</v>
      </c>
      <c r="AC671" s="95">
        <f>IF(Z671="No Disp","No Disp",(Z671*18)+Y671)</f>
        <v>744900</v>
      </c>
      <c r="AD671" s="95">
        <f>18*Z671-100+Y671</f>
        <v>744800</v>
      </c>
      <c r="AE671" s="95">
        <v>39900</v>
      </c>
      <c r="AF671" s="95">
        <v>34500</v>
      </c>
      <c r="AG671" s="95">
        <f>IF(AF671="No Disp","No Disp",(AF671*18)+AE671)</f>
        <v>660900</v>
      </c>
      <c r="AH671" s="98">
        <f>18*AF671-100+AE671</f>
        <v>660800</v>
      </c>
      <c r="AI671" s="95" t="s">
        <v>4613</v>
      </c>
      <c r="AJ671" s="99"/>
      <c r="AK671" s="100">
        <v>0</v>
      </c>
      <c r="AL671" s="100">
        <v>22000</v>
      </c>
      <c r="AM671" s="100">
        <f>AK671+12*AL671</f>
        <v>264000</v>
      </c>
      <c r="AN671" s="100">
        <v>0</v>
      </c>
      <c r="AO671" s="100">
        <v>22000</v>
      </c>
      <c r="AP671" s="100">
        <f>AN671+12*AO671</f>
        <v>264000</v>
      </c>
      <c r="AQ671" s="100">
        <v>0</v>
      </c>
      <c r="AR671" s="100">
        <v>22000</v>
      </c>
      <c r="AS671" s="100">
        <f>AQ671+12*AR671</f>
        <v>264000</v>
      </c>
    </row>
    <row r="672" spans="1:45" s="101" customFormat="1" x14ac:dyDescent="0.25">
      <c r="A672" s="90" t="s">
        <v>38</v>
      </c>
      <c r="B672" s="90" t="s">
        <v>39</v>
      </c>
      <c r="C672" s="90" t="s">
        <v>39</v>
      </c>
      <c r="D672" s="90" t="s">
        <v>4537</v>
      </c>
      <c r="E672" s="90" t="s">
        <v>4538</v>
      </c>
      <c r="F672" s="91">
        <v>654</v>
      </c>
      <c r="G672" s="92">
        <v>70014619</v>
      </c>
      <c r="H672" s="91">
        <v>70014620</v>
      </c>
      <c r="I672" s="93" t="s">
        <v>41</v>
      </c>
      <c r="J672" s="94" t="s">
        <v>4603</v>
      </c>
      <c r="K672" s="94" t="s">
        <v>3432</v>
      </c>
      <c r="L672" s="94" t="s">
        <v>3900</v>
      </c>
      <c r="M672" s="95">
        <v>479900</v>
      </c>
      <c r="N672" s="95">
        <v>6000</v>
      </c>
      <c r="O672" s="95">
        <v>8500</v>
      </c>
      <c r="P672" s="96">
        <v>549990</v>
      </c>
      <c r="Q672" s="152"/>
      <c r="R672" s="95">
        <v>539990</v>
      </c>
      <c r="S672" s="95">
        <f>R672/24</f>
        <v>22499.583333333332</v>
      </c>
      <c r="T672" s="95">
        <v>479900</v>
      </c>
      <c r="U672" s="95">
        <f>T672/24</f>
        <v>19995.833333333332</v>
      </c>
      <c r="V672" s="95">
        <v>479900</v>
      </c>
      <c r="W672" s="95">
        <f>V672/24</f>
        <v>19995.833333333332</v>
      </c>
      <c r="X672" s="128"/>
      <c r="Y672" s="95">
        <v>69900</v>
      </c>
      <c r="Z672" s="95">
        <v>37500</v>
      </c>
      <c r="AA672" s="95">
        <f>IFERROR(IF(D672="Premium",0.4*Y672,0),"No Disp")</f>
        <v>0</v>
      </c>
      <c r="AB672" s="95">
        <f>IFERROR(IF(4*Y672&gt;AC672,1.5*Y672,4*Y672),"No Disp")</f>
        <v>279600</v>
      </c>
      <c r="AC672" s="95">
        <f>IF(Z672="No Disp","No Disp",(Z672*18)+Y672)</f>
        <v>744900</v>
      </c>
      <c r="AD672" s="95">
        <f>18*Z672-100+Y672</f>
        <v>744800</v>
      </c>
      <c r="AE672" s="95">
        <v>39900</v>
      </c>
      <c r="AF672" s="95">
        <v>34500</v>
      </c>
      <c r="AG672" s="95">
        <f>IF(AF672="No Disp","No Disp",(AF672*18)+AE672)</f>
        <v>660900</v>
      </c>
      <c r="AH672" s="98">
        <f>18*AF672-100+AE672</f>
        <v>660800</v>
      </c>
      <c r="AI672" s="95" t="s">
        <v>4613</v>
      </c>
      <c r="AJ672" s="99"/>
      <c r="AK672" s="100">
        <v>0</v>
      </c>
      <c r="AL672" s="100">
        <v>22000</v>
      </c>
      <c r="AM672" s="100">
        <f>AK672+12*AL672</f>
        <v>264000</v>
      </c>
      <c r="AN672" s="100">
        <v>0</v>
      </c>
      <c r="AO672" s="100">
        <v>22000</v>
      </c>
      <c r="AP672" s="100">
        <f>AN672+12*AO672</f>
        <v>264000</v>
      </c>
      <c r="AQ672" s="100">
        <v>0</v>
      </c>
      <c r="AR672" s="100">
        <v>22000</v>
      </c>
      <c r="AS672" s="100">
        <f>AQ672+12*AR672</f>
        <v>264000</v>
      </c>
    </row>
    <row r="673" spans="1:45" s="101" customFormat="1" x14ac:dyDescent="0.25">
      <c r="A673" s="90" t="s">
        <v>38</v>
      </c>
      <c r="B673" s="90" t="s">
        <v>39</v>
      </c>
      <c r="C673" s="90" t="s">
        <v>39</v>
      </c>
      <c r="D673" s="90" t="s">
        <v>4537</v>
      </c>
      <c r="E673" s="90" t="s">
        <v>4538</v>
      </c>
      <c r="F673" s="91">
        <v>653</v>
      </c>
      <c r="G673" s="92">
        <v>70014624</v>
      </c>
      <c r="H673" s="91">
        <v>70014625</v>
      </c>
      <c r="I673" s="93" t="s">
        <v>41</v>
      </c>
      <c r="J673" s="94" t="s">
        <v>3458</v>
      </c>
      <c r="K673" s="94" t="s">
        <v>3433</v>
      </c>
      <c r="L673" s="94" t="s">
        <v>3901</v>
      </c>
      <c r="M673" s="95">
        <v>479900</v>
      </c>
      <c r="N673" s="95">
        <v>6000</v>
      </c>
      <c r="O673" s="95">
        <v>8500</v>
      </c>
      <c r="P673" s="96">
        <v>549990</v>
      </c>
      <c r="Q673" s="152"/>
      <c r="R673" s="95">
        <v>539990</v>
      </c>
      <c r="S673" s="95">
        <f>R673/24</f>
        <v>22499.583333333332</v>
      </c>
      <c r="T673" s="95">
        <v>479900</v>
      </c>
      <c r="U673" s="95">
        <f>T673/24</f>
        <v>19995.833333333332</v>
      </c>
      <c r="V673" s="95">
        <v>479900</v>
      </c>
      <c r="W673" s="95">
        <f>V673/24</f>
        <v>19995.833333333332</v>
      </c>
      <c r="X673" s="128"/>
      <c r="Y673" s="95">
        <v>69900</v>
      </c>
      <c r="Z673" s="95">
        <v>37500</v>
      </c>
      <c r="AA673" s="95">
        <f>IFERROR(IF(D673="Premium",0.4*Y673,0),"No Disp")</f>
        <v>0</v>
      </c>
      <c r="AB673" s="95">
        <f>IFERROR(IF(4*Y673&gt;AC673,1.5*Y673,4*Y673),"No Disp")</f>
        <v>279600</v>
      </c>
      <c r="AC673" s="95">
        <f>IF(Z673="No Disp","No Disp",(Z673*18)+Y673)</f>
        <v>744900</v>
      </c>
      <c r="AD673" s="95">
        <f>18*Z673-100+Y673</f>
        <v>744800</v>
      </c>
      <c r="AE673" s="95">
        <v>39900</v>
      </c>
      <c r="AF673" s="95">
        <v>34500</v>
      </c>
      <c r="AG673" s="95">
        <f>IF(AF673="No Disp","No Disp",(AF673*18)+AE673)</f>
        <v>660900</v>
      </c>
      <c r="AH673" s="98">
        <f>18*AF673-100+AE673</f>
        <v>660800</v>
      </c>
      <c r="AI673" s="95" t="s">
        <v>4613</v>
      </c>
      <c r="AJ673" s="99"/>
      <c r="AK673" s="100">
        <v>0</v>
      </c>
      <c r="AL673" s="100">
        <v>22000</v>
      </c>
      <c r="AM673" s="100">
        <f>AK673+12*AL673</f>
        <v>264000</v>
      </c>
      <c r="AN673" s="100">
        <v>0</v>
      </c>
      <c r="AO673" s="100">
        <v>22000</v>
      </c>
      <c r="AP673" s="100">
        <f>AN673+12*AO673</f>
        <v>264000</v>
      </c>
      <c r="AQ673" s="100">
        <v>0</v>
      </c>
      <c r="AR673" s="100">
        <v>22000</v>
      </c>
      <c r="AS673" s="100">
        <f>AQ673+12*AR673</f>
        <v>264000</v>
      </c>
    </row>
    <row r="674" spans="1:45" s="101" customFormat="1" x14ac:dyDescent="0.25">
      <c r="A674" s="90" t="s">
        <v>38</v>
      </c>
      <c r="B674" s="90" t="s">
        <v>39</v>
      </c>
      <c r="C674" s="90" t="s">
        <v>39</v>
      </c>
      <c r="D674" s="90" t="s">
        <v>4537</v>
      </c>
      <c r="E674" s="90" t="s">
        <v>4538</v>
      </c>
      <c r="F674" s="91">
        <v>652</v>
      </c>
      <c r="G674" s="92">
        <v>70014630</v>
      </c>
      <c r="H674" s="91">
        <v>70014631</v>
      </c>
      <c r="I674" s="93" t="s">
        <v>41</v>
      </c>
      <c r="J674" s="94" t="s">
        <v>4603</v>
      </c>
      <c r="K674" s="94" t="s">
        <v>3434</v>
      </c>
      <c r="L674" s="94" t="s">
        <v>3902</v>
      </c>
      <c r="M674" s="95">
        <v>479900</v>
      </c>
      <c r="N674" s="95">
        <v>6000</v>
      </c>
      <c r="O674" s="95">
        <v>8500</v>
      </c>
      <c r="P674" s="96">
        <v>549990</v>
      </c>
      <c r="Q674" s="152"/>
      <c r="R674" s="95">
        <v>539990</v>
      </c>
      <c r="S674" s="95">
        <f>R674/24</f>
        <v>22499.583333333332</v>
      </c>
      <c r="T674" s="95">
        <v>479900</v>
      </c>
      <c r="U674" s="95">
        <f>T674/24</f>
        <v>19995.833333333332</v>
      </c>
      <c r="V674" s="95">
        <v>479900</v>
      </c>
      <c r="W674" s="95">
        <f>V674/24</f>
        <v>19995.833333333332</v>
      </c>
      <c r="X674" s="128"/>
      <c r="Y674" s="95">
        <v>69900</v>
      </c>
      <c r="Z674" s="95">
        <v>37500</v>
      </c>
      <c r="AA674" s="95">
        <f>IFERROR(IF(D674="Premium",0.4*Y674,0),"No Disp")</f>
        <v>0</v>
      </c>
      <c r="AB674" s="95">
        <f>IFERROR(IF(4*Y674&gt;AC674,1.5*Y674,4*Y674),"No Disp")</f>
        <v>279600</v>
      </c>
      <c r="AC674" s="95">
        <f>IF(Z674="No Disp","No Disp",(Z674*18)+Y674)</f>
        <v>744900</v>
      </c>
      <c r="AD674" s="95">
        <f>18*Z674-100+Y674</f>
        <v>744800</v>
      </c>
      <c r="AE674" s="95">
        <v>39900</v>
      </c>
      <c r="AF674" s="95">
        <v>34500</v>
      </c>
      <c r="AG674" s="95">
        <f>IF(AF674="No Disp","No Disp",(AF674*18)+AE674)</f>
        <v>660900</v>
      </c>
      <c r="AH674" s="98">
        <f>18*AF674-100+AE674</f>
        <v>660800</v>
      </c>
      <c r="AI674" s="95" t="s">
        <v>4613</v>
      </c>
      <c r="AJ674" s="99"/>
      <c r="AK674" s="100">
        <v>0</v>
      </c>
      <c r="AL674" s="100">
        <v>22000</v>
      </c>
      <c r="AM674" s="100">
        <f>AK674+12*AL674</f>
        <v>264000</v>
      </c>
      <c r="AN674" s="100">
        <v>0</v>
      </c>
      <c r="AO674" s="100">
        <v>22000</v>
      </c>
      <c r="AP674" s="100">
        <f>AN674+12*AO674</f>
        <v>264000</v>
      </c>
      <c r="AQ674" s="100">
        <v>0</v>
      </c>
      <c r="AR674" s="100">
        <v>22000</v>
      </c>
      <c r="AS674" s="100">
        <f>AQ674+12*AR674</f>
        <v>264000</v>
      </c>
    </row>
    <row r="675" spans="1:45" s="101" customFormat="1" x14ac:dyDescent="0.25">
      <c r="A675" s="90" t="s">
        <v>38</v>
      </c>
      <c r="B675" s="90" t="s">
        <v>39</v>
      </c>
      <c r="C675" s="90" t="s">
        <v>40</v>
      </c>
      <c r="D675" s="90" t="s">
        <v>4541</v>
      </c>
      <c r="E675" s="90" t="s">
        <v>4538</v>
      </c>
      <c r="F675" s="91">
        <v>727</v>
      </c>
      <c r="G675" s="92">
        <v>70014690</v>
      </c>
      <c r="H675" s="91">
        <v>70014691</v>
      </c>
      <c r="I675" s="93" t="s">
        <v>87</v>
      </c>
      <c r="J675" s="102" t="s">
        <v>4346</v>
      </c>
      <c r="K675" s="94" t="s">
        <v>3994</v>
      </c>
      <c r="L675" s="94" t="s">
        <v>3995</v>
      </c>
      <c r="M675" s="95">
        <v>99900</v>
      </c>
      <c r="N675" s="95">
        <v>2500</v>
      </c>
      <c r="O675" s="95">
        <v>4000</v>
      </c>
      <c r="P675" s="96">
        <v>139990</v>
      </c>
      <c r="Q675" s="152"/>
      <c r="R675" s="95">
        <v>109990</v>
      </c>
      <c r="S675" s="95">
        <f>R675/24</f>
        <v>4582.916666666667</v>
      </c>
      <c r="T675" s="95">
        <v>99900</v>
      </c>
      <c r="U675" s="95">
        <f>T675/24</f>
        <v>4162.5</v>
      </c>
      <c r="V675" s="95">
        <v>99900</v>
      </c>
      <c r="W675" s="95">
        <f>V675/24</f>
        <v>4162.5</v>
      </c>
      <c r="X675" s="128"/>
      <c r="Y675" s="95">
        <v>0</v>
      </c>
      <c r="Z675" s="97">
        <v>10000</v>
      </c>
      <c r="AA675" s="95">
        <f>IFERROR(IF(D675="Premium",0.4*Y675,0),"No Disp")</f>
        <v>0</v>
      </c>
      <c r="AB675" s="95">
        <f>IFERROR(IF(4*Y675&gt;AC675,1.5*Y675,4*Y675),"No Disp")</f>
        <v>0</v>
      </c>
      <c r="AC675" s="95">
        <f>IF(Z675="No Disp","No Disp",(Z675*18)+Y675)</f>
        <v>180000</v>
      </c>
      <c r="AD675" s="95">
        <f>18*Z675-100+Y675</f>
        <v>179900</v>
      </c>
      <c r="AE675" s="95">
        <v>0</v>
      </c>
      <c r="AF675" s="95">
        <v>9000</v>
      </c>
      <c r="AG675" s="95">
        <f>IF(AF675="No Disp","No Disp",(AF675*18)+AE675)</f>
        <v>162000</v>
      </c>
      <c r="AH675" s="98">
        <f>18*AF675-100+AE675</f>
        <v>161900</v>
      </c>
      <c r="AI675" s="95" t="s">
        <v>4613</v>
      </c>
      <c r="AJ675" s="99"/>
      <c r="AK675" s="100" t="s">
        <v>43</v>
      </c>
      <c r="AL675" s="100" t="s">
        <v>43</v>
      </c>
      <c r="AM675" s="100" t="str">
        <f>IF(AL675&lt;&gt;"No Disp",AK675+12*AL675,"No Disp")</f>
        <v>No Disp</v>
      </c>
      <c r="AN675" s="100" t="s">
        <v>43</v>
      </c>
      <c r="AO675" s="100" t="s">
        <v>43</v>
      </c>
      <c r="AP675" s="100" t="str">
        <f>IF(AO675&lt;&gt;"No Disp",AN675+12*AO675,"No Disp")</f>
        <v>No Disp</v>
      </c>
      <c r="AQ675" s="100" t="s">
        <v>43</v>
      </c>
      <c r="AR675" s="100" t="s">
        <v>43</v>
      </c>
      <c r="AS675" s="100" t="str">
        <f>IF(AR675&lt;&gt;"No Disp",AQ675+12*AR675,"No Disp")</f>
        <v>No Disp</v>
      </c>
    </row>
    <row r="676" spans="1:45" s="101" customFormat="1" x14ac:dyDescent="0.25">
      <c r="A676" s="90" t="s">
        <v>38</v>
      </c>
      <c r="B676" s="90" t="s">
        <v>39</v>
      </c>
      <c r="C676" s="90" t="s">
        <v>40</v>
      </c>
      <c r="D676" s="90" t="s">
        <v>4541</v>
      </c>
      <c r="E676" s="90" t="s">
        <v>4538</v>
      </c>
      <c r="F676" s="91">
        <v>726</v>
      </c>
      <c r="G676" s="92">
        <v>70014696</v>
      </c>
      <c r="H676" s="91">
        <v>70014697</v>
      </c>
      <c r="I676" s="93" t="s">
        <v>87</v>
      </c>
      <c r="J676" s="102" t="s">
        <v>4346</v>
      </c>
      <c r="K676" s="94" t="s">
        <v>4002</v>
      </c>
      <c r="L676" s="94" t="s">
        <v>4003</v>
      </c>
      <c r="M676" s="95">
        <v>99900</v>
      </c>
      <c r="N676" s="95">
        <v>2500</v>
      </c>
      <c r="O676" s="95">
        <v>4000</v>
      </c>
      <c r="P676" s="96">
        <v>139990</v>
      </c>
      <c r="Q676" s="152"/>
      <c r="R676" s="95">
        <v>109990</v>
      </c>
      <c r="S676" s="95">
        <f>R676/24</f>
        <v>4582.916666666667</v>
      </c>
      <c r="T676" s="95">
        <v>99900</v>
      </c>
      <c r="U676" s="95">
        <f>T676/24</f>
        <v>4162.5</v>
      </c>
      <c r="V676" s="95">
        <v>99900</v>
      </c>
      <c r="W676" s="95">
        <f>V676/24</f>
        <v>4162.5</v>
      </c>
      <c r="X676" s="128"/>
      <c r="Y676" s="95">
        <v>0</v>
      </c>
      <c r="Z676" s="97">
        <v>10000</v>
      </c>
      <c r="AA676" s="95">
        <f>IFERROR(IF(D676="Premium",0.4*Y676,0),"No Disp")</f>
        <v>0</v>
      </c>
      <c r="AB676" s="95">
        <f>IFERROR(IF(4*Y676&gt;AC676,1.5*Y676,4*Y676),"No Disp")</f>
        <v>0</v>
      </c>
      <c r="AC676" s="95">
        <f>IF(Z676="No Disp","No Disp",(Z676*18)+Y676)</f>
        <v>180000</v>
      </c>
      <c r="AD676" s="95">
        <f>18*Z676-100+Y676</f>
        <v>179900</v>
      </c>
      <c r="AE676" s="95">
        <v>0</v>
      </c>
      <c r="AF676" s="95">
        <v>9000</v>
      </c>
      <c r="AG676" s="95">
        <f>IF(AF676="No Disp","No Disp",(AF676*18)+AE676)</f>
        <v>162000</v>
      </c>
      <c r="AH676" s="98">
        <f>18*AF676-100+AE676</f>
        <v>161900</v>
      </c>
      <c r="AI676" s="95" t="s">
        <v>4613</v>
      </c>
      <c r="AJ676" s="99"/>
      <c r="AK676" s="100" t="s">
        <v>43</v>
      </c>
      <c r="AL676" s="100" t="s">
        <v>43</v>
      </c>
      <c r="AM676" s="100" t="str">
        <f>IF(AL676&lt;&gt;"No Disp",AK676+12*AL676,"No Disp")</f>
        <v>No Disp</v>
      </c>
      <c r="AN676" s="100" t="s">
        <v>43</v>
      </c>
      <c r="AO676" s="100" t="s">
        <v>43</v>
      </c>
      <c r="AP676" s="100" t="str">
        <f>IF(AO676&lt;&gt;"No Disp",AN676+12*AO676,"No Disp")</f>
        <v>No Disp</v>
      </c>
      <c r="AQ676" s="100" t="s">
        <v>43</v>
      </c>
      <c r="AR676" s="100" t="s">
        <v>43</v>
      </c>
      <c r="AS676" s="100" t="str">
        <f>IF(AR676&lt;&gt;"No Disp",AQ676+12*AR676,"No Disp")</f>
        <v>No Disp</v>
      </c>
    </row>
    <row r="677" spans="1:45" s="101" customFormat="1" x14ac:dyDescent="0.25">
      <c r="A677" s="90" t="s">
        <v>38</v>
      </c>
      <c r="B677" s="90" t="s">
        <v>39</v>
      </c>
      <c r="C677" s="90" t="s">
        <v>40</v>
      </c>
      <c r="D677" s="90" t="s">
        <v>4541</v>
      </c>
      <c r="E677" s="90" t="s">
        <v>4538</v>
      </c>
      <c r="F677" s="91">
        <v>725</v>
      </c>
      <c r="G677" s="92">
        <v>70014702</v>
      </c>
      <c r="H677" s="91">
        <v>70014703</v>
      </c>
      <c r="I677" s="93" t="s">
        <v>87</v>
      </c>
      <c r="J677" s="102" t="s">
        <v>4346</v>
      </c>
      <c r="K677" s="94" t="s">
        <v>3998</v>
      </c>
      <c r="L677" s="94" t="s">
        <v>3999</v>
      </c>
      <c r="M677" s="95">
        <v>99900</v>
      </c>
      <c r="N677" s="95">
        <v>2500</v>
      </c>
      <c r="O677" s="95">
        <v>4000</v>
      </c>
      <c r="P677" s="96">
        <v>139990</v>
      </c>
      <c r="Q677" s="152"/>
      <c r="R677" s="95">
        <v>109990</v>
      </c>
      <c r="S677" s="95">
        <f>R677/24</f>
        <v>4582.916666666667</v>
      </c>
      <c r="T677" s="95">
        <v>99900</v>
      </c>
      <c r="U677" s="95">
        <f>T677/24</f>
        <v>4162.5</v>
      </c>
      <c r="V677" s="95">
        <v>99900</v>
      </c>
      <c r="W677" s="95">
        <f>V677/24</f>
        <v>4162.5</v>
      </c>
      <c r="X677" s="128"/>
      <c r="Y677" s="95">
        <v>0</v>
      </c>
      <c r="Z677" s="97">
        <v>10000</v>
      </c>
      <c r="AA677" s="95">
        <f>IFERROR(IF(D677="Premium",0.4*Y677,0),"No Disp")</f>
        <v>0</v>
      </c>
      <c r="AB677" s="95">
        <f>IFERROR(IF(4*Y677&gt;AC677,1.5*Y677,4*Y677),"No Disp")</f>
        <v>0</v>
      </c>
      <c r="AC677" s="95">
        <f>IF(Z677="No Disp","No Disp",(Z677*18)+Y677)</f>
        <v>180000</v>
      </c>
      <c r="AD677" s="95">
        <f>18*Z677-100+Y677</f>
        <v>179900</v>
      </c>
      <c r="AE677" s="95">
        <v>0</v>
      </c>
      <c r="AF677" s="95">
        <v>9000</v>
      </c>
      <c r="AG677" s="95">
        <f>IF(AF677="No Disp","No Disp",(AF677*18)+AE677)</f>
        <v>162000</v>
      </c>
      <c r="AH677" s="98">
        <f>18*AF677-100+AE677</f>
        <v>161900</v>
      </c>
      <c r="AI677" s="95" t="s">
        <v>4613</v>
      </c>
      <c r="AJ677" s="99"/>
      <c r="AK677" s="100" t="s">
        <v>43</v>
      </c>
      <c r="AL677" s="100" t="s">
        <v>43</v>
      </c>
      <c r="AM677" s="100" t="str">
        <f>IF(AL677&lt;&gt;"No Disp",AK677+12*AL677,"No Disp")</f>
        <v>No Disp</v>
      </c>
      <c r="AN677" s="100" t="s">
        <v>43</v>
      </c>
      <c r="AO677" s="100" t="s">
        <v>43</v>
      </c>
      <c r="AP677" s="100" t="str">
        <f>IF(AO677&lt;&gt;"No Disp",AN677+12*AO677,"No Disp")</f>
        <v>No Disp</v>
      </c>
      <c r="AQ677" s="100" t="s">
        <v>43</v>
      </c>
      <c r="AR677" s="100" t="s">
        <v>43</v>
      </c>
      <c r="AS677" s="100" t="str">
        <f>IF(AR677&lt;&gt;"No Disp",AQ677+12*AR677,"No Disp")</f>
        <v>No Disp</v>
      </c>
    </row>
    <row r="678" spans="1:45" s="101" customFormat="1" x14ac:dyDescent="0.25">
      <c r="A678" s="90" t="s">
        <v>38</v>
      </c>
      <c r="B678" s="90" t="s">
        <v>39</v>
      </c>
      <c r="C678" s="90" t="s">
        <v>39</v>
      </c>
      <c r="D678" s="90" t="s">
        <v>4539</v>
      </c>
      <c r="E678" s="90" t="s">
        <v>4538</v>
      </c>
      <c r="F678" s="91">
        <v>660</v>
      </c>
      <c r="G678" s="92">
        <v>70014765</v>
      </c>
      <c r="H678" s="91">
        <v>70014766</v>
      </c>
      <c r="I678" s="93" t="s">
        <v>112</v>
      </c>
      <c r="J678" s="94" t="s">
        <v>4020</v>
      </c>
      <c r="K678" s="94" t="s">
        <v>3987</v>
      </c>
      <c r="L678" s="94" t="s">
        <v>3992</v>
      </c>
      <c r="M678" s="95">
        <v>279900</v>
      </c>
      <c r="N678" s="95">
        <v>4000</v>
      </c>
      <c r="O678" s="95">
        <v>6000</v>
      </c>
      <c r="P678" s="96">
        <v>459990</v>
      </c>
      <c r="Q678" s="152"/>
      <c r="R678" s="95">
        <v>309990</v>
      </c>
      <c r="S678" s="95">
        <f>R678/24</f>
        <v>12916.25</v>
      </c>
      <c r="T678" s="95">
        <v>279900</v>
      </c>
      <c r="U678" s="95">
        <f>T678/24</f>
        <v>11662.5</v>
      </c>
      <c r="V678" s="95">
        <v>279900</v>
      </c>
      <c r="W678" s="95">
        <f>V678/24</f>
        <v>11662.5</v>
      </c>
      <c r="X678" s="128"/>
      <c r="Y678" s="95">
        <v>29900</v>
      </c>
      <c r="Z678" s="95">
        <v>25000</v>
      </c>
      <c r="AA678" s="95">
        <f>IFERROR(IF(D678="Premium",0.4*Y678,0),"No Disp")</f>
        <v>0</v>
      </c>
      <c r="AB678" s="95">
        <f>IFERROR(IF(4*Y678&gt;AC678,1.5*Y678,4*Y678),"No Disp")</f>
        <v>119600</v>
      </c>
      <c r="AC678" s="95">
        <f>IF(Z678="No Disp","No Disp",(Z678*18)+Y678)</f>
        <v>479900</v>
      </c>
      <c r="AD678" s="95">
        <f>18*Z678-100+Y678</f>
        <v>479800</v>
      </c>
      <c r="AE678" s="95">
        <v>0</v>
      </c>
      <c r="AF678" s="95">
        <v>23500</v>
      </c>
      <c r="AG678" s="95">
        <f>IF(AF678="No Disp","No Disp",(AF678*18)+AE678)</f>
        <v>423000</v>
      </c>
      <c r="AH678" s="98">
        <f>18*AF678-100+AE678</f>
        <v>422900</v>
      </c>
      <c r="AI678" s="95" t="s">
        <v>4613</v>
      </c>
      <c r="AJ678" s="99"/>
      <c r="AK678" s="100" t="s">
        <v>43</v>
      </c>
      <c r="AL678" s="100" t="s">
        <v>43</v>
      </c>
      <c r="AM678" s="100" t="str">
        <f>IF(AL678&lt;&gt;"No Disp",AK678+12*AL678,"No Disp")</f>
        <v>No Disp</v>
      </c>
      <c r="AN678" s="100" t="s">
        <v>43</v>
      </c>
      <c r="AO678" s="100" t="s">
        <v>43</v>
      </c>
      <c r="AP678" s="100" t="str">
        <f>IF(AO678&lt;&gt;"No Disp",AN678+12*AO678,"No Disp")</f>
        <v>No Disp</v>
      </c>
      <c r="AQ678" s="100" t="s">
        <v>43</v>
      </c>
      <c r="AR678" s="100" t="s">
        <v>43</v>
      </c>
      <c r="AS678" s="100" t="str">
        <f>IF(AR678&lt;&gt;"No Disp",AQ678+12*AR678,"No Disp")</f>
        <v>No Disp</v>
      </c>
    </row>
    <row r="679" spans="1:45" s="101" customFormat="1" x14ac:dyDescent="0.25">
      <c r="A679" s="90" t="s">
        <v>38</v>
      </c>
      <c r="B679" s="90" t="s">
        <v>39</v>
      </c>
      <c r="C679" s="90" t="s">
        <v>39</v>
      </c>
      <c r="D679" s="90" t="s">
        <v>4539</v>
      </c>
      <c r="E679" s="90" t="s">
        <v>4538</v>
      </c>
      <c r="F679" s="91">
        <v>662</v>
      </c>
      <c r="G679" s="92">
        <v>70014797</v>
      </c>
      <c r="H679" s="91">
        <v>70014818</v>
      </c>
      <c r="I679" s="93" t="s">
        <v>112</v>
      </c>
      <c r="J679" s="94" t="s">
        <v>4020</v>
      </c>
      <c r="K679" s="94" t="s">
        <v>3985</v>
      </c>
      <c r="L679" s="94" t="s">
        <v>3990</v>
      </c>
      <c r="M679" s="95">
        <v>279900</v>
      </c>
      <c r="N679" s="95">
        <v>4000</v>
      </c>
      <c r="O679" s="95">
        <v>6000</v>
      </c>
      <c r="P679" s="96">
        <v>459990</v>
      </c>
      <c r="Q679" s="152"/>
      <c r="R679" s="95">
        <v>309990</v>
      </c>
      <c r="S679" s="95">
        <f>R679/24</f>
        <v>12916.25</v>
      </c>
      <c r="T679" s="95">
        <v>279900</v>
      </c>
      <c r="U679" s="95">
        <f>T679/24</f>
        <v>11662.5</v>
      </c>
      <c r="V679" s="95">
        <v>279900</v>
      </c>
      <c r="W679" s="95">
        <f>V679/24</f>
        <v>11662.5</v>
      </c>
      <c r="X679" s="128"/>
      <c r="Y679" s="95">
        <v>29900</v>
      </c>
      <c r="Z679" s="95">
        <v>25000</v>
      </c>
      <c r="AA679" s="95">
        <f>IFERROR(IF(D679="Premium",0.4*Y679,0),"No Disp")</f>
        <v>0</v>
      </c>
      <c r="AB679" s="95">
        <f>IFERROR(IF(4*Y679&gt;AC679,1.5*Y679,4*Y679),"No Disp")</f>
        <v>119600</v>
      </c>
      <c r="AC679" s="95">
        <f>IF(Z679="No Disp","No Disp",(Z679*18)+Y679)</f>
        <v>479900</v>
      </c>
      <c r="AD679" s="95">
        <f>18*Z679-100+Y679</f>
        <v>479800</v>
      </c>
      <c r="AE679" s="95">
        <v>0</v>
      </c>
      <c r="AF679" s="95">
        <v>23500</v>
      </c>
      <c r="AG679" s="95">
        <f>IF(AF679="No Disp","No Disp",(AF679*18)+AE679)</f>
        <v>423000</v>
      </c>
      <c r="AH679" s="98">
        <f>18*AF679-100+AE679</f>
        <v>422900</v>
      </c>
      <c r="AI679" s="95" t="s">
        <v>4613</v>
      </c>
      <c r="AJ679" s="99"/>
      <c r="AK679" s="100" t="s">
        <v>43</v>
      </c>
      <c r="AL679" s="100" t="s">
        <v>43</v>
      </c>
      <c r="AM679" s="100" t="str">
        <f>IF(AL679&lt;&gt;"No Disp",AK679+12*AL679,"No Disp")</f>
        <v>No Disp</v>
      </c>
      <c r="AN679" s="100" t="s">
        <v>43</v>
      </c>
      <c r="AO679" s="100" t="s">
        <v>43</v>
      </c>
      <c r="AP679" s="100" t="str">
        <f>IF(AO679&lt;&gt;"No Disp",AN679+12*AO679,"No Disp")</f>
        <v>No Disp</v>
      </c>
      <c r="AQ679" s="100" t="s">
        <v>43</v>
      </c>
      <c r="AR679" s="100" t="s">
        <v>43</v>
      </c>
      <c r="AS679" s="100" t="str">
        <f>IF(AR679&lt;&gt;"No Disp",AQ679+12*AR679,"No Disp")</f>
        <v>No Disp</v>
      </c>
    </row>
    <row r="680" spans="1:45" s="101" customFormat="1" x14ac:dyDescent="0.25">
      <c r="A680" s="90" t="s">
        <v>38</v>
      </c>
      <c r="B680" s="90" t="s">
        <v>39</v>
      </c>
      <c r="C680" s="90" t="s">
        <v>40</v>
      </c>
      <c r="D680" s="90" t="s">
        <v>4539</v>
      </c>
      <c r="E680" s="90" t="s">
        <v>4538</v>
      </c>
      <c r="F680" s="91">
        <v>730</v>
      </c>
      <c r="G680" s="92">
        <v>70015091</v>
      </c>
      <c r="H680" s="91">
        <v>70015092</v>
      </c>
      <c r="I680" s="93" t="s">
        <v>41</v>
      </c>
      <c r="J680" s="102" t="s">
        <v>4006</v>
      </c>
      <c r="K680" s="94" t="s">
        <v>4011</v>
      </c>
      <c r="L680" s="94" t="s">
        <v>4012</v>
      </c>
      <c r="M680" s="95">
        <v>189360</v>
      </c>
      <c r="N680" s="95">
        <v>4000</v>
      </c>
      <c r="O680" s="95">
        <v>6000</v>
      </c>
      <c r="P680" s="96">
        <v>249990</v>
      </c>
      <c r="Q680" s="152"/>
      <c r="R680" s="95">
        <v>209990</v>
      </c>
      <c r="S680" s="95">
        <f>R680/24</f>
        <v>8749.5833333333339</v>
      </c>
      <c r="T680" s="95">
        <v>189360</v>
      </c>
      <c r="U680" s="95">
        <f>T680/24</f>
        <v>7890</v>
      </c>
      <c r="V680" s="95">
        <v>189360</v>
      </c>
      <c r="W680" s="95">
        <f>V680/24</f>
        <v>7890</v>
      </c>
      <c r="X680" s="128"/>
      <c r="Y680" s="95">
        <v>0</v>
      </c>
      <c r="Z680" s="97">
        <v>20500</v>
      </c>
      <c r="AA680" s="95">
        <f>IFERROR(IF(D680="Premium",0.4*Y680,0),"No Disp")</f>
        <v>0</v>
      </c>
      <c r="AB680" s="95">
        <f>IFERROR(IF(4*Y680&gt;AC680,1.5*Y680,4*Y680),"No Disp")</f>
        <v>0</v>
      </c>
      <c r="AC680" s="95">
        <f>IF(Z680="No Disp","No Disp",(Z680*18)+Y680)</f>
        <v>369000</v>
      </c>
      <c r="AD680" s="95">
        <f>18*Z680-100+Y680</f>
        <v>368900</v>
      </c>
      <c r="AE680" s="95">
        <v>0</v>
      </c>
      <c r="AF680" s="95">
        <v>18000</v>
      </c>
      <c r="AG680" s="95">
        <f>IF(AF680="No Disp","No Disp",(AF680*18)+AE680)</f>
        <v>324000</v>
      </c>
      <c r="AH680" s="98">
        <f>18*AF680-100+AE680</f>
        <v>323900</v>
      </c>
      <c r="AI680" s="95" t="s">
        <v>4613</v>
      </c>
      <c r="AJ680" s="99"/>
      <c r="AK680" s="100" t="s">
        <v>43</v>
      </c>
      <c r="AL680" s="100" t="s">
        <v>43</v>
      </c>
      <c r="AM680" s="100" t="str">
        <f>IF(AL680&lt;&gt;"No Disp",AK680+12*AL680,"No Disp")</f>
        <v>No Disp</v>
      </c>
      <c r="AN680" s="100" t="s">
        <v>43</v>
      </c>
      <c r="AO680" s="100" t="s">
        <v>43</v>
      </c>
      <c r="AP680" s="100" t="str">
        <f>IF(AO680&lt;&gt;"No Disp",AN680+12*AO680,"No Disp")</f>
        <v>No Disp</v>
      </c>
      <c r="AQ680" s="100" t="s">
        <v>43</v>
      </c>
      <c r="AR680" s="100" t="s">
        <v>43</v>
      </c>
      <c r="AS680" s="100" t="str">
        <f>IF(AR680&lt;&gt;"No Disp",AQ680+12*AR680,"No Disp")</f>
        <v>No Disp</v>
      </c>
    </row>
    <row r="681" spans="1:45" s="101" customFormat="1" x14ac:dyDescent="0.25">
      <c r="A681" s="90" t="s">
        <v>38</v>
      </c>
      <c r="B681" s="90" t="s">
        <v>39</v>
      </c>
      <c r="C681" s="90" t="s">
        <v>40</v>
      </c>
      <c r="D681" s="90" t="s">
        <v>4539</v>
      </c>
      <c r="E681" s="90" t="s">
        <v>4538</v>
      </c>
      <c r="F681" s="91">
        <v>729</v>
      </c>
      <c r="G681" s="92">
        <v>70015096</v>
      </c>
      <c r="H681" s="91">
        <v>70015097</v>
      </c>
      <c r="I681" s="93" t="s">
        <v>41</v>
      </c>
      <c r="J681" s="102" t="s">
        <v>4006</v>
      </c>
      <c r="K681" s="94" t="s">
        <v>4007</v>
      </c>
      <c r="L681" s="94" t="s">
        <v>4008</v>
      </c>
      <c r="M681" s="95">
        <v>189360</v>
      </c>
      <c r="N681" s="95">
        <v>4000</v>
      </c>
      <c r="O681" s="95">
        <v>6000</v>
      </c>
      <c r="P681" s="96">
        <v>249990</v>
      </c>
      <c r="Q681" s="152"/>
      <c r="R681" s="95">
        <v>209990</v>
      </c>
      <c r="S681" s="95">
        <f>R681/24</f>
        <v>8749.5833333333339</v>
      </c>
      <c r="T681" s="95">
        <v>189360</v>
      </c>
      <c r="U681" s="95">
        <f>T681/24</f>
        <v>7890</v>
      </c>
      <c r="V681" s="95">
        <v>189360</v>
      </c>
      <c r="W681" s="95">
        <f>V681/24</f>
        <v>7890</v>
      </c>
      <c r="X681" s="128"/>
      <c r="Y681" s="95">
        <v>0</v>
      </c>
      <c r="Z681" s="97">
        <v>20500</v>
      </c>
      <c r="AA681" s="95">
        <f>IFERROR(IF(D681="Premium",0.4*Y681,0),"No Disp")</f>
        <v>0</v>
      </c>
      <c r="AB681" s="95">
        <f>IFERROR(IF(4*Y681&gt;AC681,1.5*Y681,4*Y681),"No Disp")</f>
        <v>0</v>
      </c>
      <c r="AC681" s="95">
        <f>IF(Z681="No Disp","No Disp",(Z681*18)+Y681)</f>
        <v>369000</v>
      </c>
      <c r="AD681" s="95">
        <f>18*Z681-100+Y681</f>
        <v>368900</v>
      </c>
      <c r="AE681" s="95">
        <v>0</v>
      </c>
      <c r="AF681" s="95">
        <v>18000</v>
      </c>
      <c r="AG681" s="95">
        <f>IF(AF681="No Disp","No Disp",(AF681*18)+AE681)</f>
        <v>324000</v>
      </c>
      <c r="AH681" s="98">
        <f>18*AF681-100+AE681</f>
        <v>323900</v>
      </c>
      <c r="AI681" s="95" t="s">
        <v>4613</v>
      </c>
      <c r="AJ681" s="99"/>
      <c r="AK681" s="100" t="s">
        <v>43</v>
      </c>
      <c r="AL681" s="100" t="s">
        <v>43</v>
      </c>
      <c r="AM681" s="100" t="str">
        <f>IF(AL681&lt;&gt;"No Disp",AK681+12*AL681,"No Disp")</f>
        <v>No Disp</v>
      </c>
      <c r="AN681" s="100" t="s">
        <v>43</v>
      </c>
      <c r="AO681" s="100" t="s">
        <v>43</v>
      </c>
      <c r="AP681" s="100" t="str">
        <f>IF(AO681&lt;&gt;"No Disp",AN681+12*AO681,"No Disp")</f>
        <v>No Disp</v>
      </c>
      <c r="AQ681" s="100" t="s">
        <v>43</v>
      </c>
      <c r="AR681" s="100" t="s">
        <v>43</v>
      </c>
      <c r="AS681" s="100" t="str">
        <f>IF(AR681&lt;&gt;"No Disp",AQ681+12*AR681,"No Disp")</f>
        <v>No Disp</v>
      </c>
    </row>
    <row r="682" spans="1:45" s="101" customFormat="1" x14ac:dyDescent="0.25">
      <c r="A682" s="90" t="s">
        <v>38</v>
      </c>
      <c r="B682" s="90" t="s">
        <v>39</v>
      </c>
      <c r="C682" s="90" t="s">
        <v>40</v>
      </c>
      <c r="D682" s="90" t="s">
        <v>4540</v>
      </c>
      <c r="E682" s="90" t="s">
        <v>4538</v>
      </c>
      <c r="F682" s="91">
        <v>724</v>
      </c>
      <c r="G682" s="92">
        <v>70015142</v>
      </c>
      <c r="H682" s="91">
        <v>70015143</v>
      </c>
      <c r="I682" s="93" t="s">
        <v>46</v>
      </c>
      <c r="J682" s="102" t="s">
        <v>4025</v>
      </c>
      <c r="K682" s="94" t="s">
        <v>4040</v>
      </c>
      <c r="L682" s="94" t="s">
        <v>4041</v>
      </c>
      <c r="M682" s="95">
        <v>959900</v>
      </c>
      <c r="N682" s="95">
        <v>7000</v>
      </c>
      <c r="O682" s="95">
        <v>10000</v>
      </c>
      <c r="P682" s="96">
        <v>1269990</v>
      </c>
      <c r="Q682" s="152"/>
      <c r="R682" s="95">
        <v>1079990</v>
      </c>
      <c r="S682" s="95">
        <f>R682/24</f>
        <v>44999.583333333336</v>
      </c>
      <c r="T682" s="95">
        <v>959900</v>
      </c>
      <c r="U682" s="95">
        <f>T682/24</f>
        <v>39995.833333333336</v>
      </c>
      <c r="V682" s="95">
        <v>959900</v>
      </c>
      <c r="W682" s="95">
        <f>V682/24</f>
        <v>39995.833333333336</v>
      </c>
      <c r="X682" s="128"/>
      <c r="Y682" s="95">
        <v>599900</v>
      </c>
      <c r="Z682" s="97">
        <v>50000</v>
      </c>
      <c r="AA682" s="95">
        <f>IFERROR(IF(D682="Premium",0.4*Y682,0),"No Disp")</f>
        <v>239960</v>
      </c>
      <c r="AB682" s="95">
        <f>IFERROR(IF(4*Y682&gt;AC682,1.5*Y682,4*Y682),"No Disp")</f>
        <v>899850</v>
      </c>
      <c r="AC682" s="95">
        <f>IF(Z682="No Disp","No Disp",(Z682*18)+Y682)</f>
        <v>1499900</v>
      </c>
      <c r="AD682" s="95">
        <f>18*Z682-100+Y682</f>
        <v>1499800</v>
      </c>
      <c r="AE682" s="95">
        <v>499900</v>
      </c>
      <c r="AF682" s="95">
        <v>48000</v>
      </c>
      <c r="AG682" s="95">
        <f>IF(AF682="No Disp","No Disp",(AF682*18)+AE682)</f>
        <v>1363900</v>
      </c>
      <c r="AH682" s="98">
        <f>18*AF682-100+AE682</f>
        <v>1363800</v>
      </c>
      <c r="AI682" s="95" t="s">
        <v>4613</v>
      </c>
      <c r="AJ682" s="99"/>
      <c r="AK682" s="100">
        <v>0</v>
      </c>
      <c r="AL682" s="100">
        <v>56000</v>
      </c>
      <c r="AM682" s="100">
        <f>IF(AL682&lt;&gt;"No Disp",AK682+12*AL682,"No Disp")</f>
        <v>672000</v>
      </c>
      <c r="AN682" s="100">
        <v>0</v>
      </c>
      <c r="AO682" s="100">
        <v>56000</v>
      </c>
      <c r="AP682" s="100">
        <f>IF(AO682&lt;&gt;"No Disp",AN682+12*AO682,"No Disp")</f>
        <v>672000</v>
      </c>
      <c r="AQ682" s="100">
        <v>0</v>
      </c>
      <c r="AR682" s="100">
        <v>56000</v>
      </c>
      <c r="AS682" s="100">
        <f>IF(AR682&lt;&gt;"No Disp",AQ682+12*AR682,"No Disp")</f>
        <v>672000</v>
      </c>
    </row>
    <row r="683" spans="1:45" s="101" customFormat="1" x14ac:dyDescent="0.25">
      <c r="A683" s="90" t="s">
        <v>38</v>
      </c>
      <c r="B683" s="90" t="s">
        <v>39</v>
      </c>
      <c r="C683" s="90" t="s">
        <v>40</v>
      </c>
      <c r="D683" s="90" t="s">
        <v>4540</v>
      </c>
      <c r="E683" s="90" t="s">
        <v>4538</v>
      </c>
      <c r="F683" s="91">
        <v>723</v>
      </c>
      <c r="G683" s="92">
        <v>70015146</v>
      </c>
      <c r="H683" s="91">
        <v>70015147</v>
      </c>
      <c r="I683" s="93" t="s">
        <v>46</v>
      </c>
      <c r="J683" s="102" t="s">
        <v>4025</v>
      </c>
      <c r="K683" s="94" t="s">
        <v>4052</v>
      </c>
      <c r="L683" s="94" t="s">
        <v>4053</v>
      </c>
      <c r="M683" s="95">
        <v>959900</v>
      </c>
      <c r="N683" s="95">
        <v>7000</v>
      </c>
      <c r="O683" s="95">
        <v>10000</v>
      </c>
      <c r="P683" s="96">
        <v>1269990</v>
      </c>
      <c r="Q683" s="152"/>
      <c r="R683" s="95">
        <v>1079990</v>
      </c>
      <c r="S683" s="95">
        <f>R683/24</f>
        <v>44999.583333333336</v>
      </c>
      <c r="T683" s="95">
        <v>959900</v>
      </c>
      <c r="U683" s="95">
        <f>T683/24</f>
        <v>39995.833333333336</v>
      </c>
      <c r="V683" s="95">
        <v>959900</v>
      </c>
      <c r="W683" s="95">
        <f>V683/24</f>
        <v>39995.833333333336</v>
      </c>
      <c r="X683" s="128"/>
      <c r="Y683" s="95">
        <v>599900</v>
      </c>
      <c r="Z683" s="97">
        <v>50000</v>
      </c>
      <c r="AA683" s="95">
        <f>IFERROR(IF(D683="Premium",0.4*Y683,0),"No Disp")</f>
        <v>239960</v>
      </c>
      <c r="AB683" s="95">
        <f>IFERROR(IF(4*Y683&gt;AC683,1.5*Y683,4*Y683),"No Disp")</f>
        <v>899850</v>
      </c>
      <c r="AC683" s="95">
        <f>IF(Z683="No Disp","No Disp",(Z683*18)+Y683)</f>
        <v>1499900</v>
      </c>
      <c r="AD683" s="95">
        <f>18*Z683-100+Y683</f>
        <v>1499800</v>
      </c>
      <c r="AE683" s="95">
        <v>499900</v>
      </c>
      <c r="AF683" s="95">
        <v>48000</v>
      </c>
      <c r="AG683" s="95">
        <f>IF(AF683="No Disp","No Disp",(AF683*18)+AE683)</f>
        <v>1363900</v>
      </c>
      <c r="AH683" s="98">
        <f>18*AF683-100+AE683</f>
        <v>1363800</v>
      </c>
      <c r="AI683" s="95" t="s">
        <v>4613</v>
      </c>
      <c r="AJ683" s="99"/>
      <c r="AK683" s="100">
        <v>0</v>
      </c>
      <c r="AL683" s="100">
        <v>56000</v>
      </c>
      <c r="AM683" s="100">
        <f>IF(AL683&lt;&gt;"No Disp",AK683+12*AL683,"No Disp")</f>
        <v>672000</v>
      </c>
      <c r="AN683" s="100">
        <v>0</v>
      </c>
      <c r="AO683" s="100">
        <v>56000</v>
      </c>
      <c r="AP683" s="100">
        <f>IF(AO683&lt;&gt;"No Disp",AN683+12*AO683,"No Disp")</f>
        <v>672000</v>
      </c>
      <c r="AQ683" s="100">
        <v>0</v>
      </c>
      <c r="AR683" s="100">
        <v>56000</v>
      </c>
      <c r="AS683" s="100">
        <f>IF(AR683&lt;&gt;"No Disp",AQ683+12*AR683,"No Disp")</f>
        <v>672000</v>
      </c>
    </row>
    <row r="684" spans="1:45" s="101" customFormat="1" x14ac:dyDescent="0.25">
      <c r="A684" s="90" t="s">
        <v>38</v>
      </c>
      <c r="B684" s="90" t="s">
        <v>39</v>
      </c>
      <c r="C684" s="90" t="s">
        <v>40</v>
      </c>
      <c r="D684" s="90" t="s">
        <v>4540</v>
      </c>
      <c r="E684" s="90" t="s">
        <v>4538</v>
      </c>
      <c r="F684" s="91">
        <v>722</v>
      </c>
      <c r="G684" s="92">
        <v>70015150</v>
      </c>
      <c r="H684" s="91">
        <v>70015151</v>
      </c>
      <c r="I684" s="93" t="s">
        <v>46</v>
      </c>
      <c r="J684" s="102" t="s">
        <v>4035</v>
      </c>
      <c r="K684" s="94" t="s">
        <v>4050</v>
      </c>
      <c r="L684" s="94" t="s">
        <v>4051</v>
      </c>
      <c r="M684" s="95">
        <v>1749900</v>
      </c>
      <c r="N684" s="95">
        <v>9500</v>
      </c>
      <c r="O684" s="95">
        <v>13500</v>
      </c>
      <c r="P684" s="96">
        <v>2199990</v>
      </c>
      <c r="Q684" s="152"/>
      <c r="R684" s="95">
        <v>1969990</v>
      </c>
      <c r="S684" s="95">
        <f>R684/24</f>
        <v>82082.916666666672</v>
      </c>
      <c r="T684" s="95">
        <v>1749900</v>
      </c>
      <c r="U684" s="95">
        <f>T684/24</f>
        <v>72912.5</v>
      </c>
      <c r="V684" s="95">
        <v>1749900</v>
      </c>
      <c r="W684" s="95">
        <f>V684/24</f>
        <v>72912.5</v>
      </c>
      <c r="X684" s="128"/>
      <c r="Y684" s="95">
        <v>1199900</v>
      </c>
      <c r="Z684" s="97">
        <v>77500</v>
      </c>
      <c r="AA684" s="95">
        <f>IFERROR(IF(D684="Premium",0.4*Y684,0),"No Disp")</f>
        <v>479960</v>
      </c>
      <c r="AB684" s="95">
        <f>IFERROR(IF(4*Y684&gt;AC684,1.5*Y684,4*Y684),"No Disp")</f>
        <v>1799850</v>
      </c>
      <c r="AC684" s="95">
        <f>IF(Z684="No Disp","No Disp",(Z684*18)+Y684)</f>
        <v>2594900</v>
      </c>
      <c r="AD684" s="95">
        <f>18*Z684-100+Y684</f>
        <v>2594800</v>
      </c>
      <c r="AE684" s="95">
        <v>999900</v>
      </c>
      <c r="AF684" s="95">
        <v>77000</v>
      </c>
      <c r="AG684" s="95">
        <f>IF(AF684="No Disp","No Disp",(AF684*18)+AE684)</f>
        <v>2385900</v>
      </c>
      <c r="AH684" s="98">
        <f>18*AF684-100+AE684</f>
        <v>2385800</v>
      </c>
      <c r="AI684" s="95" t="s">
        <v>4613</v>
      </c>
      <c r="AJ684" s="99"/>
      <c r="AK684" s="100">
        <v>0</v>
      </c>
      <c r="AL684" s="100">
        <v>86000</v>
      </c>
      <c r="AM684" s="100">
        <f>IF(AL684&lt;&gt;"No Disp",AK684+12*AL684,"No Disp")</f>
        <v>1032000</v>
      </c>
      <c r="AN684" s="100">
        <v>0</v>
      </c>
      <c r="AO684" s="100">
        <v>86000</v>
      </c>
      <c r="AP684" s="100">
        <f>IF(AO684&lt;&gt;"No Disp",AN684+12*AO684,"No Disp")</f>
        <v>1032000</v>
      </c>
      <c r="AQ684" s="100">
        <v>0</v>
      </c>
      <c r="AR684" s="100">
        <v>86000</v>
      </c>
      <c r="AS684" s="100">
        <f>IF(AR684&lt;&gt;"No Disp",AQ684+12*AR684,"No Disp")</f>
        <v>1032000</v>
      </c>
    </row>
    <row r="685" spans="1:45" s="101" customFormat="1" x14ac:dyDescent="0.25">
      <c r="A685" s="90" t="s">
        <v>38</v>
      </c>
      <c r="B685" s="90" t="s">
        <v>39</v>
      </c>
      <c r="C685" s="90" t="s">
        <v>40</v>
      </c>
      <c r="D685" s="90" t="s">
        <v>4540</v>
      </c>
      <c r="E685" s="90" t="s">
        <v>4538</v>
      </c>
      <c r="F685" s="91">
        <v>721</v>
      </c>
      <c r="G685" s="92">
        <v>70015154</v>
      </c>
      <c r="H685" s="91">
        <v>70015155</v>
      </c>
      <c r="I685" s="93" t="s">
        <v>46</v>
      </c>
      <c r="J685" s="102" t="s">
        <v>4035</v>
      </c>
      <c r="K685" s="94" t="s">
        <v>4048</v>
      </c>
      <c r="L685" s="94" t="s">
        <v>4049</v>
      </c>
      <c r="M685" s="95">
        <v>1749900</v>
      </c>
      <c r="N685" s="95">
        <v>9500</v>
      </c>
      <c r="O685" s="95">
        <v>13500</v>
      </c>
      <c r="P685" s="96">
        <v>2199990</v>
      </c>
      <c r="Q685" s="152"/>
      <c r="R685" s="95">
        <v>1969990</v>
      </c>
      <c r="S685" s="95">
        <f>R685/24</f>
        <v>82082.916666666672</v>
      </c>
      <c r="T685" s="95">
        <v>1749900</v>
      </c>
      <c r="U685" s="95">
        <f>T685/24</f>
        <v>72912.5</v>
      </c>
      <c r="V685" s="95">
        <v>1749900</v>
      </c>
      <c r="W685" s="95">
        <f>V685/24</f>
        <v>72912.5</v>
      </c>
      <c r="X685" s="128"/>
      <c r="Y685" s="95">
        <v>1199900</v>
      </c>
      <c r="Z685" s="97">
        <v>77500</v>
      </c>
      <c r="AA685" s="95">
        <f>IFERROR(IF(D685="Premium",0.4*Y685,0),"No Disp")</f>
        <v>479960</v>
      </c>
      <c r="AB685" s="95">
        <f>IFERROR(IF(4*Y685&gt;AC685,1.5*Y685,4*Y685),"No Disp")</f>
        <v>1799850</v>
      </c>
      <c r="AC685" s="95">
        <f>IF(Z685="No Disp","No Disp",(Z685*18)+Y685)</f>
        <v>2594900</v>
      </c>
      <c r="AD685" s="95">
        <f>18*Z685-100+Y685</f>
        <v>2594800</v>
      </c>
      <c r="AE685" s="95">
        <v>999900</v>
      </c>
      <c r="AF685" s="95">
        <v>77000</v>
      </c>
      <c r="AG685" s="95">
        <f>IF(AF685="No Disp","No Disp",(AF685*18)+AE685)</f>
        <v>2385900</v>
      </c>
      <c r="AH685" s="98">
        <f>18*AF685-100+AE685</f>
        <v>2385800</v>
      </c>
      <c r="AI685" s="95" t="s">
        <v>4613</v>
      </c>
      <c r="AJ685" s="99"/>
      <c r="AK685" s="100">
        <v>0</v>
      </c>
      <c r="AL685" s="100">
        <v>86000</v>
      </c>
      <c r="AM685" s="100">
        <f>IF(AL685&lt;&gt;"No Disp",AK685+12*AL685,"No Disp")</f>
        <v>1032000</v>
      </c>
      <c r="AN685" s="100">
        <v>0</v>
      </c>
      <c r="AO685" s="100">
        <v>86000</v>
      </c>
      <c r="AP685" s="100">
        <f>IF(AO685&lt;&gt;"No Disp",AN685+12*AO685,"No Disp")</f>
        <v>1032000</v>
      </c>
      <c r="AQ685" s="100">
        <v>0</v>
      </c>
      <c r="AR685" s="100">
        <v>86000</v>
      </c>
      <c r="AS685" s="100">
        <f>IF(AR685&lt;&gt;"No Disp",AQ685+12*AR685,"No Disp")</f>
        <v>1032000</v>
      </c>
    </row>
    <row r="686" spans="1:45" s="101" customFormat="1" x14ac:dyDescent="0.25">
      <c r="A686" s="90" t="s">
        <v>38</v>
      </c>
      <c r="B686" s="90" t="s">
        <v>39</v>
      </c>
      <c r="C686" s="90" t="s">
        <v>40</v>
      </c>
      <c r="D686" s="90" t="s">
        <v>4540</v>
      </c>
      <c r="E686" s="90" t="s">
        <v>4538</v>
      </c>
      <c r="F686" s="91">
        <v>720</v>
      </c>
      <c r="G686" s="92">
        <v>70015166</v>
      </c>
      <c r="H686" s="91">
        <v>70015167</v>
      </c>
      <c r="I686" s="93" t="s">
        <v>46</v>
      </c>
      <c r="J686" s="102" t="s">
        <v>4030</v>
      </c>
      <c r="K686" s="94" t="s">
        <v>4046</v>
      </c>
      <c r="L686" s="94" t="s">
        <v>4047</v>
      </c>
      <c r="M686" s="95">
        <v>799900</v>
      </c>
      <c r="N686" s="95">
        <v>7000</v>
      </c>
      <c r="O686" s="95">
        <v>10000</v>
      </c>
      <c r="P686" s="96">
        <v>999990</v>
      </c>
      <c r="Q686" s="152"/>
      <c r="R686" s="95">
        <v>899990</v>
      </c>
      <c r="S686" s="95">
        <f>R686/24</f>
        <v>37499.583333333336</v>
      </c>
      <c r="T686" s="95">
        <v>799900</v>
      </c>
      <c r="U686" s="95">
        <f>T686/24</f>
        <v>33329.166666666664</v>
      </c>
      <c r="V686" s="95">
        <v>799900</v>
      </c>
      <c r="W686" s="95">
        <f>V686/24</f>
        <v>33329.166666666664</v>
      </c>
      <c r="X686" s="128"/>
      <c r="Y686" s="95">
        <v>599900</v>
      </c>
      <c r="Z686" s="97">
        <v>32000</v>
      </c>
      <c r="AA686" s="95">
        <f>IFERROR(IF(D686="Premium",0.4*Y686,0),"No Disp")</f>
        <v>239960</v>
      </c>
      <c r="AB686" s="95">
        <f>IFERROR(IF(4*Y686&gt;AC686,1.5*Y686,4*Y686),"No Disp")</f>
        <v>899850</v>
      </c>
      <c r="AC686" s="95">
        <f>IF(Z686="No Disp","No Disp",(Z686*18)+Y686)</f>
        <v>1175900</v>
      </c>
      <c r="AD686" s="95">
        <f>18*Z686-100+Y686</f>
        <v>1175800</v>
      </c>
      <c r="AE686" s="95">
        <v>399900</v>
      </c>
      <c r="AF686" s="95">
        <v>39000</v>
      </c>
      <c r="AG686" s="95">
        <f>IF(AF686="No Disp","No Disp",(AF686*18)+AE686)</f>
        <v>1101900</v>
      </c>
      <c r="AH686" s="98">
        <f>18*AF686-100+AE686</f>
        <v>1101800</v>
      </c>
      <c r="AI686" s="95" t="s">
        <v>4613</v>
      </c>
      <c r="AJ686" s="99"/>
      <c r="AK686" s="100">
        <v>0</v>
      </c>
      <c r="AL686" s="100">
        <v>40000</v>
      </c>
      <c r="AM686" s="100">
        <f>IF(AL686&lt;&gt;"No Disp",AK686+12*AL686,"No Disp")</f>
        <v>480000</v>
      </c>
      <c r="AN686" s="100">
        <v>0</v>
      </c>
      <c r="AO686" s="100">
        <v>40000</v>
      </c>
      <c r="AP686" s="100">
        <f>IF(AO686&lt;&gt;"No Disp",AN686+12*AO686,"No Disp")</f>
        <v>480000</v>
      </c>
      <c r="AQ686" s="100">
        <v>0</v>
      </c>
      <c r="AR686" s="100">
        <v>40000</v>
      </c>
      <c r="AS686" s="100">
        <f>IF(AR686&lt;&gt;"No Disp",AQ686+12*AR686,"No Disp")</f>
        <v>480000</v>
      </c>
    </row>
    <row r="687" spans="1:45" s="101" customFormat="1" x14ac:dyDescent="0.25">
      <c r="A687" s="90" t="s">
        <v>38</v>
      </c>
      <c r="B687" s="90" t="s">
        <v>39</v>
      </c>
      <c r="C687" s="90" t="s">
        <v>40</v>
      </c>
      <c r="D687" s="90" t="s">
        <v>4540</v>
      </c>
      <c r="E687" s="90" t="s">
        <v>4538</v>
      </c>
      <c r="F687" s="91">
        <v>719</v>
      </c>
      <c r="G687" s="92">
        <v>70015169</v>
      </c>
      <c r="H687" s="91">
        <v>70015170</v>
      </c>
      <c r="I687" s="93" t="s">
        <v>46</v>
      </c>
      <c r="J687" s="102" t="s">
        <v>4025</v>
      </c>
      <c r="K687" s="94" t="s">
        <v>4042</v>
      </c>
      <c r="L687" s="94" t="s">
        <v>4043</v>
      </c>
      <c r="M687" s="95">
        <v>959900</v>
      </c>
      <c r="N687" s="95">
        <v>7000</v>
      </c>
      <c r="O687" s="95">
        <v>10000</v>
      </c>
      <c r="P687" s="96">
        <v>1269990</v>
      </c>
      <c r="Q687" s="152"/>
      <c r="R687" s="95">
        <v>1079990</v>
      </c>
      <c r="S687" s="95">
        <f>R687/24</f>
        <v>44999.583333333336</v>
      </c>
      <c r="T687" s="95">
        <v>959900</v>
      </c>
      <c r="U687" s="95">
        <f>T687/24</f>
        <v>39995.833333333336</v>
      </c>
      <c r="V687" s="95">
        <v>959900</v>
      </c>
      <c r="W687" s="95">
        <f>V687/24</f>
        <v>39995.833333333336</v>
      </c>
      <c r="X687" s="128"/>
      <c r="Y687" s="95">
        <v>599900</v>
      </c>
      <c r="Z687" s="97">
        <v>50000</v>
      </c>
      <c r="AA687" s="95">
        <f>IFERROR(IF(D687="Premium",0.4*Y687,0),"No Disp")</f>
        <v>239960</v>
      </c>
      <c r="AB687" s="95">
        <f>IFERROR(IF(4*Y687&gt;AC687,1.5*Y687,4*Y687),"No Disp")</f>
        <v>899850</v>
      </c>
      <c r="AC687" s="95">
        <f>IF(Z687="No Disp","No Disp",(Z687*18)+Y687)</f>
        <v>1499900</v>
      </c>
      <c r="AD687" s="95">
        <f>18*Z687-100+Y687</f>
        <v>1499800</v>
      </c>
      <c r="AE687" s="95">
        <v>499900</v>
      </c>
      <c r="AF687" s="95">
        <v>48000</v>
      </c>
      <c r="AG687" s="95">
        <f>IF(AF687="No Disp","No Disp",(AF687*18)+AE687)</f>
        <v>1363900</v>
      </c>
      <c r="AH687" s="98">
        <f>18*AF687-100+AE687</f>
        <v>1363800</v>
      </c>
      <c r="AI687" s="95" t="s">
        <v>4613</v>
      </c>
      <c r="AJ687" s="99"/>
      <c r="AK687" s="100">
        <v>0</v>
      </c>
      <c r="AL687" s="100">
        <v>56000</v>
      </c>
      <c r="AM687" s="100">
        <f>IF(AL687&lt;&gt;"No Disp",AK687+12*AL687,"No Disp")</f>
        <v>672000</v>
      </c>
      <c r="AN687" s="100">
        <v>0</v>
      </c>
      <c r="AO687" s="100">
        <v>56000</v>
      </c>
      <c r="AP687" s="100">
        <f>IF(AO687&lt;&gt;"No Disp",AN687+12*AO687,"No Disp")</f>
        <v>672000</v>
      </c>
      <c r="AQ687" s="100">
        <v>0</v>
      </c>
      <c r="AR687" s="100">
        <v>56000</v>
      </c>
      <c r="AS687" s="100">
        <f>IF(AR687&lt;&gt;"No Disp",AQ687+12*AR687,"No Disp")</f>
        <v>672000</v>
      </c>
    </row>
    <row r="688" spans="1:45" s="101" customFormat="1" x14ac:dyDescent="0.25">
      <c r="A688" s="90" t="s">
        <v>38</v>
      </c>
      <c r="B688" s="90" t="s">
        <v>39</v>
      </c>
      <c r="C688" s="90" t="s">
        <v>40</v>
      </c>
      <c r="D688" s="90" t="s">
        <v>4540</v>
      </c>
      <c r="E688" s="90" t="s">
        <v>4538</v>
      </c>
      <c r="F688" s="91">
        <v>718</v>
      </c>
      <c r="G688" s="92">
        <v>70015190</v>
      </c>
      <c r="H688" s="91">
        <v>70015191</v>
      </c>
      <c r="I688" s="93" t="s">
        <v>46</v>
      </c>
      <c r="J688" s="102" t="s">
        <v>4030</v>
      </c>
      <c r="K688" s="94" t="s">
        <v>4044</v>
      </c>
      <c r="L688" s="94" t="s">
        <v>4045</v>
      </c>
      <c r="M688" s="95">
        <v>799900</v>
      </c>
      <c r="N688" s="95">
        <v>7000</v>
      </c>
      <c r="O688" s="95">
        <v>10000</v>
      </c>
      <c r="P688" s="96">
        <v>999990</v>
      </c>
      <c r="Q688" s="152"/>
      <c r="R688" s="95">
        <v>899990</v>
      </c>
      <c r="S688" s="95">
        <f>R688/24</f>
        <v>37499.583333333336</v>
      </c>
      <c r="T688" s="95">
        <v>799900</v>
      </c>
      <c r="U688" s="95">
        <f>T688/24</f>
        <v>33329.166666666664</v>
      </c>
      <c r="V688" s="95">
        <v>799900</v>
      </c>
      <c r="W688" s="95">
        <f>V688/24</f>
        <v>33329.166666666664</v>
      </c>
      <c r="X688" s="128"/>
      <c r="Y688" s="95">
        <v>599900</v>
      </c>
      <c r="Z688" s="97">
        <v>32000</v>
      </c>
      <c r="AA688" s="95">
        <f>IFERROR(IF(D688="Premium",0.4*Y688,0),"No Disp")</f>
        <v>239960</v>
      </c>
      <c r="AB688" s="95">
        <f>IFERROR(IF(4*Y688&gt;AC688,1.5*Y688,4*Y688),"No Disp")</f>
        <v>899850</v>
      </c>
      <c r="AC688" s="95">
        <f>IF(Z688="No Disp","No Disp",(Z688*18)+Y688)</f>
        <v>1175900</v>
      </c>
      <c r="AD688" s="95">
        <f>18*Z688-100+Y688</f>
        <v>1175800</v>
      </c>
      <c r="AE688" s="95">
        <v>399900</v>
      </c>
      <c r="AF688" s="95">
        <v>39000</v>
      </c>
      <c r="AG688" s="95">
        <f>IF(AF688="No Disp","No Disp",(AF688*18)+AE688)</f>
        <v>1101900</v>
      </c>
      <c r="AH688" s="98">
        <f>18*AF688-100+AE688</f>
        <v>1101800</v>
      </c>
      <c r="AI688" s="95" t="s">
        <v>4613</v>
      </c>
      <c r="AJ688" s="99"/>
      <c r="AK688" s="100">
        <v>0</v>
      </c>
      <c r="AL688" s="100">
        <v>40000</v>
      </c>
      <c r="AM688" s="100">
        <f>IF(AL688&lt;&gt;"No Disp",AK688+12*AL688,"No Disp")</f>
        <v>480000</v>
      </c>
      <c r="AN688" s="100">
        <v>0</v>
      </c>
      <c r="AO688" s="100">
        <v>40000</v>
      </c>
      <c r="AP688" s="100">
        <f>IF(AO688&lt;&gt;"No Disp",AN688+12*AO688,"No Disp")</f>
        <v>480000</v>
      </c>
      <c r="AQ688" s="100">
        <v>0</v>
      </c>
      <c r="AR688" s="100">
        <v>40000</v>
      </c>
      <c r="AS688" s="100">
        <f>IF(AR688&lt;&gt;"No Disp",AQ688+12*AR688,"No Disp")</f>
        <v>480000</v>
      </c>
    </row>
    <row r="689" spans="1:45" s="101" customFormat="1" x14ac:dyDescent="0.25">
      <c r="A689" s="90" t="s">
        <v>38</v>
      </c>
      <c r="B689" s="90" t="s">
        <v>39</v>
      </c>
      <c r="C689" s="90" t="s">
        <v>40</v>
      </c>
      <c r="D689" s="90" t="s">
        <v>4539</v>
      </c>
      <c r="E689" s="90" t="s">
        <v>4538</v>
      </c>
      <c r="F689" s="91">
        <v>717</v>
      </c>
      <c r="G689" s="92">
        <v>70015213</v>
      </c>
      <c r="H689" s="91">
        <v>70015214</v>
      </c>
      <c r="I689" s="93" t="s">
        <v>112</v>
      </c>
      <c r="J689" s="94" t="s">
        <v>4020</v>
      </c>
      <c r="K689" s="94" t="s">
        <v>4021</v>
      </c>
      <c r="L689" s="94" t="s">
        <v>4022</v>
      </c>
      <c r="M689" s="95">
        <v>279900</v>
      </c>
      <c r="N689" s="95">
        <v>4000</v>
      </c>
      <c r="O689" s="95">
        <v>6000</v>
      </c>
      <c r="P689" s="96">
        <v>459990</v>
      </c>
      <c r="Q689" s="152"/>
      <c r="R689" s="95">
        <v>309990</v>
      </c>
      <c r="S689" s="95">
        <f>R689/24</f>
        <v>12916.25</v>
      </c>
      <c r="T689" s="95">
        <v>279900</v>
      </c>
      <c r="U689" s="95">
        <f>T689/24</f>
        <v>11662.5</v>
      </c>
      <c r="V689" s="95">
        <v>279900</v>
      </c>
      <c r="W689" s="95">
        <f>V689/24</f>
        <v>11662.5</v>
      </c>
      <c r="X689" s="128"/>
      <c r="Y689" s="95">
        <v>29900</v>
      </c>
      <c r="Z689" s="95">
        <v>25000</v>
      </c>
      <c r="AA689" s="95">
        <f>IFERROR(IF(D689="Premium",0.4*Y689,0),"No Disp")</f>
        <v>0</v>
      </c>
      <c r="AB689" s="95">
        <f>IFERROR(IF(4*Y689&gt;AC689,1.5*Y689,4*Y689),"No Disp")</f>
        <v>119600</v>
      </c>
      <c r="AC689" s="95">
        <f>IF(Z689="No Disp","No Disp",(Z689*18)+Y689)</f>
        <v>479900</v>
      </c>
      <c r="AD689" s="95">
        <f>18*Z689-100+Y689</f>
        <v>479800</v>
      </c>
      <c r="AE689" s="95">
        <v>0</v>
      </c>
      <c r="AF689" s="95">
        <v>23500</v>
      </c>
      <c r="AG689" s="95">
        <f>IF(AF689="No Disp","No Disp",(AF689*18)+AE689)</f>
        <v>423000</v>
      </c>
      <c r="AH689" s="98">
        <f>18*AF689-100+AE689</f>
        <v>422900</v>
      </c>
      <c r="AI689" s="95" t="s">
        <v>4613</v>
      </c>
      <c r="AJ689" s="99"/>
      <c r="AK689" s="100" t="s">
        <v>43</v>
      </c>
      <c r="AL689" s="100" t="s">
        <v>43</v>
      </c>
      <c r="AM689" s="100" t="str">
        <f>IF(AL689&lt;&gt;"No Disp",AK689+12*AL689,"No Disp")</f>
        <v>No Disp</v>
      </c>
      <c r="AN689" s="100" t="s">
        <v>43</v>
      </c>
      <c r="AO689" s="100" t="s">
        <v>43</v>
      </c>
      <c r="AP689" s="100" t="str">
        <f>IF(AO689&lt;&gt;"No Disp",AN689+12*AO689,"No Disp")</f>
        <v>No Disp</v>
      </c>
      <c r="AQ689" s="100" t="s">
        <v>43</v>
      </c>
      <c r="AR689" s="100" t="s">
        <v>43</v>
      </c>
      <c r="AS689" s="100" t="str">
        <f>IF(AR689&lt;&gt;"No Disp",AQ689+12*AR689,"No Disp")</f>
        <v>No Disp</v>
      </c>
    </row>
    <row r="690" spans="1:45" s="101" customFormat="1" x14ac:dyDescent="0.25">
      <c r="A690" s="90" t="s">
        <v>38</v>
      </c>
      <c r="B690" s="90" t="s">
        <v>39</v>
      </c>
      <c r="C690" s="90" t="s">
        <v>40</v>
      </c>
      <c r="D690" s="90" t="s">
        <v>4540</v>
      </c>
      <c r="E690" s="90" t="s">
        <v>4538</v>
      </c>
      <c r="F690" s="91">
        <v>716</v>
      </c>
      <c r="G690" s="92">
        <v>70015218</v>
      </c>
      <c r="H690" s="91">
        <v>70015219</v>
      </c>
      <c r="I690" s="93" t="s">
        <v>46</v>
      </c>
      <c r="J690" s="102" t="s">
        <v>4035</v>
      </c>
      <c r="K690" s="94" t="s">
        <v>4056</v>
      </c>
      <c r="L690" s="94" t="s">
        <v>4057</v>
      </c>
      <c r="M690" s="95">
        <v>1749900</v>
      </c>
      <c r="N690" s="95">
        <v>9500</v>
      </c>
      <c r="O690" s="95">
        <v>13500</v>
      </c>
      <c r="P690" s="96">
        <v>2199990</v>
      </c>
      <c r="Q690" s="152"/>
      <c r="R690" s="95">
        <v>1969990</v>
      </c>
      <c r="S690" s="95">
        <f>R690/24</f>
        <v>82082.916666666672</v>
      </c>
      <c r="T690" s="95">
        <v>1749900</v>
      </c>
      <c r="U690" s="95">
        <f>T690/24</f>
        <v>72912.5</v>
      </c>
      <c r="V690" s="95">
        <v>1749900</v>
      </c>
      <c r="W690" s="95">
        <f>V690/24</f>
        <v>72912.5</v>
      </c>
      <c r="X690" s="128"/>
      <c r="Y690" s="95">
        <v>1199900</v>
      </c>
      <c r="Z690" s="97">
        <v>77500</v>
      </c>
      <c r="AA690" s="95">
        <f>IFERROR(IF(D690="Premium",0.4*Y690,0),"No Disp")</f>
        <v>479960</v>
      </c>
      <c r="AB690" s="95">
        <f>IFERROR(IF(4*Y690&gt;AC690,1.5*Y690,4*Y690),"No Disp")</f>
        <v>1799850</v>
      </c>
      <c r="AC690" s="95">
        <f>IF(Z690="No Disp","No Disp",(Z690*18)+Y690)</f>
        <v>2594900</v>
      </c>
      <c r="AD690" s="95">
        <f>18*Z690-100+Y690</f>
        <v>2594800</v>
      </c>
      <c r="AE690" s="95">
        <v>999900</v>
      </c>
      <c r="AF690" s="95">
        <v>77000</v>
      </c>
      <c r="AG690" s="95">
        <f>IF(AF690="No Disp","No Disp",(AF690*18)+AE690)</f>
        <v>2385900</v>
      </c>
      <c r="AH690" s="98">
        <f>18*AF690-100+AE690</f>
        <v>2385800</v>
      </c>
      <c r="AI690" s="95" t="s">
        <v>4613</v>
      </c>
      <c r="AJ690" s="99"/>
      <c r="AK690" s="100">
        <v>0</v>
      </c>
      <c r="AL690" s="100">
        <v>86000</v>
      </c>
      <c r="AM690" s="100">
        <f>IF(AL690&lt;&gt;"No Disp",AK690+12*AL690,"No Disp")</f>
        <v>1032000</v>
      </c>
      <c r="AN690" s="100">
        <v>0</v>
      </c>
      <c r="AO690" s="100">
        <v>86000</v>
      </c>
      <c r="AP690" s="100">
        <f>IF(AO690&lt;&gt;"No Disp",AN690+12*AO690,"No Disp")</f>
        <v>1032000</v>
      </c>
      <c r="AQ690" s="100">
        <v>0</v>
      </c>
      <c r="AR690" s="100">
        <v>86000</v>
      </c>
      <c r="AS690" s="100">
        <f>IF(AR690&lt;&gt;"No Disp",AQ690+12*AR690,"No Disp")</f>
        <v>1032000</v>
      </c>
    </row>
    <row r="691" spans="1:45" s="101" customFormat="1" x14ac:dyDescent="0.25">
      <c r="A691" s="90" t="s">
        <v>38</v>
      </c>
      <c r="B691" s="90" t="s">
        <v>40</v>
      </c>
      <c r="C691" s="90" t="s">
        <v>39</v>
      </c>
      <c r="D691" s="90" t="s">
        <v>4541</v>
      </c>
      <c r="E691" s="90" t="s">
        <v>4538</v>
      </c>
      <c r="F691" s="91">
        <v>715</v>
      </c>
      <c r="G691" s="92">
        <v>70015266</v>
      </c>
      <c r="H691" s="91">
        <v>70015267</v>
      </c>
      <c r="I691" s="93" t="s">
        <v>46</v>
      </c>
      <c r="J691" s="94" t="s">
        <v>4174</v>
      </c>
      <c r="K691" s="94" t="s">
        <v>4312</v>
      </c>
      <c r="L691" s="94" t="s">
        <v>4176</v>
      </c>
      <c r="M691" s="95">
        <v>99900</v>
      </c>
      <c r="N691" s="95">
        <v>2500</v>
      </c>
      <c r="O691" s="95">
        <v>4000</v>
      </c>
      <c r="P691" s="96">
        <v>129990</v>
      </c>
      <c r="Q691" s="152"/>
      <c r="R691" s="95">
        <v>109990</v>
      </c>
      <c r="S691" s="95">
        <f>R691/24</f>
        <v>4582.916666666667</v>
      </c>
      <c r="T691" s="95">
        <v>99900</v>
      </c>
      <c r="U691" s="95">
        <f>T691/24</f>
        <v>4162.5</v>
      </c>
      <c r="V691" s="95">
        <v>99900</v>
      </c>
      <c r="W691" s="95">
        <f>V691/24</f>
        <v>4162.5</v>
      </c>
      <c r="X691" s="128"/>
      <c r="Y691" s="95">
        <v>0</v>
      </c>
      <c r="Z691" s="95">
        <v>9000</v>
      </c>
      <c r="AA691" s="95">
        <f>IFERROR(IF(D691="Premium",0.4*Y691,0),"No Disp")</f>
        <v>0</v>
      </c>
      <c r="AB691" s="95">
        <f>IFERROR(IF(4*Y691&gt;AC691,1.5*Y691,4*Y691),"No Disp")</f>
        <v>0</v>
      </c>
      <c r="AC691" s="95">
        <f>IF(Z691="No Disp","No Disp",(Z691*18)+Y691)</f>
        <v>162000</v>
      </c>
      <c r="AD691" s="95">
        <f>18*Z691-100+Y691</f>
        <v>161900</v>
      </c>
      <c r="AE691" s="95">
        <v>0</v>
      </c>
      <c r="AF691" s="95">
        <v>8500</v>
      </c>
      <c r="AG691" s="95">
        <f>IF(AF691="No Disp","No Disp",(AF691*18)+AE691)</f>
        <v>153000</v>
      </c>
      <c r="AH691" s="98">
        <f>18*AF691-100+AE691</f>
        <v>152900</v>
      </c>
      <c r="AI691" s="95" t="s">
        <v>4613</v>
      </c>
      <c r="AJ691" s="99"/>
      <c r="AK691" s="100" t="s">
        <v>43</v>
      </c>
      <c r="AL691" s="100" t="s">
        <v>43</v>
      </c>
      <c r="AM691" s="100" t="str">
        <f>IF(AL691&lt;&gt;"No Disp",AK691+12*AL691,"No Disp")</f>
        <v>No Disp</v>
      </c>
      <c r="AN691" s="100" t="s">
        <v>43</v>
      </c>
      <c r="AO691" s="100" t="s">
        <v>43</v>
      </c>
      <c r="AP691" s="100" t="str">
        <f>IF(AO691&lt;&gt;"No Disp",AN691+12*AO691,"No Disp")</f>
        <v>No Disp</v>
      </c>
      <c r="AQ691" s="100" t="s">
        <v>43</v>
      </c>
      <c r="AR691" s="100" t="s">
        <v>43</v>
      </c>
      <c r="AS691" s="100" t="str">
        <f>IF(AR691&lt;&gt;"No Disp",AQ691+12*AR691,"No Disp")</f>
        <v>No Disp</v>
      </c>
    </row>
    <row r="692" spans="1:45" s="101" customFormat="1" x14ac:dyDescent="0.25">
      <c r="A692" s="90" t="s">
        <v>38</v>
      </c>
      <c r="B692" s="90" t="s">
        <v>40</v>
      </c>
      <c r="C692" s="90" t="s">
        <v>39</v>
      </c>
      <c r="D692" s="90" t="s">
        <v>4541</v>
      </c>
      <c r="E692" s="90" t="s">
        <v>4538</v>
      </c>
      <c r="F692" s="91">
        <v>714</v>
      </c>
      <c r="G692" s="92">
        <v>70015270</v>
      </c>
      <c r="H692" s="91">
        <v>70015271</v>
      </c>
      <c r="I692" s="93" t="s">
        <v>46</v>
      </c>
      <c r="J692" s="94" t="s">
        <v>4174</v>
      </c>
      <c r="K692" s="94" t="s">
        <v>4313</v>
      </c>
      <c r="L692" s="94" t="s">
        <v>4178</v>
      </c>
      <c r="M692" s="95">
        <v>99900</v>
      </c>
      <c r="N692" s="95">
        <v>2500</v>
      </c>
      <c r="O692" s="95">
        <v>4000</v>
      </c>
      <c r="P692" s="96">
        <v>129990</v>
      </c>
      <c r="Q692" s="152"/>
      <c r="R692" s="95">
        <v>109990</v>
      </c>
      <c r="S692" s="95">
        <f>R692/24</f>
        <v>4582.916666666667</v>
      </c>
      <c r="T692" s="95">
        <v>99900</v>
      </c>
      <c r="U692" s="95">
        <f>T692/24</f>
        <v>4162.5</v>
      </c>
      <c r="V692" s="95">
        <v>99900</v>
      </c>
      <c r="W692" s="95">
        <f>V692/24</f>
        <v>4162.5</v>
      </c>
      <c r="X692" s="128"/>
      <c r="Y692" s="95">
        <v>0</v>
      </c>
      <c r="Z692" s="95">
        <v>9000</v>
      </c>
      <c r="AA692" s="95">
        <f>IFERROR(IF(D692="Premium",0.4*Y692,0),"No Disp")</f>
        <v>0</v>
      </c>
      <c r="AB692" s="95">
        <f>IFERROR(IF(4*Y692&gt;AC692,1.5*Y692,4*Y692),"No Disp")</f>
        <v>0</v>
      </c>
      <c r="AC692" s="95">
        <f>IF(Z692="No Disp","No Disp",(Z692*18)+Y692)</f>
        <v>162000</v>
      </c>
      <c r="AD692" s="95">
        <f>18*Z692-100+Y692</f>
        <v>161900</v>
      </c>
      <c r="AE692" s="95">
        <v>0</v>
      </c>
      <c r="AF692" s="95">
        <v>8500</v>
      </c>
      <c r="AG692" s="95">
        <f>IF(AF692="No Disp","No Disp",(AF692*18)+AE692)</f>
        <v>153000</v>
      </c>
      <c r="AH692" s="98">
        <f>18*AF692-100+AE692</f>
        <v>152900</v>
      </c>
      <c r="AI692" s="95" t="s">
        <v>4613</v>
      </c>
      <c r="AJ692" s="99"/>
      <c r="AK692" s="100" t="s">
        <v>43</v>
      </c>
      <c r="AL692" s="100" t="s">
        <v>43</v>
      </c>
      <c r="AM692" s="100" t="str">
        <f>IF(AL692&lt;&gt;"No Disp",AK692+12*AL692,"No Disp")</f>
        <v>No Disp</v>
      </c>
      <c r="AN692" s="100" t="s">
        <v>43</v>
      </c>
      <c r="AO692" s="100" t="s">
        <v>43</v>
      </c>
      <c r="AP692" s="100" t="str">
        <f>IF(AO692&lt;&gt;"No Disp",AN692+12*AO692,"No Disp")</f>
        <v>No Disp</v>
      </c>
      <c r="AQ692" s="100" t="s">
        <v>43</v>
      </c>
      <c r="AR692" s="100" t="s">
        <v>43</v>
      </c>
      <c r="AS692" s="100" t="str">
        <f>IF(AR692&lt;&gt;"No Disp",AQ692+12*AR692,"No Disp")</f>
        <v>No Disp</v>
      </c>
    </row>
    <row r="693" spans="1:45" s="101" customFormat="1" x14ac:dyDescent="0.25">
      <c r="A693" s="90" t="s">
        <v>38</v>
      </c>
      <c r="B693" s="90" t="s">
        <v>40</v>
      </c>
      <c r="C693" s="90" t="s">
        <v>39</v>
      </c>
      <c r="D693" s="90" t="s">
        <v>4541</v>
      </c>
      <c r="E693" s="90" t="s">
        <v>4538</v>
      </c>
      <c r="F693" s="91">
        <v>713</v>
      </c>
      <c r="G693" s="92">
        <v>70015274</v>
      </c>
      <c r="H693" s="91">
        <v>70015275</v>
      </c>
      <c r="I693" s="93" t="s">
        <v>46</v>
      </c>
      <c r="J693" s="94" t="s">
        <v>4174</v>
      </c>
      <c r="K693" s="94" t="s">
        <v>4314</v>
      </c>
      <c r="L693" s="94" t="s">
        <v>4180</v>
      </c>
      <c r="M693" s="95">
        <v>99900</v>
      </c>
      <c r="N693" s="95">
        <v>2500</v>
      </c>
      <c r="O693" s="95">
        <v>4000</v>
      </c>
      <c r="P693" s="96">
        <v>129990</v>
      </c>
      <c r="Q693" s="152"/>
      <c r="R693" s="95">
        <v>109990</v>
      </c>
      <c r="S693" s="95">
        <f>R693/24</f>
        <v>4582.916666666667</v>
      </c>
      <c r="T693" s="95">
        <v>99900</v>
      </c>
      <c r="U693" s="95">
        <f>T693/24</f>
        <v>4162.5</v>
      </c>
      <c r="V693" s="95">
        <v>99900</v>
      </c>
      <c r="W693" s="95">
        <f>V693/24</f>
        <v>4162.5</v>
      </c>
      <c r="X693" s="128"/>
      <c r="Y693" s="95">
        <v>0</v>
      </c>
      <c r="Z693" s="95">
        <v>9000</v>
      </c>
      <c r="AA693" s="95">
        <f>IFERROR(IF(D693="Premium",0.4*Y693,0),"No Disp")</f>
        <v>0</v>
      </c>
      <c r="AB693" s="95">
        <f>IFERROR(IF(4*Y693&gt;AC693,1.5*Y693,4*Y693),"No Disp")</f>
        <v>0</v>
      </c>
      <c r="AC693" s="95">
        <f>IF(Z693="No Disp","No Disp",(Z693*18)+Y693)</f>
        <v>162000</v>
      </c>
      <c r="AD693" s="95">
        <f>18*Z693-100+Y693</f>
        <v>161900</v>
      </c>
      <c r="AE693" s="95">
        <v>0</v>
      </c>
      <c r="AF693" s="95">
        <v>8500</v>
      </c>
      <c r="AG693" s="95">
        <f>IF(AF693="No Disp","No Disp",(AF693*18)+AE693)</f>
        <v>153000</v>
      </c>
      <c r="AH693" s="98">
        <f>18*AF693-100+AE693</f>
        <v>152900</v>
      </c>
      <c r="AI693" s="95" t="s">
        <v>4613</v>
      </c>
      <c r="AJ693" s="99"/>
      <c r="AK693" s="100" t="s">
        <v>43</v>
      </c>
      <c r="AL693" s="100" t="s">
        <v>43</v>
      </c>
      <c r="AM693" s="100" t="str">
        <f>IF(AL693&lt;&gt;"No Disp",AK693+12*AL693,"No Disp")</f>
        <v>No Disp</v>
      </c>
      <c r="AN693" s="100" t="s">
        <v>43</v>
      </c>
      <c r="AO693" s="100" t="s">
        <v>43</v>
      </c>
      <c r="AP693" s="100" t="str">
        <f>IF(AO693&lt;&gt;"No Disp",AN693+12*AO693,"No Disp")</f>
        <v>No Disp</v>
      </c>
      <c r="AQ693" s="100" t="s">
        <v>43</v>
      </c>
      <c r="AR693" s="100" t="s">
        <v>43</v>
      </c>
      <c r="AS693" s="100" t="str">
        <f>IF(AR693&lt;&gt;"No Disp",AQ693+12*AR693,"No Disp")</f>
        <v>No Disp</v>
      </c>
    </row>
    <row r="694" spans="1:45" s="101" customFormat="1" x14ac:dyDescent="0.25">
      <c r="A694" s="90" t="s">
        <v>38</v>
      </c>
      <c r="B694" s="90" t="s">
        <v>40</v>
      </c>
      <c r="C694" s="90" t="s">
        <v>39</v>
      </c>
      <c r="D694" s="90" t="s">
        <v>4541</v>
      </c>
      <c r="E694" s="90" t="s">
        <v>4538</v>
      </c>
      <c r="F694" s="91">
        <v>712</v>
      </c>
      <c r="G694" s="92">
        <v>70015278</v>
      </c>
      <c r="H694" s="91">
        <v>70015279</v>
      </c>
      <c r="I694" s="93" t="s">
        <v>46</v>
      </c>
      <c r="J694" s="94" t="s">
        <v>4175</v>
      </c>
      <c r="K694" s="94" t="s">
        <v>4315</v>
      </c>
      <c r="L694" s="94" t="s">
        <v>4182</v>
      </c>
      <c r="M694" s="95">
        <v>159900</v>
      </c>
      <c r="N694" s="95">
        <v>2500</v>
      </c>
      <c r="O694" s="95">
        <v>4000</v>
      </c>
      <c r="P694" s="96">
        <v>229990</v>
      </c>
      <c r="Q694" s="152"/>
      <c r="R694" s="95">
        <v>179990</v>
      </c>
      <c r="S694" s="95">
        <f>R694/24</f>
        <v>7499.583333333333</v>
      </c>
      <c r="T694" s="95">
        <v>159900</v>
      </c>
      <c r="U694" s="95">
        <f>T694/24</f>
        <v>6662.5</v>
      </c>
      <c r="V694" s="95">
        <v>159900</v>
      </c>
      <c r="W694" s="95">
        <f>V694/24</f>
        <v>6662.5</v>
      </c>
      <c r="X694" s="128"/>
      <c r="Y694" s="95">
        <v>0</v>
      </c>
      <c r="Z694" s="95">
        <v>11500</v>
      </c>
      <c r="AA694" s="95">
        <f>IFERROR(IF(D694="Premium",0.4*Y694,0),"No Disp")</f>
        <v>0</v>
      </c>
      <c r="AB694" s="95">
        <f>IFERROR(IF(4*Y694&gt;AC694,1.5*Y694,4*Y694),"No Disp")</f>
        <v>0</v>
      </c>
      <c r="AC694" s="95">
        <f>IF(Z694="No Disp","No Disp",(Z694*18)+Y694)</f>
        <v>207000</v>
      </c>
      <c r="AD694" s="95">
        <f>18*Z694-100+Y694</f>
        <v>206900</v>
      </c>
      <c r="AE694" s="95">
        <v>0</v>
      </c>
      <c r="AF694" s="95">
        <v>11000</v>
      </c>
      <c r="AG694" s="95">
        <f>IF(AF694="No Disp","No Disp",(AF694*18)+AE694)</f>
        <v>198000</v>
      </c>
      <c r="AH694" s="98">
        <f>18*AF694-100+AE694</f>
        <v>197900</v>
      </c>
      <c r="AI694" s="95" t="s">
        <v>4613</v>
      </c>
      <c r="AJ694" s="99"/>
      <c r="AK694" s="100" t="s">
        <v>43</v>
      </c>
      <c r="AL694" s="100" t="s">
        <v>43</v>
      </c>
      <c r="AM694" s="100" t="str">
        <f>IF(AL694&lt;&gt;"No Disp",AK694+12*AL694,"No Disp")</f>
        <v>No Disp</v>
      </c>
      <c r="AN694" s="100" t="s">
        <v>43</v>
      </c>
      <c r="AO694" s="100" t="s">
        <v>43</v>
      </c>
      <c r="AP694" s="100" t="str">
        <f>IF(AO694&lt;&gt;"No Disp",AN694+12*AO694,"No Disp")</f>
        <v>No Disp</v>
      </c>
      <c r="AQ694" s="100" t="s">
        <v>43</v>
      </c>
      <c r="AR694" s="100" t="s">
        <v>43</v>
      </c>
      <c r="AS694" s="100" t="str">
        <f>IF(AR694&lt;&gt;"No Disp",AQ694+12*AR694,"No Disp")</f>
        <v>No Disp</v>
      </c>
    </row>
    <row r="695" spans="1:45" s="101" customFormat="1" x14ac:dyDescent="0.25">
      <c r="A695" s="90" t="s">
        <v>38</v>
      </c>
      <c r="B695" s="90" t="s">
        <v>40</v>
      </c>
      <c r="C695" s="90" t="s">
        <v>39</v>
      </c>
      <c r="D695" s="90" t="s">
        <v>4541</v>
      </c>
      <c r="E695" s="90" t="s">
        <v>4538</v>
      </c>
      <c r="F695" s="91">
        <v>711</v>
      </c>
      <c r="G695" s="92">
        <v>70015282</v>
      </c>
      <c r="H695" s="91">
        <v>70015283</v>
      </c>
      <c r="I695" s="93" t="s">
        <v>46</v>
      </c>
      <c r="J695" s="94" t="s">
        <v>4175</v>
      </c>
      <c r="K695" s="94" t="s">
        <v>4316</v>
      </c>
      <c r="L695" s="94" t="s">
        <v>4184</v>
      </c>
      <c r="M695" s="95">
        <v>159900</v>
      </c>
      <c r="N695" s="95">
        <v>2500</v>
      </c>
      <c r="O695" s="95">
        <v>4000</v>
      </c>
      <c r="P695" s="96">
        <v>229990</v>
      </c>
      <c r="Q695" s="152"/>
      <c r="R695" s="95">
        <v>179990</v>
      </c>
      <c r="S695" s="95">
        <f>R695/24</f>
        <v>7499.583333333333</v>
      </c>
      <c r="T695" s="95">
        <v>159900</v>
      </c>
      <c r="U695" s="95">
        <f>T695/24</f>
        <v>6662.5</v>
      </c>
      <c r="V695" s="95">
        <v>159900</v>
      </c>
      <c r="W695" s="95">
        <f>V695/24</f>
        <v>6662.5</v>
      </c>
      <c r="X695" s="128"/>
      <c r="Y695" s="95">
        <v>0</v>
      </c>
      <c r="Z695" s="95">
        <v>11500</v>
      </c>
      <c r="AA695" s="95">
        <f>IFERROR(IF(D695="Premium",0.4*Y695,0),"No Disp")</f>
        <v>0</v>
      </c>
      <c r="AB695" s="95">
        <f>IFERROR(IF(4*Y695&gt;AC695,1.5*Y695,4*Y695),"No Disp")</f>
        <v>0</v>
      </c>
      <c r="AC695" s="95">
        <f>IF(Z695="No Disp","No Disp",(Z695*18)+Y695)</f>
        <v>207000</v>
      </c>
      <c r="AD695" s="95">
        <f>18*Z695-100+Y695</f>
        <v>206900</v>
      </c>
      <c r="AE695" s="95">
        <v>0</v>
      </c>
      <c r="AF695" s="95">
        <v>11000</v>
      </c>
      <c r="AG695" s="95">
        <f>IF(AF695="No Disp","No Disp",(AF695*18)+AE695)</f>
        <v>198000</v>
      </c>
      <c r="AH695" s="98">
        <f>18*AF695-100+AE695</f>
        <v>197900</v>
      </c>
      <c r="AI695" s="95" t="s">
        <v>4613</v>
      </c>
      <c r="AJ695" s="99"/>
      <c r="AK695" s="100" t="s">
        <v>43</v>
      </c>
      <c r="AL695" s="100" t="s">
        <v>43</v>
      </c>
      <c r="AM695" s="100" t="str">
        <f>IF(AL695&lt;&gt;"No Disp",AK695+12*AL695,"No Disp")</f>
        <v>No Disp</v>
      </c>
      <c r="AN695" s="100" t="s">
        <v>43</v>
      </c>
      <c r="AO695" s="100" t="s">
        <v>43</v>
      </c>
      <c r="AP695" s="100" t="str">
        <f>IF(AO695&lt;&gt;"No Disp",AN695+12*AO695,"No Disp")</f>
        <v>No Disp</v>
      </c>
      <c r="AQ695" s="100" t="s">
        <v>43</v>
      </c>
      <c r="AR695" s="100" t="s">
        <v>43</v>
      </c>
      <c r="AS695" s="100" t="str">
        <f>IF(AR695&lt;&gt;"No Disp",AQ695+12*AR695,"No Disp")</f>
        <v>No Disp</v>
      </c>
    </row>
    <row r="696" spans="1:45" s="101" customFormat="1" x14ac:dyDescent="0.25">
      <c r="A696" s="90" t="s">
        <v>38</v>
      </c>
      <c r="B696" s="90" t="s">
        <v>40</v>
      </c>
      <c r="C696" s="90" t="s">
        <v>39</v>
      </c>
      <c r="D696" s="90" t="s">
        <v>4541</v>
      </c>
      <c r="E696" s="90" t="s">
        <v>4538</v>
      </c>
      <c r="F696" s="91">
        <v>710</v>
      </c>
      <c r="G696" s="92">
        <v>70015286</v>
      </c>
      <c r="H696" s="91">
        <v>70015287</v>
      </c>
      <c r="I696" s="93" t="s">
        <v>46</v>
      </c>
      <c r="J696" s="94" t="s">
        <v>4175</v>
      </c>
      <c r="K696" s="94" t="s">
        <v>4317</v>
      </c>
      <c r="L696" s="94" t="s">
        <v>4186</v>
      </c>
      <c r="M696" s="95">
        <v>159900</v>
      </c>
      <c r="N696" s="95">
        <v>2500</v>
      </c>
      <c r="O696" s="95">
        <v>4000</v>
      </c>
      <c r="P696" s="96">
        <v>229990</v>
      </c>
      <c r="Q696" s="152"/>
      <c r="R696" s="95">
        <v>179990</v>
      </c>
      <c r="S696" s="95">
        <f>R696/24</f>
        <v>7499.583333333333</v>
      </c>
      <c r="T696" s="95">
        <v>159900</v>
      </c>
      <c r="U696" s="95">
        <f>T696/24</f>
        <v>6662.5</v>
      </c>
      <c r="V696" s="95">
        <v>159900</v>
      </c>
      <c r="W696" s="95">
        <f>V696/24</f>
        <v>6662.5</v>
      </c>
      <c r="X696" s="128"/>
      <c r="Y696" s="95">
        <v>0</v>
      </c>
      <c r="Z696" s="95">
        <v>11500</v>
      </c>
      <c r="AA696" s="95">
        <f>IFERROR(IF(D696="Premium",0.4*Y696,0),"No Disp")</f>
        <v>0</v>
      </c>
      <c r="AB696" s="95">
        <f>IFERROR(IF(4*Y696&gt;AC696,1.5*Y696,4*Y696),"No Disp")</f>
        <v>0</v>
      </c>
      <c r="AC696" s="95">
        <f>IF(Z696="No Disp","No Disp",(Z696*18)+Y696)</f>
        <v>207000</v>
      </c>
      <c r="AD696" s="95">
        <f>18*Z696-100+Y696</f>
        <v>206900</v>
      </c>
      <c r="AE696" s="95">
        <v>0</v>
      </c>
      <c r="AF696" s="95">
        <v>11000</v>
      </c>
      <c r="AG696" s="95">
        <f>IF(AF696="No Disp","No Disp",(AF696*18)+AE696)</f>
        <v>198000</v>
      </c>
      <c r="AH696" s="98">
        <f>18*AF696-100+AE696</f>
        <v>197900</v>
      </c>
      <c r="AI696" s="95" t="s">
        <v>4613</v>
      </c>
      <c r="AJ696" s="99"/>
      <c r="AK696" s="100" t="s">
        <v>43</v>
      </c>
      <c r="AL696" s="100" t="s">
        <v>43</v>
      </c>
      <c r="AM696" s="100" t="str">
        <f>IF(AL696&lt;&gt;"No Disp",AK696+12*AL696,"No Disp")</f>
        <v>No Disp</v>
      </c>
      <c r="AN696" s="100" t="s">
        <v>43</v>
      </c>
      <c r="AO696" s="100" t="s">
        <v>43</v>
      </c>
      <c r="AP696" s="100" t="str">
        <f>IF(AO696&lt;&gt;"No Disp",AN696+12*AO696,"No Disp")</f>
        <v>No Disp</v>
      </c>
      <c r="AQ696" s="100" t="s">
        <v>43</v>
      </c>
      <c r="AR696" s="100" t="s">
        <v>43</v>
      </c>
      <c r="AS696" s="100" t="str">
        <f>IF(AR696&lt;&gt;"No Disp",AQ696+12*AR696,"No Disp")</f>
        <v>No Disp</v>
      </c>
    </row>
    <row r="697" spans="1:45" s="101" customFormat="1" x14ac:dyDescent="0.25">
      <c r="A697" s="90" t="s">
        <v>38</v>
      </c>
      <c r="B697" s="90" t="s">
        <v>39</v>
      </c>
      <c r="C697" s="90" t="s">
        <v>39</v>
      </c>
      <c r="D697" s="90" t="s">
        <v>4540</v>
      </c>
      <c r="E697" s="90" t="s">
        <v>4538</v>
      </c>
      <c r="F697" s="91">
        <v>681</v>
      </c>
      <c r="G697" s="92">
        <v>70015384</v>
      </c>
      <c r="H697" s="91">
        <v>70015385</v>
      </c>
      <c r="I697" s="93" t="s">
        <v>63</v>
      </c>
      <c r="J697" s="94" t="s">
        <v>4079</v>
      </c>
      <c r="K697" s="94" t="s">
        <v>4099</v>
      </c>
      <c r="L697" s="94" t="s">
        <v>4135</v>
      </c>
      <c r="M697" s="95">
        <v>935760</v>
      </c>
      <c r="N697" s="95">
        <v>7000</v>
      </c>
      <c r="O697" s="95">
        <v>10000</v>
      </c>
      <c r="P697" s="96">
        <v>999990</v>
      </c>
      <c r="Q697" s="152"/>
      <c r="R697" s="95">
        <v>999990</v>
      </c>
      <c r="S697" s="95">
        <f>R697/24</f>
        <v>41666.25</v>
      </c>
      <c r="T697" s="95">
        <v>935760</v>
      </c>
      <c r="U697" s="95">
        <f>T697/24</f>
        <v>38990</v>
      </c>
      <c r="V697" s="95">
        <v>935760</v>
      </c>
      <c r="W697" s="95">
        <f>V697/24</f>
        <v>38990</v>
      </c>
      <c r="X697" s="128"/>
      <c r="Y697" s="95">
        <v>692900</v>
      </c>
      <c r="Z697" s="95">
        <v>37000</v>
      </c>
      <c r="AA697" s="95">
        <f>IFERROR(IF(D697="Premium",0.4*Y697,0),"No Disp")</f>
        <v>277160</v>
      </c>
      <c r="AB697" s="95">
        <f>IFERROR(IF(4*Y697&gt;AC697,1.5*Y697,4*Y697),"No Disp")</f>
        <v>1039350</v>
      </c>
      <c r="AC697" s="95">
        <f>IF(Z697="No Disp","No Disp",(Z697*18)+Y697)</f>
        <v>1358900</v>
      </c>
      <c r="AD697" s="95">
        <f>18*Z697-100+Y697</f>
        <v>1358800</v>
      </c>
      <c r="AE697" s="95">
        <v>592900</v>
      </c>
      <c r="AF697" s="95">
        <v>37000</v>
      </c>
      <c r="AG697" s="95">
        <f>IF(AF697="No Disp","No Disp",(AF697*18)+AE697)</f>
        <v>1258900</v>
      </c>
      <c r="AH697" s="98">
        <f>18*AF697-100+AE697</f>
        <v>1258800</v>
      </c>
      <c r="AI697" s="95" t="s">
        <v>4613</v>
      </c>
      <c r="AJ697" s="99"/>
      <c r="AK697" s="100">
        <v>0</v>
      </c>
      <c r="AL697" s="100">
        <v>45000</v>
      </c>
      <c r="AM697" s="100">
        <f>IF(AL697&lt;&gt;"No Disp",AK697+12*AL697,"No Disp")</f>
        <v>540000</v>
      </c>
      <c r="AN697" s="100">
        <v>0</v>
      </c>
      <c r="AO697" s="100">
        <v>45000</v>
      </c>
      <c r="AP697" s="100">
        <f>IF(AO697&lt;&gt;"No Disp",AN697+12*AO697,"No Disp")</f>
        <v>540000</v>
      </c>
      <c r="AQ697" s="100">
        <v>0</v>
      </c>
      <c r="AR697" s="100">
        <v>45000</v>
      </c>
      <c r="AS697" s="100">
        <f>IF(AR697&lt;&gt;"No Disp",AQ697+12*AR697,"No Disp")</f>
        <v>540000</v>
      </c>
    </row>
    <row r="698" spans="1:45" s="101" customFormat="1" x14ac:dyDescent="0.25">
      <c r="A698" s="90" t="s">
        <v>38</v>
      </c>
      <c r="B698" s="90" t="s">
        <v>39</v>
      </c>
      <c r="C698" s="90" t="s">
        <v>39</v>
      </c>
      <c r="D698" s="90" t="s">
        <v>4540</v>
      </c>
      <c r="E698" s="90" t="s">
        <v>4538</v>
      </c>
      <c r="F698" s="91">
        <v>689</v>
      </c>
      <c r="G698" s="92">
        <v>70015388</v>
      </c>
      <c r="H698" s="91">
        <v>70015389</v>
      </c>
      <c r="I698" s="93" t="s">
        <v>63</v>
      </c>
      <c r="J698" s="94" t="s">
        <v>4079</v>
      </c>
      <c r="K698" s="94" t="s">
        <v>4107</v>
      </c>
      <c r="L698" s="94" t="s">
        <v>4143</v>
      </c>
      <c r="M698" s="95">
        <v>935760</v>
      </c>
      <c r="N698" s="95">
        <v>7000</v>
      </c>
      <c r="O698" s="95">
        <v>10000</v>
      </c>
      <c r="P698" s="96">
        <v>999990</v>
      </c>
      <c r="Q698" s="152"/>
      <c r="R698" s="95">
        <v>999990</v>
      </c>
      <c r="S698" s="95">
        <f>R698/24</f>
        <v>41666.25</v>
      </c>
      <c r="T698" s="95">
        <v>935760</v>
      </c>
      <c r="U698" s="95">
        <f>T698/24</f>
        <v>38990</v>
      </c>
      <c r="V698" s="95">
        <v>935760</v>
      </c>
      <c r="W698" s="95">
        <f>V698/24</f>
        <v>38990</v>
      </c>
      <c r="X698" s="128"/>
      <c r="Y698" s="95">
        <v>692900</v>
      </c>
      <c r="Z698" s="95">
        <v>37000</v>
      </c>
      <c r="AA698" s="95">
        <f>IFERROR(IF(D698="Premium",0.4*Y698,0),"No Disp")</f>
        <v>277160</v>
      </c>
      <c r="AB698" s="95">
        <f>IFERROR(IF(4*Y698&gt;AC698,1.5*Y698,4*Y698),"No Disp")</f>
        <v>1039350</v>
      </c>
      <c r="AC698" s="95">
        <f>IF(Z698="No Disp","No Disp",(Z698*18)+Y698)</f>
        <v>1358900</v>
      </c>
      <c r="AD698" s="95">
        <f>18*Z698-100+Y698</f>
        <v>1358800</v>
      </c>
      <c r="AE698" s="95">
        <v>592900</v>
      </c>
      <c r="AF698" s="95">
        <v>37000</v>
      </c>
      <c r="AG698" s="95">
        <f>IF(AF698="No Disp","No Disp",(AF698*18)+AE698)</f>
        <v>1258900</v>
      </c>
      <c r="AH698" s="98">
        <f>18*AF698-100+AE698</f>
        <v>1258800</v>
      </c>
      <c r="AI698" s="95" t="s">
        <v>4613</v>
      </c>
      <c r="AJ698" s="99"/>
      <c r="AK698" s="100">
        <v>0</v>
      </c>
      <c r="AL698" s="100">
        <v>45000</v>
      </c>
      <c r="AM698" s="100">
        <f>IF(AL698&lt;&gt;"No Disp",AK698+12*AL698,"No Disp")</f>
        <v>540000</v>
      </c>
      <c r="AN698" s="100">
        <v>0</v>
      </c>
      <c r="AO698" s="100">
        <v>45000</v>
      </c>
      <c r="AP698" s="100">
        <f>IF(AO698&lt;&gt;"No Disp",AN698+12*AO698,"No Disp")</f>
        <v>540000</v>
      </c>
      <c r="AQ698" s="100">
        <v>0</v>
      </c>
      <c r="AR698" s="100">
        <v>45000</v>
      </c>
      <c r="AS698" s="100">
        <f>IF(AR698&lt;&gt;"No Disp",AQ698+12*AR698,"No Disp")</f>
        <v>540000</v>
      </c>
    </row>
    <row r="699" spans="1:45" s="101" customFormat="1" x14ac:dyDescent="0.25">
      <c r="A699" s="90" t="s">
        <v>38</v>
      </c>
      <c r="B699" s="90" t="s">
        <v>39</v>
      </c>
      <c r="C699" s="90" t="s">
        <v>39</v>
      </c>
      <c r="D699" s="90" t="s">
        <v>4540</v>
      </c>
      <c r="E699" s="90" t="s">
        <v>4538</v>
      </c>
      <c r="F699" s="91">
        <v>683</v>
      </c>
      <c r="G699" s="92">
        <v>70015392</v>
      </c>
      <c r="H699" s="91">
        <v>70015393</v>
      </c>
      <c r="I699" s="93" t="s">
        <v>63</v>
      </c>
      <c r="J699" s="94" t="s">
        <v>4079</v>
      </c>
      <c r="K699" s="94" t="s">
        <v>4101</v>
      </c>
      <c r="L699" s="94" t="s">
        <v>4137</v>
      </c>
      <c r="M699" s="95">
        <v>935760</v>
      </c>
      <c r="N699" s="95">
        <v>7000</v>
      </c>
      <c r="O699" s="95">
        <v>10000</v>
      </c>
      <c r="P699" s="96">
        <v>999990</v>
      </c>
      <c r="Q699" s="152"/>
      <c r="R699" s="95">
        <v>999990</v>
      </c>
      <c r="S699" s="95">
        <f>R699/24</f>
        <v>41666.25</v>
      </c>
      <c r="T699" s="95">
        <v>935760</v>
      </c>
      <c r="U699" s="95">
        <f>T699/24</f>
        <v>38990</v>
      </c>
      <c r="V699" s="95">
        <v>935760</v>
      </c>
      <c r="W699" s="95">
        <f>V699/24</f>
        <v>38990</v>
      </c>
      <c r="X699" s="128"/>
      <c r="Y699" s="95">
        <v>692900</v>
      </c>
      <c r="Z699" s="95">
        <v>37000</v>
      </c>
      <c r="AA699" s="95">
        <f>IFERROR(IF(D699="Premium",0.4*Y699,0),"No Disp")</f>
        <v>277160</v>
      </c>
      <c r="AB699" s="95">
        <f>IFERROR(IF(4*Y699&gt;AC699,1.5*Y699,4*Y699),"No Disp")</f>
        <v>1039350</v>
      </c>
      <c r="AC699" s="95">
        <f>IF(Z699="No Disp","No Disp",(Z699*18)+Y699)</f>
        <v>1358900</v>
      </c>
      <c r="AD699" s="95">
        <f>18*Z699-100+Y699</f>
        <v>1358800</v>
      </c>
      <c r="AE699" s="95">
        <v>592900</v>
      </c>
      <c r="AF699" s="95">
        <v>37000</v>
      </c>
      <c r="AG699" s="95">
        <f>IF(AF699="No Disp","No Disp",(AF699*18)+AE699)</f>
        <v>1258900</v>
      </c>
      <c r="AH699" s="98">
        <f>18*AF699-100+AE699</f>
        <v>1258800</v>
      </c>
      <c r="AI699" s="95" t="s">
        <v>4613</v>
      </c>
      <c r="AJ699" s="99"/>
      <c r="AK699" s="100">
        <v>0</v>
      </c>
      <c r="AL699" s="100">
        <v>45000</v>
      </c>
      <c r="AM699" s="100">
        <f>IF(AL699&lt;&gt;"No Disp",AK699+12*AL699,"No Disp")</f>
        <v>540000</v>
      </c>
      <c r="AN699" s="100">
        <v>0</v>
      </c>
      <c r="AO699" s="100">
        <v>45000</v>
      </c>
      <c r="AP699" s="100">
        <f>IF(AO699&lt;&gt;"No Disp",AN699+12*AO699,"No Disp")</f>
        <v>540000</v>
      </c>
      <c r="AQ699" s="100">
        <v>0</v>
      </c>
      <c r="AR699" s="100">
        <v>45000</v>
      </c>
      <c r="AS699" s="100">
        <f>IF(AR699&lt;&gt;"No Disp",AQ699+12*AR699,"No Disp")</f>
        <v>540000</v>
      </c>
    </row>
    <row r="700" spans="1:45" s="101" customFormat="1" x14ac:dyDescent="0.25">
      <c r="A700" s="90" t="s">
        <v>38</v>
      </c>
      <c r="B700" s="90" t="s">
        <v>39</v>
      </c>
      <c r="C700" s="90" t="s">
        <v>39</v>
      </c>
      <c r="D700" s="90" t="s">
        <v>4540</v>
      </c>
      <c r="E700" s="90" t="s">
        <v>4538</v>
      </c>
      <c r="F700" s="91">
        <v>687</v>
      </c>
      <c r="G700" s="92">
        <v>70015396</v>
      </c>
      <c r="H700" s="91">
        <v>70015397</v>
      </c>
      <c r="I700" s="93" t="s">
        <v>63</v>
      </c>
      <c r="J700" s="94" t="s">
        <v>4079</v>
      </c>
      <c r="K700" s="94" t="s">
        <v>4105</v>
      </c>
      <c r="L700" s="94" t="s">
        <v>4141</v>
      </c>
      <c r="M700" s="95">
        <v>935760</v>
      </c>
      <c r="N700" s="95">
        <v>7000</v>
      </c>
      <c r="O700" s="95">
        <v>10000</v>
      </c>
      <c r="P700" s="96">
        <v>999990</v>
      </c>
      <c r="Q700" s="152"/>
      <c r="R700" s="95">
        <v>999990</v>
      </c>
      <c r="S700" s="95">
        <f>R700/24</f>
        <v>41666.25</v>
      </c>
      <c r="T700" s="95">
        <v>935760</v>
      </c>
      <c r="U700" s="95">
        <f>T700/24</f>
        <v>38990</v>
      </c>
      <c r="V700" s="95">
        <v>935760</v>
      </c>
      <c r="W700" s="95">
        <f>V700/24</f>
        <v>38990</v>
      </c>
      <c r="X700" s="128"/>
      <c r="Y700" s="95">
        <v>692900</v>
      </c>
      <c r="Z700" s="95">
        <v>37000</v>
      </c>
      <c r="AA700" s="95">
        <f>IFERROR(IF(D700="Premium",0.4*Y700,0),"No Disp")</f>
        <v>277160</v>
      </c>
      <c r="AB700" s="95">
        <f>IFERROR(IF(4*Y700&gt;AC700,1.5*Y700,4*Y700),"No Disp")</f>
        <v>1039350</v>
      </c>
      <c r="AC700" s="95">
        <f>IF(Z700="No Disp","No Disp",(Z700*18)+Y700)</f>
        <v>1358900</v>
      </c>
      <c r="AD700" s="95">
        <f>18*Z700-100+Y700</f>
        <v>1358800</v>
      </c>
      <c r="AE700" s="95">
        <v>592900</v>
      </c>
      <c r="AF700" s="95">
        <v>37000</v>
      </c>
      <c r="AG700" s="95">
        <f>IF(AF700="No Disp","No Disp",(AF700*18)+AE700)</f>
        <v>1258900</v>
      </c>
      <c r="AH700" s="98">
        <f>18*AF700-100+AE700</f>
        <v>1258800</v>
      </c>
      <c r="AI700" s="95" t="s">
        <v>4613</v>
      </c>
      <c r="AJ700" s="99"/>
      <c r="AK700" s="100">
        <v>0</v>
      </c>
      <c r="AL700" s="100">
        <v>45000</v>
      </c>
      <c r="AM700" s="100">
        <f>IF(AL700&lt;&gt;"No Disp",AK700+12*AL700,"No Disp")</f>
        <v>540000</v>
      </c>
      <c r="AN700" s="100">
        <v>0</v>
      </c>
      <c r="AO700" s="100">
        <v>45000</v>
      </c>
      <c r="AP700" s="100">
        <f>IF(AO700&lt;&gt;"No Disp",AN700+12*AO700,"No Disp")</f>
        <v>540000</v>
      </c>
      <c r="AQ700" s="100">
        <v>0</v>
      </c>
      <c r="AR700" s="100">
        <v>45000</v>
      </c>
      <c r="AS700" s="100">
        <f>IF(AR700&lt;&gt;"No Disp",AQ700+12*AR700,"No Disp")</f>
        <v>540000</v>
      </c>
    </row>
    <row r="701" spans="1:45" s="101" customFormat="1" x14ac:dyDescent="0.25">
      <c r="A701" s="90" t="s">
        <v>38</v>
      </c>
      <c r="B701" s="90" t="s">
        <v>39</v>
      </c>
      <c r="C701" s="90" t="s">
        <v>39</v>
      </c>
      <c r="D701" s="90" t="s">
        <v>4540</v>
      </c>
      <c r="E701" s="90" t="s">
        <v>4538</v>
      </c>
      <c r="F701" s="91">
        <v>685</v>
      </c>
      <c r="G701" s="92">
        <v>70015307</v>
      </c>
      <c r="H701" s="91">
        <v>70015398</v>
      </c>
      <c r="I701" s="93" t="s">
        <v>63</v>
      </c>
      <c r="J701" s="94" t="s">
        <v>4079</v>
      </c>
      <c r="K701" s="94" t="s">
        <v>4103</v>
      </c>
      <c r="L701" s="94" t="s">
        <v>4139</v>
      </c>
      <c r="M701" s="95">
        <v>935760</v>
      </c>
      <c r="N701" s="95">
        <v>7000</v>
      </c>
      <c r="O701" s="95">
        <v>10000</v>
      </c>
      <c r="P701" s="96">
        <v>999990</v>
      </c>
      <c r="Q701" s="152"/>
      <c r="R701" s="95">
        <v>999990</v>
      </c>
      <c r="S701" s="95">
        <f>R701/24</f>
        <v>41666.25</v>
      </c>
      <c r="T701" s="95">
        <v>935760</v>
      </c>
      <c r="U701" s="95">
        <f>T701/24</f>
        <v>38990</v>
      </c>
      <c r="V701" s="95">
        <v>935760</v>
      </c>
      <c r="W701" s="95">
        <f>V701/24</f>
        <v>38990</v>
      </c>
      <c r="X701" s="128"/>
      <c r="Y701" s="95">
        <v>692900</v>
      </c>
      <c r="Z701" s="95">
        <v>37000</v>
      </c>
      <c r="AA701" s="95">
        <f>IFERROR(IF(D701="Premium",0.4*Y701,0),"No Disp")</f>
        <v>277160</v>
      </c>
      <c r="AB701" s="95">
        <f>IFERROR(IF(4*Y701&gt;AC701,1.5*Y701,4*Y701),"No Disp")</f>
        <v>1039350</v>
      </c>
      <c r="AC701" s="95">
        <f>IF(Z701="No Disp","No Disp",(Z701*18)+Y701)</f>
        <v>1358900</v>
      </c>
      <c r="AD701" s="95">
        <f>18*Z701-100+Y701</f>
        <v>1358800</v>
      </c>
      <c r="AE701" s="95">
        <v>592900</v>
      </c>
      <c r="AF701" s="95">
        <v>37000</v>
      </c>
      <c r="AG701" s="95">
        <f>IF(AF701="No Disp","No Disp",(AF701*18)+AE701)</f>
        <v>1258900</v>
      </c>
      <c r="AH701" s="98">
        <f>18*AF701-100+AE701</f>
        <v>1258800</v>
      </c>
      <c r="AI701" s="95" t="s">
        <v>4613</v>
      </c>
      <c r="AJ701" s="99"/>
      <c r="AK701" s="100">
        <v>0</v>
      </c>
      <c r="AL701" s="100">
        <v>45000</v>
      </c>
      <c r="AM701" s="100">
        <f>IF(AL701&lt;&gt;"No Disp",AK701+12*AL701,"No Disp")</f>
        <v>540000</v>
      </c>
      <c r="AN701" s="100">
        <v>0</v>
      </c>
      <c r="AO701" s="100">
        <v>45000</v>
      </c>
      <c r="AP701" s="100">
        <f>IF(AO701&lt;&gt;"No Disp",AN701+12*AO701,"No Disp")</f>
        <v>540000</v>
      </c>
      <c r="AQ701" s="100">
        <v>0</v>
      </c>
      <c r="AR701" s="100">
        <v>45000</v>
      </c>
      <c r="AS701" s="100">
        <f>IF(AR701&lt;&gt;"No Disp",AQ701+12*AR701,"No Disp")</f>
        <v>540000</v>
      </c>
    </row>
    <row r="702" spans="1:45" s="101" customFormat="1" x14ac:dyDescent="0.25">
      <c r="A702" s="90" t="s">
        <v>38</v>
      </c>
      <c r="B702" s="90" t="s">
        <v>39</v>
      </c>
      <c r="C702" s="90" t="s">
        <v>39</v>
      </c>
      <c r="D702" s="90" t="s">
        <v>4540</v>
      </c>
      <c r="E702" s="90" t="s">
        <v>4538</v>
      </c>
      <c r="F702" s="91">
        <v>675</v>
      </c>
      <c r="G702" s="92">
        <v>70015401</v>
      </c>
      <c r="H702" s="91">
        <v>70015402</v>
      </c>
      <c r="I702" s="93" t="s">
        <v>63</v>
      </c>
      <c r="J702" s="94" t="s">
        <v>4078</v>
      </c>
      <c r="K702" s="94" t="s">
        <v>4093</v>
      </c>
      <c r="L702" s="94" t="s">
        <v>4129</v>
      </c>
      <c r="M702" s="95">
        <v>1629900</v>
      </c>
      <c r="N702" s="95">
        <v>9500</v>
      </c>
      <c r="O702" s="95">
        <v>13500</v>
      </c>
      <c r="P702" s="96">
        <v>1689990</v>
      </c>
      <c r="Q702" s="152"/>
      <c r="R702" s="95">
        <v>1689990</v>
      </c>
      <c r="S702" s="95">
        <f>R702/24</f>
        <v>70416.25</v>
      </c>
      <c r="T702" s="95">
        <v>1629900</v>
      </c>
      <c r="U702" s="95">
        <f>T702/24</f>
        <v>67912.5</v>
      </c>
      <c r="V702" s="95">
        <v>1629900</v>
      </c>
      <c r="W702" s="95">
        <f>V702/24</f>
        <v>67912.5</v>
      </c>
      <c r="X702" s="128"/>
      <c r="Y702" s="95">
        <v>1106900</v>
      </c>
      <c r="Z702" s="95">
        <v>62000</v>
      </c>
      <c r="AA702" s="95">
        <f>IFERROR(IF(D702="Premium",0.4*Y702,0),"No Disp")</f>
        <v>442760</v>
      </c>
      <c r="AB702" s="95">
        <f>IFERROR(IF(4*Y702&gt;AC702,1.5*Y702,4*Y702),"No Disp")</f>
        <v>1660350</v>
      </c>
      <c r="AC702" s="95">
        <f>IF(Z702="No Disp","No Disp",(Z702*18)+Y702)</f>
        <v>2222900</v>
      </c>
      <c r="AD702" s="95">
        <f>18*Z702-100+Y702</f>
        <v>2222800</v>
      </c>
      <c r="AE702" s="95">
        <v>999900</v>
      </c>
      <c r="AF702" s="95">
        <v>62000</v>
      </c>
      <c r="AG702" s="95">
        <f>IF(AF702="No Disp","No Disp",(AF702*18)+AE702)</f>
        <v>2115900</v>
      </c>
      <c r="AH702" s="98">
        <f>18*AF702-100+AE702</f>
        <v>2115800</v>
      </c>
      <c r="AI702" s="95" t="s">
        <v>4613</v>
      </c>
      <c r="AJ702" s="99"/>
      <c r="AK702" s="100">
        <v>0</v>
      </c>
      <c r="AL702" s="100">
        <v>78000</v>
      </c>
      <c r="AM702" s="100">
        <f>IF(AL702&lt;&gt;"No Disp",AK702+12*AL702,"No Disp")</f>
        <v>936000</v>
      </c>
      <c r="AN702" s="100">
        <v>0</v>
      </c>
      <c r="AO702" s="100">
        <v>78000</v>
      </c>
      <c r="AP702" s="100">
        <f>IF(AO702&lt;&gt;"No Disp",AN702+12*AO702,"No Disp")</f>
        <v>936000</v>
      </c>
      <c r="AQ702" s="100">
        <v>0</v>
      </c>
      <c r="AR702" s="100">
        <v>78000</v>
      </c>
      <c r="AS702" s="100">
        <f>IF(AR702&lt;&gt;"No Disp",AQ702+12*AR702,"No Disp")</f>
        <v>936000</v>
      </c>
    </row>
    <row r="703" spans="1:45" s="101" customFormat="1" x14ac:dyDescent="0.25">
      <c r="A703" s="90" t="s">
        <v>38</v>
      </c>
      <c r="B703" s="90" t="s">
        <v>39</v>
      </c>
      <c r="C703" s="90" t="s">
        <v>39</v>
      </c>
      <c r="D703" s="90" t="s">
        <v>4540</v>
      </c>
      <c r="E703" s="90" t="s">
        <v>4538</v>
      </c>
      <c r="F703" s="91">
        <v>677</v>
      </c>
      <c r="G703" s="92">
        <v>70015405</v>
      </c>
      <c r="H703" s="91">
        <v>70015406</v>
      </c>
      <c r="I703" s="93" t="s">
        <v>63</v>
      </c>
      <c r="J703" s="94" t="s">
        <v>4078</v>
      </c>
      <c r="K703" s="94" t="s">
        <v>4095</v>
      </c>
      <c r="L703" s="94" t="s">
        <v>4131</v>
      </c>
      <c r="M703" s="95">
        <v>1629900</v>
      </c>
      <c r="N703" s="95">
        <v>9500</v>
      </c>
      <c r="O703" s="95">
        <v>13500</v>
      </c>
      <c r="P703" s="96">
        <v>1689990</v>
      </c>
      <c r="Q703" s="152"/>
      <c r="R703" s="95">
        <v>1689990</v>
      </c>
      <c r="S703" s="95">
        <f>R703/24</f>
        <v>70416.25</v>
      </c>
      <c r="T703" s="95">
        <v>1629900</v>
      </c>
      <c r="U703" s="95">
        <f>T703/24</f>
        <v>67912.5</v>
      </c>
      <c r="V703" s="95">
        <v>1629900</v>
      </c>
      <c r="W703" s="95">
        <f>V703/24</f>
        <v>67912.5</v>
      </c>
      <c r="X703" s="128"/>
      <c r="Y703" s="95">
        <v>1106900</v>
      </c>
      <c r="Z703" s="95">
        <v>62000</v>
      </c>
      <c r="AA703" s="95">
        <f>IFERROR(IF(D703="Premium",0.4*Y703,0),"No Disp")</f>
        <v>442760</v>
      </c>
      <c r="AB703" s="95">
        <f>IFERROR(IF(4*Y703&gt;AC703,1.5*Y703,4*Y703),"No Disp")</f>
        <v>1660350</v>
      </c>
      <c r="AC703" s="95">
        <f>IF(Z703="No Disp","No Disp",(Z703*18)+Y703)</f>
        <v>2222900</v>
      </c>
      <c r="AD703" s="95">
        <f>18*Z703-100+Y703</f>
        <v>2222800</v>
      </c>
      <c r="AE703" s="95">
        <v>999900</v>
      </c>
      <c r="AF703" s="95">
        <v>62000</v>
      </c>
      <c r="AG703" s="95">
        <f>IF(AF703="No Disp","No Disp",(AF703*18)+AE703)</f>
        <v>2115900</v>
      </c>
      <c r="AH703" s="98">
        <f>18*AF703-100+AE703</f>
        <v>2115800</v>
      </c>
      <c r="AI703" s="95" t="s">
        <v>4613</v>
      </c>
      <c r="AJ703" s="99"/>
      <c r="AK703" s="100">
        <v>0</v>
      </c>
      <c r="AL703" s="100">
        <v>78000</v>
      </c>
      <c r="AM703" s="100">
        <f>IF(AL703&lt;&gt;"No Disp",AK703+12*AL703,"No Disp")</f>
        <v>936000</v>
      </c>
      <c r="AN703" s="100">
        <v>0</v>
      </c>
      <c r="AO703" s="100">
        <v>78000</v>
      </c>
      <c r="AP703" s="100">
        <f>IF(AO703&lt;&gt;"No Disp",AN703+12*AO703,"No Disp")</f>
        <v>936000</v>
      </c>
      <c r="AQ703" s="100">
        <v>0</v>
      </c>
      <c r="AR703" s="100">
        <v>78000</v>
      </c>
      <c r="AS703" s="100">
        <f>IF(AR703&lt;&gt;"No Disp",AQ703+12*AR703,"No Disp")</f>
        <v>936000</v>
      </c>
    </row>
    <row r="704" spans="1:45" s="101" customFormat="1" x14ac:dyDescent="0.25">
      <c r="A704" s="90" t="s">
        <v>38</v>
      </c>
      <c r="B704" s="90" t="s">
        <v>39</v>
      </c>
      <c r="C704" s="90" t="s">
        <v>39</v>
      </c>
      <c r="D704" s="90" t="s">
        <v>4540</v>
      </c>
      <c r="E704" s="90" t="s">
        <v>4538</v>
      </c>
      <c r="F704" s="91">
        <v>679</v>
      </c>
      <c r="G704" s="92">
        <v>70015448</v>
      </c>
      <c r="H704" s="91">
        <v>70015449</v>
      </c>
      <c r="I704" s="93" t="s">
        <v>63</v>
      </c>
      <c r="J704" s="94" t="s">
        <v>4078</v>
      </c>
      <c r="K704" s="94" t="s">
        <v>4097</v>
      </c>
      <c r="L704" s="94" t="s">
        <v>4133</v>
      </c>
      <c r="M704" s="95">
        <v>1629900</v>
      </c>
      <c r="N704" s="95">
        <v>9500</v>
      </c>
      <c r="O704" s="95">
        <v>13500</v>
      </c>
      <c r="P704" s="96">
        <v>1689990</v>
      </c>
      <c r="Q704" s="152"/>
      <c r="R704" s="95">
        <v>1689990</v>
      </c>
      <c r="S704" s="95">
        <f>R704/24</f>
        <v>70416.25</v>
      </c>
      <c r="T704" s="95">
        <v>1629900</v>
      </c>
      <c r="U704" s="95">
        <f>T704/24</f>
        <v>67912.5</v>
      </c>
      <c r="V704" s="95">
        <v>1629900</v>
      </c>
      <c r="W704" s="95">
        <f>V704/24</f>
        <v>67912.5</v>
      </c>
      <c r="X704" s="128"/>
      <c r="Y704" s="95">
        <v>1106900</v>
      </c>
      <c r="Z704" s="95">
        <v>62000</v>
      </c>
      <c r="AA704" s="95">
        <f>IFERROR(IF(D704="Premium",0.4*Y704,0),"No Disp")</f>
        <v>442760</v>
      </c>
      <c r="AB704" s="95">
        <f>IFERROR(IF(4*Y704&gt;AC704,1.5*Y704,4*Y704),"No Disp")</f>
        <v>1660350</v>
      </c>
      <c r="AC704" s="95">
        <f>IF(Z704="No Disp","No Disp",(Z704*18)+Y704)</f>
        <v>2222900</v>
      </c>
      <c r="AD704" s="95">
        <f>18*Z704-100+Y704</f>
        <v>2222800</v>
      </c>
      <c r="AE704" s="95">
        <v>999900</v>
      </c>
      <c r="AF704" s="95">
        <v>62000</v>
      </c>
      <c r="AG704" s="95">
        <f>IF(AF704="No Disp","No Disp",(AF704*18)+AE704)</f>
        <v>2115900</v>
      </c>
      <c r="AH704" s="98">
        <f>18*AF704-100+AE704</f>
        <v>2115800</v>
      </c>
      <c r="AI704" s="95" t="s">
        <v>4613</v>
      </c>
      <c r="AJ704" s="99"/>
      <c r="AK704" s="100">
        <v>0</v>
      </c>
      <c r="AL704" s="100">
        <v>78000</v>
      </c>
      <c r="AM704" s="100">
        <f>IF(AL704&lt;&gt;"No Disp",AK704+12*AL704,"No Disp")</f>
        <v>936000</v>
      </c>
      <c r="AN704" s="100">
        <v>0</v>
      </c>
      <c r="AO704" s="100">
        <v>78000</v>
      </c>
      <c r="AP704" s="100">
        <f>IF(AO704&lt;&gt;"No Disp",AN704+12*AO704,"No Disp")</f>
        <v>936000</v>
      </c>
      <c r="AQ704" s="100">
        <v>0</v>
      </c>
      <c r="AR704" s="100">
        <v>78000</v>
      </c>
      <c r="AS704" s="100">
        <f>IF(AR704&lt;&gt;"No Disp",AQ704+12*AR704,"No Disp")</f>
        <v>936000</v>
      </c>
    </row>
    <row r="705" spans="1:45" s="101" customFormat="1" x14ac:dyDescent="0.25">
      <c r="A705" s="90" t="s">
        <v>38</v>
      </c>
      <c r="B705" s="90" t="s">
        <v>39</v>
      </c>
      <c r="C705" s="90" t="s">
        <v>39</v>
      </c>
      <c r="D705" s="90" t="s">
        <v>4540</v>
      </c>
      <c r="E705" s="90" t="s">
        <v>4538</v>
      </c>
      <c r="F705" s="91">
        <v>697</v>
      </c>
      <c r="G705" s="92">
        <v>70015501</v>
      </c>
      <c r="H705" s="91">
        <v>70015502</v>
      </c>
      <c r="I705" s="93" t="s">
        <v>63</v>
      </c>
      <c r="J705" s="94" t="s">
        <v>4080</v>
      </c>
      <c r="K705" s="94" t="s">
        <v>4115</v>
      </c>
      <c r="L705" s="94" t="s">
        <v>4151</v>
      </c>
      <c r="M705" s="95">
        <v>1289900</v>
      </c>
      <c r="N705" s="95">
        <v>9500</v>
      </c>
      <c r="O705" s="95">
        <v>13500</v>
      </c>
      <c r="P705" s="96">
        <v>1299990</v>
      </c>
      <c r="Q705" s="152"/>
      <c r="R705" s="95">
        <v>1299990</v>
      </c>
      <c r="S705" s="95">
        <f>R705/24</f>
        <v>54166.25</v>
      </c>
      <c r="T705" s="95">
        <v>1289900</v>
      </c>
      <c r="U705" s="95">
        <f>T705/24</f>
        <v>53745.833333333336</v>
      </c>
      <c r="V705" s="95">
        <v>1289900</v>
      </c>
      <c r="W705" s="95">
        <f>V705/24</f>
        <v>53745.833333333336</v>
      </c>
      <c r="X705" s="128"/>
      <c r="Y705" s="95">
        <v>872900</v>
      </c>
      <c r="Z705" s="95">
        <v>48000</v>
      </c>
      <c r="AA705" s="95">
        <f>IFERROR(IF(D705="Premium",0.4*Y705,0),"No Disp")</f>
        <v>349160</v>
      </c>
      <c r="AB705" s="95">
        <f>IFERROR(IF(4*Y705&gt;AC705,1.5*Y705,4*Y705),"No Disp")</f>
        <v>1309350</v>
      </c>
      <c r="AC705" s="95">
        <f>IF(Z705="No Disp","No Disp",(Z705*18)+Y705)</f>
        <v>1736900</v>
      </c>
      <c r="AD705" s="95">
        <f>18*Z705-100+Y705</f>
        <v>1736800</v>
      </c>
      <c r="AE705" s="95">
        <v>772900</v>
      </c>
      <c r="AF705" s="95">
        <v>47500</v>
      </c>
      <c r="AG705" s="95">
        <f>IF(AF705="No Disp","No Disp",(AF705*18)+AE705)</f>
        <v>1627900</v>
      </c>
      <c r="AH705" s="98">
        <f>18*AF705-100+AE705</f>
        <v>1627800</v>
      </c>
      <c r="AI705" s="95" t="s">
        <v>4613</v>
      </c>
      <c r="AJ705" s="99"/>
      <c r="AK705" s="100">
        <v>0</v>
      </c>
      <c r="AL705" s="100">
        <v>60000</v>
      </c>
      <c r="AM705" s="100">
        <f>IF(AL705&lt;&gt;"No Disp",AK705+12*AL705,"No Disp")</f>
        <v>720000</v>
      </c>
      <c r="AN705" s="100">
        <v>0</v>
      </c>
      <c r="AO705" s="100">
        <v>60000</v>
      </c>
      <c r="AP705" s="100">
        <f>IF(AO705&lt;&gt;"No Disp",AN705+12*AO705,"No Disp")</f>
        <v>720000</v>
      </c>
      <c r="AQ705" s="100">
        <v>0</v>
      </c>
      <c r="AR705" s="100">
        <v>60000</v>
      </c>
      <c r="AS705" s="100">
        <f>IF(AR705&lt;&gt;"No Disp",AQ705+12*AR705,"No Disp")</f>
        <v>720000</v>
      </c>
    </row>
    <row r="706" spans="1:45" s="101" customFormat="1" x14ac:dyDescent="0.25">
      <c r="A706" s="90" t="s">
        <v>38</v>
      </c>
      <c r="B706" s="90" t="s">
        <v>39</v>
      </c>
      <c r="C706" s="90" t="s">
        <v>39</v>
      </c>
      <c r="D706" s="90" t="s">
        <v>4540</v>
      </c>
      <c r="E706" s="90" t="s">
        <v>4538</v>
      </c>
      <c r="F706" s="91">
        <v>691</v>
      </c>
      <c r="G706" s="92">
        <v>70015505</v>
      </c>
      <c r="H706" s="91">
        <v>70015506</v>
      </c>
      <c r="I706" s="93" t="s">
        <v>63</v>
      </c>
      <c r="J706" s="94" t="s">
        <v>4080</v>
      </c>
      <c r="K706" s="94" t="s">
        <v>4109</v>
      </c>
      <c r="L706" s="94" t="s">
        <v>4145</v>
      </c>
      <c r="M706" s="95">
        <v>1289900</v>
      </c>
      <c r="N706" s="95">
        <v>9500</v>
      </c>
      <c r="O706" s="95">
        <v>13500</v>
      </c>
      <c r="P706" s="96">
        <v>1299990</v>
      </c>
      <c r="Q706" s="152"/>
      <c r="R706" s="95">
        <v>1299990</v>
      </c>
      <c r="S706" s="95">
        <f>R706/24</f>
        <v>54166.25</v>
      </c>
      <c r="T706" s="95">
        <v>1289900</v>
      </c>
      <c r="U706" s="95">
        <f>T706/24</f>
        <v>53745.833333333336</v>
      </c>
      <c r="V706" s="95">
        <v>1289900</v>
      </c>
      <c r="W706" s="95">
        <f>V706/24</f>
        <v>53745.833333333336</v>
      </c>
      <c r="X706" s="128"/>
      <c r="Y706" s="95">
        <v>872900</v>
      </c>
      <c r="Z706" s="95">
        <v>48000</v>
      </c>
      <c r="AA706" s="95">
        <f>IFERROR(IF(D706="Premium",0.4*Y706,0),"No Disp")</f>
        <v>349160</v>
      </c>
      <c r="AB706" s="95">
        <f>IFERROR(IF(4*Y706&gt;AC706,1.5*Y706,4*Y706),"No Disp")</f>
        <v>1309350</v>
      </c>
      <c r="AC706" s="95">
        <f>IF(Z706="No Disp","No Disp",(Z706*18)+Y706)</f>
        <v>1736900</v>
      </c>
      <c r="AD706" s="95">
        <f>18*Z706-100+Y706</f>
        <v>1736800</v>
      </c>
      <c r="AE706" s="95">
        <v>772900</v>
      </c>
      <c r="AF706" s="95">
        <v>47500</v>
      </c>
      <c r="AG706" s="95">
        <f>IF(AF706="No Disp","No Disp",(AF706*18)+AE706)</f>
        <v>1627900</v>
      </c>
      <c r="AH706" s="98">
        <f>18*AF706-100+AE706</f>
        <v>1627800</v>
      </c>
      <c r="AI706" s="95" t="s">
        <v>4613</v>
      </c>
      <c r="AJ706" s="99"/>
      <c r="AK706" s="100">
        <v>0</v>
      </c>
      <c r="AL706" s="100">
        <v>60000</v>
      </c>
      <c r="AM706" s="100">
        <f>IF(AL706&lt;&gt;"No Disp",AK706+12*AL706,"No Disp")</f>
        <v>720000</v>
      </c>
      <c r="AN706" s="100">
        <v>0</v>
      </c>
      <c r="AO706" s="100">
        <v>60000</v>
      </c>
      <c r="AP706" s="100">
        <f>IF(AO706&lt;&gt;"No Disp",AN706+12*AO706,"No Disp")</f>
        <v>720000</v>
      </c>
      <c r="AQ706" s="100">
        <v>0</v>
      </c>
      <c r="AR706" s="100">
        <v>60000</v>
      </c>
      <c r="AS706" s="100">
        <f>IF(AR706&lt;&gt;"No Disp",AQ706+12*AR706,"No Disp")</f>
        <v>720000</v>
      </c>
    </row>
    <row r="707" spans="1:45" s="101" customFormat="1" x14ac:dyDescent="0.25">
      <c r="A707" s="90" t="s">
        <v>38</v>
      </c>
      <c r="B707" s="90" t="s">
        <v>39</v>
      </c>
      <c r="C707" s="90" t="s">
        <v>39</v>
      </c>
      <c r="D707" s="90" t="s">
        <v>4540</v>
      </c>
      <c r="E707" s="90" t="s">
        <v>4538</v>
      </c>
      <c r="F707" s="91">
        <v>693</v>
      </c>
      <c r="G707" s="92">
        <v>70015579</v>
      </c>
      <c r="H707" s="91">
        <v>70015560</v>
      </c>
      <c r="I707" s="93" t="s">
        <v>63</v>
      </c>
      <c r="J707" s="94" t="s">
        <v>4080</v>
      </c>
      <c r="K707" s="94" t="s">
        <v>4111</v>
      </c>
      <c r="L707" s="94" t="s">
        <v>4147</v>
      </c>
      <c r="M707" s="95">
        <v>1289900</v>
      </c>
      <c r="N707" s="95">
        <v>9500</v>
      </c>
      <c r="O707" s="95">
        <v>13500</v>
      </c>
      <c r="P707" s="96">
        <v>1299990</v>
      </c>
      <c r="Q707" s="152"/>
      <c r="R707" s="95">
        <v>1299990</v>
      </c>
      <c r="S707" s="95">
        <f>R707/24</f>
        <v>54166.25</v>
      </c>
      <c r="T707" s="95">
        <v>1289900</v>
      </c>
      <c r="U707" s="95">
        <f>T707/24</f>
        <v>53745.833333333336</v>
      </c>
      <c r="V707" s="95">
        <v>1289900</v>
      </c>
      <c r="W707" s="95">
        <f>V707/24</f>
        <v>53745.833333333336</v>
      </c>
      <c r="X707" s="128"/>
      <c r="Y707" s="95">
        <v>872900</v>
      </c>
      <c r="Z707" s="95">
        <v>48000</v>
      </c>
      <c r="AA707" s="95">
        <f>IFERROR(IF(D707="Premium",0.4*Y707,0),"No Disp")</f>
        <v>349160</v>
      </c>
      <c r="AB707" s="95">
        <f>IFERROR(IF(4*Y707&gt;AC707,1.5*Y707,4*Y707),"No Disp")</f>
        <v>1309350</v>
      </c>
      <c r="AC707" s="95">
        <f>IF(Z707="No Disp","No Disp",(Z707*18)+Y707)</f>
        <v>1736900</v>
      </c>
      <c r="AD707" s="95">
        <f>18*Z707-100+Y707</f>
        <v>1736800</v>
      </c>
      <c r="AE707" s="95">
        <v>772900</v>
      </c>
      <c r="AF707" s="95">
        <v>47500</v>
      </c>
      <c r="AG707" s="95">
        <f>IF(AF707="No Disp","No Disp",(AF707*18)+AE707)</f>
        <v>1627900</v>
      </c>
      <c r="AH707" s="98">
        <f>18*AF707-100+AE707</f>
        <v>1627800</v>
      </c>
      <c r="AI707" s="95" t="s">
        <v>4613</v>
      </c>
      <c r="AJ707" s="99"/>
      <c r="AK707" s="100">
        <v>0</v>
      </c>
      <c r="AL707" s="100">
        <v>60000</v>
      </c>
      <c r="AM707" s="100">
        <f>IF(AL707&lt;&gt;"No Disp",AK707+12*AL707,"No Disp")</f>
        <v>720000</v>
      </c>
      <c r="AN707" s="100">
        <v>0</v>
      </c>
      <c r="AO707" s="100">
        <v>60000</v>
      </c>
      <c r="AP707" s="100">
        <f>IF(AO707&lt;&gt;"No Disp",AN707+12*AO707,"No Disp")</f>
        <v>720000</v>
      </c>
      <c r="AQ707" s="100">
        <v>0</v>
      </c>
      <c r="AR707" s="100">
        <v>60000</v>
      </c>
      <c r="AS707" s="100">
        <f>IF(AR707&lt;&gt;"No Disp",AQ707+12*AR707,"No Disp")</f>
        <v>720000</v>
      </c>
    </row>
    <row r="708" spans="1:45" s="101" customFormat="1" x14ac:dyDescent="0.25">
      <c r="A708" s="90" t="s">
        <v>38</v>
      </c>
      <c r="B708" s="90" t="s">
        <v>39</v>
      </c>
      <c r="C708" s="90" t="s">
        <v>39</v>
      </c>
      <c r="D708" s="90" t="s">
        <v>4540</v>
      </c>
      <c r="E708" s="90" t="s">
        <v>4538</v>
      </c>
      <c r="F708" s="91">
        <v>695</v>
      </c>
      <c r="G708" s="92">
        <v>70015563</v>
      </c>
      <c r="H708" s="91">
        <v>70015564</v>
      </c>
      <c r="I708" s="93" t="s">
        <v>63</v>
      </c>
      <c r="J708" s="94" t="s">
        <v>4080</v>
      </c>
      <c r="K708" s="94" t="s">
        <v>4113</v>
      </c>
      <c r="L708" s="94" t="s">
        <v>4149</v>
      </c>
      <c r="M708" s="95">
        <v>1289900</v>
      </c>
      <c r="N708" s="95">
        <v>9500</v>
      </c>
      <c r="O708" s="95">
        <v>13500</v>
      </c>
      <c r="P708" s="96">
        <v>1299990</v>
      </c>
      <c r="Q708" s="152"/>
      <c r="R708" s="95">
        <v>1299990</v>
      </c>
      <c r="S708" s="95">
        <f>R708/24</f>
        <v>54166.25</v>
      </c>
      <c r="T708" s="95">
        <v>1289900</v>
      </c>
      <c r="U708" s="95">
        <f>T708/24</f>
        <v>53745.833333333336</v>
      </c>
      <c r="V708" s="95">
        <v>1289900</v>
      </c>
      <c r="W708" s="95">
        <f>V708/24</f>
        <v>53745.833333333336</v>
      </c>
      <c r="X708" s="128"/>
      <c r="Y708" s="95">
        <v>872900</v>
      </c>
      <c r="Z708" s="95">
        <v>48000</v>
      </c>
      <c r="AA708" s="95">
        <f>IFERROR(IF(D708="Premium",0.4*Y708,0),"No Disp")</f>
        <v>349160</v>
      </c>
      <c r="AB708" s="95">
        <f>IFERROR(IF(4*Y708&gt;AC708,1.5*Y708,4*Y708),"No Disp")</f>
        <v>1309350</v>
      </c>
      <c r="AC708" s="95">
        <f>IF(Z708="No Disp","No Disp",(Z708*18)+Y708)</f>
        <v>1736900</v>
      </c>
      <c r="AD708" s="95">
        <f>18*Z708-100+Y708</f>
        <v>1736800</v>
      </c>
      <c r="AE708" s="95">
        <v>772900</v>
      </c>
      <c r="AF708" s="95">
        <v>47500</v>
      </c>
      <c r="AG708" s="95">
        <f>IF(AF708="No Disp","No Disp",(AF708*18)+AE708)</f>
        <v>1627900</v>
      </c>
      <c r="AH708" s="98">
        <f>18*AF708-100+AE708</f>
        <v>1627800</v>
      </c>
      <c r="AI708" s="95" t="s">
        <v>4613</v>
      </c>
      <c r="AJ708" s="99"/>
      <c r="AK708" s="100">
        <v>0</v>
      </c>
      <c r="AL708" s="100">
        <v>60000</v>
      </c>
      <c r="AM708" s="100">
        <f>IF(AL708&lt;&gt;"No Disp",AK708+12*AL708,"No Disp")</f>
        <v>720000</v>
      </c>
      <c r="AN708" s="100">
        <v>0</v>
      </c>
      <c r="AO708" s="100">
        <v>60000</v>
      </c>
      <c r="AP708" s="100">
        <f>IF(AO708&lt;&gt;"No Disp",AN708+12*AO708,"No Disp")</f>
        <v>720000</v>
      </c>
      <c r="AQ708" s="100">
        <v>0</v>
      </c>
      <c r="AR708" s="100">
        <v>60000</v>
      </c>
      <c r="AS708" s="100">
        <f>IF(AR708&lt;&gt;"No Disp",AQ708+12*AR708,"No Disp")</f>
        <v>720000</v>
      </c>
    </row>
    <row r="709" spans="1:45" s="101" customFormat="1" x14ac:dyDescent="0.25">
      <c r="A709" s="90" t="s">
        <v>38</v>
      </c>
      <c r="B709" s="90" t="s">
        <v>39</v>
      </c>
      <c r="C709" s="90" t="s">
        <v>40</v>
      </c>
      <c r="D709" s="90" t="s">
        <v>4537</v>
      </c>
      <c r="E709" s="90" t="s">
        <v>4542</v>
      </c>
      <c r="F709" s="91">
        <v>452</v>
      </c>
      <c r="G709" s="92">
        <v>70012432</v>
      </c>
      <c r="H709" s="91" t="s">
        <v>3894</v>
      </c>
      <c r="I709" s="93" t="s">
        <v>87</v>
      </c>
      <c r="J709" s="94" t="s">
        <v>321</v>
      </c>
      <c r="K709" s="94" t="s">
        <v>322</v>
      </c>
      <c r="L709" s="94" t="s">
        <v>323</v>
      </c>
      <c r="M709" s="95">
        <v>299900</v>
      </c>
      <c r="N709" s="95">
        <v>6000</v>
      </c>
      <c r="O709" s="95">
        <v>8500</v>
      </c>
      <c r="P709" s="96">
        <v>559990</v>
      </c>
      <c r="Q709" s="152"/>
      <c r="R709" s="95">
        <v>329990</v>
      </c>
      <c r="S709" s="95">
        <f>R709/24</f>
        <v>13749.583333333334</v>
      </c>
      <c r="T709" s="95">
        <v>299900</v>
      </c>
      <c r="U709" s="95">
        <f>T709/24</f>
        <v>12495.833333333334</v>
      </c>
      <c r="V709" s="95">
        <v>299900</v>
      </c>
      <c r="W709" s="95">
        <f>V709/24</f>
        <v>12495.833333333334</v>
      </c>
      <c r="X709" s="128"/>
      <c r="Y709" s="95">
        <v>0</v>
      </c>
      <c r="Z709" s="95">
        <v>32000</v>
      </c>
      <c r="AA709" s="95">
        <f>IFERROR(IF(D709="Premium",0.4*Y709,0),"No Disp")</f>
        <v>0</v>
      </c>
      <c r="AB709" s="95">
        <f>IFERROR(IF(4*Y709&gt;AC709,1.5*Y709,4*Y709),"No Disp")</f>
        <v>0</v>
      </c>
      <c r="AC709" s="95">
        <f>IF(Z709="No Disp","No Disp",(Z709*18)+Y709)</f>
        <v>576000</v>
      </c>
      <c r="AD709" s="95">
        <f>18*Z709-100+Y709</f>
        <v>575900</v>
      </c>
      <c r="AE709" s="95">
        <v>0</v>
      </c>
      <c r="AF709" s="95">
        <v>28000</v>
      </c>
      <c r="AG709" s="95">
        <f>IF(AF709="No Disp","No Disp",(AF709*18)+AE709)</f>
        <v>504000</v>
      </c>
      <c r="AH709" s="98">
        <f>18*AF709-100+AE709</f>
        <v>503900</v>
      </c>
      <c r="AI709" s="95" t="s">
        <v>4613</v>
      </c>
      <c r="AJ709" s="99"/>
      <c r="AK709" s="100" t="s">
        <v>43</v>
      </c>
      <c r="AL709" s="100" t="s">
        <v>43</v>
      </c>
      <c r="AM709" s="100" t="str">
        <f>IF(AL709&lt;&gt;"No Disp",AK709+12*AL709,"No Disp")</f>
        <v>No Disp</v>
      </c>
      <c r="AN709" s="100" t="s">
        <v>43</v>
      </c>
      <c r="AO709" s="100" t="s">
        <v>43</v>
      </c>
      <c r="AP709" s="100" t="str">
        <f>IF(AO709&lt;&gt;"No Disp",AN709+12*AO709,"No Disp")</f>
        <v>No Disp</v>
      </c>
      <c r="AQ709" s="100" t="s">
        <v>43</v>
      </c>
      <c r="AR709" s="100" t="s">
        <v>43</v>
      </c>
      <c r="AS709" s="100" t="str">
        <f>IF(AR709&lt;&gt;"No Disp",AQ709+12*AR709,"No Disp")</f>
        <v>No Disp</v>
      </c>
    </row>
    <row r="710" spans="1:45" s="101" customFormat="1" x14ac:dyDescent="0.25">
      <c r="A710" s="90" t="s">
        <v>38</v>
      </c>
      <c r="B710" s="90" t="s">
        <v>39</v>
      </c>
      <c r="C710" s="90" t="s">
        <v>40</v>
      </c>
      <c r="D710" s="90" t="s">
        <v>4539</v>
      </c>
      <c r="E710" s="90" t="s">
        <v>4542</v>
      </c>
      <c r="F710" s="91">
        <v>446</v>
      </c>
      <c r="G710" s="92">
        <v>70012439</v>
      </c>
      <c r="H710" s="91" t="s">
        <v>3895</v>
      </c>
      <c r="I710" s="93" t="s">
        <v>171</v>
      </c>
      <c r="J710" s="94" t="s">
        <v>3869</v>
      </c>
      <c r="K710" s="94" t="s">
        <v>334</v>
      </c>
      <c r="L710" s="94" t="s">
        <v>335</v>
      </c>
      <c r="M710" s="95">
        <v>299900</v>
      </c>
      <c r="N710" s="95">
        <v>4000</v>
      </c>
      <c r="O710" s="95">
        <v>6000</v>
      </c>
      <c r="P710" s="96">
        <v>399990</v>
      </c>
      <c r="Q710" s="152"/>
      <c r="R710" s="95">
        <v>329990</v>
      </c>
      <c r="S710" s="95">
        <f>R710/24</f>
        <v>13749.583333333334</v>
      </c>
      <c r="T710" s="95">
        <v>299900</v>
      </c>
      <c r="U710" s="95">
        <f>T710/24</f>
        <v>12495.833333333334</v>
      </c>
      <c r="V710" s="95">
        <v>299900</v>
      </c>
      <c r="W710" s="95">
        <f>V710/24</f>
        <v>12495.833333333334</v>
      </c>
      <c r="X710" s="128"/>
      <c r="Y710" s="95">
        <v>0</v>
      </c>
      <c r="Z710" s="95">
        <v>29000</v>
      </c>
      <c r="AA710" s="95">
        <f>IFERROR(IF(D710="Premium",0.4*Y710,0),"No Disp")</f>
        <v>0</v>
      </c>
      <c r="AB710" s="95">
        <f>IFERROR(IF(4*Y710&gt;AC710,1.5*Y710,4*Y710),"No Disp")</f>
        <v>0</v>
      </c>
      <c r="AC710" s="95">
        <f>IF(Z710="No Disp","No Disp",(Z710*18)+Y710)</f>
        <v>522000</v>
      </c>
      <c r="AD710" s="95">
        <f>18*Z710-100+Y710</f>
        <v>521900</v>
      </c>
      <c r="AE710" s="95">
        <v>0</v>
      </c>
      <c r="AF710" s="95">
        <v>25000</v>
      </c>
      <c r="AG710" s="95">
        <f>IF(AF710="No Disp","No Disp",(AF710*18)+AE710)</f>
        <v>450000</v>
      </c>
      <c r="AH710" s="98">
        <f>18*AF710-100+AE710</f>
        <v>449900</v>
      </c>
      <c r="AI710" s="95" t="s">
        <v>4613</v>
      </c>
      <c r="AJ710" s="99"/>
      <c r="AK710" s="100" t="s">
        <v>43</v>
      </c>
      <c r="AL710" s="100" t="s">
        <v>43</v>
      </c>
      <c r="AM710" s="100" t="str">
        <f>IF(AL710&lt;&gt;"No Disp",AK710+12*AL710,"No Disp")</f>
        <v>No Disp</v>
      </c>
      <c r="AN710" s="100" t="s">
        <v>43</v>
      </c>
      <c r="AO710" s="100" t="s">
        <v>43</v>
      </c>
      <c r="AP710" s="100" t="str">
        <f>IF(AO710&lt;&gt;"No Disp",AN710+12*AO710,"No Disp")</f>
        <v>No Disp</v>
      </c>
      <c r="AQ710" s="100" t="s">
        <v>43</v>
      </c>
      <c r="AR710" s="100" t="s">
        <v>43</v>
      </c>
      <c r="AS710" s="100" t="str">
        <f>IF(AR710&lt;&gt;"No Disp",AQ710+12*AR710,"No Disp")</f>
        <v>No Disp</v>
      </c>
    </row>
    <row r="711" spans="1:45" s="101" customFormat="1" x14ac:dyDescent="0.25">
      <c r="A711" s="90" t="s">
        <v>38</v>
      </c>
      <c r="B711" s="90" t="s">
        <v>40</v>
      </c>
      <c r="C711" s="90" t="s">
        <v>39</v>
      </c>
      <c r="D711" s="90" t="s">
        <v>4539</v>
      </c>
      <c r="E711" s="90" t="s">
        <v>4538</v>
      </c>
      <c r="F711" s="91"/>
      <c r="G711" s="170">
        <v>70015874</v>
      </c>
      <c r="H711" s="91" t="s">
        <v>3896</v>
      </c>
      <c r="I711" s="93" t="s">
        <v>46</v>
      </c>
      <c r="J711" s="94" t="s">
        <v>4665</v>
      </c>
      <c r="K711" s="94" t="s">
        <v>4666</v>
      </c>
      <c r="L711" s="94" t="s">
        <v>4680</v>
      </c>
      <c r="M711" s="95">
        <v>359900</v>
      </c>
      <c r="N711" s="95">
        <v>6000</v>
      </c>
      <c r="O711" s="95">
        <v>8500</v>
      </c>
      <c r="P711" s="96">
        <v>399990</v>
      </c>
      <c r="Q711" s="152"/>
      <c r="R711" s="95">
        <v>399990</v>
      </c>
      <c r="S711" s="95">
        <v>13620.833333333334</v>
      </c>
      <c r="T711" s="95">
        <v>359900</v>
      </c>
      <c r="U711" s="95">
        <v>13620.833333333334</v>
      </c>
      <c r="V711" s="95">
        <v>359900</v>
      </c>
      <c r="W711" s="95">
        <v>13620.833333333334</v>
      </c>
      <c r="X711" s="128"/>
      <c r="Y711" s="95">
        <v>49900</v>
      </c>
      <c r="Z711" s="95">
        <v>30000</v>
      </c>
      <c r="AA711" s="95">
        <f>IFERROR(IF(D711="Premium",0.4*Y711,0),"No Disp")</f>
        <v>0</v>
      </c>
      <c r="AB711" s="95">
        <f>IFERROR(IF(4*Y711&gt;AC711,1.5*Y711,4*Y711),"No Disp")</f>
        <v>199600</v>
      </c>
      <c r="AC711" s="95">
        <f>IF(Z711="No Disp","No Disp",(Z711*18)+Y711)</f>
        <v>589900</v>
      </c>
      <c r="AD711" s="95">
        <f>IF($H711="EMP",18*Z711-100,18*Z711-100+Y711)</f>
        <v>589800</v>
      </c>
      <c r="AE711" s="95">
        <v>29900</v>
      </c>
      <c r="AF711" s="95">
        <v>27500</v>
      </c>
      <c r="AG711" s="95">
        <f>IF(AF711="No Disp","No Disp",(AF711*18)+AE711)</f>
        <v>524900</v>
      </c>
      <c r="AH711" s="98">
        <f>IF($H711="EMP",18*AF711-100,18*AF711-100+AE711)</f>
        <v>524800</v>
      </c>
      <c r="AI711" s="95">
        <v>22000</v>
      </c>
      <c r="AJ711" s="99"/>
      <c r="AK711" s="100" t="s">
        <v>43</v>
      </c>
      <c r="AL711" s="100" t="s">
        <v>43</v>
      </c>
      <c r="AM711" s="100" t="s">
        <v>43</v>
      </c>
      <c r="AN711" s="100" t="s">
        <v>43</v>
      </c>
      <c r="AO711" s="100" t="s">
        <v>43</v>
      </c>
      <c r="AP711" s="100" t="s">
        <v>43</v>
      </c>
      <c r="AQ711" s="100" t="s">
        <v>43</v>
      </c>
      <c r="AR711" s="100" t="s">
        <v>43</v>
      </c>
      <c r="AS711" s="100" t="s">
        <v>43</v>
      </c>
    </row>
    <row r="712" spans="1:45" s="101" customFormat="1" x14ac:dyDescent="0.25">
      <c r="A712" s="90" t="s">
        <v>38</v>
      </c>
      <c r="B712" s="90" t="s">
        <v>40</v>
      </c>
      <c r="C712" s="90" t="s">
        <v>39</v>
      </c>
      <c r="D712" s="90" t="s">
        <v>4539</v>
      </c>
      <c r="E712" s="90" t="s">
        <v>4538</v>
      </c>
      <c r="F712" s="91"/>
      <c r="G712" s="170">
        <v>70016109</v>
      </c>
      <c r="H712" s="91" t="s">
        <v>3896</v>
      </c>
      <c r="I712" s="93" t="s">
        <v>87</v>
      </c>
      <c r="J712" s="94" t="s">
        <v>4648</v>
      </c>
      <c r="K712" s="94" t="s">
        <v>4667</v>
      </c>
      <c r="L712" s="94" t="s">
        <v>4650</v>
      </c>
      <c r="M712" s="95">
        <v>229990</v>
      </c>
      <c r="N712" s="95">
        <v>6000</v>
      </c>
      <c r="O712" s="95">
        <v>8500</v>
      </c>
      <c r="P712" s="96">
        <v>399990</v>
      </c>
      <c r="Q712" s="152"/>
      <c r="R712" s="95">
        <v>259990</v>
      </c>
      <c r="S712" s="95">
        <v>13620.833333333334</v>
      </c>
      <c r="T712" s="95">
        <v>229990</v>
      </c>
      <c r="U712" s="95">
        <v>13620.833333333334</v>
      </c>
      <c r="V712" s="95">
        <v>229990</v>
      </c>
      <c r="W712" s="95">
        <v>13620.833333333334</v>
      </c>
      <c r="X712" s="128"/>
      <c r="Y712" s="95">
        <v>19900</v>
      </c>
      <c r="Z712" s="95">
        <v>22000</v>
      </c>
      <c r="AA712" s="95">
        <f>IFERROR(IF(D712="Premium",0.4*Y712,0),"No Disp")</f>
        <v>0</v>
      </c>
      <c r="AB712" s="95">
        <f>IFERROR(IF(4*Y712&gt;AC712,1.5*Y712,4*Y712),"No Disp")</f>
        <v>79600</v>
      </c>
      <c r="AC712" s="95">
        <f>IF(Z712="No Disp","No Disp",(Z712*18)+Y712)</f>
        <v>415900</v>
      </c>
      <c r="AD712" s="95">
        <f>IF($H712="EMP",18*Z712-100,18*Z712-100+Y712)</f>
        <v>415800</v>
      </c>
      <c r="AE712" s="95">
        <v>0</v>
      </c>
      <c r="AF712" s="95">
        <v>20000</v>
      </c>
      <c r="AG712" s="95">
        <f>IF(AF712="No Disp","No Disp",(AF712*18)+AE712)</f>
        <v>360000</v>
      </c>
      <c r="AH712" s="98">
        <f>IF($H712="EMP",18*AF712-100,18*AF712-100+AE712)</f>
        <v>359900</v>
      </c>
      <c r="AI712" s="95">
        <v>22000</v>
      </c>
      <c r="AJ712" s="99"/>
      <c r="AK712" s="100" t="s">
        <v>43</v>
      </c>
      <c r="AL712" s="100" t="s">
        <v>43</v>
      </c>
      <c r="AM712" s="100" t="s">
        <v>43</v>
      </c>
      <c r="AN712" s="100" t="s">
        <v>43</v>
      </c>
      <c r="AO712" s="100" t="s">
        <v>43</v>
      </c>
      <c r="AP712" s="100" t="s">
        <v>43</v>
      </c>
      <c r="AQ712" s="100" t="s">
        <v>43</v>
      </c>
      <c r="AR712" s="100" t="s">
        <v>43</v>
      </c>
      <c r="AS712" s="100" t="s">
        <v>43</v>
      </c>
    </row>
    <row r="713" spans="1:45" s="101" customFormat="1" x14ac:dyDescent="0.25">
      <c r="A713" s="90" t="s">
        <v>38</v>
      </c>
      <c r="B713" s="90" t="s">
        <v>40</v>
      </c>
      <c r="C713" s="90" t="s">
        <v>39</v>
      </c>
      <c r="D713" s="90" t="s">
        <v>4539</v>
      </c>
      <c r="E713" s="90" t="s">
        <v>4538</v>
      </c>
      <c r="F713" s="91"/>
      <c r="G713" s="170">
        <v>70016113</v>
      </c>
      <c r="H713" s="91" t="s">
        <v>3896</v>
      </c>
      <c r="I713" s="93" t="s">
        <v>87</v>
      </c>
      <c r="J713" s="94" t="s">
        <v>4648</v>
      </c>
      <c r="K713" s="94" t="s">
        <v>4669</v>
      </c>
      <c r="L713" s="94" t="s">
        <v>4652</v>
      </c>
      <c r="M713" s="95">
        <v>229990</v>
      </c>
      <c r="N713" s="95">
        <v>6000</v>
      </c>
      <c r="O713" s="95">
        <v>8500</v>
      </c>
      <c r="P713" s="96">
        <v>399990</v>
      </c>
      <c r="Q713" s="152"/>
      <c r="R713" s="95">
        <v>259990</v>
      </c>
      <c r="S713" s="95">
        <v>13620.833333333334</v>
      </c>
      <c r="T713" s="95">
        <v>229990</v>
      </c>
      <c r="U713" s="95">
        <v>13620.833333333334</v>
      </c>
      <c r="V713" s="95">
        <v>229990</v>
      </c>
      <c r="W713" s="95">
        <v>13620.833333333334</v>
      </c>
      <c r="X713" s="128"/>
      <c r="Y713" s="95">
        <v>19900</v>
      </c>
      <c r="Z713" s="95">
        <v>22000</v>
      </c>
      <c r="AA713" s="95">
        <f>IFERROR(IF(D713="Premium",0.4*Y713,0),"No Disp")</f>
        <v>0</v>
      </c>
      <c r="AB713" s="95">
        <f>IFERROR(IF(4*Y713&gt;AC713,1.5*Y713,4*Y713),"No Disp")</f>
        <v>79600</v>
      </c>
      <c r="AC713" s="95">
        <f>IF(Z713="No Disp","No Disp",(Z713*18)+Y713)</f>
        <v>415900</v>
      </c>
      <c r="AD713" s="95">
        <f>IF($H713="EMP",18*Z713-100,18*Z713-100+Y713)</f>
        <v>415800</v>
      </c>
      <c r="AE713" s="95">
        <v>0</v>
      </c>
      <c r="AF713" s="95">
        <v>20000</v>
      </c>
      <c r="AG713" s="95">
        <f>IF(AF713="No Disp","No Disp",(AF713*18)+AE713)</f>
        <v>360000</v>
      </c>
      <c r="AH713" s="98">
        <f>IF($H713="EMP",18*AF713-100,18*AF713-100+AE713)</f>
        <v>359900</v>
      </c>
      <c r="AI713" s="95">
        <v>22000</v>
      </c>
      <c r="AJ713" s="99"/>
      <c r="AK713" s="100" t="s">
        <v>43</v>
      </c>
      <c r="AL713" s="100" t="s">
        <v>43</v>
      </c>
      <c r="AM713" s="100" t="s">
        <v>43</v>
      </c>
      <c r="AN713" s="100" t="s">
        <v>43</v>
      </c>
      <c r="AO713" s="100" t="s">
        <v>43</v>
      </c>
      <c r="AP713" s="100" t="s">
        <v>43</v>
      </c>
      <c r="AQ713" s="100" t="s">
        <v>43</v>
      </c>
      <c r="AR713" s="100" t="s">
        <v>43</v>
      </c>
      <c r="AS713" s="100" t="s">
        <v>43</v>
      </c>
    </row>
    <row r="714" spans="1:45" s="101" customFormat="1" x14ac:dyDescent="0.25">
      <c r="A714" s="90" t="s">
        <v>38</v>
      </c>
      <c r="B714" s="90" t="s">
        <v>40</v>
      </c>
      <c r="C714" s="90" t="s">
        <v>39</v>
      </c>
      <c r="D714" s="90" t="s">
        <v>4539</v>
      </c>
      <c r="E714" s="90" t="s">
        <v>4538</v>
      </c>
      <c r="F714" s="91"/>
      <c r="G714" s="170">
        <v>70016117</v>
      </c>
      <c r="H714" s="91" t="s">
        <v>3896</v>
      </c>
      <c r="I714" s="93" t="s">
        <v>87</v>
      </c>
      <c r="J714" s="94" t="s">
        <v>4649</v>
      </c>
      <c r="K714" s="94" t="s">
        <v>4671</v>
      </c>
      <c r="L714" s="94" t="s">
        <v>4654</v>
      </c>
      <c r="M714" s="95">
        <v>339990</v>
      </c>
      <c r="N714" s="95">
        <v>6000</v>
      </c>
      <c r="O714" s="95">
        <v>8500</v>
      </c>
      <c r="P714" s="96">
        <v>399990</v>
      </c>
      <c r="Q714" s="152"/>
      <c r="R714" s="95">
        <v>379990</v>
      </c>
      <c r="S714" s="95">
        <v>13620.833333333334</v>
      </c>
      <c r="T714" s="95">
        <v>339990</v>
      </c>
      <c r="U714" s="95">
        <v>13620.833333333334</v>
      </c>
      <c r="V714" s="95">
        <v>339990</v>
      </c>
      <c r="W714" s="95">
        <v>13620.833333333334</v>
      </c>
      <c r="X714" s="128"/>
      <c r="Y714" s="95">
        <v>29900</v>
      </c>
      <c r="Z714" s="95">
        <v>32000</v>
      </c>
      <c r="AA714" s="95">
        <f>IFERROR(IF(D714="Premium",0.4*Y714,0),"No Disp")</f>
        <v>0</v>
      </c>
      <c r="AB714" s="95">
        <f>IFERROR(IF(4*Y714&gt;AC714,1.5*Y714,4*Y714),"No Disp")</f>
        <v>119600</v>
      </c>
      <c r="AC714" s="95">
        <f>IF(Z714="No Disp","No Disp",(Z714*18)+Y714)</f>
        <v>605900</v>
      </c>
      <c r="AD714" s="95">
        <f>IF($H714="EMP",18*Z714-100,18*Z714-100+Y714)</f>
        <v>605800</v>
      </c>
      <c r="AE714" s="95">
        <v>29900</v>
      </c>
      <c r="AF714" s="95">
        <v>27500</v>
      </c>
      <c r="AG714" s="95">
        <f>IF(AF714="No Disp","No Disp",(AF714*18)+AE714)</f>
        <v>524900</v>
      </c>
      <c r="AH714" s="98">
        <f>IF($H714="EMP",18*AF714-100,18*AF714-100+AE714)</f>
        <v>524800</v>
      </c>
      <c r="AI714" s="95">
        <v>22000</v>
      </c>
      <c r="AJ714" s="99"/>
      <c r="AK714" s="100" t="s">
        <v>43</v>
      </c>
      <c r="AL714" s="100" t="s">
        <v>43</v>
      </c>
      <c r="AM714" s="100" t="s">
        <v>43</v>
      </c>
      <c r="AN714" s="100" t="s">
        <v>43</v>
      </c>
      <c r="AO714" s="100" t="s">
        <v>43</v>
      </c>
      <c r="AP714" s="100" t="s">
        <v>43</v>
      </c>
      <c r="AQ714" s="100" t="s">
        <v>43</v>
      </c>
      <c r="AR714" s="100" t="s">
        <v>43</v>
      </c>
      <c r="AS714" s="100" t="s">
        <v>43</v>
      </c>
    </row>
    <row r="715" spans="1:45" s="101" customFormat="1" x14ac:dyDescent="0.25">
      <c r="A715" s="90" t="s">
        <v>38</v>
      </c>
      <c r="B715" s="90" t="s">
        <v>40</v>
      </c>
      <c r="C715" s="90" t="s">
        <v>39</v>
      </c>
      <c r="D715" s="90" t="s">
        <v>4539</v>
      </c>
      <c r="E715" s="90" t="s">
        <v>4538</v>
      </c>
      <c r="F715" s="91"/>
      <c r="G715" s="170">
        <v>70016121</v>
      </c>
      <c r="H715" s="91" t="s">
        <v>3896</v>
      </c>
      <c r="I715" s="93" t="s">
        <v>87</v>
      </c>
      <c r="J715" s="94" t="s">
        <v>4649</v>
      </c>
      <c r="K715" s="94" t="s">
        <v>4673</v>
      </c>
      <c r="L715" s="94" t="s">
        <v>4656</v>
      </c>
      <c r="M715" s="95">
        <v>339990</v>
      </c>
      <c r="N715" s="95">
        <v>6000</v>
      </c>
      <c r="O715" s="95">
        <v>8500</v>
      </c>
      <c r="P715" s="96">
        <v>399990</v>
      </c>
      <c r="Q715" s="152"/>
      <c r="R715" s="95">
        <v>379990</v>
      </c>
      <c r="S715" s="95">
        <v>13620.833333333334</v>
      </c>
      <c r="T715" s="95">
        <v>339990</v>
      </c>
      <c r="U715" s="95">
        <v>13620.833333333334</v>
      </c>
      <c r="V715" s="95">
        <v>339990</v>
      </c>
      <c r="W715" s="95">
        <v>13620.833333333334</v>
      </c>
      <c r="X715" s="128"/>
      <c r="Y715" s="95">
        <v>29900</v>
      </c>
      <c r="Z715" s="95">
        <v>32000</v>
      </c>
      <c r="AA715" s="95">
        <f>IFERROR(IF(D715="Premium",0.4*Y715,0),"No Disp")</f>
        <v>0</v>
      </c>
      <c r="AB715" s="95">
        <f>IFERROR(IF(4*Y715&gt;AC715,1.5*Y715,4*Y715),"No Disp")</f>
        <v>119600</v>
      </c>
      <c r="AC715" s="95">
        <f>IF(Z715="No Disp","No Disp",(Z715*18)+Y715)</f>
        <v>605900</v>
      </c>
      <c r="AD715" s="95">
        <f>IF($H715="EMP",18*Z715-100,18*Z715-100+Y715)</f>
        <v>605800</v>
      </c>
      <c r="AE715" s="95">
        <v>29900</v>
      </c>
      <c r="AF715" s="95">
        <v>27500</v>
      </c>
      <c r="AG715" s="95">
        <f>IF(AF715="No Disp","No Disp",(AF715*18)+AE715)</f>
        <v>524900</v>
      </c>
      <c r="AH715" s="98">
        <f>IF($H715="EMP",18*AF715-100,18*AF715-100+AE715)</f>
        <v>524800</v>
      </c>
      <c r="AI715" s="95">
        <v>22000</v>
      </c>
      <c r="AJ715" s="99"/>
      <c r="AK715" s="100" t="s">
        <v>43</v>
      </c>
      <c r="AL715" s="100" t="s">
        <v>43</v>
      </c>
      <c r="AM715" s="100" t="s">
        <v>43</v>
      </c>
      <c r="AN715" s="100" t="s">
        <v>43</v>
      </c>
      <c r="AO715" s="100" t="s">
        <v>43</v>
      </c>
      <c r="AP715" s="100" t="s">
        <v>43</v>
      </c>
      <c r="AQ715" s="100" t="s">
        <v>43</v>
      </c>
      <c r="AR715" s="100" t="s">
        <v>43</v>
      </c>
      <c r="AS715" s="100" t="s">
        <v>43</v>
      </c>
    </row>
    <row r="716" spans="1:45" s="101" customFormat="1" x14ac:dyDescent="0.25">
      <c r="A716" s="90" t="s">
        <v>38</v>
      </c>
      <c r="B716" s="90" t="s">
        <v>40</v>
      </c>
      <c r="C716" s="90" t="s">
        <v>39</v>
      </c>
      <c r="D716" s="90" t="s">
        <v>4539</v>
      </c>
      <c r="E716" s="90" t="s">
        <v>4538</v>
      </c>
      <c r="F716" s="91"/>
      <c r="G716" s="170">
        <v>70016125</v>
      </c>
      <c r="H716" s="91" t="s">
        <v>3896</v>
      </c>
      <c r="I716" s="93" t="s">
        <v>87</v>
      </c>
      <c r="J716" s="94" t="s">
        <v>4681</v>
      </c>
      <c r="K716" s="94" t="s">
        <v>4675</v>
      </c>
      <c r="L716" s="94" t="s">
        <v>4658</v>
      </c>
      <c r="M716" s="95">
        <v>419990</v>
      </c>
      <c r="N716" s="95">
        <v>6000</v>
      </c>
      <c r="O716" s="95">
        <v>8500</v>
      </c>
      <c r="P716" s="96">
        <v>399990</v>
      </c>
      <c r="Q716" s="152"/>
      <c r="R716" s="95">
        <v>469990</v>
      </c>
      <c r="S716" s="95">
        <v>13620.833333333334</v>
      </c>
      <c r="T716" s="95">
        <v>419990</v>
      </c>
      <c r="U716" s="95">
        <v>13620.833333333334</v>
      </c>
      <c r="V716" s="95">
        <v>419990</v>
      </c>
      <c r="W716" s="95">
        <v>13620.833333333334</v>
      </c>
      <c r="X716" s="128"/>
      <c r="Y716" s="95">
        <v>49900</v>
      </c>
      <c r="Z716" s="95">
        <v>38000</v>
      </c>
      <c r="AA716" s="95">
        <f>IFERROR(IF(D716="Premium",0.4*Y716,0),"No Disp")</f>
        <v>0</v>
      </c>
      <c r="AB716" s="95">
        <f>IFERROR(IF(4*Y716&gt;AC716,1.5*Y716,4*Y716),"No Disp")</f>
        <v>199600</v>
      </c>
      <c r="AC716" s="95">
        <f>IF(Z716="No Disp","No Disp",(Z716*18)+Y716)</f>
        <v>733900</v>
      </c>
      <c r="AD716" s="95">
        <f>IF($H716="EMP",18*Z716-100,18*Z716-100+Y716)</f>
        <v>733800</v>
      </c>
      <c r="AE716" s="95">
        <v>49900</v>
      </c>
      <c r="AF716" s="95">
        <v>33000</v>
      </c>
      <c r="AG716" s="95">
        <f>IF(AF716="No Disp","No Disp",(AF716*18)+AE716)</f>
        <v>643900</v>
      </c>
      <c r="AH716" s="98">
        <f>IF($H716="EMP",18*AF716-100,18*AF716-100+AE716)</f>
        <v>643800</v>
      </c>
      <c r="AI716" s="95">
        <v>22000</v>
      </c>
      <c r="AJ716" s="99"/>
      <c r="AK716" s="100" t="s">
        <v>43</v>
      </c>
      <c r="AL716" s="100" t="s">
        <v>43</v>
      </c>
      <c r="AM716" s="100" t="s">
        <v>43</v>
      </c>
      <c r="AN716" s="100" t="s">
        <v>43</v>
      </c>
      <c r="AO716" s="100" t="s">
        <v>43</v>
      </c>
      <c r="AP716" s="100" t="s">
        <v>43</v>
      </c>
      <c r="AQ716" s="100" t="s">
        <v>43</v>
      </c>
      <c r="AR716" s="100" t="s">
        <v>43</v>
      </c>
      <c r="AS716" s="100" t="s">
        <v>43</v>
      </c>
    </row>
    <row r="717" spans="1:45" s="101" customFormat="1" x14ac:dyDescent="0.25">
      <c r="A717" s="90" t="s">
        <v>38</v>
      </c>
      <c r="B717" s="90" t="s">
        <v>40</v>
      </c>
      <c r="C717" s="90" t="s">
        <v>39</v>
      </c>
      <c r="D717" s="90" t="s">
        <v>4539</v>
      </c>
      <c r="E717" s="90" t="s">
        <v>4538</v>
      </c>
      <c r="F717" s="91"/>
      <c r="G717" s="170">
        <v>70016128</v>
      </c>
      <c r="H717" s="91" t="s">
        <v>3896</v>
      </c>
      <c r="I717" s="93" t="s">
        <v>87</v>
      </c>
      <c r="J717" s="94" t="s">
        <v>4681</v>
      </c>
      <c r="K717" s="94" t="s">
        <v>4677</v>
      </c>
      <c r="L717" s="94" t="s">
        <v>4660</v>
      </c>
      <c r="M717" s="95">
        <v>419990</v>
      </c>
      <c r="N717" s="95">
        <v>6000</v>
      </c>
      <c r="O717" s="95">
        <v>8500</v>
      </c>
      <c r="P717" s="96">
        <v>399990</v>
      </c>
      <c r="Q717" s="152"/>
      <c r="R717" s="95">
        <v>469990</v>
      </c>
      <c r="S717" s="95">
        <v>13620.833333333334</v>
      </c>
      <c r="T717" s="95">
        <v>419990</v>
      </c>
      <c r="U717" s="95">
        <v>13620.833333333334</v>
      </c>
      <c r="V717" s="95">
        <v>419990</v>
      </c>
      <c r="W717" s="95">
        <v>13620.833333333334</v>
      </c>
      <c r="X717" s="128"/>
      <c r="Y717" s="95">
        <v>49900</v>
      </c>
      <c r="Z717" s="95">
        <v>38000</v>
      </c>
      <c r="AA717" s="95">
        <f>IFERROR(IF(D717="Premium",0.4*Y717,0),"No Disp")</f>
        <v>0</v>
      </c>
      <c r="AB717" s="95">
        <f>IFERROR(IF(4*Y717&gt;AC717,1.5*Y717,4*Y717),"No Disp")</f>
        <v>199600</v>
      </c>
      <c r="AC717" s="95">
        <f>IF(Z717="No Disp","No Disp",(Z717*18)+Y717)</f>
        <v>733900</v>
      </c>
      <c r="AD717" s="95">
        <f>IF($H717="EMP",18*Z717-100,18*Z717-100+Y717)</f>
        <v>733800</v>
      </c>
      <c r="AE717" s="95">
        <v>49900</v>
      </c>
      <c r="AF717" s="95">
        <v>33000</v>
      </c>
      <c r="AG717" s="95">
        <f>IF(AF717="No Disp","No Disp",(AF717*18)+AE717)</f>
        <v>643900</v>
      </c>
      <c r="AH717" s="98">
        <f>IF($H717="EMP",18*AF717-100,18*AF717-100+AE717)</f>
        <v>643800</v>
      </c>
      <c r="AI717" s="95">
        <v>22000</v>
      </c>
      <c r="AJ717" s="99"/>
      <c r="AK717" s="100" t="s">
        <v>43</v>
      </c>
      <c r="AL717" s="100" t="s">
        <v>43</v>
      </c>
      <c r="AM717" s="100" t="s">
        <v>43</v>
      </c>
      <c r="AN717" s="100" t="s">
        <v>43</v>
      </c>
      <c r="AO717" s="100" t="s">
        <v>43</v>
      </c>
      <c r="AP717" s="100" t="s">
        <v>43</v>
      </c>
      <c r="AQ717" s="100" t="s">
        <v>43</v>
      </c>
      <c r="AR717" s="100" t="s">
        <v>43</v>
      </c>
      <c r="AS717" s="100" t="s">
        <v>43</v>
      </c>
    </row>
    <row r="718" spans="1:45" s="101" customFormat="1" x14ac:dyDescent="0.25">
      <c r="A718" s="90" t="s">
        <v>38</v>
      </c>
      <c r="B718" s="90" t="s">
        <v>40</v>
      </c>
      <c r="C718" s="90" t="s">
        <v>39</v>
      </c>
      <c r="D718" s="90" t="s">
        <v>4537</v>
      </c>
      <c r="E718" s="90" t="s">
        <v>4538</v>
      </c>
      <c r="F718" s="91">
        <v>741</v>
      </c>
      <c r="G718" s="92">
        <v>70015882</v>
      </c>
      <c r="H718" s="91" t="s">
        <v>3896</v>
      </c>
      <c r="I718" s="93" t="s">
        <v>46</v>
      </c>
      <c r="J718" s="94" t="s">
        <v>4530</v>
      </c>
      <c r="K718" s="94" t="s">
        <v>4526</v>
      </c>
      <c r="L718" s="94" t="s">
        <v>4531</v>
      </c>
      <c r="M718" s="95">
        <v>389900</v>
      </c>
      <c r="N718" s="95">
        <v>2500</v>
      </c>
      <c r="O718" s="95">
        <v>4000</v>
      </c>
      <c r="P718" s="96">
        <v>609990</v>
      </c>
      <c r="Q718" s="152"/>
      <c r="R718" s="95">
        <v>439990</v>
      </c>
      <c r="S718" s="95">
        <f>R718/24</f>
        <v>18332.916666666668</v>
      </c>
      <c r="T718" s="95">
        <v>389900</v>
      </c>
      <c r="U718" s="95">
        <f>T718/24</f>
        <v>16245.833333333334</v>
      </c>
      <c r="V718" s="95">
        <v>389900</v>
      </c>
      <c r="W718" s="95">
        <f>V718/24</f>
        <v>16245.833333333334</v>
      </c>
      <c r="X718" s="128"/>
      <c r="Y718" s="95">
        <v>49900</v>
      </c>
      <c r="Z718" s="95">
        <v>33000</v>
      </c>
      <c r="AA718" s="95">
        <f>IFERROR(IF(D718="Premium",0.4*Y718,0),"No Disp")</f>
        <v>0</v>
      </c>
      <c r="AB718" s="95">
        <f>IFERROR(IF(4*Y718&gt;AC718,1.5*Y718,4*Y718),"No Disp")</f>
        <v>199600</v>
      </c>
      <c r="AC718" s="95">
        <f>IF(Z718="No Disp","No Disp",(Z718*18)+Y718)</f>
        <v>643900</v>
      </c>
      <c r="AD718" s="95">
        <f>18*Z718-100+Y718</f>
        <v>643800</v>
      </c>
      <c r="AE718" s="95">
        <v>29900</v>
      </c>
      <c r="AF718" s="95">
        <v>29500</v>
      </c>
      <c r="AG718" s="95">
        <f>IF(AF718="No Disp","No Disp",(AF718*18)+AE718)</f>
        <v>560900</v>
      </c>
      <c r="AH718" s="98">
        <f>18*AF718-100+AE718</f>
        <v>560800</v>
      </c>
      <c r="AI718" s="95" t="s">
        <v>4613</v>
      </c>
      <c r="AJ718" s="99"/>
      <c r="AK718" s="100">
        <v>0</v>
      </c>
      <c r="AL718" s="100">
        <v>22000</v>
      </c>
      <c r="AM718" s="100">
        <f>IF(AL718&lt;&gt;"No Disp",AK718+12*AL718,"No Disp")</f>
        <v>264000</v>
      </c>
      <c r="AN718" s="100">
        <v>0</v>
      </c>
      <c r="AO718" s="100">
        <v>22000</v>
      </c>
      <c r="AP718" s="100">
        <f>IF(AO718&lt;&gt;"No Disp",AN718+12*AO718,"No Disp")</f>
        <v>264000</v>
      </c>
      <c r="AQ718" s="100">
        <v>0</v>
      </c>
      <c r="AR718" s="100">
        <v>22000</v>
      </c>
      <c r="AS718" s="100">
        <f>IF(AR718&lt;&gt;"No Disp",AQ718+12*AR718,"No Disp")</f>
        <v>264000</v>
      </c>
    </row>
    <row r="719" spans="1:45" s="101" customFormat="1" x14ac:dyDescent="0.25">
      <c r="A719" s="90" t="s">
        <v>38</v>
      </c>
      <c r="B719" s="90" t="s">
        <v>40</v>
      </c>
      <c r="C719" s="90" t="s">
        <v>39</v>
      </c>
      <c r="D719" s="90" t="s">
        <v>4537</v>
      </c>
      <c r="E719" s="90" t="s">
        <v>4538</v>
      </c>
      <c r="F719" s="91">
        <v>741</v>
      </c>
      <c r="G719" s="92">
        <v>70015878</v>
      </c>
      <c r="H719" s="91" t="s">
        <v>3896</v>
      </c>
      <c r="I719" s="93" t="s">
        <v>46</v>
      </c>
      <c r="J719" s="94" t="s">
        <v>4530</v>
      </c>
      <c r="K719" s="94" t="s">
        <v>4527</v>
      </c>
      <c r="L719" s="94" t="s">
        <v>4532</v>
      </c>
      <c r="M719" s="95">
        <v>389900</v>
      </c>
      <c r="N719" s="95">
        <v>2500</v>
      </c>
      <c r="O719" s="95">
        <v>4000</v>
      </c>
      <c r="P719" s="96">
        <v>609990</v>
      </c>
      <c r="Q719" s="152"/>
      <c r="R719" s="95">
        <v>439990</v>
      </c>
      <c r="S719" s="95">
        <f>R719/24</f>
        <v>18332.916666666668</v>
      </c>
      <c r="T719" s="95">
        <v>389900</v>
      </c>
      <c r="U719" s="95">
        <f>T719/24</f>
        <v>16245.833333333334</v>
      </c>
      <c r="V719" s="95">
        <v>389900</v>
      </c>
      <c r="W719" s="95">
        <f>V719/24</f>
        <v>16245.833333333334</v>
      </c>
      <c r="X719" s="128"/>
      <c r="Y719" s="95">
        <v>49900</v>
      </c>
      <c r="Z719" s="95">
        <v>33000</v>
      </c>
      <c r="AA719" s="95">
        <f>IFERROR(IF(D719="Premium",0.4*Y719,0),"No Disp")</f>
        <v>0</v>
      </c>
      <c r="AB719" s="95">
        <f>IFERROR(IF(4*Y719&gt;AC719,1.5*Y719,4*Y719),"No Disp")</f>
        <v>199600</v>
      </c>
      <c r="AC719" s="95">
        <f>IF(Z719="No Disp","No Disp",(Z719*18)+Y719)</f>
        <v>643900</v>
      </c>
      <c r="AD719" s="95">
        <f>18*Z719-100+Y719</f>
        <v>643800</v>
      </c>
      <c r="AE719" s="95">
        <v>29900</v>
      </c>
      <c r="AF719" s="95">
        <v>29500</v>
      </c>
      <c r="AG719" s="95">
        <f>IF(AF719="No Disp","No Disp",(AF719*18)+AE719)</f>
        <v>560900</v>
      </c>
      <c r="AH719" s="98">
        <f>18*AF719-100+AE719</f>
        <v>560800</v>
      </c>
      <c r="AI719" s="95" t="s">
        <v>4613</v>
      </c>
      <c r="AJ719" s="99"/>
      <c r="AK719" s="100">
        <v>0</v>
      </c>
      <c r="AL719" s="100">
        <v>22000</v>
      </c>
      <c r="AM719" s="100">
        <f>IF(AL719&lt;&gt;"No Disp",AK719+12*AL719,"No Disp")</f>
        <v>264000</v>
      </c>
      <c r="AN719" s="100">
        <v>0</v>
      </c>
      <c r="AO719" s="100">
        <v>22000</v>
      </c>
      <c r="AP719" s="100">
        <f>IF(AO719&lt;&gt;"No Disp",AN719+12*AO719,"No Disp")</f>
        <v>264000</v>
      </c>
      <c r="AQ719" s="100">
        <v>0</v>
      </c>
      <c r="AR719" s="100">
        <v>22000</v>
      </c>
      <c r="AS719" s="100">
        <f>IF(AR719&lt;&gt;"No Disp",AQ719+12*AR719,"No Disp")</f>
        <v>264000</v>
      </c>
    </row>
    <row r="720" spans="1:45" s="101" customFormat="1" x14ac:dyDescent="0.25">
      <c r="A720" s="90" t="s">
        <v>38</v>
      </c>
      <c r="B720" s="90" t="s">
        <v>40</v>
      </c>
      <c r="C720" s="90" t="s">
        <v>39</v>
      </c>
      <c r="D720" s="90" t="s">
        <v>4537</v>
      </c>
      <c r="E720" s="90" t="s">
        <v>4538</v>
      </c>
      <c r="F720" s="91">
        <v>741</v>
      </c>
      <c r="G720" s="92">
        <v>70015886</v>
      </c>
      <c r="H720" s="91" t="s">
        <v>3896</v>
      </c>
      <c r="I720" s="93" t="s">
        <v>46</v>
      </c>
      <c r="J720" s="94" t="s">
        <v>4530</v>
      </c>
      <c r="K720" s="94" t="s">
        <v>4528</v>
      </c>
      <c r="L720" s="94" t="s">
        <v>4533</v>
      </c>
      <c r="M720" s="95">
        <v>389900</v>
      </c>
      <c r="N720" s="95">
        <v>2500</v>
      </c>
      <c r="O720" s="95">
        <v>4000</v>
      </c>
      <c r="P720" s="96">
        <v>609990</v>
      </c>
      <c r="Q720" s="152"/>
      <c r="R720" s="95">
        <v>439990</v>
      </c>
      <c r="S720" s="95">
        <f>R720/24</f>
        <v>18332.916666666668</v>
      </c>
      <c r="T720" s="95">
        <v>389900</v>
      </c>
      <c r="U720" s="95">
        <f>T720/24</f>
        <v>16245.833333333334</v>
      </c>
      <c r="V720" s="95">
        <v>389900</v>
      </c>
      <c r="W720" s="95">
        <f>V720/24</f>
        <v>16245.833333333334</v>
      </c>
      <c r="X720" s="128"/>
      <c r="Y720" s="95">
        <v>49900</v>
      </c>
      <c r="Z720" s="95">
        <v>33000</v>
      </c>
      <c r="AA720" s="95">
        <f>IFERROR(IF(D720="Premium",0.4*Y720,0),"No Disp")</f>
        <v>0</v>
      </c>
      <c r="AB720" s="95">
        <f>IFERROR(IF(4*Y720&gt;AC720,1.5*Y720,4*Y720),"No Disp")</f>
        <v>199600</v>
      </c>
      <c r="AC720" s="95">
        <f>IF(Z720="No Disp","No Disp",(Z720*18)+Y720)</f>
        <v>643900</v>
      </c>
      <c r="AD720" s="95">
        <f>18*Z720-100+Y720</f>
        <v>643800</v>
      </c>
      <c r="AE720" s="95">
        <v>29900</v>
      </c>
      <c r="AF720" s="95">
        <v>29500</v>
      </c>
      <c r="AG720" s="95">
        <f>IF(AF720="No Disp","No Disp",(AF720*18)+AE720)</f>
        <v>560900</v>
      </c>
      <c r="AH720" s="98">
        <f>18*AF720-100+AE720</f>
        <v>560800</v>
      </c>
      <c r="AI720" s="95" t="s">
        <v>4613</v>
      </c>
      <c r="AJ720" s="99"/>
      <c r="AK720" s="100">
        <v>0</v>
      </c>
      <c r="AL720" s="100">
        <v>22000</v>
      </c>
      <c r="AM720" s="100">
        <f>IF(AL720&lt;&gt;"No Disp",AK720+12*AL720,"No Disp")</f>
        <v>264000</v>
      </c>
      <c r="AN720" s="100">
        <v>0</v>
      </c>
      <c r="AO720" s="100">
        <v>22000</v>
      </c>
      <c r="AP720" s="100">
        <f>IF(AO720&lt;&gt;"No Disp",AN720+12*AO720,"No Disp")</f>
        <v>264000</v>
      </c>
      <c r="AQ720" s="100">
        <v>0</v>
      </c>
      <c r="AR720" s="100">
        <v>22000</v>
      </c>
      <c r="AS720" s="100">
        <f>IF(AR720&lt;&gt;"No Disp",AQ720+12*AR720,"No Disp")</f>
        <v>264000</v>
      </c>
    </row>
    <row r="721" spans="1:45" s="101" customFormat="1" x14ac:dyDescent="0.25">
      <c r="A721" s="90" t="s">
        <v>38</v>
      </c>
      <c r="B721" s="90" t="s">
        <v>40</v>
      </c>
      <c r="C721" s="90" t="s">
        <v>39</v>
      </c>
      <c r="D721" s="90" t="s">
        <v>4537</v>
      </c>
      <c r="E721" s="90" t="s">
        <v>4538</v>
      </c>
      <c r="F721" s="91">
        <v>741</v>
      </c>
      <c r="G721" s="92">
        <v>70015941</v>
      </c>
      <c r="H721" s="91" t="s">
        <v>3896</v>
      </c>
      <c r="I721" s="93" t="s">
        <v>46</v>
      </c>
      <c r="J721" s="94" t="s">
        <v>4530</v>
      </c>
      <c r="K721" s="94" t="s">
        <v>4529</v>
      </c>
      <c r="L721" s="94" t="s">
        <v>4534</v>
      </c>
      <c r="M721" s="95">
        <v>389900</v>
      </c>
      <c r="N721" s="95">
        <v>2500</v>
      </c>
      <c r="O721" s="95">
        <v>4000</v>
      </c>
      <c r="P721" s="96">
        <v>609990</v>
      </c>
      <c r="Q721" s="152"/>
      <c r="R721" s="95">
        <v>439990</v>
      </c>
      <c r="S721" s="95">
        <f>R721/24</f>
        <v>18332.916666666668</v>
      </c>
      <c r="T721" s="95">
        <v>389900</v>
      </c>
      <c r="U721" s="95">
        <f>T721/24</f>
        <v>16245.833333333334</v>
      </c>
      <c r="V721" s="95">
        <v>389900</v>
      </c>
      <c r="W721" s="95">
        <f>V721/24</f>
        <v>16245.833333333334</v>
      </c>
      <c r="X721" s="128"/>
      <c r="Y721" s="95">
        <v>49900</v>
      </c>
      <c r="Z721" s="95">
        <v>33000</v>
      </c>
      <c r="AA721" s="95">
        <f>IFERROR(IF(D721="Premium",0.4*Y721,0),"No Disp")</f>
        <v>0</v>
      </c>
      <c r="AB721" s="95">
        <f>IFERROR(IF(4*Y721&gt;AC721,1.5*Y721,4*Y721),"No Disp")</f>
        <v>199600</v>
      </c>
      <c r="AC721" s="95">
        <f>IF(Z721="No Disp","No Disp",(Z721*18)+Y721)</f>
        <v>643900</v>
      </c>
      <c r="AD721" s="95">
        <f>18*Z721-100+Y721</f>
        <v>643800</v>
      </c>
      <c r="AE721" s="95">
        <v>29900</v>
      </c>
      <c r="AF721" s="95">
        <v>29500</v>
      </c>
      <c r="AG721" s="95">
        <f>IF(AF721="No Disp","No Disp",(AF721*18)+AE721)</f>
        <v>560900</v>
      </c>
      <c r="AH721" s="98">
        <f>18*AF721-100+AE721</f>
        <v>560800</v>
      </c>
      <c r="AI721" s="95" t="s">
        <v>4613</v>
      </c>
      <c r="AJ721" s="99"/>
      <c r="AK721" s="100">
        <v>0</v>
      </c>
      <c r="AL721" s="100">
        <v>22000</v>
      </c>
      <c r="AM721" s="100">
        <f>IF(AL721&lt;&gt;"No Disp",AK721+12*AL721,"No Disp")</f>
        <v>264000</v>
      </c>
      <c r="AN721" s="100">
        <v>0</v>
      </c>
      <c r="AO721" s="100">
        <v>22000</v>
      </c>
      <c r="AP721" s="100">
        <f>IF(AO721&lt;&gt;"No Disp",AN721+12*AO721,"No Disp")</f>
        <v>264000</v>
      </c>
      <c r="AQ721" s="100">
        <v>0</v>
      </c>
      <c r="AR721" s="100">
        <v>22000</v>
      </c>
      <c r="AS721" s="100">
        <f>IF(AR721&lt;&gt;"No Disp",AQ721+12*AR721,"No Disp")</f>
        <v>264000</v>
      </c>
    </row>
    <row r="722" spans="1:45" s="101" customFormat="1" x14ac:dyDescent="0.25">
      <c r="A722" s="90" t="s">
        <v>38</v>
      </c>
      <c r="B722" s="90" t="s">
        <v>39</v>
      </c>
      <c r="C722" s="90" t="s">
        <v>40</v>
      </c>
      <c r="D722" s="90" t="s">
        <v>4540</v>
      </c>
      <c r="E722" s="90" t="s">
        <v>4538</v>
      </c>
      <c r="F722" s="91"/>
      <c r="G722" s="92">
        <v>70015497</v>
      </c>
      <c r="H722" s="91" t="s">
        <v>3896</v>
      </c>
      <c r="I722" s="93" t="s">
        <v>63</v>
      </c>
      <c r="J722" s="94" t="s">
        <v>4464</v>
      </c>
      <c r="K722" s="94" t="s">
        <v>4592</v>
      </c>
      <c r="L722" s="94" t="s">
        <v>4598</v>
      </c>
      <c r="M722" s="95">
        <v>1739900</v>
      </c>
      <c r="N722" s="95">
        <v>4000</v>
      </c>
      <c r="O722" s="95">
        <v>6000</v>
      </c>
      <c r="P722" s="96">
        <v>1809990</v>
      </c>
      <c r="Q722" s="152"/>
      <c r="R722" s="95">
        <v>1809990</v>
      </c>
      <c r="S722" s="95">
        <f>R722/24</f>
        <v>75416.25</v>
      </c>
      <c r="T722" s="95">
        <v>1739900</v>
      </c>
      <c r="U722" s="95">
        <f>T722/24</f>
        <v>72495.833333333328</v>
      </c>
      <c r="V722" s="95">
        <v>1739900</v>
      </c>
      <c r="W722" s="95">
        <f>V722/24</f>
        <v>72495.833333333328</v>
      </c>
      <c r="X722" s="128"/>
      <c r="Y722" s="95">
        <v>899900</v>
      </c>
      <c r="Z722" s="95">
        <v>77500</v>
      </c>
      <c r="AA722" s="95">
        <f>IFERROR(IF(D722="Premium",0.4*Y722,0),"No Disp")</f>
        <v>359960</v>
      </c>
      <c r="AB722" s="95">
        <f>IFERROR(IF(4*Y722&gt;AC722,1.5*Y722,4*Y722),"No Disp")</f>
        <v>1349850</v>
      </c>
      <c r="AC722" s="95">
        <f>IF(Z722="No Disp","No Disp",(Z722*18)+Y722)</f>
        <v>2294900</v>
      </c>
      <c r="AD722" s="95">
        <f>18*Z722-100+Y722</f>
        <v>2294800</v>
      </c>
      <c r="AE722" s="95">
        <v>799900</v>
      </c>
      <c r="AF722" s="95">
        <v>77500</v>
      </c>
      <c r="AG722" s="95">
        <f>IF(AF722="No Disp","No Disp",(AF722*18)+AE722)</f>
        <v>2194900</v>
      </c>
      <c r="AH722" s="98">
        <f>18*AF722-100+AE722</f>
        <v>2194800</v>
      </c>
      <c r="AI722" s="95" t="s">
        <v>4613</v>
      </c>
      <c r="AJ722" s="99"/>
      <c r="AK722" s="100">
        <v>0</v>
      </c>
      <c r="AL722" s="100">
        <v>89000</v>
      </c>
      <c r="AM722" s="100">
        <f>IF(AL722&lt;&gt;"No Disp",AK722+12*AL722,"No Disp")</f>
        <v>1068000</v>
      </c>
      <c r="AN722" s="100">
        <v>0</v>
      </c>
      <c r="AO722" s="100">
        <v>89000</v>
      </c>
      <c r="AP722" s="100">
        <f>IF(AO722&lt;&gt;"No Disp",AN722+12*AO722,"No Disp")</f>
        <v>1068000</v>
      </c>
      <c r="AQ722" s="100">
        <v>0</v>
      </c>
      <c r="AR722" s="100">
        <v>89000</v>
      </c>
      <c r="AS722" s="100">
        <f>IF(AR722&lt;&gt;"No Disp",AQ722+12*AR722,"No Disp")</f>
        <v>1068000</v>
      </c>
    </row>
    <row r="723" spans="1:45" s="101" customFormat="1" x14ac:dyDescent="0.25">
      <c r="A723" s="90" t="s">
        <v>38</v>
      </c>
      <c r="B723" s="90" t="s">
        <v>39</v>
      </c>
      <c r="C723" s="90" t="s">
        <v>40</v>
      </c>
      <c r="D723" s="90" t="s">
        <v>4540</v>
      </c>
      <c r="E723" s="90" t="s">
        <v>4538</v>
      </c>
      <c r="F723" s="91"/>
      <c r="G723" s="92">
        <v>70015493</v>
      </c>
      <c r="H723" s="91" t="s">
        <v>3896</v>
      </c>
      <c r="I723" s="93" t="s">
        <v>63</v>
      </c>
      <c r="J723" s="94" t="s">
        <v>4464</v>
      </c>
      <c r="K723" s="94" t="s">
        <v>4593</v>
      </c>
      <c r="L723" s="94" t="s">
        <v>4599</v>
      </c>
      <c r="M723" s="95">
        <v>1739900</v>
      </c>
      <c r="N723" s="95">
        <v>4000</v>
      </c>
      <c r="O723" s="95">
        <v>6000</v>
      </c>
      <c r="P723" s="96">
        <v>1809990</v>
      </c>
      <c r="Q723" s="152"/>
      <c r="R723" s="95">
        <v>1809990</v>
      </c>
      <c r="S723" s="95">
        <f>R723/24</f>
        <v>75416.25</v>
      </c>
      <c r="T723" s="95">
        <v>1739900</v>
      </c>
      <c r="U723" s="95">
        <f>T723/24</f>
        <v>72495.833333333328</v>
      </c>
      <c r="V723" s="95">
        <v>1739900</v>
      </c>
      <c r="W723" s="95">
        <f>V723/24</f>
        <v>72495.833333333328</v>
      </c>
      <c r="X723" s="128"/>
      <c r="Y723" s="95">
        <v>899900</v>
      </c>
      <c r="Z723" s="95">
        <v>77500</v>
      </c>
      <c r="AA723" s="95">
        <f>IFERROR(IF(D723="Premium",0.4*Y723,0),"No Disp")</f>
        <v>359960</v>
      </c>
      <c r="AB723" s="95">
        <f>IFERROR(IF(4*Y723&gt;AC723,1.5*Y723,4*Y723),"No Disp")</f>
        <v>1349850</v>
      </c>
      <c r="AC723" s="95">
        <f>IF(Z723="No Disp","No Disp",(Z723*18)+Y723)</f>
        <v>2294900</v>
      </c>
      <c r="AD723" s="95">
        <f>18*Z723-100+Y723</f>
        <v>2294800</v>
      </c>
      <c r="AE723" s="95">
        <v>799900</v>
      </c>
      <c r="AF723" s="95">
        <v>77500</v>
      </c>
      <c r="AG723" s="95">
        <f>IF(AF723="No Disp","No Disp",(AF723*18)+AE723)</f>
        <v>2194900</v>
      </c>
      <c r="AH723" s="98">
        <f>18*AF723-100+AE723</f>
        <v>2194800</v>
      </c>
      <c r="AI723" s="95" t="s">
        <v>4613</v>
      </c>
      <c r="AJ723" s="99"/>
      <c r="AK723" s="100">
        <v>0</v>
      </c>
      <c r="AL723" s="100">
        <v>89000</v>
      </c>
      <c r="AM723" s="100">
        <f>IF(AL723&lt;&gt;"No Disp",AK723+12*AL723,"No Disp")</f>
        <v>1068000</v>
      </c>
      <c r="AN723" s="100">
        <v>0</v>
      </c>
      <c r="AO723" s="100">
        <v>89000</v>
      </c>
      <c r="AP723" s="100">
        <f>IF(AO723&lt;&gt;"No Disp",AN723+12*AO723,"No Disp")</f>
        <v>1068000</v>
      </c>
      <c r="AQ723" s="100">
        <v>0</v>
      </c>
      <c r="AR723" s="100">
        <v>89000</v>
      </c>
      <c r="AS723" s="100">
        <f>IF(AR723&lt;&gt;"No Disp",AQ723+12*AR723,"No Disp")</f>
        <v>1068000</v>
      </c>
    </row>
    <row r="724" spans="1:45" s="101" customFormat="1" x14ac:dyDescent="0.25">
      <c r="A724" s="90" t="s">
        <v>38</v>
      </c>
      <c r="B724" s="90" t="s">
        <v>39</v>
      </c>
      <c r="C724" s="90" t="s">
        <v>40</v>
      </c>
      <c r="D724" s="90" t="s">
        <v>4540</v>
      </c>
      <c r="E724" s="90" t="s">
        <v>4538</v>
      </c>
      <c r="F724" s="91"/>
      <c r="G724" s="92">
        <v>70015489</v>
      </c>
      <c r="H724" s="91" t="s">
        <v>3896</v>
      </c>
      <c r="I724" s="93" t="s">
        <v>63</v>
      </c>
      <c r="J724" s="94" t="s">
        <v>4464</v>
      </c>
      <c r="K724" s="94" t="s">
        <v>4594</v>
      </c>
      <c r="L724" s="94" t="s">
        <v>4600</v>
      </c>
      <c r="M724" s="95">
        <v>1739900</v>
      </c>
      <c r="N724" s="95">
        <v>4000</v>
      </c>
      <c r="O724" s="95">
        <v>6000</v>
      </c>
      <c r="P724" s="96">
        <v>1809990</v>
      </c>
      <c r="Q724" s="152"/>
      <c r="R724" s="95">
        <v>1809990</v>
      </c>
      <c r="S724" s="95">
        <f>R724/24</f>
        <v>75416.25</v>
      </c>
      <c r="T724" s="95">
        <v>1739900</v>
      </c>
      <c r="U724" s="95">
        <f>T724/24</f>
        <v>72495.833333333328</v>
      </c>
      <c r="V724" s="95">
        <v>1739900</v>
      </c>
      <c r="W724" s="95">
        <f>V724/24</f>
        <v>72495.833333333328</v>
      </c>
      <c r="X724" s="128"/>
      <c r="Y724" s="95">
        <v>899900</v>
      </c>
      <c r="Z724" s="95">
        <v>77500</v>
      </c>
      <c r="AA724" s="95">
        <f>IFERROR(IF(D724="Premium",0.4*Y724,0),"No Disp")</f>
        <v>359960</v>
      </c>
      <c r="AB724" s="95">
        <f>IFERROR(IF(4*Y724&gt;AC724,1.5*Y724,4*Y724),"No Disp")</f>
        <v>1349850</v>
      </c>
      <c r="AC724" s="95">
        <f>IF(Z724="No Disp","No Disp",(Z724*18)+Y724)</f>
        <v>2294900</v>
      </c>
      <c r="AD724" s="95">
        <f>18*Z724-100+Y724</f>
        <v>2294800</v>
      </c>
      <c r="AE724" s="95">
        <v>799900</v>
      </c>
      <c r="AF724" s="95">
        <v>77500</v>
      </c>
      <c r="AG724" s="95">
        <f>IF(AF724="No Disp","No Disp",(AF724*18)+AE724)</f>
        <v>2194900</v>
      </c>
      <c r="AH724" s="98">
        <f>18*AF724-100+AE724</f>
        <v>2194800</v>
      </c>
      <c r="AI724" s="95" t="s">
        <v>4613</v>
      </c>
      <c r="AJ724" s="99"/>
      <c r="AK724" s="100">
        <v>0</v>
      </c>
      <c r="AL724" s="100">
        <v>89000</v>
      </c>
      <c r="AM724" s="100">
        <f>IF(AL724&lt;&gt;"No Disp",AK724+12*AL724,"No Disp")</f>
        <v>1068000</v>
      </c>
      <c r="AN724" s="100">
        <v>0</v>
      </c>
      <c r="AO724" s="100">
        <v>89000</v>
      </c>
      <c r="AP724" s="100">
        <f>IF(AO724&lt;&gt;"No Disp",AN724+12*AO724,"No Disp")</f>
        <v>1068000</v>
      </c>
      <c r="AQ724" s="100">
        <v>0</v>
      </c>
      <c r="AR724" s="100">
        <v>89000</v>
      </c>
      <c r="AS724" s="100">
        <f>IF(AR724&lt;&gt;"No Disp",AQ724+12*AR724,"No Disp")</f>
        <v>1068000</v>
      </c>
    </row>
    <row r="725" spans="1:45" s="101" customFormat="1" x14ac:dyDescent="0.25">
      <c r="A725" s="90" t="s">
        <v>38</v>
      </c>
      <c r="B725" s="90" t="s">
        <v>40</v>
      </c>
      <c r="C725" s="90" t="s">
        <v>39</v>
      </c>
      <c r="D725" s="90" t="s">
        <v>4540</v>
      </c>
      <c r="E725" s="90" t="s">
        <v>4538</v>
      </c>
      <c r="F725" s="91">
        <v>709</v>
      </c>
      <c r="G725" s="92">
        <v>70015311</v>
      </c>
      <c r="H725" s="91" t="s">
        <v>3896</v>
      </c>
      <c r="I725" s="93" t="s">
        <v>46</v>
      </c>
      <c r="J725" s="94" t="s">
        <v>4222</v>
      </c>
      <c r="K725" s="94" t="s">
        <v>4201</v>
      </c>
      <c r="L725" s="94" t="s">
        <v>4232</v>
      </c>
      <c r="M725" s="95">
        <v>527760</v>
      </c>
      <c r="N725" s="95">
        <v>6000</v>
      </c>
      <c r="O725" s="95">
        <v>8500</v>
      </c>
      <c r="P725" s="96">
        <v>719990</v>
      </c>
      <c r="Q725" s="152"/>
      <c r="R725" s="95">
        <v>587990</v>
      </c>
      <c r="S725" s="95">
        <f>R725/24</f>
        <v>24499.583333333332</v>
      </c>
      <c r="T725" s="95">
        <v>527760</v>
      </c>
      <c r="U725" s="95">
        <f>T725/24</f>
        <v>21990</v>
      </c>
      <c r="V725" s="95">
        <v>527760</v>
      </c>
      <c r="W725" s="95">
        <f>V725/24</f>
        <v>21990</v>
      </c>
      <c r="X725" s="128"/>
      <c r="Y725" s="95">
        <v>69900</v>
      </c>
      <c r="Z725" s="95">
        <v>52000</v>
      </c>
      <c r="AA725" s="95">
        <f>IFERROR(IF(D725="Premium",0.4*Y725,0),"No Disp")</f>
        <v>27960</v>
      </c>
      <c r="AB725" s="95">
        <f>IFERROR(IF(4*Y725&gt;AC725,1.5*Y725,4*Y725),"No Disp")</f>
        <v>279600</v>
      </c>
      <c r="AC725" s="95">
        <f>IF(Z725="No Disp","No Disp",(Z725*18)+Y725)</f>
        <v>1005900</v>
      </c>
      <c r="AD725" s="95">
        <f>18*Z725-100+Y725</f>
        <v>1005800</v>
      </c>
      <c r="AE725" s="95">
        <v>39900</v>
      </c>
      <c r="AF725" s="95">
        <v>43000</v>
      </c>
      <c r="AG725" s="95">
        <f>IF(AF725="No Disp","No Disp",(AF725*18)+AE725)</f>
        <v>813900</v>
      </c>
      <c r="AH725" s="98">
        <f>18*AF725-100+AE725</f>
        <v>813800</v>
      </c>
      <c r="AI725" s="95" t="s">
        <v>4613</v>
      </c>
      <c r="AJ725" s="99"/>
      <c r="AK725" s="100">
        <v>0</v>
      </c>
      <c r="AL725" s="100">
        <v>31000</v>
      </c>
      <c r="AM725" s="100">
        <f>IF(AL725&lt;&gt;"No Disp",AK725+12*AL725,"No Disp")</f>
        <v>372000</v>
      </c>
      <c r="AN725" s="100">
        <v>0</v>
      </c>
      <c r="AO725" s="100">
        <v>31000</v>
      </c>
      <c r="AP725" s="100">
        <f>IF(AO725&lt;&gt;"No Disp",AN725+12*AO725,"No Disp")</f>
        <v>372000</v>
      </c>
      <c r="AQ725" s="100">
        <v>0</v>
      </c>
      <c r="AR725" s="100">
        <v>31000</v>
      </c>
      <c r="AS725" s="100">
        <f>IF(AR725&lt;&gt;"No Disp",AQ725+12*AR725,"No Disp")</f>
        <v>372000</v>
      </c>
    </row>
    <row r="726" spans="1:45" s="101" customFormat="1" x14ac:dyDescent="0.25">
      <c r="A726" s="90" t="s">
        <v>38</v>
      </c>
      <c r="B726" s="90" t="s">
        <v>40</v>
      </c>
      <c r="C726" s="90" t="s">
        <v>39</v>
      </c>
      <c r="D726" s="90" t="s">
        <v>4540</v>
      </c>
      <c r="E726" s="90" t="s">
        <v>4538</v>
      </c>
      <c r="F726" s="91">
        <v>708</v>
      </c>
      <c r="G726" s="92">
        <v>70015315</v>
      </c>
      <c r="H726" s="91" t="s">
        <v>3896</v>
      </c>
      <c r="I726" s="93" t="s">
        <v>46</v>
      </c>
      <c r="J726" s="94" t="s">
        <v>4222</v>
      </c>
      <c r="K726" s="94" t="s">
        <v>4203</v>
      </c>
      <c r="L726" s="94" t="s">
        <v>4234</v>
      </c>
      <c r="M726" s="95">
        <v>527760</v>
      </c>
      <c r="N726" s="95">
        <v>6000</v>
      </c>
      <c r="O726" s="95">
        <v>8500</v>
      </c>
      <c r="P726" s="96">
        <v>719990</v>
      </c>
      <c r="Q726" s="152"/>
      <c r="R726" s="95">
        <v>587990</v>
      </c>
      <c r="S726" s="95">
        <f>R726/24</f>
        <v>24499.583333333332</v>
      </c>
      <c r="T726" s="95">
        <v>527760</v>
      </c>
      <c r="U726" s="95">
        <f>T726/24</f>
        <v>21990</v>
      </c>
      <c r="V726" s="95">
        <v>527760</v>
      </c>
      <c r="W726" s="95">
        <f>V726/24</f>
        <v>21990</v>
      </c>
      <c r="X726" s="128"/>
      <c r="Y726" s="95">
        <v>69900</v>
      </c>
      <c r="Z726" s="95">
        <v>52000</v>
      </c>
      <c r="AA726" s="95">
        <f>IFERROR(IF(D726="Premium",0.4*Y726,0),"No Disp")</f>
        <v>27960</v>
      </c>
      <c r="AB726" s="95">
        <f>IFERROR(IF(4*Y726&gt;AC726,1.5*Y726,4*Y726),"No Disp")</f>
        <v>279600</v>
      </c>
      <c r="AC726" s="95">
        <f>IF(Z726="No Disp","No Disp",(Z726*18)+Y726)</f>
        <v>1005900</v>
      </c>
      <c r="AD726" s="95">
        <f>18*Z726-100+Y726</f>
        <v>1005800</v>
      </c>
      <c r="AE726" s="95">
        <v>39900</v>
      </c>
      <c r="AF726" s="95">
        <v>43000</v>
      </c>
      <c r="AG726" s="95">
        <f>IF(AF726="No Disp","No Disp",(AF726*18)+AE726)</f>
        <v>813900</v>
      </c>
      <c r="AH726" s="98">
        <f>18*AF726-100+AE726</f>
        <v>813800</v>
      </c>
      <c r="AI726" s="95" t="s">
        <v>4613</v>
      </c>
      <c r="AJ726" s="99"/>
      <c r="AK726" s="100">
        <v>0</v>
      </c>
      <c r="AL726" s="100">
        <v>31000</v>
      </c>
      <c r="AM726" s="100">
        <f>IF(AL726&lt;&gt;"No Disp",AK726+12*AL726,"No Disp")</f>
        <v>372000</v>
      </c>
      <c r="AN726" s="100">
        <v>0</v>
      </c>
      <c r="AO726" s="100">
        <v>31000</v>
      </c>
      <c r="AP726" s="100">
        <f>IF(AO726&lt;&gt;"No Disp",AN726+12*AO726,"No Disp")</f>
        <v>372000</v>
      </c>
      <c r="AQ726" s="100">
        <v>0</v>
      </c>
      <c r="AR726" s="100">
        <v>31000</v>
      </c>
      <c r="AS726" s="100">
        <f>IF(AR726&lt;&gt;"No Disp",AQ726+12*AR726,"No Disp")</f>
        <v>372000</v>
      </c>
    </row>
    <row r="727" spans="1:45" s="101" customFormat="1" x14ac:dyDescent="0.25">
      <c r="A727" s="90" t="s">
        <v>38</v>
      </c>
      <c r="B727" s="90" t="s">
        <v>40</v>
      </c>
      <c r="C727" s="90" t="s">
        <v>39</v>
      </c>
      <c r="D727" s="90" t="s">
        <v>4540</v>
      </c>
      <c r="E727" s="90" t="s">
        <v>4538</v>
      </c>
      <c r="F727" s="91">
        <v>707</v>
      </c>
      <c r="G727" s="92">
        <v>70015245</v>
      </c>
      <c r="H727" s="91" t="s">
        <v>3896</v>
      </c>
      <c r="I727" s="93" t="s">
        <v>46</v>
      </c>
      <c r="J727" s="94" t="s">
        <v>4222</v>
      </c>
      <c r="K727" s="94" t="s">
        <v>4205</v>
      </c>
      <c r="L727" s="94" t="s">
        <v>4236</v>
      </c>
      <c r="M727" s="95">
        <v>527760</v>
      </c>
      <c r="N727" s="95">
        <v>6000</v>
      </c>
      <c r="O727" s="95">
        <v>8500</v>
      </c>
      <c r="P727" s="96">
        <v>719990</v>
      </c>
      <c r="Q727" s="152"/>
      <c r="R727" s="95">
        <v>587990</v>
      </c>
      <c r="S727" s="95">
        <f>R727/24</f>
        <v>24499.583333333332</v>
      </c>
      <c r="T727" s="95">
        <v>527760</v>
      </c>
      <c r="U727" s="95">
        <f>T727/24</f>
        <v>21990</v>
      </c>
      <c r="V727" s="95">
        <v>527760</v>
      </c>
      <c r="W727" s="95">
        <f>V727/24</f>
        <v>21990</v>
      </c>
      <c r="X727" s="128"/>
      <c r="Y727" s="95">
        <v>69900</v>
      </c>
      <c r="Z727" s="95">
        <v>52000</v>
      </c>
      <c r="AA727" s="95">
        <f>IFERROR(IF(D727="Premium",0.4*Y727,0),"No Disp")</f>
        <v>27960</v>
      </c>
      <c r="AB727" s="95">
        <f>IFERROR(IF(4*Y727&gt;AC727,1.5*Y727,4*Y727),"No Disp")</f>
        <v>279600</v>
      </c>
      <c r="AC727" s="95">
        <f>IF(Z727="No Disp","No Disp",(Z727*18)+Y727)</f>
        <v>1005900</v>
      </c>
      <c r="AD727" s="95">
        <f>18*Z727-100+Y727</f>
        <v>1005800</v>
      </c>
      <c r="AE727" s="95">
        <v>39900</v>
      </c>
      <c r="AF727" s="95">
        <v>43000</v>
      </c>
      <c r="AG727" s="95">
        <f>IF(AF727="No Disp","No Disp",(AF727*18)+AE727)</f>
        <v>813900</v>
      </c>
      <c r="AH727" s="98">
        <f>18*AF727-100+AE727</f>
        <v>813800</v>
      </c>
      <c r="AI727" s="95" t="s">
        <v>4613</v>
      </c>
      <c r="AJ727" s="99"/>
      <c r="AK727" s="100">
        <v>0</v>
      </c>
      <c r="AL727" s="100">
        <v>31000</v>
      </c>
      <c r="AM727" s="100">
        <f>IF(AL727&lt;&gt;"No Disp",AK727+12*AL727,"No Disp")</f>
        <v>372000</v>
      </c>
      <c r="AN727" s="100">
        <v>0</v>
      </c>
      <c r="AO727" s="100">
        <v>31000</v>
      </c>
      <c r="AP727" s="100">
        <f>IF(AO727&lt;&gt;"No Disp",AN727+12*AO727,"No Disp")</f>
        <v>372000</v>
      </c>
      <c r="AQ727" s="100">
        <v>0</v>
      </c>
      <c r="AR727" s="100">
        <v>31000</v>
      </c>
      <c r="AS727" s="100">
        <f>IF(AR727&lt;&gt;"No Disp",AQ727+12*AR727,"No Disp")</f>
        <v>372000</v>
      </c>
    </row>
    <row r="728" spans="1:45" s="101" customFormat="1" x14ac:dyDescent="0.25">
      <c r="A728" s="90" t="s">
        <v>38</v>
      </c>
      <c r="B728" s="90" t="s">
        <v>40</v>
      </c>
      <c r="C728" s="90" t="s">
        <v>39</v>
      </c>
      <c r="D728" s="90" t="s">
        <v>4540</v>
      </c>
      <c r="E728" s="90" t="s">
        <v>4538</v>
      </c>
      <c r="F728" s="91">
        <v>706</v>
      </c>
      <c r="G728" s="92">
        <v>70015319</v>
      </c>
      <c r="H728" s="91" t="s">
        <v>3896</v>
      </c>
      <c r="I728" s="93" t="s">
        <v>46</v>
      </c>
      <c r="J728" s="94" t="s">
        <v>4222</v>
      </c>
      <c r="K728" s="94" t="s">
        <v>4207</v>
      </c>
      <c r="L728" s="94" t="s">
        <v>4238</v>
      </c>
      <c r="M728" s="95">
        <v>527760</v>
      </c>
      <c r="N728" s="95">
        <v>6000</v>
      </c>
      <c r="O728" s="95">
        <v>8500</v>
      </c>
      <c r="P728" s="96">
        <v>719990</v>
      </c>
      <c r="Q728" s="152"/>
      <c r="R728" s="95">
        <v>587990</v>
      </c>
      <c r="S728" s="95">
        <f>R728/24</f>
        <v>24499.583333333332</v>
      </c>
      <c r="T728" s="95">
        <v>527760</v>
      </c>
      <c r="U728" s="95">
        <f>T728/24</f>
        <v>21990</v>
      </c>
      <c r="V728" s="95">
        <v>527760</v>
      </c>
      <c r="W728" s="95">
        <f>V728/24</f>
        <v>21990</v>
      </c>
      <c r="X728" s="128"/>
      <c r="Y728" s="95">
        <v>69900</v>
      </c>
      <c r="Z728" s="95">
        <v>52000</v>
      </c>
      <c r="AA728" s="95">
        <f>IFERROR(IF(D728="Premium",0.4*Y728,0),"No Disp")</f>
        <v>27960</v>
      </c>
      <c r="AB728" s="95">
        <f>IFERROR(IF(4*Y728&gt;AC728,1.5*Y728,4*Y728),"No Disp")</f>
        <v>279600</v>
      </c>
      <c r="AC728" s="95">
        <f>IF(Z728="No Disp","No Disp",(Z728*18)+Y728)</f>
        <v>1005900</v>
      </c>
      <c r="AD728" s="95">
        <f>18*Z728-100+Y728</f>
        <v>1005800</v>
      </c>
      <c r="AE728" s="95">
        <v>39900</v>
      </c>
      <c r="AF728" s="95">
        <v>43000</v>
      </c>
      <c r="AG728" s="95">
        <f>IF(AF728="No Disp","No Disp",(AF728*18)+AE728)</f>
        <v>813900</v>
      </c>
      <c r="AH728" s="98">
        <f>18*AF728-100+AE728</f>
        <v>813800</v>
      </c>
      <c r="AI728" s="95" t="s">
        <v>4613</v>
      </c>
      <c r="AJ728" s="99"/>
      <c r="AK728" s="100">
        <v>0</v>
      </c>
      <c r="AL728" s="100">
        <v>31000</v>
      </c>
      <c r="AM728" s="100">
        <f>IF(AL728&lt;&gt;"No Disp",AK728+12*AL728,"No Disp")</f>
        <v>372000</v>
      </c>
      <c r="AN728" s="100">
        <v>0</v>
      </c>
      <c r="AO728" s="100">
        <v>31000</v>
      </c>
      <c r="AP728" s="100">
        <f>IF(AO728&lt;&gt;"No Disp",AN728+12*AO728,"No Disp")</f>
        <v>372000</v>
      </c>
      <c r="AQ728" s="100">
        <v>0</v>
      </c>
      <c r="AR728" s="100">
        <v>31000</v>
      </c>
      <c r="AS728" s="100">
        <f>IF(AR728&lt;&gt;"No Disp",AQ728+12*AR728,"No Disp")</f>
        <v>372000</v>
      </c>
    </row>
    <row r="729" spans="1:45" s="101" customFormat="1" x14ac:dyDescent="0.25">
      <c r="A729" s="90" t="s">
        <v>38</v>
      </c>
      <c r="B729" s="90" t="s">
        <v>40</v>
      </c>
      <c r="C729" s="90" t="s">
        <v>39</v>
      </c>
      <c r="D729" s="90" t="s">
        <v>4540</v>
      </c>
      <c r="E729" s="90" t="s">
        <v>4538</v>
      </c>
      <c r="F729" s="91">
        <v>705</v>
      </c>
      <c r="G729" s="92">
        <v>70015329</v>
      </c>
      <c r="H729" s="91" t="s">
        <v>3896</v>
      </c>
      <c r="I729" s="93" t="s">
        <v>46</v>
      </c>
      <c r="J729" s="94" t="s">
        <v>4222</v>
      </c>
      <c r="K729" s="94" t="s">
        <v>4209</v>
      </c>
      <c r="L729" s="94" t="s">
        <v>4240</v>
      </c>
      <c r="M729" s="95">
        <v>527760</v>
      </c>
      <c r="N729" s="95">
        <v>6000</v>
      </c>
      <c r="O729" s="95">
        <v>8500</v>
      </c>
      <c r="P729" s="96">
        <v>719990</v>
      </c>
      <c r="Q729" s="152"/>
      <c r="R729" s="95">
        <v>587990</v>
      </c>
      <c r="S729" s="95">
        <f>R729/24</f>
        <v>24499.583333333332</v>
      </c>
      <c r="T729" s="95">
        <v>527760</v>
      </c>
      <c r="U729" s="95">
        <f>T729/24</f>
        <v>21990</v>
      </c>
      <c r="V729" s="95">
        <v>527760</v>
      </c>
      <c r="W729" s="95">
        <f>V729/24</f>
        <v>21990</v>
      </c>
      <c r="X729" s="128"/>
      <c r="Y729" s="95">
        <v>69900</v>
      </c>
      <c r="Z729" s="95">
        <v>52000</v>
      </c>
      <c r="AA729" s="95">
        <f>IFERROR(IF(D729="Premium",0.4*Y729,0),"No Disp")</f>
        <v>27960</v>
      </c>
      <c r="AB729" s="95">
        <f>IFERROR(IF(4*Y729&gt;AC729,1.5*Y729,4*Y729),"No Disp")</f>
        <v>279600</v>
      </c>
      <c r="AC729" s="95">
        <f>IF(Z729="No Disp","No Disp",(Z729*18)+Y729)</f>
        <v>1005900</v>
      </c>
      <c r="AD729" s="95">
        <f>18*Z729-100+Y729</f>
        <v>1005800</v>
      </c>
      <c r="AE729" s="95">
        <v>39900</v>
      </c>
      <c r="AF729" s="95">
        <v>43000</v>
      </c>
      <c r="AG729" s="95">
        <f>IF(AF729="No Disp","No Disp",(AF729*18)+AE729)</f>
        <v>813900</v>
      </c>
      <c r="AH729" s="98">
        <f>18*AF729-100+AE729</f>
        <v>813800</v>
      </c>
      <c r="AI729" s="95" t="s">
        <v>4613</v>
      </c>
      <c r="AJ729" s="99"/>
      <c r="AK729" s="100">
        <v>0</v>
      </c>
      <c r="AL729" s="100">
        <v>31000</v>
      </c>
      <c r="AM729" s="100">
        <f>IF(AL729&lt;&gt;"No Disp",AK729+12*AL729,"No Disp")</f>
        <v>372000</v>
      </c>
      <c r="AN729" s="100">
        <v>0</v>
      </c>
      <c r="AO729" s="100">
        <v>31000</v>
      </c>
      <c r="AP729" s="100">
        <f>IF(AO729&lt;&gt;"No Disp",AN729+12*AO729,"No Disp")</f>
        <v>372000</v>
      </c>
      <c r="AQ729" s="100">
        <v>0</v>
      </c>
      <c r="AR729" s="100">
        <v>31000</v>
      </c>
      <c r="AS729" s="100">
        <f>IF(AR729&lt;&gt;"No Disp",AQ729+12*AR729,"No Disp")</f>
        <v>372000</v>
      </c>
    </row>
    <row r="730" spans="1:45" s="101" customFormat="1" x14ac:dyDescent="0.25">
      <c r="A730" s="90" t="s">
        <v>38</v>
      </c>
      <c r="B730" s="90" t="s">
        <v>39</v>
      </c>
      <c r="C730" s="90" t="s">
        <v>40</v>
      </c>
      <c r="D730" s="90" t="s">
        <v>4539</v>
      </c>
      <c r="E730" s="90" t="s">
        <v>4542</v>
      </c>
      <c r="F730" s="91">
        <v>462</v>
      </c>
      <c r="G730" s="92">
        <v>70012619</v>
      </c>
      <c r="H730" s="91" t="s">
        <v>3896</v>
      </c>
      <c r="I730" s="93" t="s">
        <v>46</v>
      </c>
      <c r="J730" s="94" t="s">
        <v>299</v>
      </c>
      <c r="K730" s="94" t="s">
        <v>300</v>
      </c>
      <c r="L730" s="94" t="s">
        <v>301</v>
      </c>
      <c r="M730" s="95">
        <v>319900</v>
      </c>
      <c r="N730" s="95">
        <v>4000</v>
      </c>
      <c r="O730" s="95">
        <v>6000</v>
      </c>
      <c r="P730" s="96">
        <v>419990</v>
      </c>
      <c r="Q730" s="152"/>
      <c r="R730" s="95">
        <v>359990</v>
      </c>
      <c r="S730" s="95">
        <f>R730/24</f>
        <v>14999.583333333334</v>
      </c>
      <c r="T730" s="95">
        <v>319900</v>
      </c>
      <c r="U730" s="95">
        <f>T730/24</f>
        <v>13329.166666666666</v>
      </c>
      <c r="V730" s="95">
        <v>319900</v>
      </c>
      <c r="W730" s="95">
        <f>V730/24</f>
        <v>13329.166666666666</v>
      </c>
      <c r="X730" s="128"/>
      <c r="Y730" s="95">
        <v>0</v>
      </c>
      <c r="Z730" s="95">
        <v>32000</v>
      </c>
      <c r="AA730" s="95">
        <f>IFERROR(IF(D730="Premium",0.4*Y730,0),"No Disp")</f>
        <v>0</v>
      </c>
      <c r="AB730" s="95">
        <f>IFERROR(IF(4*Y730&gt;AC730,1.5*Y730,4*Y730),"No Disp")</f>
        <v>0</v>
      </c>
      <c r="AC730" s="95">
        <f>IF(Z730="No Disp","No Disp",(Z730*18)+Y730)</f>
        <v>576000</v>
      </c>
      <c r="AD730" s="95">
        <f>18*Z730-100+Y730</f>
        <v>575900</v>
      </c>
      <c r="AE730" s="95">
        <v>39900</v>
      </c>
      <c r="AF730" s="95">
        <v>25000</v>
      </c>
      <c r="AG730" s="95">
        <f>IF(AF730="No Disp","No Disp",(AF730*18)+AE730)</f>
        <v>489900</v>
      </c>
      <c r="AH730" s="98">
        <f>18*AF730-100+AE730</f>
        <v>489800</v>
      </c>
      <c r="AI730" s="95" t="s">
        <v>4613</v>
      </c>
      <c r="AJ730" s="99"/>
      <c r="AK730" s="100" t="s">
        <v>43</v>
      </c>
      <c r="AL730" s="100" t="s">
        <v>43</v>
      </c>
      <c r="AM730" s="100" t="str">
        <f>IF(AL730&lt;&gt;"No Disp",AK730+12*AL730,"No Disp")</f>
        <v>No Disp</v>
      </c>
      <c r="AN730" s="100" t="s">
        <v>43</v>
      </c>
      <c r="AO730" s="100" t="s">
        <v>43</v>
      </c>
      <c r="AP730" s="100" t="str">
        <f>IF(AO730&lt;&gt;"No Disp",AN730+12*AO730,"No Disp")</f>
        <v>No Disp</v>
      </c>
      <c r="AQ730" s="100" t="s">
        <v>43</v>
      </c>
      <c r="AR730" s="100" t="s">
        <v>43</v>
      </c>
      <c r="AS730" s="100" t="str">
        <f>IF(AR730&lt;&gt;"No Disp",AQ730+12*AR730,"No Disp")</f>
        <v>No Disp</v>
      </c>
    </row>
    <row r="731" spans="1:45" s="101" customFormat="1" x14ac:dyDescent="0.25">
      <c r="A731" s="90" t="s">
        <v>38</v>
      </c>
      <c r="B731" s="90" t="s">
        <v>39</v>
      </c>
      <c r="C731" s="90" t="s">
        <v>40</v>
      </c>
      <c r="D731" s="90" t="s">
        <v>4537</v>
      </c>
      <c r="E731" s="90" t="s">
        <v>4538</v>
      </c>
      <c r="F731" s="91"/>
      <c r="G731" s="92">
        <v>70015980</v>
      </c>
      <c r="H731" s="91" t="s">
        <v>3896</v>
      </c>
      <c r="I731" s="93" t="s">
        <v>87</v>
      </c>
      <c r="J731" s="94" t="s">
        <v>4548</v>
      </c>
      <c r="K731" s="94" t="s">
        <v>4561</v>
      </c>
      <c r="L731" s="94" t="s">
        <v>4580</v>
      </c>
      <c r="M731" s="95">
        <v>268560</v>
      </c>
      <c r="N731" s="95">
        <v>4000</v>
      </c>
      <c r="O731" s="95">
        <v>6000</v>
      </c>
      <c r="P731" s="96">
        <v>399990</v>
      </c>
      <c r="Q731" s="152"/>
      <c r="R731" s="95">
        <v>298990</v>
      </c>
      <c r="S731" s="95">
        <f>R731/24</f>
        <v>12457.916666666666</v>
      </c>
      <c r="T731" s="95">
        <v>268560</v>
      </c>
      <c r="U731" s="95">
        <f>T731/24</f>
        <v>11190</v>
      </c>
      <c r="V731" s="95">
        <v>268560</v>
      </c>
      <c r="W731" s="95">
        <f>V731/24</f>
        <v>11190</v>
      </c>
      <c r="X731" s="128"/>
      <c r="Y731" s="95">
        <v>19900</v>
      </c>
      <c r="Z731" s="95">
        <v>31000</v>
      </c>
      <c r="AA731" s="95">
        <f>IFERROR(IF(D731="Premium",0.4*Y731,0),"No Disp")</f>
        <v>0</v>
      </c>
      <c r="AB731" s="95">
        <f>IFERROR(IF(4*Y731&gt;AC731,1.5*Y731,4*Y731),"No Disp")</f>
        <v>79600</v>
      </c>
      <c r="AC731" s="95">
        <f>IF(Z731="No Disp","No Disp",(Z731*18)+Y731)</f>
        <v>577900</v>
      </c>
      <c r="AD731" s="95">
        <f>18*Z731-100+Y731</f>
        <v>577800</v>
      </c>
      <c r="AE731" s="95">
        <v>0</v>
      </c>
      <c r="AF731" s="95">
        <v>25000</v>
      </c>
      <c r="AG731" s="95">
        <f>IF(AF731="No Disp","No Disp",(AF731*18)+AE731)</f>
        <v>450000</v>
      </c>
      <c r="AH731" s="98">
        <f>18*AF731-100+AE731</f>
        <v>449900</v>
      </c>
      <c r="AI731" s="95" t="s">
        <v>4613</v>
      </c>
      <c r="AJ731" s="99"/>
      <c r="AK731" s="100" t="s">
        <v>43</v>
      </c>
      <c r="AL731" s="100" t="s">
        <v>43</v>
      </c>
      <c r="AM731" s="100" t="str">
        <f>IF(AL731&lt;&gt;"No Disp",AK731+12*AL731,"No Disp")</f>
        <v>No Disp</v>
      </c>
      <c r="AN731" s="100" t="s">
        <v>43</v>
      </c>
      <c r="AO731" s="100" t="s">
        <v>43</v>
      </c>
      <c r="AP731" s="100" t="str">
        <f>IF(AO731&lt;&gt;"No Disp",AN731+12*AO731,"No Disp")</f>
        <v>No Disp</v>
      </c>
      <c r="AQ731" s="100" t="s">
        <v>43</v>
      </c>
      <c r="AR731" s="100" t="s">
        <v>43</v>
      </c>
      <c r="AS731" s="100" t="str">
        <f>IF(AR731&lt;&gt;"No Disp",AQ731+12*AR731,"No Disp")</f>
        <v>No Disp</v>
      </c>
    </row>
    <row r="732" spans="1:45" s="101" customFormat="1" x14ac:dyDescent="0.25">
      <c r="A732" s="90" t="s">
        <v>38</v>
      </c>
      <c r="B732" s="90" t="s">
        <v>39</v>
      </c>
      <c r="C732" s="90" t="s">
        <v>40</v>
      </c>
      <c r="D732" s="90" t="s">
        <v>4537</v>
      </c>
      <c r="E732" s="90" t="s">
        <v>4538</v>
      </c>
      <c r="F732" s="91"/>
      <c r="G732" s="92">
        <v>70015984</v>
      </c>
      <c r="H732" s="91" t="s">
        <v>3896</v>
      </c>
      <c r="I732" s="93" t="s">
        <v>87</v>
      </c>
      <c r="J732" s="94" t="s">
        <v>4548</v>
      </c>
      <c r="K732" s="94" t="s">
        <v>4562</v>
      </c>
      <c r="L732" s="94" t="s">
        <v>4581</v>
      </c>
      <c r="M732" s="95">
        <v>268560</v>
      </c>
      <c r="N732" s="95">
        <v>4000</v>
      </c>
      <c r="O732" s="95">
        <v>6000</v>
      </c>
      <c r="P732" s="96">
        <v>399990</v>
      </c>
      <c r="Q732" s="152"/>
      <c r="R732" s="95">
        <v>298990</v>
      </c>
      <c r="S732" s="95">
        <f>R732/24</f>
        <v>12457.916666666666</v>
      </c>
      <c r="T732" s="95">
        <v>268560</v>
      </c>
      <c r="U732" s="95">
        <f>T732/24</f>
        <v>11190</v>
      </c>
      <c r="V732" s="95">
        <v>268560</v>
      </c>
      <c r="W732" s="95">
        <f>V732/24</f>
        <v>11190</v>
      </c>
      <c r="X732" s="128"/>
      <c r="Y732" s="95">
        <v>19900</v>
      </c>
      <c r="Z732" s="95">
        <v>31000</v>
      </c>
      <c r="AA732" s="95">
        <f>IFERROR(IF(D732="Premium",0.4*Y732,0),"No Disp")</f>
        <v>0</v>
      </c>
      <c r="AB732" s="95">
        <f>IFERROR(IF(4*Y732&gt;AC732,1.5*Y732,4*Y732),"No Disp")</f>
        <v>79600</v>
      </c>
      <c r="AC732" s="95">
        <f>IF(Z732="No Disp","No Disp",(Z732*18)+Y732)</f>
        <v>577900</v>
      </c>
      <c r="AD732" s="95">
        <f>18*Z732-100+Y732</f>
        <v>577800</v>
      </c>
      <c r="AE732" s="95">
        <v>0</v>
      </c>
      <c r="AF732" s="95">
        <v>25000</v>
      </c>
      <c r="AG732" s="95">
        <f>IF(AF732="No Disp","No Disp",(AF732*18)+AE732)</f>
        <v>450000</v>
      </c>
      <c r="AH732" s="98">
        <f>18*AF732-100+AE732</f>
        <v>449900</v>
      </c>
      <c r="AI732" s="95" t="s">
        <v>4613</v>
      </c>
      <c r="AJ732" s="99"/>
      <c r="AK732" s="100" t="s">
        <v>43</v>
      </c>
      <c r="AL732" s="100" t="s">
        <v>43</v>
      </c>
      <c r="AM732" s="100" t="str">
        <f>IF(AL732&lt;&gt;"No Disp",AK732+12*AL732,"No Disp")</f>
        <v>No Disp</v>
      </c>
      <c r="AN732" s="100" t="s">
        <v>43</v>
      </c>
      <c r="AO732" s="100" t="s">
        <v>43</v>
      </c>
      <c r="AP732" s="100" t="str">
        <f>IF(AO732&lt;&gt;"No Disp",AN732+12*AO732,"No Disp")</f>
        <v>No Disp</v>
      </c>
      <c r="AQ732" s="100" t="s">
        <v>43</v>
      </c>
      <c r="AR732" s="100" t="s">
        <v>43</v>
      </c>
      <c r="AS732" s="100" t="str">
        <f>IF(AR732&lt;&gt;"No Disp",AQ732+12*AR732,"No Disp")</f>
        <v>No Disp</v>
      </c>
    </row>
    <row r="733" spans="1:45" s="101" customFormat="1" x14ac:dyDescent="0.25">
      <c r="A733" s="90" t="s">
        <v>38</v>
      </c>
      <c r="B733" s="90" t="s">
        <v>39</v>
      </c>
      <c r="C733" s="90" t="s">
        <v>40</v>
      </c>
      <c r="D733" s="90" t="s">
        <v>4537</v>
      </c>
      <c r="E733" s="90" t="s">
        <v>4538</v>
      </c>
      <c r="F733" s="91"/>
      <c r="G733" s="92">
        <v>70015968</v>
      </c>
      <c r="H733" s="91" t="s">
        <v>3896</v>
      </c>
      <c r="I733" s="93" t="s">
        <v>87</v>
      </c>
      <c r="J733" s="94" t="s">
        <v>4548</v>
      </c>
      <c r="K733" s="94" t="s">
        <v>4563</v>
      </c>
      <c r="L733" s="94" t="s">
        <v>4582</v>
      </c>
      <c r="M733" s="95">
        <v>268560</v>
      </c>
      <c r="N733" s="95">
        <v>4000</v>
      </c>
      <c r="O733" s="95">
        <v>6000</v>
      </c>
      <c r="P733" s="96">
        <v>399990</v>
      </c>
      <c r="Q733" s="152"/>
      <c r="R733" s="95">
        <v>298990</v>
      </c>
      <c r="S733" s="95">
        <f>R733/24</f>
        <v>12457.916666666666</v>
      </c>
      <c r="T733" s="95">
        <v>268560</v>
      </c>
      <c r="U733" s="95">
        <f>T733/24</f>
        <v>11190</v>
      </c>
      <c r="V733" s="95">
        <v>268560</v>
      </c>
      <c r="W733" s="95">
        <f>V733/24</f>
        <v>11190</v>
      </c>
      <c r="X733" s="128"/>
      <c r="Y733" s="95">
        <v>19900</v>
      </c>
      <c r="Z733" s="95">
        <v>31000</v>
      </c>
      <c r="AA733" s="95">
        <f>IFERROR(IF(D733="Premium",0.4*Y733,0),"No Disp")</f>
        <v>0</v>
      </c>
      <c r="AB733" s="95">
        <f>IFERROR(IF(4*Y733&gt;AC733,1.5*Y733,4*Y733),"No Disp")</f>
        <v>79600</v>
      </c>
      <c r="AC733" s="95">
        <f>IF(Z733="No Disp","No Disp",(Z733*18)+Y733)</f>
        <v>577900</v>
      </c>
      <c r="AD733" s="95">
        <f>18*Z733-100+Y733</f>
        <v>577800</v>
      </c>
      <c r="AE733" s="95">
        <v>0</v>
      </c>
      <c r="AF733" s="95">
        <v>25000</v>
      </c>
      <c r="AG733" s="95">
        <f>IF(AF733="No Disp","No Disp",(AF733*18)+AE733)</f>
        <v>450000</v>
      </c>
      <c r="AH733" s="98">
        <f>18*AF733-100+AE733</f>
        <v>449900</v>
      </c>
      <c r="AI733" s="95" t="s">
        <v>4613</v>
      </c>
      <c r="AJ733" s="99"/>
      <c r="AK733" s="100" t="s">
        <v>43</v>
      </c>
      <c r="AL733" s="100" t="s">
        <v>43</v>
      </c>
      <c r="AM733" s="100" t="str">
        <f>IF(AL733&lt;&gt;"No Disp",AK733+12*AL733,"No Disp")</f>
        <v>No Disp</v>
      </c>
      <c r="AN733" s="100" t="s">
        <v>43</v>
      </c>
      <c r="AO733" s="100" t="s">
        <v>43</v>
      </c>
      <c r="AP733" s="100" t="str">
        <f>IF(AO733&lt;&gt;"No Disp",AN733+12*AO733,"No Disp")</f>
        <v>No Disp</v>
      </c>
      <c r="AQ733" s="100" t="s">
        <v>43</v>
      </c>
      <c r="AR733" s="100" t="s">
        <v>43</v>
      </c>
      <c r="AS733" s="100" t="str">
        <f>IF(AR733&lt;&gt;"No Disp",AQ733+12*AR733,"No Disp")</f>
        <v>No Disp</v>
      </c>
    </row>
    <row r="734" spans="1:45" s="101" customFormat="1" x14ac:dyDescent="0.25">
      <c r="A734" s="90" t="s">
        <v>38</v>
      </c>
      <c r="B734" s="90" t="s">
        <v>39</v>
      </c>
      <c r="C734" s="90" t="s">
        <v>40</v>
      </c>
      <c r="D734" s="90" t="s">
        <v>4537</v>
      </c>
      <c r="E734" s="90" t="s">
        <v>4538</v>
      </c>
      <c r="F734" s="91"/>
      <c r="G734" s="92">
        <v>70015972</v>
      </c>
      <c r="H734" s="91" t="s">
        <v>3896</v>
      </c>
      <c r="I734" s="93" t="s">
        <v>87</v>
      </c>
      <c r="J734" s="94" t="s">
        <v>4548</v>
      </c>
      <c r="K734" s="94" t="s">
        <v>4564</v>
      </c>
      <c r="L734" s="94" t="s">
        <v>4583</v>
      </c>
      <c r="M734" s="95">
        <v>268560</v>
      </c>
      <c r="N734" s="95">
        <v>4000</v>
      </c>
      <c r="O734" s="95">
        <v>6000</v>
      </c>
      <c r="P734" s="96">
        <v>399990</v>
      </c>
      <c r="Q734" s="152"/>
      <c r="R734" s="95">
        <v>298990</v>
      </c>
      <c r="S734" s="95">
        <f>R734/24</f>
        <v>12457.916666666666</v>
      </c>
      <c r="T734" s="95">
        <v>268560</v>
      </c>
      <c r="U734" s="95">
        <f>T734/24</f>
        <v>11190</v>
      </c>
      <c r="V734" s="95">
        <v>268560</v>
      </c>
      <c r="W734" s="95">
        <f>V734/24</f>
        <v>11190</v>
      </c>
      <c r="X734" s="128"/>
      <c r="Y734" s="95">
        <v>19900</v>
      </c>
      <c r="Z734" s="95">
        <v>31000</v>
      </c>
      <c r="AA734" s="95">
        <f>IFERROR(IF(D734="Premium",0.4*Y734,0),"No Disp")</f>
        <v>0</v>
      </c>
      <c r="AB734" s="95">
        <f>IFERROR(IF(4*Y734&gt;AC734,1.5*Y734,4*Y734),"No Disp")</f>
        <v>79600</v>
      </c>
      <c r="AC734" s="95">
        <f>IF(Z734="No Disp","No Disp",(Z734*18)+Y734)</f>
        <v>577900</v>
      </c>
      <c r="AD734" s="95">
        <f>18*Z734-100+Y734</f>
        <v>577800</v>
      </c>
      <c r="AE734" s="95">
        <v>0</v>
      </c>
      <c r="AF734" s="95">
        <v>25000</v>
      </c>
      <c r="AG734" s="95">
        <f>IF(AF734="No Disp","No Disp",(AF734*18)+AE734)</f>
        <v>450000</v>
      </c>
      <c r="AH734" s="98">
        <f>18*AF734-100+AE734</f>
        <v>449900</v>
      </c>
      <c r="AI734" s="95" t="s">
        <v>4613</v>
      </c>
      <c r="AJ734" s="99"/>
      <c r="AK734" s="100" t="s">
        <v>43</v>
      </c>
      <c r="AL734" s="100" t="s">
        <v>43</v>
      </c>
      <c r="AM734" s="100" t="str">
        <f>IF(AL734&lt;&gt;"No Disp",AK734+12*AL734,"No Disp")</f>
        <v>No Disp</v>
      </c>
      <c r="AN734" s="100" t="s">
        <v>43</v>
      </c>
      <c r="AO734" s="100" t="s">
        <v>43</v>
      </c>
      <c r="AP734" s="100" t="str">
        <f>IF(AO734&lt;&gt;"No Disp",AN734+12*AO734,"No Disp")</f>
        <v>No Disp</v>
      </c>
      <c r="AQ734" s="100" t="s">
        <v>43</v>
      </c>
      <c r="AR734" s="100" t="s">
        <v>43</v>
      </c>
      <c r="AS734" s="100" t="str">
        <f>IF(AR734&lt;&gt;"No Disp",AQ734+12*AR734,"No Disp")</f>
        <v>No Disp</v>
      </c>
    </row>
    <row r="735" spans="1:45" s="101" customFormat="1" x14ac:dyDescent="0.25">
      <c r="A735" s="90" t="s">
        <v>102</v>
      </c>
      <c r="B735" s="90" t="s">
        <v>39</v>
      </c>
      <c r="C735" s="90" t="s">
        <v>40</v>
      </c>
      <c r="D735" s="90" t="s">
        <v>4539</v>
      </c>
      <c r="E735" s="90" t="s">
        <v>4538</v>
      </c>
      <c r="F735" s="91">
        <v>783</v>
      </c>
      <c r="G735" s="92">
        <v>70015962</v>
      </c>
      <c r="H735" s="91" t="s">
        <v>3896</v>
      </c>
      <c r="I735" s="93" t="s">
        <v>4074</v>
      </c>
      <c r="J735" s="94" t="s">
        <v>4374</v>
      </c>
      <c r="K735" s="94" t="s">
        <v>4494</v>
      </c>
      <c r="L735" s="94" t="s">
        <v>4492</v>
      </c>
      <c r="M735" s="95">
        <v>159900</v>
      </c>
      <c r="N735" s="95">
        <v>2500</v>
      </c>
      <c r="O735" s="95">
        <v>4000</v>
      </c>
      <c r="P735" s="96">
        <v>199990</v>
      </c>
      <c r="Q735" s="152"/>
      <c r="R735" s="95">
        <v>179990</v>
      </c>
      <c r="S735" s="95">
        <f>R735/24</f>
        <v>7499.583333333333</v>
      </c>
      <c r="T735" s="95">
        <v>159900</v>
      </c>
      <c r="U735" s="95">
        <f>T735/24</f>
        <v>6662.5</v>
      </c>
      <c r="V735" s="95">
        <v>159900</v>
      </c>
      <c r="W735" s="95">
        <f>V735/24</f>
        <v>6662.5</v>
      </c>
      <c r="X735" s="128"/>
      <c r="Y735" s="95">
        <v>0</v>
      </c>
      <c r="Z735" s="95">
        <v>15000</v>
      </c>
      <c r="AA735" s="95">
        <f>IFERROR(IF(D735="Premium",0.4*Y735,0),"No Disp")</f>
        <v>0</v>
      </c>
      <c r="AB735" s="95">
        <f>IFERROR(IF(4*Y735&gt;AC735,1.5*Y735,4*Y735),"No Disp")</f>
        <v>0</v>
      </c>
      <c r="AC735" s="95">
        <f>IF(Z735="No Disp","No Disp",(Z735*18)+Y735)</f>
        <v>270000</v>
      </c>
      <c r="AD735" s="95">
        <f>18*Z735-100+Y735</f>
        <v>269900</v>
      </c>
      <c r="AE735" s="95">
        <v>0</v>
      </c>
      <c r="AF735" s="95">
        <v>13500</v>
      </c>
      <c r="AG735" s="95">
        <f>IF(AF735="No Disp","No Disp",(AF735*18)+AE735)</f>
        <v>243000</v>
      </c>
      <c r="AH735" s="98">
        <f>18*AF735-100+AE735</f>
        <v>242900</v>
      </c>
      <c r="AI735" s="95" t="s">
        <v>4613</v>
      </c>
      <c r="AJ735" s="99"/>
      <c r="AK735" s="100" t="s">
        <v>43</v>
      </c>
      <c r="AL735" s="100" t="s">
        <v>43</v>
      </c>
      <c r="AM735" s="100" t="str">
        <f>IF(AL735&lt;&gt;"No Disp",AK735+12*AL735,"No Disp")</f>
        <v>No Disp</v>
      </c>
      <c r="AN735" s="100" t="s">
        <v>43</v>
      </c>
      <c r="AO735" s="100" t="s">
        <v>43</v>
      </c>
      <c r="AP735" s="100" t="str">
        <f>IF(AO735&lt;&gt;"No Disp",AN735+12*AO735,"No Disp")</f>
        <v>No Disp</v>
      </c>
      <c r="AQ735" s="100" t="s">
        <v>43</v>
      </c>
      <c r="AR735" s="100" t="s">
        <v>43</v>
      </c>
      <c r="AS735" s="100" t="str">
        <f>IF(AR735&lt;&gt;"No Disp",AQ735+12*AR735,"No Disp")</f>
        <v>No Disp</v>
      </c>
    </row>
    <row r="736" spans="1:45" s="101" customFormat="1" x14ac:dyDescent="0.25">
      <c r="A736" s="90" t="s">
        <v>38</v>
      </c>
      <c r="B736" s="90" t="s">
        <v>40</v>
      </c>
      <c r="C736" s="90" t="s">
        <v>39</v>
      </c>
      <c r="D736" s="90" t="s">
        <v>4539</v>
      </c>
      <c r="E736" s="90" t="s">
        <v>4538</v>
      </c>
      <c r="F736" s="91">
        <v>750</v>
      </c>
      <c r="G736" s="92">
        <v>70014673</v>
      </c>
      <c r="H736" s="91" t="s">
        <v>3896</v>
      </c>
      <c r="I736" s="93" t="s">
        <v>4074</v>
      </c>
      <c r="J736" s="94" t="s">
        <v>4374</v>
      </c>
      <c r="K736" s="94" t="s">
        <v>4361</v>
      </c>
      <c r="L736" s="94" t="s">
        <v>4390</v>
      </c>
      <c r="M736" s="95">
        <v>159900</v>
      </c>
      <c r="N736" s="95">
        <v>2500</v>
      </c>
      <c r="O736" s="95">
        <v>4000</v>
      </c>
      <c r="P736" s="96">
        <v>199990</v>
      </c>
      <c r="Q736" s="152"/>
      <c r="R736" s="95">
        <v>179990</v>
      </c>
      <c r="S736" s="95">
        <f>R736/24</f>
        <v>7499.583333333333</v>
      </c>
      <c r="T736" s="95">
        <v>159900</v>
      </c>
      <c r="U736" s="95">
        <f>T736/24</f>
        <v>6662.5</v>
      </c>
      <c r="V736" s="95">
        <v>159900</v>
      </c>
      <c r="W736" s="95">
        <f>V736/24</f>
        <v>6662.5</v>
      </c>
      <c r="X736" s="128"/>
      <c r="Y736" s="95">
        <v>0</v>
      </c>
      <c r="Z736" s="95">
        <v>15000</v>
      </c>
      <c r="AA736" s="95">
        <f>IFERROR(IF(D736="Premium",0.4*Y736,0),"No Disp")</f>
        <v>0</v>
      </c>
      <c r="AB736" s="95">
        <f>IFERROR(IF(4*Y736&gt;AC736,1.5*Y736,4*Y736),"No Disp")</f>
        <v>0</v>
      </c>
      <c r="AC736" s="95">
        <f>IF(Z736="No Disp","No Disp",(Z736*18)+Y736)</f>
        <v>270000</v>
      </c>
      <c r="AD736" s="95">
        <f>18*Z736-100+Y736</f>
        <v>269900</v>
      </c>
      <c r="AE736" s="95">
        <v>0</v>
      </c>
      <c r="AF736" s="95">
        <v>13500</v>
      </c>
      <c r="AG736" s="95">
        <f>IF(AF736="No Disp","No Disp",(AF736*18)+AE736)</f>
        <v>243000</v>
      </c>
      <c r="AH736" s="98">
        <f>18*AF736-100+AE736</f>
        <v>242900</v>
      </c>
      <c r="AI736" s="95" t="s">
        <v>4613</v>
      </c>
      <c r="AJ736" s="99"/>
      <c r="AK736" s="100" t="s">
        <v>43</v>
      </c>
      <c r="AL736" s="100" t="s">
        <v>43</v>
      </c>
      <c r="AM736" s="100" t="str">
        <f>IF(AL736&lt;&gt;"No Disp",AK736+12*AL736,"No Disp")</f>
        <v>No Disp</v>
      </c>
      <c r="AN736" s="100" t="s">
        <v>43</v>
      </c>
      <c r="AO736" s="100" t="s">
        <v>43</v>
      </c>
      <c r="AP736" s="100" t="str">
        <f>IF(AO736&lt;&gt;"No Disp",AN736+12*AO736,"No Disp")</f>
        <v>No Disp</v>
      </c>
      <c r="AQ736" s="100" t="s">
        <v>43</v>
      </c>
      <c r="AR736" s="100" t="s">
        <v>43</v>
      </c>
      <c r="AS736" s="100" t="str">
        <f>IF(AR736&lt;&gt;"No Disp",AQ736+12*AR736,"No Disp")</f>
        <v>No Disp</v>
      </c>
    </row>
    <row r="737" spans="1:45" s="101" customFormat="1" x14ac:dyDescent="0.25">
      <c r="A737" s="90" t="s">
        <v>38</v>
      </c>
      <c r="B737" s="90" t="s">
        <v>40</v>
      </c>
      <c r="C737" s="90" t="s">
        <v>39</v>
      </c>
      <c r="D737" s="90" t="s">
        <v>4539</v>
      </c>
      <c r="E737" s="90" t="s">
        <v>4538</v>
      </c>
      <c r="F737" s="91">
        <v>749</v>
      </c>
      <c r="G737" s="92">
        <v>70014679</v>
      </c>
      <c r="H737" s="91" t="s">
        <v>3896</v>
      </c>
      <c r="I737" s="93" t="s">
        <v>4074</v>
      </c>
      <c r="J737" s="94" t="s">
        <v>4374</v>
      </c>
      <c r="K737" s="94" t="s">
        <v>4362</v>
      </c>
      <c r="L737" s="94" t="s">
        <v>4391</v>
      </c>
      <c r="M737" s="95">
        <v>159900</v>
      </c>
      <c r="N737" s="95">
        <v>2500</v>
      </c>
      <c r="O737" s="95">
        <v>4000</v>
      </c>
      <c r="P737" s="96">
        <v>199990</v>
      </c>
      <c r="Q737" s="152"/>
      <c r="R737" s="95">
        <v>179990</v>
      </c>
      <c r="S737" s="95">
        <f>R737/24</f>
        <v>7499.583333333333</v>
      </c>
      <c r="T737" s="95">
        <v>159900</v>
      </c>
      <c r="U737" s="95">
        <f>T737/24</f>
        <v>6662.5</v>
      </c>
      <c r="V737" s="95">
        <v>159900</v>
      </c>
      <c r="W737" s="95">
        <f>V737/24</f>
        <v>6662.5</v>
      </c>
      <c r="X737" s="128"/>
      <c r="Y737" s="95">
        <v>0</v>
      </c>
      <c r="Z737" s="95">
        <v>15000</v>
      </c>
      <c r="AA737" s="95">
        <f>IFERROR(IF(D737="Premium",0.4*Y737,0),"No Disp")</f>
        <v>0</v>
      </c>
      <c r="AB737" s="95">
        <f>IFERROR(IF(4*Y737&gt;AC737,1.5*Y737,4*Y737),"No Disp")</f>
        <v>0</v>
      </c>
      <c r="AC737" s="95">
        <f>IF(Z737="No Disp","No Disp",(Z737*18)+Y737)</f>
        <v>270000</v>
      </c>
      <c r="AD737" s="95">
        <f>18*Z737-100+Y737</f>
        <v>269900</v>
      </c>
      <c r="AE737" s="95">
        <v>0</v>
      </c>
      <c r="AF737" s="95">
        <v>13500</v>
      </c>
      <c r="AG737" s="95">
        <f>IF(AF737="No Disp","No Disp",(AF737*18)+AE737)</f>
        <v>243000</v>
      </c>
      <c r="AH737" s="98">
        <f>18*AF737-100+AE737</f>
        <v>242900</v>
      </c>
      <c r="AI737" s="95" t="s">
        <v>4613</v>
      </c>
      <c r="AJ737" s="99"/>
      <c r="AK737" s="100" t="s">
        <v>43</v>
      </c>
      <c r="AL737" s="100" t="s">
        <v>43</v>
      </c>
      <c r="AM737" s="100" t="str">
        <f>IF(AL737&lt;&gt;"No Disp",AK737+12*AL737,"No Disp")</f>
        <v>No Disp</v>
      </c>
      <c r="AN737" s="100" t="s">
        <v>43</v>
      </c>
      <c r="AO737" s="100" t="s">
        <v>43</v>
      </c>
      <c r="AP737" s="100" t="str">
        <f>IF(AO737&lt;&gt;"No Disp",AN737+12*AO737,"No Disp")</f>
        <v>No Disp</v>
      </c>
      <c r="AQ737" s="100" t="s">
        <v>43</v>
      </c>
      <c r="AR737" s="100" t="s">
        <v>43</v>
      </c>
      <c r="AS737" s="100" t="str">
        <f>IF(AR737&lt;&gt;"No Disp",AQ737+12*AR737,"No Disp")</f>
        <v>No Disp</v>
      </c>
    </row>
    <row r="738" spans="1:45" s="101" customFormat="1" x14ac:dyDescent="0.25">
      <c r="A738" s="90" t="s">
        <v>38</v>
      </c>
      <c r="B738" s="90" t="s">
        <v>40</v>
      </c>
      <c r="C738" s="90" t="s">
        <v>39</v>
      </c>
      <c r="D738" s="90" t="s">
        <v>4539</v>
      </c>
      <c r="E738" s="90" t="s">
        <v>4538</v>
      </c>
      <c r="F738" s="91">
        <v>746</v>
      </c>
      <c r="G738" s="92">
        <v>70014755</v>
      </c>
      <c r="H738" s="91" t="s">
        <v>3896</v>
      </c>
      <c r="I738" s="93" t="s">
        <v>4074</v>
      </c>
      <c r="J738" s="94" t="s">
        <v>4375</v>
      </c>
      <c r="K738" s="94" t="s">
        <v>4365</v>
      </c>
      <c r="L738" s="94" t="s">
        <v>4394</v>
      </c>
      <c r="M738" s="95">
        <v>179900</v>
      </c>
      <c r="N738" s="95">
        <v>2500</v>
      </c>
      <c r="O738" s="95">
        <v>4000</v>
      </c>
      <c r="P738" s="96">
        <v>219990</v>
      </c>
      <c r="Q738" s="152"/>
      <c r="R738" s="95">
        <v>199990</v>
      </c>
      <c r="S738" s="95">
        <f>R738/24</f>
        <v>8332.9166666666661</v>
      </c>
      <c r="T738" s="95">
        <v>179900</v>
      </c>
      <c r="U738" s="95">
        <f>T738/24</f>
        <v>7495.833333333333</v>
      </c>
      <c r="V738" s="95">
        <v>179900</v>
      </c>
      <c r="W738" s="95">
        <f>V738/24</f>
        <v>7495.833333333333</v>
      </c>
      <c r="X738" s="128"/>
      <c r="Y738" s="95">
        <v>0</v>
      </c>
      <c r="Z738" s="95">
        <v>17000</v>
      </c>
      <c r="AA738" s="95">
        <f>IFERROR(IF(D738="Premium",0.4*Y738,0),"No Disp")</f>
        <v>0</v>
      </c>
      <c r="AB738" s="95">
        <f>IFERROR(IF(4*Y738&gt;AC738,1.5*Y738,4*Y738),"No Disp")</f>
        <v>0</v>
      </c>
      <c r="AC738" s="95">
        <f>IF(Z738="No Disp","No Disp",(Z738*18)+Y738)</f>
        <v>306000</v>
      </c>
      <c r="AD738" s="95">
        <f>18*Z738-100+Y738</f>
        <v>305900</v>
      </c>
      <c r="AE738" s="95">
        <v>0</v>
      </c>
      <c r="AF738" s="95">
        <v>15000</v>
      </c>
      <c r="AG738" s="95">
        <f>IF(AF738="No Disp","No Disp",(AF738*18)+AE738)</f>
        <v>270000</v>
      </c>
      <c r="AH738" s="98">
        <f>18*AF738-100+AE738</f>
        <v>269900</v>
      </c>
      <c r="AI738" s="95" t="s">
        <v>4613</v>
      </c>
      <c r="AJ738" s="99"/>
      <c r="AK738" s="100" t="s">
        <v>43</v>
      </c>
      <c r="AL738" s="100" t="s">
        <v>43</v>
      </c>
      <c r="AM738" s="100" t="str">
        <f>IF(AL738&lt;&gt;"No Disp",AK738+12*AL738,"No Disp")</f>
        <v>No Disp</v>
      </c>
      <c r="AN738" s="100" t="s">
        <v>43</v>
      </c>
      <c r="AO738" s="100" t="s">
        <v>43</v>
      </c>
      <c r="AP738" s="100" t="str">
        <f>IF(AO738&lt;&gt;"No Disp",AN738+12*AO738,"No Disp")</f>
        <v>No Disp</v>
      </c>
      <c r="AQ738" s="100" t="s">
        <v>43</v>
      </c>
      <c r="AR738" s="100" t="s">
        <v>43</v>
      </c>
      <c r="AS738" s="100" t="str">
        <f>IF(AR738&lt;&gt;"No Disp",AQ738+12*AR738,"No Disp")</f>
        <v>No Disp</v>
      </c>
    </row>
    <row r="739" spans="1:45" s="101" customFormat="1" x14ac:dyDescent="0.25">
      <c r="A739" s="90" t="s">
        <v>38</v>
      </c>
      <c r="B739" s="90" t="s">
        <v>40</v>
      </c>
      <c r="C739" s="90" t="s">
        <v>39</v>
      </c>
      <c r="D739" s="90" t="s">
        <v>4539</v>
      </c>
      <c r="E739" s="90" t="s">
        <v>4538</v>
      </c>
      <c r="F739" s="91">
        <v>744</v>
      </c>
      <c r="G739" s="92">
        <v>70014771</v>
      </c>
      <c r="H739" s="91" t="s">
        <v>3896</v>
      </c>
      <c r="I739" s="93" t="s">
        <v>4074</v>
      </c>
      <c r="J739" s="94" t="s">
        <v>4375</v>
      </c>
      <c r="K739" s="94" t="s">
        <v>4367</v>
      </c>
      <c r="L739" s="94" t="s">
        <v>4396</v>
      </c>
      <c r="M739" s="95">
        <v>179900</v>
      </c>
      <c r="N739" s="95">
        <v>2500</v>
      </c>
      <c r="O739" s="95">
        <v>4000</v>
      </c>
      <c r="P739" s="96">
        <v>219990</v>
      </c>
      <c r="Q739" s="152"/>
      <c r="R739" s="95">
        <v>199990</v>
      </c>
      <c r="S739" s="95">
        <f>R739/24</f>
        <v>8332.9166666666661</v>
      </c>
      <c r="T739" s="95">
        <v>179900</v>
      </c>
      <c r="U739" s="95">
        <f>T739/24</f>
        <v>7495.833333333333</v>
      </c>
      <c r="V739" s="95">
        <v>179900</v>
      </c>
      <c r="W739" s="95">
        <f>V739/24</f>
        <v>7495.833333333333</v>
      </c>
      <c r="X739" s="128"/>
      <c r="Y739" s="95">
        <v>0</v>
      </c>
      <c r="Z739" s="95">
        <v>17000</v>
      </c>
      <c r="AA739" s="95">
        <f>IFERROR(IF(D739="Premium",0.4*Y739,0),"No Disp")</f>
        <v>0</v>
      </c>
      <c r="AB739" s="95">
        <f>IFERROR(IF(4*Y739&gt;AC739,1.5*Y739,4*Y739),"No Disp")</f>
        <v>0</v>
      </c>
      <c r="AC739" s="95">
        <f>IF(Z739="No Disp","No Disp",(Z739*18)+Y739)</f>
        <v>306000</v>
      </c>
      <c r="AD739" s="95">
        <f>18*Z739-100+Y739</f>
        <v>305900</v>
      </c>
      <c r="AE739" s="95">
        <v>0</v>
      </c>
      <c r="AF739" s="95">
        <v>15000</v>
      </c>
      <c r="AG739" s="95">
        <f>IF(AF739="No Disp","No Disp",(AF739*18)+AE739)</f>
        <v>270000</v>
      </c>
      <c r="AH739" s="98">
        <f>18*AF739-100+AE739</f>
        <v>269900</v>
      </c>
      <c r="AI739" s="95" t="s">
        <v>4613</v>
      </c>
      <c r="AJ739" s="99"/>
      <c r="AK739" s="100" t="s">
        <v>43</v>
      </c>
      <c r="AL739" s="100" t="s">
        <v>43</v>
      </c>
      <c r="AM739" s="100" t="str">
        <f>IF(AL739&lt;&gt;"No Disp",AK739+12*AL739,"No Disp")</f>
        <v>No Disp</v>
      </c>
      <c r="AN739" s="100" t="s">
        <v>43</v>
      </c>
      <c r="AO739" s="100" t="s">
        <v>43</v>
      </c>
      <c r="AP739" s="100" t="str">
        <f>IF(AO739&lt;&gt;"No Disp",AN739+12*AO739,"No Disp")</f>
        <v>No Disp</v>
      </c>
      <c r="AQ739" s="100" t="s">
        <v>43</v>
      </c>
      <c r="AR739" s="100" t="s">
        <v>43</v>
      </c>
      <c r="AS739" s="100" t="str">
        <f>IF(AR739&lt;&gt;"No Disp",AQ739+12*AR739,"No Disp")</f>
        <v>No Disp</v>
      </c>
    </row>
    <row r="740" spans="1:45" s="101" customFormat="1" x14ac:dyDescent="0.25">
      <c r="A740" s="90" t="s">
        <v>38</v>
      </c>
      <c r="B740" s="90" t="s">
        <v>39</v>
      </c>
      <c r="C740" s="90" t="s">
        <v>39</v>
      </c>
      <c r="D740" s="90" t="s">
        <v>4539</v>
      </c>
      <c r="E740" s="90" t="s">
        <v>4538</v>
      </c>
      <c r="F740" s="91"/>
      <c r="G740" s="92">
        <v>70016100</v>
      </c>
      <c r="H740" s="91" t="s">
        <v>3896</v>
      </c>
      <c r="I740" s="93" t="s">
        <v>4074</v>
      </c>
      <c r="J740" s="94" t="s">
        <v>4375</v>
      </c>
      <c r="K740" s="94" t="s">
        <v>4618</v>
      </c>
      <c r="L740" s="94" t="s">
        <v>4623</v>
      </c>
      <c r="M740" s="95">
        <v>179900</v>
      </c>
      <c r="N740" s="95">
        <v>4000</v>
      </c>
      <c r="O740" s="95">
        <v>6000</v>
      </c>
      <c r="P740" s="96">
        <v>0</v>
      </c>
      <c r="Q740" s="152"/>
      <c r="R740" s="95">
        <v>199990</v>
      </c>
      <c r="S740" s="95">
        <f>R740/24</f>
        <v>8332.9166666666661</v>
      </c>
      <c r="T740" s="95">
        <v>179900</v>
      </c>
      <c r="U740" s="95">
        <f>T740/24</f>
        <v>7495.833333333333</v>
      </c>
      <c r="V740" s="95">
        <v>179900</v>
      </c>
      <c r="W740" s="95">
        <f>V740/24</f>
        <v>7495.833333333333</v>
      </c>
      <c r="X740" s="128"/>
      <c r="Y740" s="95">
        <v>0</v>
      </c>
      <c r="Z740" s="95">
        <v>17000</v>
      </c>
      <c r="AA740" s="95">
        <f>IFERROR(IF(D740="Premium",0.4*Y740,0),"No Disp")</f>
        <v>0</v>
      </c>
      <c r="AB740" s="95">
        <f>IFERROR(IF(4*Y740&gt;AC740,1.5*Y740,4*Y740),"No Disp")</f>
        <v>0</v>
      </c>
      <c r="AC740" s="95">
        <f>IF(Z740="No Disp","No Disp",(Z740*18)+Y740)</f>
        <v>306000</v>
      </c>
      <c r="AD740" s="95">
        <f>18*Z740-100+Y740</f>
        <v>305900</v>
      </c>
      <c r="AE740" s="95">
        <v>0</v>
      </c>
      <c r="AF740" s="95">
        <v>15000</v>
      </c>
      <c r="AG740" s="95">
        <f>IF(AF740="No Disp","No Disp",(AF740*18)+AE740)</f>
        <v>270000</v>
      </c>
      <c r="AH740" s="98">
        <f>18*AF740-100+AE740</f>
        <v>269900</v>
      </c>
      <c r="AI740" s="95" t="s">
        <v>4613</v>
      </c>
      <c r="AJ740" s="99"/>
      <c r="AK740" s="100" t="s">
        <v>43</v>
      </c>
      <c r="AL740" s="100" t="s">
        <v>43</v>
      </c>
      <c r="AM740" s="100" t="str">
        <f>IF(AL740&lt;&gt;"No Disp",AK740+12*AL740,"No Disp")</f>
        <v>No Disp</v>
      </c>
      <c r="AN740" s="100" t="s">
        <v>43</v>
      </c>
      <c r="AO740" s="100" t="s">
        <v>43</v>
      </c>
      <c r="AP740" s="100" t="str">
        <f>IF(AO740&lt;&gt;"No Disp",AN740+12*AO740,"No Disp")</f>
        <v>No Disp</v>
      </c>
      <c r="AQ740" s="100" t="s">
        <v>43</v>
      </c>
      <c r="AR740" s="100" t="s">
        <v>43</v>
      </c>
      <c r="AS740" s="100" t="str">
        <f>IF(AR740&lt;&gt;"No Disp",AQ740+12*AR740,"No Disp")</f>
        <v>No Disp</v>
      </c>
    </row>
    <row r="741" spans="1:45" s="101" customFormat="1" x14ac:dyDescent="0.25">
      <c r="A741" s="90" t="s">
        <v>38</v>
      </c>
      <c r="B741" s="90" t="s">
        <v>39</v>
      </c>
      <c r="C741" s="90" t="s">
        <v>39</v>
      </c>
      <c r="D741" s="90" t="s">
        <v>4539</v>
      </c>
      <c r="E741" s="90" t="s">
        <v>4538</v>
      </c>
      <c r="F741" s="91"/>
      <c r="G741" s="92">
        <v>70016104</v>
      </c>
      <c r="H741" s="91" t="s">
        <v>3896</v>
      </c>
      <c r="I741" s="93" t="s">
        <v>4074</v>
      </c>
      <c r="J741" s="94" t="s">
        <v>4375</v>
      </c>
      <c r="K741" s="94" t="s">
        <v>4619</v>
      </c>
      <c r="L741" s="94" t="s">
        <v>4624</v>
      </c>
      <c r="M741" s="95">
        <v>179900</v>
      </c>
      <c r="N741" s="95">
        <v>4000</v>
      </c>
      <c r="O741" s="95">
        <v>6000</v>
      </c>
      <c r="P741" s="96">
        <v>0</v>
      </c>
      <c r="Q741" s="152"/>
      <c r="R741" s="95">
        <v>199990</v>
      </c>
      <c r="S741" s="95">
        <f>R741/24</f>
        <v>8332.9166666666661</v>
      </c>
      <c r="T741" s="95">
        <v>179900</v>
      </c>
      <c r="U741" s="95">
        <f>T741/24</f>
        <v>7495.833333333333</v>
      </c>
      <c r="V741" s="95">
        <v>179900</v>
      </c>
      <c r="W741" s="95">
        <f>V741/24</f>
        <v>7495.833333333333</v>
      </c>
      <c r="X741" s="128"/>
      <c r="Y741" s="95">
        <v>0</v>
      </c>
      <c r="Z741" s="95">
        <v>17000</v>
      </c>
      <c r="AA741" s="95">
        <f>IFERROR(IF(D741="Premium",0.4*Y741,0),"No Disp")</f>
        <v>0</v>
      </c>
      <c r="AB741" s="95">
        <f>IFERROR(IF(4*Y741&gt;AC741,1.5*Y741,4*Y741),"No Disp")</f>
        <v>0</v>
      </c>
      <c r="AC741" s="95">
        <f>IF(Z741="No Disp","No Disp",(Z741*18)+Y741)</f>
        <v>306000</v>
      </c>
      <c r="AD741" s="95">
        <f>18*Z741-100+Y741</f>
        <v>305900</v>
      </c>
      <c r="AE741" s="95">
        <v>0</v>
      </c>
      <c r="AF741" s="95">
        <v>15000</v>
      </c>
      <c r="AG741" s="95">
        <f>IF(AF741="No Disp","No Disp",(AF741*18)+AE741)</f>
        <v>270000</v>
      </c>
      <c r="AH741" s="98">
        <f>18*AF741-100+AE741</f>
        <v>269900</v>
      </c>
      <c r="AI741" s="95" t="s">
        <v>4613</v>
      </c>
      <c r="AJ741" s="99"/>
      <c r="AK741" s="100" t="s">
        <v>43</v>
      </c>
      <c r="AL741" s="100" t="s">
        <v>43</v>
      </c>
      <c r="AM741" s="100" t="str">
        <f>IF(AL741&lt;&gt;"No Disp",AK741+12*AL741,"No Disp")</f>
        <v>No Disp</v>
      </c>
      <c r="AN741" s="100" t="s">
        <v>43</v>
      </c>
      <c r="AO741" s="100" t="s">
        <v>43</v>
      </c>
      <c r="AP741" s="100" t="str">
        <f>IF(AO741&lt;&gt;"No Disp",AN741+12*AO741,"No Disp")</f>
        <v>No Disp</v>
      </c>
      <c r="AQ741" s="100" t="s">
        <v>43</v>
      </c>
      <c r="AR741" s="100" t="s">
        <v>43</v>
      </c>
      <c r="AS741" s="100" t="str">
        <f>IF(AR741&lt;&gt;"No Disp",AQ741+12*AR741,"No Disp")</f>
        <v>No Disp</v>
      </c>
    </row>
    <row r="742" spans="1:45" s="101" customFormat="1" x14ac:dyDescent="0.25">
      <c r="A742" s="90" t="s">
        <v>38</v>
      </c>
      <c r="B742" s="90" t="s">
        <v>40</v>
      </c>
      <c r="C742" s="90" t="s">
        <v>39</v>
      </c>
      <c r="D742" s="90" t="s">
        <v>4541</v>
      </c>
      <c r="E742" s="90" t="s">
        <v>4538</v>
      </c>
      <c r="F742" s="91">
        <v>759</v>
      </c>
      <c r="G742" s="92">
        <v>70015333</v>
      </c>
      <c r="H742" s="91" t="s">
        <v>3896</v>
      </c>
      <c r="I742" s="93" t="s">
        <v>87</v>
      </c>
      <c r="J742" s="94" t="s">
        <v>4373</v>
      </c>
      <c r="K742" s="94" t="s">
        <v>4352</v>
      </c>
      <c r="L742" s="94" t="s">
        <v>4381</v>
      </c>
      <c r="M742" s="95">
        <v>139900</v>
      </c>
      <c r="N742" s="95">
        <v>2500</v>
      </c>
      <c r="O742" s="95">
        <v>4000</v>
      </c>
      <c r="P742" s="96">
        <v>229990</v>
      </c>
      <c r="Q742" s="152"/>
      <c r="R742" s="95">
        <v>149990</v>
      </c>
      <c r="S742" s="95">
        <f>R742/24</f>
        <v>6249.583333333333</v>
      </c>
      <c r="T742" s="95">
        <v>139900</v>
      </c>
      <c r="U742" s="95">
        <f>T742/24</f>
        <v>5829.166666666667</v>
      </c>
      <c r="V742" s="95">
        <v>139900</v>
      </c>
      <c r="W742" s="95">
        <f>V742/24</f>
        <v>5829.166666666667</v>
      </c>
      <c r="X742" s="128"/>
      <c r="Y742" s="95">
        <v>0</v>
      </c>
      <c r="Z742" s="95">
        <v>13500</v>
      </c>
      <c r="AA742" s="95">
        <f>IFERROR(IF(D742="Premium",0.4*Y742,0),"No Disp")</f>
        <v>0</v>
      </c>
      <c r="AB742" s="95">
        <f>IFERROR(IF(4*Y742&gt;AC742,1.5*Y742,4*Y742),"No Disp")</f>
        <v>0</v>
      </c>
      <c r="AC742" s="95">
        <f>IF(Z742="No Disp","No Disp",(Z742*18)+Y742)</f>
        <v>243000</v>
      </c>
      <c r="AD742" s="95">
        <f>18*Z742-100+Y742</f>
        <v>242900</v>
      </c>
      <c r="AE742" s="95">
        <v>0</v>
      </c>
      <c r="AF742" s="95">
        <v>12000</v>
      </c>
      <c r="AG742" s="95">
        <f>IF(AF742="No Disp","No Disp",(AF742*18)+AE742)</f>
        <v>216000</v>
      </c>
      <c r="AH742" s="98">
        <f>18*AF742-100+AE742</f>
        <v>215900</v>
      </c>
      <c r="AI742" s="95" t="s">
        <v>4613</v>
      </c>
      <c r="AJ742" s="99"/>
      <c r="AK742" s="100" t="s">
        <v>43</v>
      </c>
      <c r="AL742" s="100" t="s">
        <v>43</v>
      </c>
      <c r="AM742" s="100" t="str">
        <f>IF(AL742&lt;&gt;"No Disp",AK742+12*AL742,"No Disp")</f>
        <v>No Disp</v>
      </c>
      <c r="AN742" s="100" t="s">
        <v>43</v>
      </c>
      <c r="AO742" s="100" t="s">
        <v>43</v>
      </c>
      <c r="AP742" s="100" t="str">
        <f>IF(AO742&lt;&gt;"No Disp",AN742+12*AO742,"No Disp")</f>
        <v>No Disp</v>
      </c>
      <c r="AQ742" s="100" t="s">
        <v>43</v>
      </c>
      <c r="AR742" s="100" t="s">
        <v>43</v>
      </c>
      <c r="AS742" s="100" t="str">
        <f>IF(AR742&lt;&gt;"No Disp",AQ742+12*AR742,"No Disp")</f>
        <v>No Disp</v>
      </c>
    </row>
    <row r="743" spans="1:45" s="101" customFormat="1" x14ac:dyDescent="0.25">
      <c r="A743" s="90" t="s">
        <v>38</v>
      </c>
      <c r="B743" s="90" t="s">
        <v>40</v>
      </c>
      <c r="C743" s="90" t="s">
        <v>39</v>
      </c>
      <c r="D743" s="90" t="s">
        <v>4541</v>
      </c>
      <c r="E743" s="90" t="s">
        <v>4538</v>
      </c>
      <c r="F743" s="91">
        <v>757</v>
      </c>
      <c r="G743" s="92">
        <v>70015337</v>
      </c>
      <c r="H743" s="91" t="s">
        <v>3896</v>
      </c>
      <c r="I743" s="93" t="s">
        <v>87</v>
      </c>
      <c r="J743" s="94" t="s">
        <v>4373</v>
      </c>
      <c r="K743" s="94" t="s">
        <v>4354</v>
      </c>
      <c r="L743" s="94" t="s">
        <v>4383</v>
      </c>
      <c r="M743" s="95">
        <v>139900</v>
      </c>
      <c r="N743" s="95">
        <v>2500</v>
      </c>
      <c r="O743" s="95">
        <v>4000</v>
      </c>
      <c r="P743" s="96">
        <v>229990</v>
      </c>
      <c r="Q743" s="152"/>
      <c r="R743" s="95">
        <v>149990</v>
      </c>
      <c r="S743" s="95">
        <f>R743/24</f>
        <v>6249.583333333333</v>
      </c>
      <c r="T743" s="95">
        <v>139900</v>
      </c>
      <c r="U743" s="95">
        <f>T743/24</f>
        <v>5829.166666666667</v>
      </c>
      <c r="V743" s="95">
        <v>139900</v>
      </c>
      <c r="W743" s="95">
        <f>V743/24</f>
        <v>5829.166666666667</v>
      </c>
      <c r="X743" s="128"/>
      <c r="Y743" s="95">
        <v>0</v>
      </c>
      <c r="Z743" s="95">
        <v>13500</v>
      </c>
      <c r="AA743" s="95">
        <f>IFERROR(IF(D743="Premium",0.4*Y743,0),"No Disp")</f>
        <v>0</v>
      </c>
      <c r="AB743" s="95">
        <f>IFERROR(IF(4*Y743&gt;AC743,1.5*Y743,4*Y743),"No Disp")</f>
        <v>0</v>
      </c>
      <c r="AC743" s="95">
        <f>IF(Z743="No Disp","No Disp",(Z743*18)+Y743)</f>
        <v>243000</v>
      </c>
      <c r="AD743" s="95">
        <f>18*Z743-100+Y743</f>
        <v>242900</v>
      </c>
      <c r="AE743" s="95">
        <v>0</v>
      </c>
      <c r="AF743" s="95">
        <v>12000</v>
      </c>
      <c r="AG743" s="95">
        <f>IF(AF743="No Disp","No Disp",(AF743*18)+AE743)</f>
        <v>216000</v>
      </c>
      <c r="AH743" s="98">
        <f>18*AF743-100+AE743</f>
        <v>215900</v>
      </c>
      <c r="AI743" s="95" t="s">
        <v>4613</v>
      </c>
      <c r="AJ743" s="99"/>
      <c r="AK743" s="100" t="s">
        <v>43</v>
      </c>
      <c r="AL743" s="100" t="s">
        <v>43</v>
      </c>
      <c r="AM743" s="100" t="str">
        <f>IF(AL743&lt;&gt;"No Disp",AK743+12*AL743,"No Disp")</f>
        <v>No Disp</v>
      </c>
      <c r="AN743" s="100" t="s">
        <v>43</v>
      </c>
      <c r="AO743" s="100" t="s">
        <v>43</v>
      </c>
      <c r="AP743" s="100" t="str">
        <f>IF(AO743&lt;&gt;"No Disp",AN743+12*AO743,"No Disp")</f>
        <v>No Disp</v>
      </c>
      <c r="AQ743" s="100" t="s">
        <v>43</v>
      </c>
      <c r="AR743" s="100" t="s">
        <v>43</v>
      </c>
      <c r="AS743" s="100" t="str">
        <f>IF(AR743&lt;&gt;"No Disp",AQ743+12*AR743,"No Disp")</f>
        <v>No Disp</v>
      </c>
    </row>
    <row r="744" spans="1:45" s="101" customFormat="1" x14ac:dyDescent="0.25">
      <c r="A744" s="90" t="s">
        <v>38</v>
      </c>
      <c r="B744" s="90" t="s">
        <v>40</v>
      </c>
      <c r="C744" s="90" t="s">
        <v>39</v>
      </c>
      <c r="D744" s="90" t="s">
        <v>4541</v>
      </c>
      <c r="E744" s="90" t="s">
        <v>4538</v>
      </c>
      <c r="F744" s="91">
        <v>753</v>
      </c>
      <c r="G744" s="92">
        <v>70015345</v>
      </c>
      <c r="H744" s="91" t="s">
        <v>3896</v>
      </c>
      <c r="I744" s="93" t="s">
        <v>87</v>
      </c>
      <c r="J744" s="94" t="s">
        <v>4373</v>
      </c>
      <c r="K744" s="94" t="s">
        <v>4358</v>
      </c>
      <c r="L744" s="94" t="s">
        <v>4387</v>
      </c>
      <c r="M744" s="95">
        <v>139900</v>
      </c>
      <c r="N744" s="95">
        <v>2500</v>
      </c>
      <c r="O744" s="95">
        <v>4000</v>
      </c>
      <c r="P744" s="96">
        <v>229990</v>
      </c>
      <c r="Q744" s="152"/>
      <c r="R744" s="95">
        <v>149990</v>
      </c>
      <c r="S744" s="95">
        <f>R744/24</f>
        <v>6249.583333333333</v>
      </c>
      <c r="T744" s="95">
        <v>139900</v>
      </c>
      <c r="U744" s="95">
        <f>T744/24</f>
        <v>5829.166666666667</v>
      </c>
      <c r="V744" s="95">
        <v>139900</v>
      </c>
      <c r="W744" s="95">
        <f>V744/24</f>
        <v>5829.166666666667</v>
      </c>
      <c r="X744" s="128"/>
      <c r="Y744" s="95">
        <v>0</v>
      </c>
      <c r="Z744" s="95">
        <v>13500</v>
      </c>
      <c r="AA744" s="95">
        <f>IFERROR(IF(D744="Premium",0.4*Y744,0),"No Disp")</f>
        <v>0</v>
      </c>
      <c r="AB744" s="95">
        <f>IFERROR(IF(4*Y744&gt;AC744,1.5*Y744,4*Y744),"No Disp")</f>
        <v>0</v>
      </c>
      <c r="AC744" s="95">
        <f>IF(Z744="No Disp","No Disp",(Z744*18)+Y744)</f>
        <v>243000</v>
      </c>
      <c r="AD744" s="95">
        <f>18*Z744-100+Y744</f>
        <v>242900</v>
      </c>
      <c r="AE744" s="95">
        <v>0</v>
      </c>
      <c r="AF744" s="95">
        <v>12000</v>
      </c>
      <c r="AG744" s="95">
        <f>IF(AF744="No Disp","No Disp",(AF744*18)+AE744)</f>
        <v>216000</v>
      </c>
      <c r="AH744" s="98">
        <f>18*AF744-100+AE744</f>
        <v>215900</v>
      </c>
      <c r="AI744" s="95" t="s">
        <v>4613</v>
      </c>
      <c r="AJ744" s="99"/>
      <c r="AK744" s="100" t="s">
        <v>43</v>
      </c>
      <c r="AL744" s="100" t="s">
        <v>43</v>
      </c>
      <c r="AM744" s="100" t="str">
        <f>IF(AL744&lt;&gt;"No Disp",AK744+12*AL744,"No Disp")</f>
        <v>No Disp</v>
      </c>
      <c r="AN744" s="100" t="s">
        <v>43</v>
      </c>
      <c r="AO744" s="100" t="s">
        <v>43</v>
      </c>
      <c r="AP744" s="100" t="str">
        <f>IF(AO744&lt;&gt;"No Disp",AN744+12*AO744,"No Disp")</f>
        <v>No Disp</v>
      </c>
      <c r="AQ744" s="100" t="s">
        <v>43</v>
      </c>
      <c r="AR744" s="100" t="s">
        <v>43</v>
      </c>
      <c r="AS744" s="100" t="str">
        <f>IF(AR744&lt;&gt;"No Disp",AQ744+12*AR744,"No Disp")</f>
        <v>No Disp</v>
      </c>
    </row>
    <row r="745" spans="1:45" s="101" customFormat="1" x14ac:dyDescent="0.25">
      <c r="A745" s="90" t="s">
        <v>38</v>
      </c>
      <c r="B745" s="90" t="s">
        <v>40</v>
      </c>
      <c r="C745" s="90" t="s">
        <v>40</v>
      </c>
      <c r="D745" s="90" t="s">
        <v>4540</v>
      </c>
      <c r="E745" s="90" t="s">
        <v>4542</v>
      </c>
      <c r="F745" s="91">
        <v>163</v>
      </c>
      <c r="G745" s="92">
        <v>70010378</v>
      </c>
      <c r="H745" s="91" t="s">
        <v>3896</v>
      </c>
      <c r="I745" s="93" t="s">
        <v>87</v>
      </c>
      <c r="J745" s="94" t="s">
        <v>850</v>
      </c>
      <c r="K745" s="94" t="s">
        <v>851</v>
      </c>
      <c r="L745" s="94" t="s">
        <v>3951</v>
      </c>
      <c r="M745" s="95">
        <v>199900</v>
      </c>
      <c r="N745" s="95">
        <v>2500</v>
      </c>
      <c r="O745" s="95">
        <v>4000</v>
      </c>
      <c r="P745" s="96">
        <v>0</v>
      </c>
      <c r="Q745" s="152"/>
      <c r="R745" s="95">
        <v>199900</v>
      </c>
      <c r="S745" s="95">
        <f>R745/24</f>
        <v>8329.1666666666661</v>
      </c>
      <c r="T745" s="95">
        <v>199900</v>
      </c>
      <c r="U745" s="95">
        <f>T745/24</f>
        <v>8329.1666666666661</v>
      </c>
      <c r="V745" s="95">
        <v>199900</v>
      </c>
      <c r="W745" s="95">
        <f>V745/24</f>
        <v>8329.1666666666661</v>
      </c>
      <c r="X745" s="128"/>
      <c r="Y745" s="95">
        <v>799900</v>
      </c>
      <c r="Z745" s="95">
        <v>20500</v>
      </c>
      <c r="AA745" s="95">
        <f>IFERROR(IF(D745="Premium",0.4*Y745,0),"No Disp")</f>
        <v>319960</v>
      </c>
      <c r="AB745" s="95">
        <f>IFERROR(IF(4*Y745&gt;AC745,1.5*Y745,4*Y745),"No Disp")</f>
        <v>1199850</v>
      </c>
      <c r="AC745" s="95">
        <f>IF(Z745="No Disp","No Disp",(Z745*18)+Y745)</f>
        <v>1168900</v>
      </c>
      <c r="AD745" s="95">
        <f>18*Z745-100+Y745</f>
        <v>1168800</v>
      </c>
      <c r="AE745" s="95">
        <v>19900</v>
      </c>
      <c r="AF745" s="95">
        <v>14500</v>
      </c>
      <c r="AG745" s="95">
        <f>IF(AF745="No Disp","No Disp",(AF745*18)+AE745)</f>
        <v>280900</v>
      </c>
      <c r="AH745" s="98">
        <f>18*AF745-100+AE745</f>
        <v>280800</v>
      </c>
      <c r="AI745" s="95" t="s">
        <v>4613</v>
      </c>
      <c r="AJ745" s="99"/>
      <c r="AK745" s="100" t="s">
        <v>43</v>
      </c>
      <c r="AL745" s="100" t="s">
        <v>43</v>
      </c>
      <c r="AM745" s="100" t="str">
        <f>IF(AL745&lt;&gt;"No Disp",AK745+12*AL745,"No Disp")</f>
        <v>No Disp</v>
      </c>
      <c r="AN745" s="100" t="s">
        <v>43</v>
      </c>
      <c r="AO745" s="100" t="s">
        <v>43</v>
      </c>
      <c r="AP745" s="100" t="str">
        <f>IF(AO745&lt;&gt;"No Disp",AN745+12*AO745,"No Disp")</f>
        <v>No Disp</v>
      </c>
      <c r="AQ745" s="100" t="s">
        <v>43</v>
      </c>
      <c r="AR745" s="100" t="s">
        <v>43</v>
      </c>
      <c r="AS745" s="100" t="str">
        <f>IF(AR745&lt;&gt;"No Disp",AQ745+12*AR745,"No Disp")</f>
        <v>No Disp</v>
      </c>
    </row>
    <row r="746" spans="1:45" s="101" customFormat="1" x14ac:dyDescent="0.25">
      <c r="A746" s="90" t="s">
        <v>38</v>
      </c>
      <c r="B746" s="90" t="s">
        <v>40</v>
      </c>
      <c r="C746" s="90" t="s">
        <v>40</v>
      </c>
      <c r="D746" s="90" t="s">
        <v>4540</v>
      </c>
      <c r="E746" s="90" t="s">
        <v>4542</v>
      </c>
      <c r="F746" s="91">
        <v>160</v>
      </c>
      <c r="G746" s="92">
        <v>70010361</v>
      </c>
      <c r="H746" s="91" t="s">
        <v>3896</v>
      </c>
      <c r="I746" s="93" t="s">
        <v>87</v>
      </c>
      <c r="J746" s="94" t="s">
        <v>850</v>
      </c>
      <c r="K746" s="94" t="s">
        <v>855</v>
      </c>
      <c r="L746" s="94" t="s">
        <v>3952</v>
      </c>
      <c r="M746" s="95">
        <v>199900</v>
      </c>
      <c r="N746" s="95">
        <v>2500</v>
      </c>
      <c r="O746" s="95">
        <v>4000</v>
      </c>
      <c r="P746" s="96">
        <v>0</v>
      </c>
      <c r="Q746" s="152"/>
      <c r="R746" s="95">
        <v>199900</v>
      </c>
      <c r="S746" s="95">
        <f>R746/24</f>
        <v>8329.1666666666661</v>
      </c>
      <c r="T746" s="95">
        <v>199900</v>
      </c>
      <c r="U746" s="95">
        <f>T746/24</f>
        <v>8329.1666666666661</v>
      </c>
      <c r="V746" s="95">
        <v>199900</v>
      </c>
      <c r="W746" s="95">
        <f>V746/24</f>
        <v>8329.1666666666661</v>
      </c>
      <c r="X746" s="128"/>
      <c r="Y746" s="95">
        <v>799900</v>
      </c>
      <c r="Z746" s="95">
        <v>20500</v>
      </c>
      <c r="AA746" s="95">
        <f>IFERROR(IF(D746="Premium",0.4*Y746,0),"No Disp")</f>
        <v>319960</v>
      </c>
      <c r="AB746" s="95">
        <f>IFERROR(IF(4*Y746&gt;AC746,1.5*Y746,4*Y746),"No Disp")</f>
        <v>1199850</v>
      </c>
      <c r="AC746" s="95">
        <f>IF(Z746="No Disp","No Disp",(Z746*18)+Y746)</f>
        <v>1168900</v>
      </c>
      <c r="AD746" s="95">
        <f>18*Z746-100+Y746</f>
        <v>1168800</v>
      </c>
      <c r="AE746" s="95">
        <v>19900</v>
      </c>
      <c r="AF746" s="95">
        <v>14500</v>
      </c>
      <c r="AG746" s="95">
        <f>IF(AF746="No Disp","No Disp",(AF746*18)+AE746)</f>
        <v>280900</v>
      </c>
      <c r="AH746" s="98">
        <f>18*AF746-100+AE746</f>
        <v>280800</v>
      </c>
      <c r="AI746" s="95" t="s">
        <v>4613</v>
      </c>
      <c r="AJ746" s="99"/>
      <c r="AK746" s="100" t="s">
        <v>43</v>
      </c>
      <c r="AL746" s="100" t="s">
        <v>43</v>
      </c>
      <c r="AM746" s="100" t="str">
        <f>IF(AL746&lt;&gt;"No Disp",AK746+12*AL746,"No Disp")</f>
        <v>No Disp</v>
      </c>
      <c r="AN746" s="100" t="s">
        <v>43</v>
      </c>
      <c r="AO746" s="100" t="s">
        <v>43</v>
      </c>
      <c r="AP746" s="100" t="str">
        <f>IF(AO746&lt;&gt;"No Disp",AN746+12*AO746,"No Disp")</f>
        <v>No Disp</v>
      </c>
      <c r="AQ746" s="100" t="s">
        <v>43</v>
      </c>
      <c r="AR746" s="100" t="s">
        <v>43</v>
      </c>
      <c r="AS746" s="100" t="str">
        <f>IF(AR746&lt;&gt;"No Disp",AQ746+12*AR746,"No Disp")</f>
        <v>No Disp</v>
      </c>
    </row>
    <row r="747" spans="1:45" s="101" customFormat="1" x14ac:dyDescent="0.25">
      <c r="A747" s="90" t="s">
        <v>38</v>
      </c>
      <c r="B747" s="90" t="s">
        <v>40</v>
      </c>
      <c r="C747" s="90" t="s">
        <v>40</v>
      </c>
      <c r="D747" s="90" t="s">
        <v>4540</v>
      </c>
      <c r="E747" s="90" t="s">
        <v>4542</v>
      </c>
      <c r="F747" s="91">
        <v>159</v>
      </c>
      <c r="G747" s="92">
        <v>70010360</v>
      </c>
      <c r="H747" s="91" t="s">
        <v>3896</v>
      </c>
      <c r="I747" s="93" t="s">
        <v>87</v>
      </c>
      <c r="J747" s="94" t="s">
        <v>850</v>
      </c>
      <c r="K747" s="94" t="s">
        <v>856</v>
      </c>
      <c r="L747" s="94" t="s">
        <v>3953</v>
      </c>
      <c r="M747" s="95">
        <v>199900</v>
      </c>
      <c r="N747" s="95">
        <v>2500</v>
      </c>
      <c r="O747" s="95">
        <v>4000</v>
      </c>
      <c r="P747" s="96">
        <v>0</v>
      </c>
      <c r="Q747" s="152"/>
      <c r="R747" s="95">
        <v>199900</v>
      </c>
      <c r="S747" s="95">
        <f>R747/24</f>
        <v>8329.1666666666661</v>
      </c>
      <c r="T747" s="95">
        <v>199900</v>
      </c>
      <c r="U747" s="95">
        <f>T747/24</f>
        <v>8329.1666666666661</v>
      </c>
      <c r="V747" s="95">
        <v>199900</v>
      </c>
      <c r="W747" s="95">
        <f>V747/24</f>
        <v>8329.1666666666661</v>
      </c>
      <c r="X747" s="128"/>
      <c r="Y747" s="95">
        <v>799900</v>
      </c>
      <c r="Z747" s="95">
        <v>20500</v>
      </c>
      <c r="AA747" s="95">
        <f>IFERROR(IF(D747="Premium",0.4*Y747,0),"No Disp")</f>
        <v>319960</v>
      </c>
      <c r="AB747" s="95">
        <f>IFERROR(IF(4*Y747&gt;AC747,1.5*Y747,4*Y747),"No Disp")</f>
        <v>1199850</v>
      </c>
      <c r="AC747" s="95">
        <f>IF(Z747="No Disp","No Disp",(Z747*18)+Y747)</f>
        <v>1168900</v>
      </c>
      <c r="AD747" s="95">
        <f>18*Z747-100+Y747</f>
        <v>1168800</v>
      </c>
      <c r="AE747" s="95">
        <v>19900</v>
      </c>
      <c r="AF747" s="95">
        <v>14500</v>
      </c>
      <c r="AG747" s="95">
        <f>IF(AF747="No Disp","No Disp",(AF747*18)+AE747)</f>
        <v>280900</v>
      </c>
      <c r="AH747" s="98">
        <f>18*AF747-100+AE747</f>
        <v>280800</v>
      </c>
      <c r="AI747" s="95" t="s">
        <v>4613</v>
      </c>
      <c r="AJ747" s="99"/>
      <c r="AK747" s="100" t="s">
        <v>43</v>
      </c>
      <c r="AL747" s="100" t="s">
        <v>43</v>
      </c>
      <c r="AM747" s="100" t="str">
        <f>IF(AL747&lt;&gt;"No Disp",AK747+12*AL747,"No Disp")</f>
        <v>No Disp</v>
      </c>
      <c r="AN747" s="100" t="s">
        <v>43</v>
      </c>
      <c r="AO747" s="100" t="s">
        <v>43</v>
      </c>
      <c r="AP747" s="100" t="str">
        <f>IF(AO747&lt;&gt;"No Disp",AN747+12*AO747,"No Disp")</f>
        <v>No Disp</v>
      </c>
      <c r="AQ747" s="100" t="s">
        <v>43</v>
      </c>
      <c r="AR747" s="100" t="s">
        <v>43</v>
      </c>
      <c r="AS747" s="100" t="str">
        <f>IF(AR747&lt;&gt;"No Disp",AQ747+12*AR747,"No Disp")</f>
        <v>No Disp</v>
      </c>
    </row>
    <row r="748" spans="1:45" s="101" customFormat="1" x14ac:dyDescent="0.25">
      <c r="A748" s="90" t="s">
        <v>38</v>
      </c>
      <c r="B748" s="90" t="s">
        <v>40</v>
      </c>
      <c r="C748" s="90" t="s">
        <v>40</v>
      </c>
      <c r="D748" s="90" t="s">
        <v>4537</v>
      </c>
      <c r="E748" s="90" t="s">
        <v>4542</v>
      </c>
      <c r="F748" s="91">
        <v>158</v>
      </c>
      <c r="G748" s="92">
        <v>70010359</v>
      </c>
      <c r="H748" s="91" t="s">
        <v>3896</v>
      </c>
      <c r="I748" s="93" t="s">
        <v>87</v>
      </c>
      <c r="J748" s="94" t="s">
        <v>3711</v>
      </c>
      <c r="K748" s="94" t="s">
        <v>857</v>
      </c>
      <c r="L748" s="94" t="s">
        <v>3954</v>
      </c>
      <c r="M748" s="95">
        <v>199900</v>
      </c>
      <c r="N748" s="95">
        <v>2500</v>
      </c>
      <c r="O748" s="95">
        <v>4000</v>
      </c>
      <c r="P748" s="96">
        <v>0</v>
      </c>
      <c r="Q748" s="152"/>
      <c r="R748" s="95">
        <v>199900</v>
      </c>
      <c r="S748" s="95">
        <f>R748/24</f>
        <v>8329.1666666666661</v>
      </c>
      <c r="T748" s="95">
        <v>199900</v>
      </c>
      <c r="U748" s="95">
        <f>T748/24</f>
        <v>8329.1666666666661</v>
      </c>
      <c r="V748" s="95">
        <v>199900</v>
      </c>
      <c r="W748" s="95">
        <f>V748/24</f>
        <v>8329.1666666666661</v>
      </c>
      <c r="X748" s="128"/>
      <c r="Y748" s="95">
        <v>599900</v>
      </c>
      <c r="Z748" s="95">
        <v>19500</v>
      </c>
      <c r="AA748" s="95">
        <f>IFERROR(IF(D748="Premium",0.4*Y748,0),"No Disp")</f>
        <v>0</v>
      </c>
      <c r="AB748" s="95">
        <f>IFERROR(IF(4*Y748&gt;AC748,1.5*Y748,4*Y748),"No Disp")</f>
        <v>899850</v>
      </c>
      <c r="AC748" s="95">
        <f>IF(Z748="No Disp","No Disp",(Z748*18)+Y748)</f>
        <v>950900</v>
      </c>
      <c r="AD748" s="95">
        <f>18*Z748-100+Y748</f>
        <v>950800</v>
      </c>
      <c r="AE748" s="95">
        <v>19900</v>
      </c>
      <c r="AF748" s="95">
        <v>15000</v>
      </c>
      <c r="AG748" s="95">
        <f>IF(AF748="No Disp","No Disp",(AF748*18)+AE748)</f>
        <v>289900</v>
      </c>
      <c r="AH748" s="98">
        <f>18*AF748-100+AE748</f>
        <v>289800</v>
      </c>
      <c r="AI748" s="95" t="s">
        <v>4613</v>
      </c>
      <c r="AJ748" s="99"/>
      <c r="AK748" s="100" t="s">
        <v>43</v>
      </c>
      <c r="AL748" s="100" t="s">
        <v>43</v>
      </c>
      <c r="AM748" s="100" t="str">
        <f>IF(AL748&lt;&gt;"No Disp",AK748+12*AL748,"No Disp")</f>
        <v>No Disp</v>
      </c>
      <c r="AN748" s="100" t="s">
        <v>43</v>
      </c>
      <c r="AO748" s="100" t="s">
        <v>43</v>
      </c>
      <c r="AP748" s="100" t="str">
        <f>IF(AO748&lt;&gt;"No Disp",AN748+12*AO748,"No Disp")</f>
        <v>No Disp</v>
      </c>
      <c r="AQ748" s="100" t="s">
        <v>43</v>
      </c>
      <c r="AR748" s="100" t="s">
        <v>43</v>
      </c>
      <c r="AS748" s="100" t="str">
        <f>IF(AR748&lt;&gt;"No Disp",AQ748+12*AR748,"No Disp")</f>
        <v>No Disp</v>
      </c>
    </row>
    <row r="749" spans="1:45" s="101" customFormat="1" x14ac:dyDescent="0.25">
      <c r="A749" s="90" t="s">
        <v>38</v>
      </c>
      <c r="B749" s="90" t="s">
        <v>40</v>
      </c>
      <c r="C749" s="90" t="s">
        <v>40</v>
      </c>
      <c r="D749" s="90" t="s">
        <v>4537</v>
      </c>
      <c r="E749" s="90" t="s">
        <v>4542</v>
      </c>
      <c r="F749" s="91">
        <v>156</v>
      </c>
      <c r="G749" s="92">
        <v>70010343</v>
      </c>
      <c r="H749" s="91" t="s">
        <v>3896</v>
      </c>
      <c r="I749" s="93" t="s">
        <v>87</v>
      </c>
      <c r="J749" s="94" t="s">
        <v>3711</v>
      </c>
      <c r="K749" s="94" t="s">
        <v>858</v>
      </c>
      <c r="L749" s="94" t="s">
        <v>3955</v>
      </c>
      <c r="M749" s="95">
        <v>199900</v>
      </c>
      <c r="N749" s="95">
        <v>2500</v>
      </c>
      <c r="O749" s="95">
        <v>4000</v>
      </c>
      <c r="P749" s="96">
        <v>0</v>
      </c>
      <c r="Q749" s="152"/>
      <c r="R749" s="95">
        <v>199900</v>
      </c>
      <c r="S749" s="95">
        <f>R749/24</f>
        <v>8329.1666666666661</v>
      </c>
      <c r="T749" s="95">
        <v>199900</v>
      </c>
      <c r="U749" s="95">
        <f>T749/24</f>
        <v>8329.1666666666661</v>
      </c>
      <c r="V749" s="95">
        <v>199900</v>
      </c>
      <c r="W749" s="95">
        <f>V749/24</f>
        <v>8329.1666666666661</v>
      </c>
      <c r="X749" s="128"/>
      <c r="Y749" s="95">
        <v>599900</v>
      </c>
      <c r="Z749" s="95">
        <v>19500</v>
      </c>
      <c r="AA749" s="95">
        <f>IFERROR(IF(D749="Premium",0.4*Y749,0),"No Disp")</f>
        <v>0</v>
      </c>
      <c r="AB749" s="95">
        <f>IFERROR(IF(4*Y749&gt;AC749,1.5*Y749,4*Y749),"No Disp")</f>
        <v>899850</v>
      </c>
      <c r="AC749" s="95">
        <f>IF(Z749="No Disp","No Disp",(Z749*18)+Y749)</f>
        <v>950900</v>
      </c>
      <c r="AD749" s="95">
        <f>18*Z749-100+Y749</f>
        <v>950800</v>
      </c>
      <c r="AE749" s="95">
        <v>19900</v>
      </c>
      <c r="AF749" s="95">
        <v>15000</v>
      </c>
      <c r="AG749" s="95">
        <f>IF(AF749="No Disp","No Disp",(AF749*18)+AE749)</f>
        <v>289900</v>
      </c>
      <c r="AH749" s="98">
        <f>18*AF749-100+AE749</f>
        <v>289800</v>
      </c>
      <c r="AI749" s="95" t="s">
        <v>4613</v>
      </c>
      <c r="AJ749" s="99"/>
      <c r="AK749" s="100" t="s">
        <v>43</v>
      </c>
      <c r="AL749" s="100" t="s">
        <v>43</v>
      </c>
      <c r="AM749" s="100" t="str">
        <f>IF(AL749&lt;&gt;"No Disp",AK749+12*AL749,"No Disp")</f>
        <v>No Disp</v>
      </c>
      <c r="AN749" s="100" t="s">
        <v>43</v>
      </c>
      <c r="AO749" s="100" t="s">
        <v>43</v>
      </c>
      <c r="AP749" s="100" t="str">
        <f>IF(AO749&lt;&gt;"No Disp",AN749+12*AO749,"No Disp")</f>
        <v>No Disp</v>
      </c>
      <c r="AQ749" s="100" t="s">
        <v>43</v>
      </c>
      <c r="AR749" s="100" t="s">
        <v>43</v>
      </c>
      <c r="AS749" s="100" t="str">
        <f>IF(AR749&lt;&gt;"No Disp",AQ749+12*AR749,"No Disp")</f>
        <v>No Disp</v>
      </c>
    </row>
    <row r="750" spans="1:45" s="101" customFormat="1" x14ac:dyDescent="0.25">
      <c r="A750" s="90" t="s">
        <v>38</v>
      </c>
      <c r="B750" s="90" t="s">
        <v>39</v>
      </c>
      <c r="C750" s="90" t="s">
        <v>40</v>
      </c>
      <c r="D750" s="90" t="s">
        <v>4539</v>
      </c>
      <c r="E750" s="90" t="s">
        <v>4542</v>
      </c>
      <c r="F750" s="91">
        <v>468</v>
      </c>
      <c r="G750" s="92">
        <v>70012618</v>
      </c>
      <c r="H750" s="91" t="s">
        <v>3896</v>
      </c>
      <c r="I750" s="93" t="s">
        <v>46</v>
      </c>
      <c r="J750" s="94" t="s">
        <v>3918</v>
      </c>
      <c r="K750" s="94" t="s">
        <v>287</v>
      </c>
      <c r="L750" s="94" t="s">
        <v>288</v>
      </c>
      <c r="M750" s="95">
        <v>319900</v>
      </c>
      <c r="N750" s="95">
        <v>4000</v>
      </c>
      <c r="O750" s="95">
        <v>6000</v>
      </c>
      <c r="P750" s="96">
        <v>419990</v>
      </c>
      <c r="Q750" s="152"/>
      <c r="R750" s="95">
        <v>319900</v>
      </c>
      <c r="S750" s="95">
        <f>R750/24</f>
        <v>13329.166666666666</v>
      </c>
      <c r="T750" s="95">
        <v>319900</v>
      </c>
      <c r="U750" s="95">
        <f>T750/24</f>
        <v>13329.166666666666</v>
      </c>
      <c r="V750" s="95">
        <v>319900</v>
      </c>
      <c r="W750" s="95">
        <f>V750/24</f>
        <v>13329.166666666666</v>
      </c>
      <c r="X750" s="128"/>
      <c r="Y750" s="95">
        <v>149900</v>
      </c>
      <c r="Z750" s="95">
        <v>17000</v>
      </c>
      <c r="AA750" s="95">
        <f>IFERROR(IF(D750="Premium",0.4*Y750,0),"No Disp")</f>
        <v>0</v>
      </c>
      <c r="AB750" s="95">
        <f>IFERROR(IF(4*Y750&gt;AC750,1.5*Y750,4*Y750),"No Disp")</f>
        <v>224850</v>
      </c>
      <c r="AC750" s="95">
        <f>IF(Z750="No Disp","No Disp",(Z750*18)+Y750)</f>
        <v>455900</v>
      </c>
      <c r="AD750" s="95">
        <f>18*Z750-100+Y750</f>
        <v>455800</v>
      </c>
      <c r="AE750" s="95">
        <v>49900</v>
      </c>
      <c r="AF750" s="95">
        <v>22000</v>
      </c>
      <c r="AG750" s="95">
        <f>IF(AF750="No Disp","No Disp",(AF750*18)+AE750)</f>
        <v>445900</v>
      </c>
      <c r="AH750" s="98">
        <f>18*AF750-100+AE750</f>
        <v>445800</v>
      </c>
      <c r="AI750" s="95" t="s">
        <v>4613</v>
      </c>
      <c r="AJ750" s="99"/>
      <c r="AK750" s="100" t="s">
        <v>43</v>
      </c>
      <c r="AL750" s="100" t="s">
        <v>43</v>
      </c>
      <c r="AM750" s="100" t="str">
        <f>IF(AL750&lt;&gt;"No Disp",AK750+12*AL750,"No Disp")</f>
        <v>No Disp</v>
      </c>
      <c r="AN750" s="100" t="s">
        <v>43</v>
      </c>
      <c r="AO750" s="100" t="s">
        <v>43</v>
      </c>
      <c r="AP750" s="100" t="str">
        <f>IF(AO750&lt;&gt;"No Disp",AN750+12*AO750,"No Disp")</f>
        <v>No Disp</v>
      </c>
      <c r="AQ750" s="100" t="s">
        <v>43</v>
      </c>
      <c r="AR750" s="100" t="s">
        <v>43</v>
      </c>
      <c r="AS750" s="100" t="str">
        <f>IF(AR750&lt;&gt;"No Disp",AQ750+12*AR750,"No Disp")</f>
        <v>No Disp</v>
      </c>
    </row>
    <row r="751" spans="1:45" s="101" customFormat="1" x14ac:dyDescent="0.25">
      <c r="A751" s="90" t="s">
        <v>38</v>
      </c>
      <c r="B751" s="90" t="s">
        <v>39</v>
      </c>
      <c r="C751" s="90" t="s">
        <v>40</v>
      </c>
      <c r="D751" s="90" t="s">
        <v>4537</v>
      </c>
      <c r="E751" s="90" t="s">
        <v>4542</v>
      </c>
      <c r="F751" s="91">
        <v>288</v>
      </c>
      <c r="G751" s="92">
        <v>70011619</v>
      </c>
      <c r="H751" s="91" t="s">
        <v>3896</v>
      </c>
      <c r="I751" s="93" t="s">
        <v>46</v>
      </c>
      <c r="J751" s="94" t="s">
        <v>3941</v>
      </c>
      <c r="K751" s="94" t="s">
        <v>634</v>
      </c>
      <c r="L751" s="94" t="s">
        <v>635</v>
      </c>
      <c r="M751" s="95">
        <v>604900</v>
      </c>
      <c r="N751" s="95">
        <v>6000</v>
      </c>
      <c r="O751" s="95">
        <v>8500</v>
      </c>
      <c r="P751" s="96">
        <v>0</v>
      </c>
      <c r="Q751" s="152"/>
      <c r="R751" s="95">
        <v>604900</v>
      </c>
      <c r="S751" s="95">
        <f>R751/24</f>
        <v>25204.166666666668</v>
      </c>
      <c r="T751" s="95">
        <v>604900</v>
      </c>
      <c r="U751" s="95">
        <f>T751/24</f>
        <v>25204.166666666668</v>
      </c>
      <c r="V751" s="95">
        <v>604900</v>
      </c>
      <c r="W751" s="95">
        <f>V751/24</f>
        <v>25204.166666666668</v>
      </c>
      <c r="X751" s="128"/>
      <c r="Y751" s="95">
        <v>384900</v>
      </c>
      <c r="Z751" s="95">
        <v>25500</v>
      </c>
      <c r="AA751" s="95">
        <f>IFERROR(IF(D751="Premium",0.4*Y751,0),"No Disp")</f>
        <v>0</v>
      </c>
      <c r="AB751" s="95">
        <f>IFERROR(IF(4*Y751&gt;AC751,1.5*Y751,4*Y751),"No Disp")</f>
        <v>577350</v>
      </c>
      <c r="AC751" s="95">
        <f>IF(Z751="No Disp","No Disp",(Z751*18)+Y751)</f>
        <v>843900</v>
      </c>
      <c r="AD751" s="95">
        <f>18*Z751-100+Y751</f>
        <v>843800</v>
      </c>
      <c r="AE751" s="95">
        <v>49900</v>
      </c>
      <c r="AF751" s="95">
        <v>44000</v>
      </c>
      <c r="AG751" s="95">
        <f>IF(AF751="No Disp","No Disp",(AF751*18)+AE751)</f>
        <v>841900</v>
      </c>
      <c r="AH751" s="98">
        <f>18*AF751-100+AE751</f>
        <v>841800</v>
      </c>
      <c r="AI751" s="95" t="s">
        <v>4613</v>
      </c>
      <c r="AJ751" s="99"/>
      <c r="AK751" s="100" t="s">
        <v>43</v>
      </c>
      <c r="AL751" s="100" t="s">
        <v>43</v>
      </c>
      <c r="AM751" s="100" t="str">
        <f>IF(AL751&lt;&gt;"No Disp",AK751+12*AL751,"No Disp")</f>
        <v>No Disp</v>
      </c>
      <c r="AN751" s="100" t="s">
        <v>43</v>
      </c>
      <c r="AO751" s="100" t="s">
        <v>43</v>
      </c>
      <c r="AP751" s="100" t="str">
        <f>IF(AO751&lt;&gt;"No Disp",AN751+12*AO751,"No Disp")</f>
        <v>No Disp</v>
      </c>
      <c r="AQ751" s="100" t="s">
        <v>43</v>
      </c>
      <c r="AR751" s="100" t="s">
        <v>43</v>
      </c>
      <c r="AS751" s="100" t="str">
        <f>IF(AR751&lt;&gt;"No Disp",AQ751+12*AR751,"No Disp")</f>
        <v>No Disp</v>
      </c>
    </row>
    <row r="752" spans="1:45" s="101" customFormat="1" x14ac:dyDescent="0.25">
      <c r="A752" s="90" t="s">
        <v>38</v>
      </c>
      <c r="B752" s="90" t="s">
        <v>39</v>
      </c>
      <c r="C752" s="90" t="s">
        <v>40</v>
      </c>
      <c r="D752" s="90" t="s">
        <v>4539</v>
      </c>
      <c r="E752" s="90" t="s">
        <v>4542</v>
      </c>
      <c r="F752" s="91">
        <v>274</v>
      </c>
      <c r="G752" s="92">
        <v>70011598</v>
      </c>
      <c r="H752" s="91" t="s">
        <v>3896</v>
      </c>
      <c r="I752" s="93" t="s">
        <v>41</v>
      </c>
      <c r="J752" s="94" t="s">
        <v>3942</v>
      </c>
      <c r="K752" s="94" t="s">
        <v>665</v>
      </c>
      <c r="L752" s="94" t="s">
        <v>3943</v>
      </c>
      <c r="M752" s="95">
        <v>149900</v>
      </c>
      <c r="N752" s="95">
        <v>6000</v>
      </c>
      <c r="O752" s="95">
        <v>8500</v>
      </c>
      <c r="P752" s="96">
        <v>0</v>
      </c>
      <c r="Q752" s="152"/>
      <c r="R752" s="95">
        <v>149900</v>
      </c>
      <c r="S752" s="95">
        <f>R752/24</f>
        <v>6245.833333333333</v>
      </c>
      <c r="T752" s="95">
        <v>149900</v>
      </c>
      <c r="U752" s="95">
        <f>T752/24</f>
        <v>6245.833333333333</v>
      </c>
      <c r="V752" s="95">
        <v>149900</v>
      </c>
      <c r="W752" s="95">
        <f>V752/24</f>
        <v>6245.833333333333</v>
      </c>
      <c r="X752" s="128"/>
      <c r="Y752" s="95">
        <v>59900</v>
      </c>
      <c r="Z752" s="95">
        <v>10000</v>
      </c>
      <c r="AA752" s="95">
        <f>IFERROR(IF(D752="Premium",0.4*Y752,0),"No Disp")</f>
        <v>0</v>
      </c>
      <c r="AB752" s="95">
        <f>IFERROR(IF(4*Y752&gt;AC752,1.5*Y752,4*Y752),"No Disp")</f>
        <v>239600</v>
      </c>
      <c r="AC752" s="95">
        <f>IF(Z752="No Disp","No Disp",(Z752*18)+Y752)</f>
        <v>239900</v>
      </c>
      <c r="AD752" s="95">
        <f>18*Z752-100+Y752</f>
        <v>239800</v>
      </c>
      <c r="AE752" s="95">
        <v>19900</v>
      </c>
      <c r="AF752" s="95">
        <v>11500</v>
      </c>
      <c r="AG752" s="95">
        <f>IF(AF752="No Disp","No Disp",(AF752*18)+AE752)</f>
        <v>226900</v>
      </c>
      <c r="AH752" s="98">
        <f>18*AF752-100+AE752</f>
        <v>226800</v>
      </c>
      <c r="AI752" s="95" t="s">
        <v>4613</v>
      </c>
      <c r="AJ752" s="99"/>
      <c r="AK752" s="100" t="s">
        <v>43</v>
      </c>
      <c r="AL752" s="100" t="s">
        <v>43</v>
      </c>
      <c r="AM752" s="100" t="str">
        <f>IF(AL752&lt;&gt;"No Disp",AK752+12*AL752,"No Disp")</f>
        <v>No Disp</v>
      </c>
      <c r="AN752" s="100" t="s">
        <v>43</v>
      </c>
      <c r="AO752" s="100" t="s">
        <v>43</v>
      </c>
      <c r="AP752" s="100" t="str">
        <f>IF(AO752&lt;&gt;"No Disp",AN752+12*AO752,"No Disp")</f>
        <v>No Disp</v>
      </c>
      <c r="AQ752" s="100" t="s">
        <v>43</v>
      </c>
      <c r="AR752" s="100" t="s">
        <v>43</v>
      </c>
      <c r="AS752" s="100" t="str">
        <f>IF(AR752&lt;&gt;"No Disp",AQ752+12*AR752,"No Disp")</f>
        <v>No Disp</v>
      </c>
    </row>
    <row r="753" spans="1:45" s="101" customFormat="1" x14ac:dyDescent="0.25">
      <c r="A753" s="90" t="s">
        <v>38</v>
      </c>
      <c r="B753" s="90" t="s">
        <v>39</v>
      </c>
      <c r="C753" s="90" t="s">
        <v>40</v>
      </c>
      <c r="D753" s="90" t="s">
        <v>4539</v>
      </c>
      <c r="E753" s="90" t="s">
        <v>4542</v>
      </c>
      <c r="F753" s="91">
        <v>273</v>
      </c>
      <c r="G753" s="92">
        <v>70011597</v>
      </c>
      <c r="H753" s="91" t="s">
        <v>3896</v>
      </c>
      <c r="I753" s="93" t="s">
        <v>41</v>
      </c>
      <c r="J753" s="94" t="s">
        <v>3942</v>
      </c>
      <c r="K753" s="94" t="s">
        <v>666</v>
      </c>
      <c r="L753" s="94" t="s">
        <v>3944</v>
      </c>
      <c r="M753" s="95">
        <v>149900</v>
      </c>
      <c r="N753" s="95">
        <v>6000</v>
      </c>
      <c r="O753" s="95">
        <v>8500</v>
      </c>
      <c r="P753" s="96">
        <v>0</v>
      </c>
      <c r="Q753" s="152"/>
      <c r="R753" s="95">
        <v>149900</v>
      </c>
      <c r="S753" s="95">
        <f>R753/24</f>
        <v>6245.833333333333</v>
      </c>
      <c r="T753" s="95">
        <v>149900</v>
      </c>
      <c r="U753" s="95">
        <f>T753/24</f>
        <v>6245.833333333333</v>
      </c>
      <c r="V753" s="95">
        <v>149900</v>
      </c>
      <c r="W753" s="95">
        <f>V753/24</f>
        <v>6245.833333333333</v>
      </c>
      <c r="X753" s="128"/>
      <c r="Y753" s="95">
        <v>59900</v>
      </c>
      <c r="Z753" s="95">
        <v>10000</v>
      </c>
      <c r="AA753" s="95">
        <f>IFERROR(IF(D753="Premium",0.4*Y753,0),"No Disp")</f>
        <v>0</v>
      </c>
      <c r="AB753" s="95">
        <f>IFERROR(IF(4*Y753&gt;AC753,1.5*Y753,4*Y753),"No Disp")</f>
        <v>239600</v>
      </c>
      <c r="AC753" s="95">
        <f>IF(Z753="No Disp","No Disp",(Z753*18)+Y753)</f>
        <v>239900</v>
      </c>
      <c r="AD753" s="95">
        <f>18*Z753-100+Y753</f>
        <v>239800</v>
      </c>
      <c r="AE753" s="95">
        <v>19900</v>
      </c>
      <c r="AF753" s="95">
        <v>11500</v>
      </c>
      <c r="AG753" s="95">
        <f>IF(AF753="No Disp","No Disp",(AF753*18)+AE753)</f>
        <v>226900</v>
      </c>
      <c r="AH753" s="98">
        <f>18*AF753-100+AE753</f>
        <v>226800</v>
      </c>
      <c r="AI753" s="95" t="s">
        <v>4613</v>
      </c>
      <c r="AJ753" s="99"/>
      <c r="AK753" s="100" t="s">
        <v>43</v>
      </c>
      <c r="AL753" s="100" t="s">
        <v>43</v>
      </c>
      <c r="AM753" s="100" t="str">
        <f>IF(AL753&lt;&gt;"No Disp",AK753+12*AL753,"No Disp")</f>
        <v>No Disp</v>
      </c>
      <c r="AN753" s="100" t="s">
        <v>43</v>
      </c>
      <c r="AO753" s="100" t="s">
        <v>43</v>
      </c>
      <c r="AP753" s="100" t="str">
        <f>IF(AO753&lt;&gt;"No Disp",AN753+12*AO753,"No Disp")</f>
        <v>No Disp</v>
      </c>
      <c r="AQ753" s="100" t="s">
        <v>43</v>
      </c>
      <c r="AR753" s="100" t="s">
        <v>43</v>
      </c>
      <c r="AS753" s="100" t="str">
        <f>IF(AR753&lt;&gt;"No Disp",AQ753+12*AR753,"No Disp")</f>
        <v>No Disp</v>
      </c>
    </row>
    <row r="754" spans="1:45" s="101" customFormat="1" x14ac:dyDescent="0.25">
      <c r="A754" s="90" t="s">
        <v>38</v>
      </c>
      <c r="B754" s="90" t="s">
        <v>39</v>
      </c>
      <c r="C754" s="90" t="s">
        <v>40</v>
      </c>
      <c r="D754" s="90" t="s">
        <v>4539</v>
      </c>
      <c r="E754" s="90" t="s">
        <v>4542</v>
      </c>
      <c r="F754" s="91">
        <v>399</v>
      </c>
      <c r="G754" s="92">
        <v>70012475</v>
      </c>
      <c r="H754" s="91" t="s">
        <v>3896</v>
      </c>
      <c r="I754" s="93" t="s">
        <v>41</v>
      </c>
      <c r="J754" s="94" t="s">
        <v>411</v>
      </c>
      <c r="K754" s="94" t="s">
        <v>412</v>
      </c>
      <c r="L754" s="94" t="s">
        <v>3921</v>
      </c>
      <c r="M754" s="95">
        <v>279900</v>
      </c>
      <c r="N754" s="95">
        <v>4000</v>
      </c>
      <c r="O754" s="95">
        <v>6000</v>
      </c>
      <c r="P754" s="96">
        <v>319990</v>
      </c>
      <c r="Q754" s="152"/>
      <c r="R754" s="95">
        <v>279900</v>
      </c>
      <c r="S754" s="95">
        <f>R754/24</f>
        <v>11662.5</v>
      </c>
      <c r="T754" s="95">
        <v>279900</v>
      </c>
      <c r="U754" s="95">
        <f>T754/24</f>
        <v>11662.5</v>
      </c>
      <c r="V754" s="95">
        <v>279900</v>
      </c>
      <c r="W754" s="95">
        <f>V754/24</f>
        <v>11662.5</v>
      </c>
      <c r="X754" s="128"/>
      <c r="Y754" s="95">
        <v>59900</v>
      </c>
      <c r="Z754" s="95">
        <v>24000</v>
      </c>
      <c r="AA754" s="95">
        <f>IFERROR(IF(D754="Premium",0.4*Y754,0),"No Disp")</f>
        <v>0</v>
      </c>
      <c r="AB754" s="95">
        <f>IFERROR(IF(4*Y754&gt;AC754,1.5*Y754,4*Y754),"No Disp")</f>
        <v>239600</v>
      </c>
      <c r="AC754" s="95">
        <f>IF(Z754="No Disp","No Disp",(Z754*18)+Y754)</f>
        <v>491900</v>
      </c>
      <c r="AD754" s="95">
        <f>18*Z754-100+Y754</f>
        <v>491800</v>
      </c>
      <c r="AE754" s="95">
        <v>0</v>
      </c>
      <c r="AF754" s="95">
        <v>25000</v>
      </c>
      <c r="AG754" s="95">
        <f>IF(AF754="No Disp","No Disp",(AF754*18)+AE754)</f>
        <v>450000</v>
      </c>
      <c r="AH754" s="98">
        <f>18*AF754-100+AE754</f>
        <v>449900</v>
      </c>
      <c r="AI754" s="95" t="s">
        <v>4613</v>
      </c>
      <c r="AJ754" s="99"/>
      <c r="AK754" s="100" t="s">
        <v>43</v>
      </c>
      <c r="AL754" s="100" t="s">
        <v>43</v>
      </c>
      <c r="AM754" s="100" t="str">
        <f>IF(AL754&lt;&gt;"No Disp",AK754+12*AL754,"No Disp")</f>
        <v>No Disp</v>
      </c>
      <c r="AN754" s="100" t="s">
        <v>43</v>
      </c>
      <c r="AO754" s="100" t="s">
        <v>43</v>
      </c>
      <c r="AP754" s="100" t="str">
        <f>IF(AO754&lt;&gt;"No Disp",AN754+12*AO754,"No Disp")</f>
        <v>No Disp</v>
      </c>
      <c r="AQ754" s="100" t="s">
        <v>43</v>
      </c>
      <c r="AR754" s="100" t="s">
        <v>43</v>
      </c>
      <c r="AS754" s="100" t="str">
        <f>IF(AR754&lt;&gt;"No Disp",AQ754+12*AR754,"No Disp")</f>
        <v>No Disp</v>
      </c>
    </row>
    <row r="755" spans="1:45" s="101" customFormat="1" x14ac:dyDescent="0.25">
      <c r="A755" s="90" t="s">
        <v>102</v>
      </c>
      <c r="B755" s="90" t="s">
        <v>40</v>
      </c>
      <c r="C755" s="90" t="s">
        <v>40</v>
      </c>
      <c r="D755" s="90" t="s">
        <v>4541</v>
      </c>
      <c r="E755" s="90" t="s">
        <v>4542</v>
      </c>
      <c r="F755" s="91">
        <v>109</v>
      </c>
      <c r="G755" s="92">
        <v>70009528</v>
      </c>
      <c r="H755" s="91" t="s">
        <v>3896</v>
      </c>
      <c r="I755" s="93" t="s">
        <v>904</v>
      </c>
      <c r="J755" s="94" t="s">
        <v>3960</v>
      </c>
      <c r="K755" s="94" t="s">
        <v>3961</v>
      </c>
      <c r="L755" s="94" t="s">
        <v>3962</v>
      </c>
      <c r="M755" s="95">
        <v>379900</v>
      </c>
      <c r="N755" s="95">
        <v>6000</v>
      </c>
      <c r="O755" s="95">
        <v>8500</v>
      </c>
      <c r="P755" s="96">
        <v>0</v>
      </c>
      <c r="Q755" s="152"/>
      <c r="R755" s="95">
        <v>379900</v>
      </c>
      <c r="S755" s="95">
        <f>R755/24</f>
        <v>15829.166666666666</v>
      </c>
      <c r="T755" s="95">
        <v>379900</v>
      </c>
      <c r="U755" s="95">
        <f>T755/24</f>
        <v>15829.166666666666</v>
      </c>
      <c r="V755" s="95">
        <v>379900</v>
      </c>
      <c r="W755" s="95">
        <f>V755/24</f>
        <v>15829.166666666666</v>
      </c>
      <c r="X755" s="128"/>
      <c r="Y755" s="95">
        <v>244900</v>
      </c>
      <c r="Z755" s="95">
        <v>15000</v>
      </c>
      <c r="AA755" s="95">
        <f>IFERROR(IF(D755="Premium",0.4*Y755,0),"No Disp")</f>
        <v>0</v>
      </c>
      <c r="AB755" s="95">
        <f>IFERROR(IF(4*Y755&gt;AC755,1.5*Y755,4*Y755),"No Disp")</f>
        <v>367350</v>
      </c>
      <c r="AC755" s="95">
        <f>IF(Z755="No Disp","No Disp",(Z755*18)+Y755)</f>
        <v>514900</v>
      </c>
      <c r="AD755" s="95">
        <f>18*Z755-100+Y755</f>
        <v>514800</v>
      </c>
      <c r="AE755" s="95">
        <v>19900</v>
      </c>
      <c r="AF755" s="95">
        <v>27000</v>
      </c>
      <c r="AG755" s="95">
        <f>IF(AF755="No Disp","No Disp",(AF755*18)+AE755)</f>
        <v>505900</v>
      </c>
      <c r="AH755" s="98">
        <f>18*AF755-100+AE755</f>
        <v>505800</v>
      </c>
      <c r="AI755" s="95" t="s">
        <v>4613</v>
      </c>
      <c r="AJ755" s="99"/>
      <c r="AK755" s="100" t="s">
        <v>43</v>
      </c>
      <c r="AL755" s="100" t="s">
        <v>43</v>
      </c>
      <c r="AM755" s="100" t="str">
        <f>IF(AL755&lt;&gt;"No Disp",AK755+12*AL755,"No Disp")</f>
        <v>No Disp</v>
      </c>
      <c r="AN755" s="100" t="s">
        <v>43</v>
      </c>
      <c r="AO755" s="100" t="s">
        <v>43</v>
      </c>
      <c r="AP755" s="100" t="str">
        <f>IF(AO755&lt;&gt;"No Disp",AN755+12*AO755,"No Disp")</f>
        <v>No Disp</v>
      </c>
      <c r="AQ755" s="100" t="s">
        <v>43</v>
      </c>
      <c r="AR755" s="100" t="s">
        <v>43</v>
      </c>
      <c r="AS755" s="100" t="str">
        <f>IF(AR755&lt;&gt;"No Disp",AQ755+12*AR755,"No Disp")</f>
        <v>No Disp</v>
      </c>
    </row>
    <row r="756" spans="1:45" s="101" customFormat="1" x14ac:dyDescent="0.25">
      <c r="A756" s="90" t="s">
        <v>38</v>
      </c>
      <c r="B756" s="90" t="s">
        <v>39</v>
      </c>
      <c r="C756" s="90" t="s">
        <v>39</v>
      </c>
      <c r="D756" s="90" t="s">
        <v>4540</v>
      </c>
      <c r="E756" s="90" t="s">
        <v>4542</v>
      </c>
      <c r="F756" s="91">
        <v>358</v>
      </c>
      <c r="G756" s="92">
        <v>70012177</v>
      </c>
      <c r="H756" s="91" t="s">
        <v>3896</v>
      </c>
      <c r="I756" s="93" t="s">
        <v>112</v>
      </c>
      <c r="J756" s="94" t="s">
        <v>3834</v>
      </c>
      <c r="K756" s="94" t="s">
        <v>484</v>
      </c>
      <c r="L756" s="94" t="s">
        <v>485</v>
      </c>
      <c r="M756" s="95">
        <v>749900</v>
      </c>
      <c r="N756" s="95">
        <v>6000</v>
      </c>
      <c r="O756" s="95">
        <v>8500</v>
      </c>
      <c r="P756" s="96">
        <v>0</v>
      </c>
      <c r="Q756" s="152"/>
      <c r="R756" s="95">
        <v>749900</v>
      </c>
      <c r="S756" s="95">
        <f>R756/24</f>
        <v>31245.833333333332</v>
      </c>
      <c r="T756" s="95">
        <v>749900</v>
      </c>
      <c r="U756" s="95">
        <f>T756/24</f>
        <v>31245.833333333332</v>
      </c>
      <c r="V756" s="95">
        <v>749900</v>
      </c>
      <c r="W756" s="95">
        <f>V756/24</f>
        <v>31245.833333333332</v>
      </c>
      <c r="X756" s="128"/>
      <c r="Y756" s="95">
        <v>500000</v>
      </c>
      <c r="Z756" s="95">
        <v>28000</v>
      </c>
      <c r="AA756" s="95">
        <f>IFERROR(IF(D756="Premium",0.4*Y756,0),"No Disp")</f>
        <v>200000</v>
      </c>
      <c r="AB756" s="95">
        <f>IFERROR(IF(4*Y756&gt;AC756,1.5*Y756,4*Y756),"No Disp")</f>
        <v>750000</v>
      </c>
      <c r="AC756" s="95">
        <f>IF(Z756="No Disp","No Disp",(Z756*18)+Y756)</f>
        <v>1004000</v>
      </c>
      <c r="AD756" s="95">
        <f>18*Z756-100+Y756</f>
        <v>1003900</v>
      </c>
      <c r="AE756" s="95">
        <v>199900</v>
      </c>
      <c r="AF756" s="95">
        <v>46000</v>
      </c>
      <c r="AG756" s="95">
        <f>IF(AF756="No Disp","No Disp",(AF756*18)+AE756)</f>
        <v>1027900</v>
      </c>
      <c r="AH756" s="98">
        <f>18*AF756-100+AE756</f>
        <v>1027800</v>
      </c>
      <c r="AI756" s="95" t="s">
        <v>4613</v>
      </c>
      <c r="AJ756" s="99"/>
      <c r="AK756" s="100" t="s">
        <v>43</v>
      </c>
      <c r="AL756" s="100" t="s">
        <v>43</v>
      </c>
      <c r="AM756" s="100" t="str">
        <f>IF(AL756&lt;&gt;"No Disp",AK756+12*AL756,"No Disp")</f>
        <v>No Disp</v>
      </c>
      <c r="AN756" s="100" t="s">
        <v>43</v>
      </c>
      <c r="AO756" s="100" t="s">
        <v>43</v>
      </c>
      <c r="AP756" s="100" t="str">
        <f>IF(AO756&lt;&gt;"No Disp",AN756+12*AO756,"No Disp")</f>
        <v>No Disp</v>
      </c>
      <c r="AQ756" s="100" t="s">
        <v>43</v>
      </c>
      <c r="AR756" s="100" t="s">
        <v>43</v>
      </c>
      <c r="AS756" s="100" t="str">
        <f>IF(AR756&lt;&gt;"No Disp",AQ756+12*AR756,"No Disp")</f>
        <v>No Disp</v>
      </c>
    </row>
    <row r="757" spans="1:45" s="101" customFormat="1" x14ac:dyDescent="0.25">
      <c r="A757" s="90" t="s">
        <v>102</v>
      </c>
      <c r="B757" s="90" t="s">
        <v>39</v>
      </c>
      <c r="C757" s="90" t="s">
        <v>40</v>
      </c>
      <c r="D757" s="90" t="s">
        <v>4539</v>
      </c>
      <c r="E757" s="90" t="s">
        <v>4542</v>
      </c>
      <c r="F757" s="91">
        <v>172</v>
      </c>
      <c r="G757" s="92">
        <v>70010435</v>
      </c>
      <c r="H757" s="91" t="s">
        <v>3896</v>
      </c>
      <c r="I757" s="93" t="s">
        <v>87</v>
      </c>
      <c r="J757" s="94" t="s">
        <v>3680</v>
      </c>
      <c r="K757" s="94" t="s">
        <v>838</v>
      </c>
      <c r="L757" s="94" t="s">
        <v>3950</v>
      </c>
      <c r="M757" s="95">
        <v>59900</v>
      </c>
      <c r="N757" s="95">
        <v>2500</v>
      </c>
      <c r="O757" s="95">
        <v>4000</v>
      </c>
      <c r="P757" s="96">
        <v>0</v>
      </c>
      <c r="Q757" s="152"/>
      <c r="R757" s="95">
        <v>59900</v>
      </c>
      <c r="S757" s="95">
        <f>R757/24</f>
        <v>2495.8333333333335</v>
      </c>
      <c r="T757" s="95">
        <v>59900</v>
      </c>
      <c r="U757" s="95">
        <f>T757/24</f>
        <v>2495.8333333333335</v>
      </c>
      <c r="V757" s="95">
        <v>59900</v>
      </c>
      <c r="W757" s="95">
        <f>V757/24</f>
        <v>2495.8333333333335</v>
      </c>
      <c r="X757" s="128"/>
      <c r="Y757" s="95">
        <v>99900</v>
      </c>
      <c r="Z757" s="95">
        <v>14000</v>
      </c>
      <c r="AA757" s="95">
        <f>IFERROR(IF(D757="Premium",0.4*Y757,0),"No Disp")</f>
        <v>0</v>
      </c>
      <c r="AB757" s="95">
        <f>IFERROR(IF(4*Y757&gt;AC757,1.5*Y757,4*Y757),"No Disp")</f>
        <v>149850</v>
      </c>
      <c r="AC757" s="95">
        <f>IF(Z757="No Disp","No Disp",(Z757*18)+Y757)</f>
        <v>351900</v>
      </c>
      <c r="AD757" s="95">
        <f>18*Z757-100+Y757</f>
        <v>351800</v>
      </c>
      <c r="AE757" s="95">
        <v>19900</v>
      </c>
      <c r="AF757" s="95">
        <v>3500</v>
      </c>
      <c r="AG757" s="95">
        <f>IF(AF757="No Disp","No Disp",(AF757*18)+AE757)</f>
        <v>82900</v>
      </c>
      <c r="AH757" s="98">
        <f>18*AF757-100+AE757</f>
        <v>82800</v>
      </c>
      <c r="AI757" s="95" t="s">
        <v>4613</v>
      </c>
      <c r="AJ757" s="99"/>
      <c r="AK757" s="100" t="s">
        <v>43</v>
      </c>
      <c r="AL757" s="100" t="s">
        <v>43</v>
      </c>
      <c r="AM757" s="100" t="str">
        <f>IF(AL757&lt;&gt;"No Disp",AK757+12*AL757,"No Disp")</f>
        <v>No Disp</v>
      </c>
      <c r="AN757" s="100" t="s">
        <v>43</v>
      </c>
      <c r="AO757" s="100" t="s">
        <v>43</v>
      </c>
      <c r="AP757" s="100" t="str">
        <f>IF(AO757&lt;&gt;"No Disp",AN757+12*AO757,"No Disp")</f>
        <v>No Disp</v>
      </c>
      <c r="AQ757" s="100" t="s">
        <v>43</v>
      </c>
      <c r="AR757" s="100" t="s">
        <v>43</v>
      </c>
      <c r="AS757" s="100" t="str">
        <f>IF(AR757&lt;&gt;"No Disp",AQ757+12*AR757,"No Disp")</f>
        <v>No Disp</v>
      </c>
    </row>
    <row r="758" spans="1:45" s="101" customFormat="1" x14ac:dyDescent="0.25">
      <c r="A758" s="90" t="s">
        <v>102</v>
      </c>
      <c r="B758" s="90" t="s">
        <v>39</v>
      </c>
      <c r="C758" s="90" t="s">
        <v>40</v>
      </c>
      <c r="D758" s="90" t="s">
        <v>4539</v>
      </c>
      <c r="E758" s="90" t="s">
        <v>4542</v>
      </c>
      <c r="F758" s="91">
        <v>141</v>
      </c>
      <c r="G758" s="92">
        <v>70010085</v>
      </c>
      <c r="H758" s="91" t="s">
        <v>3896</v>
      </c>
      <c r="I758" s="93" t="s">
        <v>87</v>
      </c>
      <c r="J758" s="94" t="s">
        <v>3680</v>
      </c>
      <c r="K758" s="94" t="s">
        <v>874</v>
      </c>
      <c r="L758" s="94" t="s">
        <v>3956</v>
      </c>
      <c r="M758" s="95">
        <v>59900</v>
      </c>
      <c r="N758" s="95">
        <v>2500</v>
      </c>
      <c r="O758" s="95">
        <v>4000</v>
      </c>
      <c r="P758" s="96">
        <v>0</v>
      </c>
      <c r="Q758" s="152"/>
      <c r="R758" s="95">
        <v>59900</v>
      </c>
      <c r="S758" s="95">
        <f>R758/24</f>
        <v>2495.8333333333335</v>
      </c>
      <c r="T758" s="95">
        <v>59900</v>
      </c>
      <c r="U758" s="95">
        <f>T758/24</f>
        <v>2495.8333333333335</v>
      </c>
      <c r="V758" s="95">
        <v>59900</v>
      </c>
      <c r="W758" s="95">
        <f>V758/24</f>
        <v>2495.8333333333335</v>
      </c>
      <c r="X758" s="128"/>
      <c r="Y758" s="95">
        <v>99900</v>
      </c>
      <c r="Z758" s="95">
        <v>14000</v>
      </c>
      <c r="AA758" s="95">
        <f>IFERROR(IF(D758="Premium",0.4*Y758,0),"No Disp")</f>
        <v>0</v>
      </c>
      <c r="AB758" s="95">
        <f>IFERROR(IF(4*Y758&gt;AC758,1.5*Y758,4*Y758),"No Disp")</f>
        <v>149850</v>
      </c>
      <c r="AC758" s="95">
        <f>IF(Z758="No Disp","No Disp",(Z758*18)+Y758)</f>
        <v>351900</v>
      </c>
      <c r="AD758" s="95">
        <f>18*Z758-100+Y758</f>
        <v>351800</v>
      </c>
      <c r="AE758" s="95">
        <v>19900</v>
      </c>
      <c r="AF758" s="95">
        <v>3500</v>
      </c>
      <c r="AG758" s="95">
        <f>IF(AF758="No Disp","No Disp",(AF758*18)+AE758)</f>
        <v>82900</v>
      </c>
      <c r="AH758" s="98">
        <f>18*AF758-100+AE758</f>
        <v>82800</v>
      </c>
      <c r="AI758" s="95" t="s">
        <v>4613</v>
      </c>
      <c r="AJ758" s="99"/>
      <c r="AK758" s="100" t="s">
        <v>43</v>
      </c>
      <c r="AL758" s="100" t="s">
        <v>43</v>
      </c>
      <c r="AM758" s="100" t="str">
        <f>IF(AL758&lt;&gt;"No Disp",AK758+12*AL758,"No Disp")</f>
        <v>No Disp</v>
      </c>
      <c r="AN758" s="100" t="s">
        <v>43</v>
      </c>
      <c r="AO758" s="100" t="s">
        <v>43</v>
      </c>
      <c r="AP758" s="100" t="str">
        <f>IF(AO758&lt;&gt;"No Disp",AN758+12*AO758,"No Disp")</f>
        <v>No Disp</v>
      </c>
      <c r="AQ758" s="100" t="s">
        <v>43</v>
      </c>
      <c r="AR758" s="100" t="s">
        <v>43</v>
      </c>
      <c r="AS758" s="100" t="str">
        <f>IF(AR758&lt;&gt;"No Disp",AQ758+12*AR758,"No Disp")</f>
        <v>No Disp</v>
      </c>
    </row>
    <row r="759" spans="1:45" s="101" customFormat="1" x14ac:dyDescent="0.25">
      <c r="A759" s="90" t="s">
        <v>102</v>
      </c>
      <c r="B759" s="90" t="s">
        <v>39</v>
      </c>
      <c r="C759" s="90" t="s">
        <v>40</v>
      </c>
      <c r="D759" s="90" t="s">
        <v>4539</v>
      </c>
      <c r="E759" s="90" t="s">
        <v>4542</v>
      </c>
      <c r="F759" s="91">
        <v>140</v>
      </c>
      <c r="G759" s="92">
        <v>70010084</v>
      </c>
      <c r="H759" s="91" t="s">
        <v>3896</v>
      </c>
      <c r="I759" s="93" t="s">
        <v>87</v>
      </c>
      <c r="J759" s="94" t="s">
        <v>3680</v>
      </c>
      <c r="K759" s="94" t="s">
        <v>875</v>
      </c>
      <c r="L759" s="94" t="s">
        <v>3957</v>
      </c>
      <c r="M759" s="95">
        <v>59900</v>
      </c>
      <c r="N759" s="95">
        <v>2500</v>
      </c>
      <c r="O759" s="95">
        <v>4000</v>
      </c>
      <c r="P759" s="96">
        <v>0</v>
      </c>
      <c r="Q759" s="152"/>
      <c r="R759" s="95">
        <v>59900</v>
      </c>
      <c r="S759" s="95">
        <f>R759/24</f>
        <v>2495.8333333333335</v>
      </c>
      <c r="T759" s="95">
        <v>59900</v>
      </c>
      <c r="U759" s="95">
        <f>T759/24</f>
        <v>2495.8333333333335</v>
      </c>
      <c r="V759" s="95">
        <v>59900</v>
      </c>
      <c r="W759" s="95">
        <f>V759/24</f>
        <v>2495.8333333333335</v>
      </c>
      <c r="X759" s="128"/>
      <c r="Y759" s="95">
        <v>99900</v>
      </c>
      <c r="Z759" s="95">
        <v>14000</v>
      </c>
      <c r="AA759" s="95">
        <f>IFERROR(IF(D759="Premium",0.4*Y759,0),"No Disp")</f>
        <v>0</v>
      </c>
      <c r="AB759" s="95">
        <f>IFERROR(IF(4*Y759&gt;AC759,1.5*Y759,4*Y759),"No Disp")</f>
        <v>149850</v>
      </c>
      <c r="AC759" s="95">
        <f>IF(Z759="No Disp","No Disp",(Z759*18)+Y759)</f>
        <v>351900</v>
      </c>
      <c r="AD759" s="95">
        <f>18*Z759-100+Y759</f>
        <v>351800</v>
      </c>
      <c r="AE759" s="95">
        <v>19900</v>
      </c>
      <c r="AF759" s="95">
        <v>3500</v>
      </c>
      <c r="AG759" s="95">
        <f>IF(AF759="No Disp","No Disp",(AF759*18)+AE759)</f>
        <v>82900</v>
      </c>
      <c r="AH759" s="98">
        <f>18*AF759-100+AE759</f>
        <v>82800</v>
      </c>
      <c r="AI759" s="95" t="s">
        <v>4613</v>
      </c>
      <c r="AJ759" s="99"/>
      <c r="AK759" s="100" t="s">
        <v>43</v>
      </c>
      <c r="AL759" s="100" t="s">
        <v>43</v>
      </c>
      <c r="AM759" s="100" t="str">
        <f>IF(AL759&lt;&gt;"No Disp",AK759+12*AL759,"No Disp")</f>
        <v>No Disp</v>
      </c>
      <c r="AN759" s="100" t="s">
        <v>43</v>
      </c>
      <c r="AO759" s="100" t="s">
        <v>43</v>
      </c>
      <c r="AP759" s="100" t="str">
        <f>IF(AO759&lt;&gt;"No Disp",AN759+12*AO759,"No Disp")</f>
        <v>No Disp</v>
      </c>
      <c r="AQ759" s="100" t="s">
        <v>43</v>
      </c>
      <c r="AR759" s="100" t="s">
        <v>43</v>
      </c>
      <c r="AS759" s="100" t="str">
        <f>IF(AR759&lt;&gt;"No Disp",AQ759+12*AR759,"No Disp")</f>
        <v>No Disp</v>
      </c>
    </row>
    <row r="760" spans="1:45" s="101" customFormat="1" x14ac:dyDescent="0.25">
      <c r="A760" s="90" t="s">
        <v>102</v>
      </c>
      <c r="B760" s="90" t="s">
        <v>39</v>
      </c>
      <c r="C760" s="90" t="s">
        <v>39</v>
      </c>
      <c r="D760" s="90" t="s">
        <v>4539</v>
      </c>
      <c r="E760" s="90" t="s">
        <v>4542</v>
      </c>
      <c r="F760" s="91">
        <v>139</v>
      </c>
      <c r="G760" s="92">
        <v>70010083</v>
      </c>
      <c r="H760" s="91" t="s">
        <v>3896</v>
      </c>
      <c r="I760" s="93" t="s">
        <v>87</v>
      </c>
      <c r="J760" s="94" t="s">
        <v>3680</v>
      </c>
      <c r="K760" s="94" t="s">
        <v>876</v>
      </c>
      <c r="L760" s="94" t="s">
        <v>3958</v>
      </c>
      <c r="M760" s="95">
        <v>59900</v>
      </c>
      <c r="N760" s="95">
        <v>2500</v>
      </c>
      <c r="O760" s="95">
        <v>4000</v>
      </c>
      <c r="P760" s="96">
        <v>0</v>
      </c>
      <c r="Q760" s="152"/>
      <c r="R760" s="95">
        <v>59900</v>
      </c>
      <c r="S760" s="95">
        <f>R760/24</f>
        <v>2495.8333333333335</v>
      </c>
      <c r="T760" s="95">
        <v>59900</v>
      </c>
      <c r="U760" s="95">
        <f>T760/24</f>
        <v>2495.8333333333335</v>
      </c>
      <c r="V760" s="95">
        <v>59900</v>
      </c>
      <c r="W760" s="95">
        <f>V760/24</f>
        <v>2495.8333333333335</v>
      </c>
      <c r="X760" s="128"/>
      <c r="Y760" s="95">
        <v>99900</v>
      </c>
      <c r="Z760" s="95">
        <v>14000</v>
      </c>
      <c r="AA760" s="95">
        <f>IFERROR(IF(D760="Premium",0.4*Y760,0),"No Disp")</f>
        <v>0</v>
      </c>
      <c r="AB760" s="95">
        <f>IFERROR(IF(4*Y760&gt;AC760,1.5*Y760,4*Y760),"No Disp")</f>
        <v>149850</v>
      </c>
      <c r="AC760" s="95">
        <f>IF(Z760="No Disp","No Disp",(Z760*18)+Y760)</f>
        <v>351900</v>
      </c>
      <c r="AD760" s="95">
        <f>18*Z760-100+Y760</f>
        <v>351800</v>
      </c>
      <c r="AE760" s="95">
        <v>19900</v>
      </c>
      <c r="AF760" s="95">
        <v>3500</v>
      </c>
      <c r="AG760" s="95">
        <f>IF(AF760="No Disp","No Disp",(AF760*18)+AE760)</f>
        <v>82900</v>
      </c>
      <c r="AH760" s="98">
        <f>18*AF760-100+AE760</f>
        <v>82800</v>
      </c>
      <c r="AI760" s="95" t="s">
        <v>4613</v>
      </c>
      <c r="AJ760" s="99"/>
      <c r="AK760" s="100" t="s">
        <v>43</v>
      </c>
      <c r="AL760" s="100" t="s">
        <v>43</v>
      </c>
      <c r="AM760" s="100" t="str">
        <f>IF(AL760&lt;&gt;"No Disp",AK760+12*AL760,"No Disp")</f>
        <v>No Disp</v>
      </c>
      <c r="AN760" s="100" t="s">
        <v>43</v>
      </c>
      <c r="AO760" s="100" t="s">
        <v>43</v>
      </c>
      <c r="AP760" s="100" t="str">
        <f>IF(AO760&lt;&gt;"No Disp",AN760+12*AO760,"No Disp")</f>
        <v>No Disp</v>
      </c>
      <c r="AQ760" s="100" t="s">
        <v>43</v>
      </c>
      <c r="AR760" s="100" t="s">
        <v>43</v>
      </c>
      <c r="AS760" s="100" t="str">
        <f>IF(AR760&lt;&gt;"No Disp",AQ760+12*AR760,"No Disp")</f>
        <v>No Disp</v>
      </c>
    </row>
    <row r="761" spans="1:45" s="101" customFormat="1" x14ac:dyDescent="0.25">
      <c r="A761" s="90" t="s">
        <v>102</v>
      </c>
      <c r="B761" s="90" t="s">
        <v>39</v>
      </c>
      <c r="C761" s="90" t="s">
        <v>39</v>
      </c>
      <c r="D761" s="90" t="s">
        <v>4539</v>
      </c>
      <c r="E761" s="90" t="s">
        <v>4542</v>
      </c>
      <c r="F761" s="91">
        <v>138</v>
      </c>
      <c r="G761" s="92">
        <v>70010082</v>
      </c>
      <c r="H761" s="91" t="s">
        <v>3896</v>
      </c>
      <c r="I761" s="93" t="s">
        <v>87</v>
      </c>
      <c r="J761" s="94" t="s">
        <v>3680</v>
      </c>
      <c r="K761" s="94" t="s">
        <v>877</v>
      </c>
      <c r="L761" s="94" t="s">
        <v>3959</v>
      </c>
      <c r="M761" s="95">
        <v>59900</v>
      </c>
      <c r="N761" s="95">
        <v>2500</v>
      </c>
      <c r="O761" s="95">
        <v>4000</v>
      </c>
      <c r="P761" s="96">
        <v>0</v>
      </c>
      <c r="Q761" s="152"/>
      <c r="R761" s="95">
        <v>59900</v>
      </c>
      <c r="S761" s="95">
        <f>R761/24</f>
        <v>2495.8333333333335</v>
      </c>
      <c r="T761" s="95">
        <v>59900</v>
      </c>
      <c r="U761" s="95">
        <f>T761/24</f>
        <v>2495.8333333333335</v>
      </c>
      <c r="V761" s="95">
        <v>59900</v>
      </c>
      <c r="W761" s="95">
        <f>V761/24</f>
        <v>2495.8333333333335</v>
      </c>
      <c r="X761" s="128"/>
      <c r="Y761" s="95">
        <v>99900</v>
      </c>
      <c r="Z761" s="95">
        <v>14000</v>
      </c>
      <c r="AA761" s="95">
        <f>IFERROR(IF(D761="Premium",0.4*Y761,0),"No Disp")</f>
        <v>0</v>
      </c>
      <c r="AB761" s="95">
        <f>IFERROR(IF(4*Y761&gt;AC761,1.5*Y761,4*Y761),"No Disp")</f>
        <v>149850</v>
      </c>
      <c r="AC761" s="95">
        <f>IF(Z761="No Disp","No Disp",(Z761*18)+Y761)</f>
        <v>351900</v>
      </c>
      <c r="AD761" s="95">
        <f>18*Z761-100+Y761</f>
        <v>351800</v>
      </c>
      <c r="AE761" s="95">
        <v>19900</v>
      </c>
      <c r="AF761" s="95">
        <v>3500</v>
      </c>
      <c r="AG761" s="95">
        <f>IF(AF761="No Disp","No Disp",(AF761*18)+AE761)</f>
        <v>82900</v>
      </c>
      <c r="AH761" s="98">
        <f>18*AF761-100+AE761</f>
        <v>82800</v>
      </c>
      <c r="AI761" s="95" t="s">
        <v>4613</v>
      </c>
      <c r="AJ761" s="99"/>
      <c r="AK761" s="100" t="s">
        <v>43</v>
      </c>
      <c r="AL761" s="100" t="s">
        <v>43</v>
      </c>
      <c r="AM761" s="100" t="str">
        <f>IF(AL761&lt;&gt;"No Disp",AK761+12*AL761,"No Disp")</f>
        <v>No Disp</v>
      </c>
      <c r="AN761" s="100" t="s">
        <v>43</v>
      </c>
      <c r="AO761" s="100" t="s">
        <v>43</v>
      </c>
      <c r="AP761" s="100" t="str">
        <f>IF(AO761&lt;&gt;"No Disp",AN761+12*AO761,"No Disp")</f>
        <v>No Disp</v>
      </c>
      <c r="AQ761" s="100" t="s">
        <v>43</v>
      </c>
      <c r="AR761" s="100" t="s">
        <v>43</v>
      </c>
      <c r="AS761" s="100" t="str">
        <f>IF(AR761&lt;&gt;"No Disp",AQ761+12*AR761,"No Disp")</f>
        <v>No Disp</v>
      </c>
    </row>
    <row r="762" spans="1:45" s="101" customFormat="1" x14ac:dyDescent="0.25">
      <c r="A762" s="90" t="s">
        <v>38</v>
      </c>
      <c r="B762" s="90" t="s">
        <v>39</v>
      </c>
      <c r="C762" s="90" t="s">
        <v>40</v>
      </c>
      <c r="D762" s="90" t="s">
        <v>4537</v>
      </c>
      <c r="E762" s="90" t="s">
        <v>4542</v>
      </c>
      <c r="F762" s="91">
        <v>177</v>
      </c>
      <c r="G762" s="92">
        <v>70010456</v>
      </c>
      <c r="H762" s="91" t="s">
        <v>3896</v>
      </c>
      <c r="I762" s="93" t="s">
        <v>87</v>
      </c>
      <c r="J762" s="94" t="s">
        <v>3696</v>
      </c>
      <c r="K762" s="94" t="s">
        <v>833</v>
      </c>
      <c r="L762" s="94" t="s">
        <v>3948</v>
      </c>
      <c r="M762" s="95">
        <v>99900</v>
      </c>
      <c r="N762" s="95">
        <v>2500</v>
      </c>
      <c r="O762" s="95">
        <v>4000</v>
      </c>
      <c r="P762" s="96">
        <v>0</v>
      </c>
      <c r="Q762" s="152"/>
      <c r="R762" s="95">
        <v>99900</v>
      </c>
      <c r="S762" s="95">
        <f>R762/24</f>
        <v>4162.5</v>
      </c>
      <c r="T762" s="95">
        <v>99900</v>
      </c>
      <c r="U762" s="95">
        <f>T762/24</f>
        <v>4162.5</v>
      </c>
      <c r="V762" s="95">
        <v>99900</v>
      </c>
      <c r="W762" s="95">
        <f>V762/24</f>
        <v>4162.5</v>
      </c>
      <c r="X762" s="128"/>
      <c r="Y762" s="95">
        <v>249900</v>
      </c>
      <c r="Z762" s="95">
        <v>13000</v>
      </c>
      <c r="AA762" s="95">
        <f>IFERROR(IF(D762="Premium",0.4*Y762,0),"No Disp")</f>
        <v>0</v>
      </c>
      <c r="AB762" s="95">
        <f>IFERROR(IF(4*Y762&gt;AC762,1.5*Y762,4*Y762),"No Disp")</f>
        <v>374850</v>
      </c>
      <c r="AC762" s="95">
        <f>IF(Z762="No Disp","No Disp",(Z762*18)+Y762)</f>
        <v>483900</v>
      </c>
      <c r="AD762" s="95">
        <f>18*Z762-100+Y762</f>
        <v>483800</v>
      </c>
      <c r="AE762" s="95">
        <v>19900</v>
      </c>
      <c r="AF762" s="95">
        <v>6500</v>
      </c>
      <c r="AG762" s="95">
        <f>IF(AF762="No Disp","No Disp",(AF762*18)+AE762)</f>
        <v>136900</v>
      </c>
      <c r="AH762" s="98">
        <f>18*AF762-100+AE762</f>
        <v>136800</v>
      </c>
      <c r="AI762" s="95" t="s">
        <v>4613</v>
      </c>
      <c r="AJ762" s="99"/>
      <c r="AK762" s="100" t="s">
        <v>43</v>
      </c>
      <c r="AL762" s="100" t="s">
        <v>43</v>
      </c>
      <c r="AM762" s="100" t="str">
        <f>IF(AL762&lt;&gt;"No Disp",AK762+12*AL762,"No Disp")</f>
        <v>No Disp</v>
      </c>
      <c r="AN762" s="100" t="s">
        <v>43</v>
      </c>
      <c r="AO762" s="100" t="s">
        <v>43</v>
      </c>
      <c r="AP762" s="100" t="str">
        <f>IF(AO762&lt;&gt;"No Disp",AN762+12*AO762,"No Disp")</f>
        <v>No Disp</v>
      </c>
      <c r="AQ762" s="100" t="s">
        <v>43</v>
      </c>
      <c r="AR762" s="100" t="s">
        <v>43</v>
      </c>
      <c r="AS762" s="100" t="str">
        <f>IF(AR762&lt;&gt;"No Disp",AQ762+12*AR762,"No Disp")</f>
        <v>No Disp</v>
      </c>
    </row>
    <row r="763" spans="1:45" s="101" customFormat="1" x14ac:dyDescent="0.25">
      <c r="A763" s="90" t="s">
        <v>38</v>
      </c>
      <c r="B763" s="90" t="s">
        <v>39</v>
      </c>
      <c r="C763" s="90" t="s">
        <v>40</v>
      </c>
      <c r="D763" s="90" t="s">
        <v>4537</v>
      </c>
      <c r="E763" s="90" t="s">
        <v>4542</v>
      </c>
      <c r="F763" s="91">
        <v>176</v>
      </c>
      <c r="G763" s="92">
        <v>70010455</v>
      </c>
      <c r="H763" s="91" t="s">
        <v>3896</v>
      </c>
      <c r="I763" s="93" t="s">
        <v>87</v>
      </c>
      <c r="J763" s="94" t="s">
        <v>3696</v>
      </c>
      <c r="K763" s="94" t="s">
        <v>834</v>
      </c>
      <c r="L763" s="94" t="s">
        <v>3949</v>
      </c>
      <c r="M763" s="95">
        <v>99900</v>
      </c>
      <c r="N763" s="95">
        <v>2500</v>
      </c>
      <c r="O763" s="95">
        <v>4000</v>
      </c>
      <c r="P763" s="96">
        <v>0</v>
      </c>
      <c r="Q763" s="152"/>
      <c r="R763" s="95">
        <v>99900</v>
      </c>
      <c r="S763" s="95">
        <f>R763/24</f>
        <v>4162.5</v>
      </c>
      <c r="T763" s="95">
        <v>99900</v>
      </c>
      <c r="U763" s="95">
        <f>T763/24</f>
        <v>4162.5</v>
      </c>
      <c r="V763" s="95">
        <v>99900</v>
      </c>
      <c r="W763" s="95">
        <f>V763/24</f>
        <v>4162.5</v>
      </c>
      <c r="X763" s="128"/>
      <c r="Y763" s="95">
        <v>249900</v>
      </c>
      <c r="Z763" s="95">
        <v>13000</v>
      </c>
      <c r="AA763" s="95">
        <f>IFERROR(IF(D763="Premium",0.4*Y763,0),"No Disp")</f>
        <v>0</v>
      </c>
      <c r="AB763" s="95">
        <f>IFERROR(IF(4*Y763&gt;AC763,1.5*Y763,4*Y763),"No Disp")</f>
        <v>374850</v>
      </c>
      <c r="AC763" s="95">
        <f>IF(Z763="No Disp","No Disp",(Z763*18)+Y763)</f>
        <v>483900</v>
      </c>
      <c r="AD763" s="95">
        <f>18*Z763-100+Y763</f>
        <v>483800</v>
      </c>
      <c r="AE763" s="95">
        <v>19900</v>
      </c>
      <c r="AF763" s="95">
        <v>6500</v>
      </c>
      <c r="AG763" s="95">
        <f>IF(AF763="No Disp","No Disp",(AF763*18)+AE763)</f>
        <v>136900</v>
      </c>
      <c r="AH763" s="98">
        <f>18*AF763-100+AE763</f>
        <v>136800</v>
      </c>
      <c r="AI763" s="95" t="s">
        <v>4613</v>
      </c>
      <c r="AJ763" s="99"/>
      <c r="AK763" s="100" t="s">
        <v>43</v>
      </c>
      <c r="AL763" s="100" t="s">
        <v>43</v>
      </c>
      <c r="AM763" s="100" t="str">
        <f>IF(AL763&lt;&gt;"No Disp",AK763+12*AL763,"No Disp")</f>
        <v>No Disp</v>
      </c>
      <c r="AN763" s="100" t="s">
        <v>43</v>
      </c>
      <c r="AO763" s="100" t="s">
        <v>43</v>
      </c>
      <c r="AP763" s="100" t="str">
        <f>IF(AO763&lt;&gt;"No Disp",AN763+12*AO763,"No Disp")</f>
        <v>No Disp</v>
      </c>
      <c r="AQ763" s="100" t="s">
        <v>43</v>
      </c>
      <c r="AR763" s="100" t="s">
        <v>43</v>
      </c>
      <c r="AS763" s="100" t="str">
        <f>IF(AR763&lt;&gt;"No Disp",AQ763+12*AR763,"No Disp")</f>
        <v>No Disp</v>
      </c>
    </row>
    <row r="764" spans="1:45" s="101" customFormat="1" x14ac:dyDescent="0.25">
      <c r="A764" s="90" t="s">
        <v>102</v>
      </c>
      <c r="B764" s="90" t="s">
        <v>39</v>
      </c>
      <c r="C764" s="90" t="s">
        <v>40</v>
      </c>
      <c r="D764" s="90" t="s">
        <v>4539</v>
      </c>
      <c r="E764" s="90" t="s">
        <v>4542</v>
      </c>
      <c r="F764" s="91">
        <v>290</v>
      </c>
      <c r="G764" s="92">
        <v>70011620</v>
      </c>
      <c r="H764" s="91" t="s">
        <v>3896</v>
      </c>
      <c r="I764" s="93" t="s">
        <v>87</v>
      </c>
      <c r="J764" s="94" t="s">
        <v>3939</v>
      </c>
      <c r="K764" s="94" t="s">
        <v>630</v>
      </c>
      <c r="L764" s="94" t="s">
        <v>631</v>
      </c>
      <c r="M764" s="95">
        <v>219900</v>
      </c>
      <c r="N764" s="95">
        <v>4000</v>
      </c>
      <c r="O764" s="95">
        <v>6000</v>
      </c>
      <c r="P764" s="96">
        <v>0</v>
      </c>
      <c r="Q764" s="152"/>
      <c r="R764" s="95">
        <v>219900</v>
      </c>
      <c r="S764" s="95">
        <f>R764/24</f>
        <v>9162.5</v>
      </c>
      <c r="T764" s="95">
        <v>219900</v>
      </c>
      <c r="U764" s="95">
        <f>T764/24</f>
        <v>9162.5</v>
      </c>
      <c r="V764" s="95">
        <v>219900</v>
      </c>
      <c r="W764" s="95">
        <f>V764/24</f>
        <v>9162.5</v>
      </c>
      <c r="X764" s="128"/>
      <c r="Y764" s="95">
        <v>99900</v>
      </c>
      <c r="Z764" s="95">
        <v>12000</v>
      </c>
      <c r="AA764" s="95">
        <f>IFERROR(IF(D764="Premium",0.4*Y764,0),"No Disp")</f>
        <v>0</v>
      </c>
      <c r="AB764" s="95">
        <f>IFERROR(IF(4*Y764&gt;AC764,1.5*Y764,4*Y764),"No Disp")</f>
        <v>149850</v>
      </c>
      <c r="AC764" s="95">
        <f>IF(Z764="No Disp","No Disp",(Z764*18)+Y764)</f>
        <v>315900</v>
      </c>
      <c r="AD764" s="95">
        <f>18*Z764-100+Y764</f>
        <v>315800</v>
      </c>
      <c r="AE764" s="95">
        <v>19900</v>
      </c>
      <c r="AF764" s="95">
        <v>16000</v>
      </c>
      <c r="AG764" s="95">
        <f>IF(AF764="No Disp","No Disp",(AF764*18)+AE764)</f>
        <v>307900</v>
      </c>
      <c r="AH764" s="98">
        <f>18*AF764-100+AE764</f>
        <v>307800</v>
      </c>
      <c r="AI764" s="95" t="s">
        <v>4613</v>
      </c>
      <c r="AJ764" s="99"/>
      <c r="AK764" s="100" t="s">
        <v>43</v>
      </c>
      <c r="AL764" s="100" t="s">
        <v>43</v>
      </c>
      <c r="AM764" s="100" t="str">
        <f>IF(AL764&lt;&gt;"No Disp",AK764+12*AL764,"No Disp")</f>
        <v>No Disp</v>
      </c>
      <c r="AN764" s="100" t="s">
        <v>43</v>
      </c>
      <c r="AO764" s="100" t="s">
        <v>43</v>
      </c>
      <c r="AP764" s="100" t="str">
        <f>IF(AO764&lt;&gt;"No Disp",AN764+12*AO764,"No Disp")</f>
        <v>No Disp</v>
      </c>
      <c r="AQ764" s="100" t="s">
        <v>43</v>
      </c>
      <c r="AR764" s="100" t="s">
        <v>43</v>
      </c>
      <c r="AS764" s="100" t="str">
        <f>IF(AR764&lt;&gt;"No Disp",AQ764+12*AR764,"No Disp")</f>
        <v>No Disp</v>
      </c>
    </row>
    <row r="765" spans="1:45" s="101" customFormat="1" x14ac:dyDescent="0.25">
      <c r="A765" s="90" t="s">
        <v>38</v>
      </c>
      <c r="B765" s="90" t="s">
        <v>39</v>
      </c>
      <c r="C765" s="90" t="s">
        <v>40</v>
      </c>
      <c r="D765" s="90" t="s">
        <v>4537</v>
      </c>
      <c r="E765" s="90" t="s">
        <v>4542</v>
      </c>
      <c r="F765" s="91">
        <v>289</v>
      </c>
      <c r="G765" s="92">
        <v>70011618</v>
      </c>
      <c r="H765" s="91" t="s">
        <v>3896</v>
      </c>
      <c r="I765" s="93" t="s">
        <v>87</v>
      </c>
      <c r="J765" s="94" t="s">
        <v>3940</v>
      </c>
      <c r="K765" s="94" t="s">
        <v>632</v>
      </c>
      <c r="L765" s="94" t="s">
        <v>633</v>
      </c>
      <c r="M765" s="95">
        <v>209900</v>
      </c>
      <c r="N765" s="95">
        <v>4000</v>
      </c>
      <c r="O765" s="95">
        <v>6000</v>
      </c>
      <c r="P765" s="96">
        <v>0</v>
      </c>
      <c r="Q765" s="152"/>
      <c r="R765" s="95">
        <v>209900</v>
      </c>
      <c r="S765" s="95">
        <f>R765/24</f>
        <v>8745.8333333333339</v>
      </c>
      <c r="T765" s="95">
        <v>209900</v>
      </c>
      <c r="U765" s="95">
        <f>T765/24</f>
        <v>8745.8333333333339</v>
      </c>
      <c r="V765" s="95">
        <v>209900</v>
      </c>
      <c r="W765" s="95">
        <f>V765/24</f>
        <v>8745.8333333333339</v>
      </c>
      <c r="X765" s="128"/>
      <c r="Y765" s="95">
        <v>419900</v>
      </c>
      <c r="Z765" s="95">
        <v>22500</v>
      </c>
      <c r="AA765" s="95">
        <f>IFERROR(IF(D765="Premium",0.4*Y765,0),"No Disp")</f>
        <v>0</v>
      </c>
      <c r="AB765" s="95">
        <f>IFERROR(IF(4*Y765&gt;AC765,1.5*Y765,4*Y765),"No Disp")</f>
        <v>629850</v>
      </c>
      <c r="AC765" s="95">
        <f>IF(Z765="No Disp","No Disp",(Z765*18)+Y765)</f>
        <v>824900</v>
      </c>
      <c r="AD765" s="95">
        <f>18*Z765-100+Y765</f>
        <v>824800</v>
      </c>
      <c r="AE765" s="95">
        <v>99900</v>
      </c>
      <c r="AF765" s="95">
        <v>40000</v>
      </c>
      <c r="AG765" s="95">
        <f>IF(AF765="No Disp","No Disp",(AF765*18)+AE765)</f>
        <v>819900</v>
      </c>
      <c r="AH765" s="98">
        <f>18*AF765-100+AE765</f>
        <v>819800</v>
      </c>
      <c r="AI765" s="95" t="s">
        <v>4613</v>
      </c>
      <c r="AJ765" s="99"/>
      <c r="AK765" s="100" t="s">
        <v>43</v>
      </c>
      <c r="AL765" s="100" t="s">
        <v>43</v>
      </c>
      <c r="AM765" s="100" t="str">
        <f>IF(AL765&lt;&gt;"No Disp",AK765+12*AL765,"No Disp")</f>
        <v>No Disp</v>
      </c>
      <c r="AN765" s="100" t="s">
        <v>43</v>
      </c>
      <c r="AO765" s="100" t="s">
        <v>43</v>
      </c>
      <c r="AP765" s="100" t="str">
        <f>IF(AO765&lt;&gt;"No Disp",AN765+12*AO765,"No Disp")</f>
        <v>No Disp</v>
      </c>
      <c r="AQ765" s="100" t="s">
        <v>43</v>
      </c>
      <c r="AR765" s="100" t="s">
        <v>43</v>
      </c>
      <c r="AS765" s="100" t="str">
        <f>IF(AR765&lt;&gt;"No Disp",AQ765+12*AR765,"No Disp")</f>
        <v>No Disp</v>
      </c>
    </row>
    <row r="766" spans="1:45" s="101" customFormat="1" x14ac:dyDescent="0.25">
      <c r="A766" s="90" t="s">
        <v>38</v>
      </c>
      <c r="B766" s="90" t="s">
        <v>39</v>
      </c>
      <c r="C766" s="90" t="s">
        <v>40</v>
      </c>
      <c r="D766" s="90" t="s">
        <v>4539</v>
      </c>
      <c r="E766" s="90" t="s">
        <v>4538</v>
      </c>
      <c r="F766" s="91">
        <v>541</v>
      </c>
      <c r="G766" s="92">
        <v>70013451</v>
      </c>
      <c r="H766" s="91" t="s">
        <v>3896</v>
      </c>
      <c r="I766" s="93" t="s">
        <v>87</v>
      </c>
      <c r="J766" s="94" t="s">
        <v>128</v>
      </c>
      <c r="K766" s="94" t="s">
        <v>167</v>
      </c>
      <c r="L766" s="94" t="s">
        <v>168</v>
      </c>
      <c r="M766" s="95">
        <v>268560</v>
      </c>
      <c r="N766" s="95">
        <v>4000</v>
      </c>
      <c r="O766" s="95">
        <v>6000</v>
      </c>
      <c r="P766" s="96">
        <v>399990</v>
      </c>
      <c r="Q766" s="152"/>
      <c r="R766" s="95">
        <v>268560</v>
      </c>
      <c r="S766" s="95">
        <f>R766/24</f>
        <v>11190</v>
      </c>
      <c r="T766" s="95">
        <v>268560</v>
      </c>
      <c r="U766" s="95">
        <f>T766/24</f>
        <v>11190</v>
      </c>
      <c r="V766" s="95">
        <v>268560</v>
      </c>
      <c r="W766" s="95">
        <f>V766/24</f>
        <v>11190</v>
      </c>
      <c r="X766" s="128"/>
      <c r="Y766" s="95">
        <v>29900</v>
      </c>
      <c r="Z766" s="95">
        <v>31000</v>
      </c>
      <c r="AA766" s="95">
        <f>IFERROR(IF(D766="Premium",0.4*Y766,0),"No Disp")</f>
        <v>0</v>
      </c>
      <c r="AB766" s="95">
        <f>IFERROR(IF(4*Y766&gt;AC766,1.5*Y766,4*Y766),"No Disp")</f>
        <v>119600</v>
      </c>
      <c r="AC766" s="95">
        <f>IF(Z766="No Disp","No Disp",(Z766*18)+Y766)</f>
        <v>587900</v>
      </c>
      <c r="AD766" s="95">
        <f>18*Z766-100+Y766</f>
        <v>587800</v>
      </c>
      <c r="AE766" s="95">
        <v>0</v>
      </c>
      <c r="AF766" s="95">
        <v>25000</v>
      </c>
      <c r="AG766" s="95">
        <f>IF(AF766="No Disp","No Disp",(AF766*18)+AE766)</f>
        <v>450000</v>
      </c>
      <c r="AH766" s="98">
        <f>18*AF766-100+AE766</f>
        <v>449900</v>
      </c>
      <c r="AI766" s="95" t="s">
        <v>4613</v>
      </c>
      <c r="AJ766" s="99"/>
      <c r="AK766" s="100" t="s">
        <v>43</v>
      </c>
      <c r="AL766" s="100" t="s">
        <v>43</v>
      </c>
      <c r="AM766" s="100" t="str">
        <f>IF(AL766&lt;&gt;"No Disp",AK766+12*AL766,"No Disp")</f>
        <v>No Disp</v>
      </c>
      <c r="AN766" s="100" t="s">
        <v>43</v>
      </c>
      <c r="AO766" s="100" t="s">
        <v>43</v>
      </c>
      <c r="AP766" s="100" t="str">
        <f>IF(AO766&lt;&gt;"No Disp",AN766+12*AO766,"No Disp")</f>
        <v>No Disp</v>
      </c>
      <c r="AQ766" s="100" t="s">
        <v>43</v>
      </c>
      <c r="AR766" s="100" t="s">
        <v>43</v>
      </c>
      <c r="AS766" s="100" t="str">
        <f>IF(AR766&lt;&gt;"No Disp",AQ766+12*AR766,"No Disp")</f>
        <v>No Disp</v>
      </c>
    </row>
    <row r="767" spans="1:45" s="101" customFormat="1" x14ac:dyDescent="0.25">
      <c r="A767" s="90" t="s">
        <v>38</v>
      </c>
      <c r="B767" s="90" t="s">
        <v>39</v>
      </c>
      <c r="C767" s="90" t="s">
        <v>40</v>
      </c>
      <c r="D767" s="90" t="s">
        <v>4540</v>
      </c>
      <c r="E767" s="90" t="s">
        <v>4542</v>
      </c>
      <c r="F767" s="91">
        <v>272</v>
      </c>
      <c r="G767" s="92">
        <v>70011596</v>
      </c>
      <c r="H767" s="91" t="s">
        <v>3896</v>
      </c>
      <c r="I767" s="93" t="s">
        <v>46</v>
      </c>
      <c r="J767" s="94" t="s">
        <v>3945</v>
      </c>
      <c r="K767" s="94" t="s">
        <v>667</v>
      </c>
      <c r="L767" s="94" t="s">
        <v>3946</v>
      </c>
      <c r="M767" s="95">
        <v>999900</v>
      </c>
      <c r="N767" s="95">
        <v>7000</v>
      </c>
      <c r="O767" s="95">
        <v>10000</v>
      </c>
      <c r="P767" s="96">
        <v>0</v>
      </c>
      <c r="Q767" s="152"/>
      <c r="R767" s="95">
        <v>999900</v>
      </c>
      <c r="S767" s="95">
        <f>R767/24</f>
        <v>41662.5</v>
      </c>
      <c r="T767" s="95">
        <v>999900</v>
      </c>
      <c r="U767" s="95">
        <f>T767/24</f>
        <v>41662.5</v>
      </c>
      <c r="V767" s="95">
        <v>999900</v>
      </c>
      <c r="W767" s="95">
        <f>V767/24</f>
        <v>41662.5</v>
      </c>
      <c r="X767" s="128"/>
      <c r="Y767" s="95">
        <v>799900</v>
      </c>
      <c r="Z767" s="95">
        <v>31000</v>
      </c>
      <c r="AA767" s="95">
        <f>IFERROR(IF(D767="Premium",0.4*Y767,0),"No Disp")</f>
        <v>319960</v>
      </c>
      <c r="AB767" s="95">
        <f>IFERROR(IF(4*Y767&gt;AC767,1.5*Y767,4*Y767),"No Disp")</f>
        <v>1199850</v>
      </c>
      <c r="AC767" s="95">
        <f>IF(Z767="No Disp","No Disp",(Z767*18)+Y767)</f>
        <v>1357900</v>
      </c>
      <c r="AD767" s="95">
        <f>18*Z767-100+Y767</f>
        <v>1357800</v>
      </c>
      <c r="AE767" s="95">
        <v>179900</v>
      </c>
      <c r="AF767" s="95">
        <v>65000</v>
      </c>
      <c r="AG767" s="95">
        <f>IF(AF767="No Disp","No Disp",(AF767*18)+AE767)</f>
        <v>1349900</v>
      </c>
      <c r="AH767" s="98">
        <f>18*AF767-100+AE767</f>
        <v>1349800</v>
      </c>
      <c r="AI767" s="95" t="s">
        <v>4613</v>
      </c>
      <c r="AJ767" s="99"/>
      <c r="AK767" s="100" t="s">
        <v>43</v>
      </c>
      <c r="AL767" s="100" t="s">
        <v>43</v>
      </c>
      <c r="AM767" s="100" t="str">
        <f>IF(AL767&lt;&gt;"No Disp",AK767+12*AL767,"No Disp")</f>
        <v>No Disp</v>
      </c>
      <c r="AN767" s="100" t="s">
        <v>43</v>
      </c>
      <c r="AO767" s="100" t="s">
        <v>43</v>
      </c>
      <c r="AP767" s="100" t="str">
        <f>IF(AO767&lt;&gt;"No Disp",AN767+12*AO767,"No Disp")</f>
        <v>No Disp</v>
      </c>
      <c r="AQ767" s="100" t="s">
        <v>43</v>
      </c>
      <c r="AR767" s="100" t="s">
        <v>43</v>
      </c>
      <c r="AS767" s="100" t="str">
        <f>IF(AR767&lt;&gt;"No Disp",AQ767+12*AR767,"No Disp")</f>
        <v>No Disp</v>
      </c>
    </row>
    <row r="768" spans="1:45" s="101" customFormat="1" x14ac:dyDescent="0.25">
      <c r="A768" s="90" t="s">
        <v>38</v>
      </c>
      <c r="B768" s="90" t="s">
        <v>39</v>
      </c>
      <c r="C768" s="90" t="s">
        <v>40</v>
      </c>
      <c r="D768" s="90" t="s">
        <v>4540</v>
      </c>
      <c r="E768" s="90" t="s">
        <v>4542</v>
      </c>
      <c r="F768" s="91">
        <v>271</v>
      </c>
      <c r="G768" s="92">
        <v>70011595</v>
      </c>
      <c r="H768" s="91" t="s">
        <v>3896</v>
      </c>
      <c r="I768" s="93" t="s">
        <v>46</v>
      </c>
      <c r="J768" s="94" t="s">
        <v>3945</v>
      </c>
      <c r="K768" s="94" t="s">
        <v>668</v>
      </c>
      <c r="L768" s="94" t="s">
        <v>3947</v>
      </c>
      <c r="M768" s="95">
        <v>999900</v>
      </c>
      <c r="N768" s="95">
        <v>7000</v>
      </c>
      <c r="O768" s="95">
        <v>10000</v>
      </c>
      <c r="P768" s="96">
        <v>0</v>
      </c>
      <c r="Q768" s="152"/>
      <c r="R768" s="95">
        <v>999900</v>
      </c>
      <c r="S768" s="95">
        <f>R768/24</f>
        <v>41662.5</v>
      </c>
      <c r="T768" s="95">
        <v>999900</v>
      </c>
      <c r="U768" s="95">
        <f>T768/24</f>
        <v>41662.5</v>
      </c>
      <c r="V768" s="95">
        <v>999900</v>
      </c>
      <c r="W768" s="95">
        <f>V768/24</f>
        <v>41662.5</v>
      </c>
      <c r="X768" s="128"/>
      <c r="Y768" s="95">
        <v>799900</v>
      </c>
      <c r="Z768" s="95">
        <v>31000</v>
      </c>
      <c r="AA768" s="95">
        <f>IFERROR(IF(D768="Premium",0.4*Y768,0),"No Disp")</f>
        <v>319960</v>
      </c>
      <c r="AB768" s="95">
        <f>IFERROR(IF(4*Y768&gt;AC768,1.5*Y768,4*Y768),"No Disp")</f>
        <v>1199850</v>
      </c>
      <c r="AC768" s="95">
        <f>IF(Z768="No Disp","No Disp",(Z768*18)+Y768)</f>
        <v>1357900</v>
      </c>
      <c r="AD768" s="95">
        <f>18*Z768-100+Y768</f>
        <v>1357800</v>
      </c>
      <c r="AE768" s="95">
        <v>179900</v>
      </c>
      <c r="AF768" s="95">
        <v>65000</v>
      </c>
      <c r="AG768" s="95">
        <f>IF(AF768="No Disp","No Disp",(AF768*18)+AE768)</f>
        <v>1349900</v>
      </c>
      <c r="AH768" s="98">
        <f>18*AF768-100+AE768</f>
        <v>1349800</v>
      </c>
      <c r="AI768" s="95" t="s">
        <v>4613</v>
      </c>
      <c r="AJ768" s="99"/>
      <c r="AK768" s="100" t="s">
        <v>43</v>
      </c>
      <c r="AL768" s="100" t="s">
        <v>43</v>
      </c>
      <c r="AM768" s="100" t="str">
        <f>IF(AL768&lt;&gt;"No Disp",AK768+12*AL768,"No Disp")</f>
        <v>No Disp</v>
      </c>
      <c r="AN768" s="100" t="s">
        <v>43</v>
      </c>
      <c r="AO768" s="100" t="s">
        <v>43</v>
      </c>
      <c r="AP768" s="100" t="str">
        <f>IF(AO768&lt;&gt;"No Disp",AN768+12*AO768,"No Disp")</f>
        <v>No Disp</v>
      </c>
      <c r="AQ768" s="100" t="s">
        <v>43</v>
      </c>
      <c r="AR768" s="100" t="s">
        <v>43</v>
      </c>
      <c r="AS768" s="100" t="str">
        <f>IF(AR768&lt;&gt;"No Disp",AQ768+12*AR768,"No Disp")</f>
        <v>No Disp</v>
      </c>
    </row>
    <row r="769" spans="1:45" s="101" customFormat="1" x14ac:dyDescent="0.25">
      <c r="A769" s="90" t="s">
        <v>38</v>
      </c>
      <c r="B769" s="90" t="s">
        <v>39</v>
      </c>
      <c r="C769" s="90" t="s">
        <v>40</v>
      </c>
      <c r="D769" s="90" t="s">
        <v>4540</v>
      </c>
      <c r="E769" s="90" t="s">
        <v>4542</v>
      </c>
      <c r="F769" s="91">
        <v>390</v>
      </c>
      <c r="G769" s="92">
        <v>70012515</v>
      </c>
      <c r="H769" s="91" t="s">
        <v>3896</v>
      </c>
      <c r="I769" s="93" t="s">
        <v>171</v>
      </c>
      <c r="J769" s="94" t="s">
        <v>427</v>
      </c>
      <c r="K769" s="94" t="s">
        <v>428</v>
      </c>
      <c r="L769" s="94" t="s">
        <v>3925</v>
      </c>
      <c r="M769" s="95">
        <v>499900</v>
      </c>
      <c r="N769" s="95">
        <v>6000</v>
      </c>
      <c r="O769" s="95">
        <v>8500</v>
      </c>
      <c r="P769" s="96">
        <v>0</v>
      </c>
      <c r="Q769" s="152"/>
      <c r="R769" s="95">
        <v>499900</v>
      </c>
      <c r="S769" s="95">
        <f>R769/24</f>
        <v>20829.166666666668</v>
      </c>
      <c r="T769" s="95">
        <v>499900</v>
      </c>
      <c r="U769" s="95">
        <f>T769/24</f>
        <v>20829.166666666668</v>
      </c>
      <c r="V769" s="95">
        <v>499900</v>
      </c>
      <c r="W769" s="95">
        <f>V769/24</f>
        <v>20829.166666666668</v>
      </c>
      <c r="X769" s="128"/>
      <c r="Y769" s="95">
        <v>329900</v>
      </c>
      <c r="Z769" s="95">
        <v>17500</v>
      </c>
      <c r="AA769" s="95">
        <f>IFERROR(IF(D769="Premium",0.4*Y769,0),"No Disp")</f>
        <v>131960</v>
      </c>
      <c r="AB769" s="95">
        <f>IFERROR(IF(4*Y769&gt;AC769,1.5*Y769,4*Y769),"No Disp")</f>
        <v>494850</v>
      </c>
      <c r="AC769" s="95">
        <f>IF(Z769="No Disp","No Disp",(Z769*18)+Y769)</f>
        <v>644900</v>
      </c>
      <c r="AD769" s="95">
        <f>18*Z769-100+Y769</f>
        <v>644800</v>
      </c>
      <c r="AE769" s="95">
        <v>49900</v>
      </c>
      <c r="AF769" s="95">
        <v>34000</v>
      </c>
      <c r="AG769" s="95">
        <f>IF(AF769="No Disp","No Disp",(AF769*18)+AE769)</f>
        <v>661900</v>
      </c>
      <c r="AH769" s="98">
        <f>18*AF769-100+AE769</f>
        <v>661800</v>
      </c>
      <c r="AI769" s="95" t="s">
        <v>4613</v>
      </c>
      <c r="AJ769" s="99"/>
      <c r="AK769" s="100" t="s">
        <v>43</v>
      </c>
      <c r="AL769" s="100" t="s">
        <v>43</v>
      </c>
      <c r="AM769" s="100" t="str">
        <f>IF(AL769&lt;&gt;"No Disp",AK769+12*AL769,"No Disp")</f>
        <v>No Disp</v>
      </c>
      <c r="AN769" s="100" t="s">
        <v>43</v>
      </c>
      <c r="AO769" s="100" t="s">
        <v>43</v>
      </c>
      <c r="AP769" s="100" t="str">
        <f>IF(AO769&lt;&gt;"No Disp",AN769+12*AO769,"No Disp")</f>
        <v>No Disp</v>
      </c>
      <c r="AQ769" s="100" t="s">
        <v>43</v>
      </c>
      <c r="AR769" s="100" t="s">
        <v>43</v>
      </c>
      <c r="AS769" s="100" t="str">
        <f>IF(AR769&lt;&gt;"No Disp",AQ769+12*AR769,"No Disp")</f>
        <v>No Disp</v>
      </c>
    </row>
    <row r="770" spans="1:45" s="101" customFormat="1" x14ac:dyDescent="0.25">
      <c r="A770" s="90" t="s">
        <v>38</v>
      </c>
      <c r="B770" s="90" t="s">
        <v>39</v>
      </c>
      <c r="C770" s="90" t="s">
        <v>40</v>
      </c>
      <c r="D770" s="90" t="s">
        <v>4539</v>
      </c>
      <c r="E770" s="90" t="s">
        <v>4542</v>
      </c>
      <c r="F770" s="91">
        <v>392</v>
      </c>
      <c r="G770" s="92">
        <v>70012516</v>
      </c>
      <c r="H770" s="91" t="s">
        <v>3896</v>
      </c>
      <c r="I770" s="93" t="s">
        <v>171</v>
      </c>
      <c r="J770" s="94" t="s">
        <v>424</v>
      </c>
      <c r="K770" s="94" t="s">
        <v>425</v>
      </c>
      <c r="L770" s="94" t="s">
        <v>3924</v>
      </c>
      <c r="M770" s="95">
        <v>299900</v>
      </c>
      <c r="N770" s="95">
        <v>4000</v>
      </c>
      <c r="O770" s="95">
        <v>6000</v>
      </c>
      <c r="P770" s="96">
        <v>0</v>
      </c>
      <c r="Q770" s="152"/>
      <c r="R770" s="95">
        <v>299900</v>
      </c>
      <c r="S770" s="95">
        <f>R770/24</f>
        <v>12495.833333333334</v>
      </c>
      <c r="T770" s="95">
        <v>299900</v>
      </c>
      <c r="U770" s="95">
        <f>T770/24</f>
        <v>12495.833333333334</v>
      </c>
      <c r="V770" s="95">
        <v>299900</v>
      </c>
      <c r="W770" s="95">
        <f>V770/24</f>
        <v>12495.833333333334</v>
      </c>
      <c r="X770" s="128"/>
      <c r="Y770" s="95">
        <v>139900</v>
      </c>
      <c r="Z770" s="95">
        <v>18000</v>
      </c>
      <c r="AA770" s="95">
        <f>IFERROR(IF(D770="Premium",0.4*Y770,0),"No Disp")</f>
        <v>0</v>
      </c>
      <c r="AB770" s="95">
        <f>IFERROR(IF(4*Y770&gt;AC770,1.5*Y770,4*Y770),"No Disp")</f>
        <v>209850</v>
      </c>
      <c r="AC770" s="95">
        <f>IF(Z770="No Disp","No Disp",(Z770*18)+Y770)</f>
        <v>463900</v>
      </c>
      <c r="AD770" s="95">
        <f>18*Z770-100+Y770</f>
        <v>463800</v>
      </c>
      <c r="AE770" s="95">
        <v>0</v>
      </c>
      <c r="AF770" s="95">
        <v>25000</v>
      </c>
      <c r="AG770" s="95">
        <f>IF(AF770="No Disp","No Disp",(AF770*18)+AE770)</f>
        <v>450000</v>
      </c>
      <c r="AH770" s="98">
        <f>18*AF770-100+AE770</f>
        <v>449900</v>
      </c>
      <c r="AI770" s="95" t="s">
        <v>4613</v>
      </c>
      <c r="AJ770" s="99"/>
      <c r="AK770" s="100" t="s">
        <v>43</v>
      </c>
      <c r="AL770" s="100" t="s">
        <v>43</v>
      </c>
      <c r="AM770" s="100" t="str">
        <f>IF(AL770&lt;&gt;"No Disp",AK770+12*AL770,"No Disp")</f>
        <v>No Disp</v>
      </c>
      <c r="AN770" s="100" t="s">
        <v>43</v>
      </c>
      <c r="AO770" s="100" t="s">
        <v>43</v>
      </c>
      <c r="AP770" s="100" t="str">
        <f>IF(AO770&lt;&gt;"No Disp",AN770+12*AO770,"No Disp")</f>
        <v>No Disp</v>
      </c>
      <c r="AQ770" s="100" t="s">
        <v>43</v>
      </c>
      <c r="AR770" s="100" t="s">
        <v>43</v>
      </c>
      <c r="AS770" s="100" t="str">
        <f>IF(AR770&lt;&gt;"No Disp",AQ770+12*AR770,"No Disp")</f>
        <v>No Disp</v>
      </c>
    </row>
    <row r="771" spans="1:45" s="101" customFormat="1" x14ac:dyDescent="0.25">
      <c r="A771" s="90" t="s">
        <v>38</v>
      </c>
      <c r="B771" s="90" t="s">
        <v>39</v>
      </c>
      <c r="C771" s="90" t="s">
        <v>40</v>
      </c>
      <c r="D771" s="90" t="s">
        <v>4541</v>
      </c>
      <c r="E771" s="90" t="s">
        <v>4542</v>
      </c>
      <c r="F771" s="91">
        <v>396</v>
      </c>
      <c r="G771" s="92">
        <v>70012474</v>
      </c>
      <c r="H771" s="91" t="s">
        <v>3896</v>
      </c>
      <c r="I771" s="93" t="s">
        <v>112</v>
      </c>
      <c r="J771" s="94" t="s">
        <v>417</v>
      </c>
      <c r="K771" s="94" t="s">
        <v>418</v>
      </c>
      <c r="L771" s="94" t="s">
        <v>3922</v>
      </c>
      <c r="M771" s="95">
        <v>89490</v>
      </c>
      <c r="N771" s="95">
        <v>2500</v>
      </c>
      <c r="O771" s="95">
        <v>4000</v>
      </c>
      <c r="P771" s="96">
        <v>0</v>
      </c>
      <c r="Q771" s="152"/>
      <c r="R771" s="95">
        <v>89490</v>
      </c>
      <c r="S771" s="95">
        <f>R771/24</f>
        <v>3728.75</v>
      </c>
      <c r="T771" s="95">
        <v>89490</v>
      </c>
      <c r="U771" s="95">
        <f>T771/24</f>
        <v>3728.75</v>
      </c>
      <c r="V771" s="95">
        <v>89490</v>
      </c>
      <c r="W771" s="95">
        <f>V771/24</f>
        <v>3728.75</v>
      </c>
      <c r="X771" s="128"/>
      <c r="Y771" s="95">
        <v>19900</v>
      </c>
      <c r="Z771" s="95">
        <v>8000</v>
      </c>
      <c r="AA771" s="95">
        <f>IFERROR(IF(D771="Premium",0.4*Y771,0),"No Disp")</f>
        <v>0</v>
      </c>
      <c r="AB771" s="95">
        <f>IFERROR(IF(4*Y771&gt;AC771,1.5*Y771,4*Y771),"No Disp")</f>
        <v>79600</v>
      </c>
      <c r="AC771" s="95">
        <f>IF(Z771="No Disp","No Disp",(Z771*18)+Y771)</f>
        <v>163900</v>
      </c>
      <c r="AD771" s="95">
        <f>18*Z771-100+Y771</f>
        <v>163800</v>
      </c>
      <c r="AE771" s="95">
        <v>0</v>
      </c>
      <c r="AF771" s="95">
        <v>8500</v>
      </c>
      <c r="AG771" s="95">
        <f>IF(AF771="No Disp","No Disp",(AF771*18)+AE771)</f>
        <v>153000</v>
      </c>
      <c r="AH771" s="98">
        <f>18*AF771-100+AE771</f>
        <v>152900</v>
      </c>
      <c r="AI771" s="95" t="s">
        <v>4613</v>
      </c>
      <c r="AJ771" s="99"/>
      <c r="AK771" s="100" t="s">
        <v>43</v>
      </c>
      <c r="AL771" s="100" t="s">
        <v>43</v>
      </c>
      <c r="AM771" s="100" t="str">
        <f>IF(AL771&lt;&gt;"No Disp",AK771+12*AL771,"No Disp")</f>
        <v>No Disp</v>
      </c>
      <c r="AN771" s="100" t="s">
        <v>43</v>
      </c>
      <c r="AO771" s="100" t="s">
        <v>43</v>
      </c>
      <c r="AP771" s="100" t="str">
        <f>IF(AO771&lt;&gt;"No Disp",AN771+12*AO771,"No Disp")</f>
        <v>No Disp</v>
      </c>
      <c r="AQ771" s="100" t="s">
        <v>43</v>
      </c>
      <c r="AR771" s="100" t="s">
        <v>43</v>
      </c>
      <c r="AS771" s="100" t="str">
        <f>IF(AR771&lt;&gt;"No Disp",AQ771+12*AR771,"No Disp")</f>
        <v>No Disp</v>
      </c>
    </row>
    <row r="772" spans="1:45" s="101" customFormat="1" x14ac:dyDescent="0.25">
      <c r="A772" s="90" t="s">
        <v>38</v>
      </c>
      <c r="B772" s="90" t="s">
        <v>39</v>
      </c>
      <c r="C772" s="90" t="s">
        <v>40</v>
      </c>
      <c r="D772" s="90" t="s">
        <v>4537</v>
      </c>
      <c r="E772" s="90" t="s">
        <v>4542</v>
      </c>
      <c r="F772" s="91">
        <v>501</v>
      </c>
      <c r="G772" s="92">
        <v>70012948</v>
      </c>
      <c r="H772" s="91" t="s">
        <v>3896</v>
      </c>
      <c r="I772" s="93" t="s">
        <v>87</v>
      </c>
      <c r="J772" s="94" t="s">
        <v>218</v>
      </c>
      <c r="K772" s="94" t="s">
        <v>221</v>
      </c>
      <c r="L772" s="94" t="s">
        <v>222</v>
      </c>
      <c r="M772" s="95">
        <v>449900</v>
      </c>
      <c r="N772" s="95">
        <v>6000</v>
      </c>
      <c r="O772" s="95">
        <v>8500</v>
      </c>
      <c r="P772" s="96">
        <v>599990</v>
      </c>
      <c r="Q772" s="152"/>
      <c r="R772" s="95">
        <v>499990</v>
      </c>
      <c r="S772" s="95">
        <f>R772/24</f>
        <v>20832.916666666668</v>
      </c>
      <c r="T772" s="95">
        <v>449900</v>
      </c>
      <c r="U772" s="95">
        <f>T772/24</f>
        <v>18745.833333333332</v>
      </c>
      <c r="V772" s="95">
        <v>449900</v>
      </c>
      <c r="W772" s="95">
        <f>V772/24</f>
        <v>18745.833333333332</v>
      </c>
      <c r="X772" s="128"/>
      <c r="Y772" s="95">
        <v>0</v>
      </c>
      <c r="Z772" s="95">
        <v>46000</v>
      </c>
      <c r="AA772" s="95">
        <f>IFERROR(IF(D772="Premium",0.4*Y772,0),"No Disp")</f>
        <v>0</v>
      </c>
      <c r="AB772" s="95">
        <f>IFERROR(IF(4*Y772&gt;AC772,1.5*Y772,4*Y772),"No Disp")</f>
        <v>0</v>
      </c>
      <c r="AC772" s="95">
        <f>IF(Z772="No Disp","No Disp",(Z772*18)+Y772)</f>
        <v>828000</v>
      </c>
      <c r="AD772" s="95">
        <f>18*Z772-100+Y772</f>
        <v>827900</v>
      </c>
      <c r="AE772" s="95">
        <v>0</v>
      </c>
      <c r="AF772" s="95">
        <v>40000</v>
      </c>
      <c r="AG772" s="95">
        <f>IF(AF772="No Disp","No Disp",(AF772*18)+AE772)</f>
        <v>720000</v>
      </c>
      <c r="AH772" s="98">
        <f>18*AF772-100+AE772</f>
        <v>719900</v>
      </c>
      <c r="AI772" s="95" t="s">
        <v>4613</v>
      </c>
      <c r="AJ772" s="99"/>
      <c r="AK772" s="100">
        <v>0</v>
      </c>
      <c r="AL772" s="100">
        <v>20000</v>
      </c>
      <c r="AM772" s="100">
        <f>IF(AL772&lt;&gt;"No Disp",AK772+12*AL772,"No Disp")</f>
        <v>240000</v>
      </c>
      <c r="AN772" s="100">
        <v>0</v>
      </c>
      <c r="AO772" s="100">
        <v>20000</v>
      </c>
      <c r="AP772" s="100">
        <f>IF(AO772&lt;&gt;"No Disp",AN772+12*AO772,"No Disp")</f>
        <v>240000</v>
      </c>
      <c r="AQ772" s="100">
        <v>0</v>
      </c>
      <c r="AR772" s="100">
        <v>20000</v>
      </c>
      <c r="AS772" s="100">
        <f>IF(AR772&lt;&gt;"No Disp",AQ772+12*AR772,"No Disp")</f>
        <v>240000</v>
      </c>
    </row>
    <row r="773" spans="1:45" s="101" customFormat="1" x14ac:dyDescent="0.25">
      <c r="A773" s="90" t="s">
        <v>38</v>
      </c>
      <c r="B773" s="90" t="s">
        <v>39</v>
      </c>
      <c r="C773" s="90" t="s">
        <v>40</v>
      </c>
      <c r="D773" s="90" t="s">
        <v>4540</v>
      </c>
      <c r="E773" s="90" t="s">
        <v>4538</v>
      </c>
      <c r="F773" s="91">
        <v>573</v>
      </c>
      <c r="G773" s="92">
        <v>70015106</v>
      </c>
      <c r="H773" s="91" t="s">
        <v>3896</v>
      </c>
      <c r="I773" s="93" t="s">
        <v>87</v>
      </c>
      <c r="J773" s="94" t="s">
        <v>2784</v>
      </c>
      <c r="K773" s="94" t="s">
        <v>4318</v>
      </c>
      <c r="L773" s="94" t="s">
        <v>3978</v>
      </c>
      <c r="M773" s="95">
        <v>815900</v>
      </c>
      <c r="N773" s="95">
        <v>6000</v>
      </c>
      <c r="O773" s="95">
        <v>8500</v>
      </c>
      <c r="P773" s="96">
        <v>1099990</v>
      </c>
      <c r="Q773" s="152"/>
      <c r="R773" s="95">
        <v>915990</v>
      </c>
      <c r="S773" s="95">
        <f>R773/24</f>
        <v>38166.25</v>
      </c>
      <c r="T773" s="95">
        <v>815900</v>
      </c>
      <c r="U773" s="95">
        <f>T773/24</f>
        <v>33995.833333333336</v>
      </c>
      <c r="V773" s="95">
        <v>815900</v>
      </c>
      <c r="W773" s="95">
        <f>V773/24</f>
        <v>33995.833333333336</v>
      </c>
      <c r="X773" s="128"/>
      <c r="Y773" s="95">
        <v>299900</v>
      </c>
      <c r="Z773" s="95">
        <v>66000</v>
      </c>
      <c r="AA773" s="95">
        <f>IFERROR(IF(D773="Premium",0.4*Y773,0),"No Disp")</f>
        <v>119960</v>
      </c>
      <c r="AB773" s="95">
        <f>IFERROR(IF(4*Y773&gt;AC773,1.5*Y773,4*Y773),"No Disp")</f>
        <v>1199600</v>
      </c>
      <c r="AC773" s="95">
        <f>IF(Z773="No Disp","No Disp",(Z773*18)+Y773)</f>
        <v>1487900</v>
      </c>
      <c r="AD773" s="95">
        <f>18*Z773-100+Y773</f>
        <v>1487800</v>
      </c>
      <c r="AE773" s="95">
        <v>199900</v>
      </c>
      <c r="AF773" s="95">
        <v>62000</v>
      </c>
      <c r="AG773" s="95">
        <f>IF(AF773="No Disp","No Disp",(AF773*18)+AE773)</f>
        <v>1315900</v>
      </c>
      <c r="AH773" s="98">
        <f>18*AF773-100+AE773</f>
        <v>1315800</v>
      </c>
      <c r="AI773" s="95" t="s">
        <v>4613</v>
      </c>
      <c r="AJ773" s="99"/>
      <c r="AK773" s="100">
        <v>0</v>
      </c>
      <c r="AL773" s="100">
        <v>36000</v>
      </c>
      <c r="AM773" s="100">
        <f>IF(AL773&lt;&gt;"No Disp",AK773+12*AL773,"No Disp")</f>
        <v>432000</v>
      </c>
      <c r="AN773" s="100">
        <v>0</v>
      </c>
      <c r="AO773" s="100">
        <v>36000</v>
      </c>
      <c r="AP773" s="100">
        <f>IF(AO773&lt;&gt;"No Disp",AN773+12*AO773,"No Disp")</f>
        <v>432000</v>
      </c>
      <c r="AQ773" s="100">
        <v>0</v>
      </c>
      <c r="AR773" s="100">
        <v>36000</v>
      </c>
      <c r="AS773" s="100">
        <f>IF(AR773&lt;&gt;"No Disp",AQ773+12*AR773,"No Disp")</f>
        <v>432000</v>
      </c>
    </row>
    <row r="774" spans="1:45" s="101" customFormat="1" x14ac:dyDescent="0.25">
      <c r="A774" s="90" t="s">
        <v>38</v>
      </c>
      <c r="B774" s="90" t="s">
        <v>40</v>
      </c>
      <c r="C774" s="90" t="s">
        <v>39</v>
      </c>
      <c r="D774" s="90" t="s">
        <v>4540</v>
      </c>
      <c r="E774" s="90" t="s">
        <v>4538</v>
      </c>
      <c r="F774" s="91">
        <v>771</v>
      </c>
      <c r="G774" s="92">
        <v>70014729</v>
      </c>
      <c r="H774" s="91" t="s">
        <v>3896</v>
      </c>
      <c r="I774" s="93" t="s">
        <v>87</v>
      </c>
      <c r="J774" s="94" t="s">
        <v>4221</v>
      </c>
      <c r="K774" s="94" t="s">
        <v>4512</v>
      </c>
      <c r="L774" s="94" t="s">
        <v>4228</v>
      </c>
      <c r="M774" s="95">
        <v>647900</v>
      </c>
      <c r="N774" s="95">
        <v>6000</v>
      </c>
      <c r="O774" s="95">
        <v>8500</v>
      </c>
      <c r="P774" s="96">
        <v>799990</v>
      </c>
      <c r="Q774" s="152"/>
      <c r="R774" s="95">
        <v>727990</v>
      </c>
      <c r="S774" s="95">
        <v>31666.25</v>
      </c>
      <c r="T774" s="95">
        <v>647900</v>
      </c>
      <c r="U774" s="95">
        <v>28690</v>
      </c>
      <c r="V774" s="95">
        <v>647900</v>
      </c>
      <c r="W774" s="95">
        <v>28690</v>
      </c>
      <c r="X774" s="128"/>
      <c r="Y774" s="95">
        <v>179900</v>
      </c>
      <c r="Z774" s="95">
        <v>55000</v>
      </c>
      <c r="AA774" s="95">
        <f>IFERROR(IF(D774="Premium",0.4*Y774,0),"No Disp")</f>
        <v>71960</v>
      </c>
      <c r="AB774" s="95">
        <f>IFERROR(IF(4*Y774&gt;AC774,1.5*Y774,4*Y774),"No Disp")</f>
        <v>719600</v>
      </c>
      <c r="AC774" s="95">
        <f>IF(Z774="No Disp","No Disp",(Z774*18)+Y774)</f>
        <v>1169900</v>
      </c>
      <c r="AD774" s="95">
        <f>18*Z774-100+Y774</f>
        <v>1169800</v>
      </c>
      <c r="AE774" s="95">
        <v>69900</v>
      </c>
      <c r="AF774" s="95">
        <v>53500</v>
      </c>
      <c r="AG774" s="95">
        <f>IF(AF774="No Disp","No Disp",(AF774*18)+AE774)</f>
        <v>1032900</v>
      </c>
      <c r="AH774" s="98">
        <f>18*AF774-100+AE774</f>
        <v>1032800</v>
      </c>
      <c r="AI774" s="95" t="s">
        <v>4613</v>
      </c>
      <c r="AJ774" s="99"/>
      <c r="AK774" s="100" t="s">
        <v>43</v>
      </c>
      <c r="AL774" s="100" t="s">
        <v>43</v>
      </c>
      <c r="AM774" s="100" t="str">
        <f>IF(AL774&lt;&gt;"No Disp",AK774+12*AL774,"No Disp")</f>
        <v>No Disp</v>
      </c>
      <c r="AN774" s="100" t="s">
        <v>43</v>
      </c>
      <c r="AO774" s="100" t="s">
        <v>43</v>
      </c>
      <c r="AP774" s="100" t="str">
        <f>IF(AO774&lt;&gt;"No Disp",AN774+12*AO774,"No Disp")</f>
        <v>No Disp</v>
      </c>
      <c r="AQ774" s="100" t="s">
        <v>43</v>
      </c>
      <c r="AR774" s="100" t="s">
        <v>43</v>
      </c>
      <c r="AS774" s="100" t="str">
        <f>IF(AR774&lt;&gt;"No Disp",AQ774+12*AR774,"No Disp")</f>
        <v>No Disp</v>
      </c>
    </row>
    <row r="775" spans="1:45" s="101" customFormat="1" x14ac:dyDescent="0.25">
      <c r="A775" s="90" t="s">
        <v>38</v>
      </c>
      <c r="B775" s="90" t="s">
        <v>40</v>
      </c>
      <c r="C775" s="90" t="s">
        <v>39</v>
      </c>
      <c r="D775" s="90" t="s">
        <v>4540</v>
      </c>
      <c r="E775" s="90" t="s">
        <v>4538</v>
      </c>
      <c r="F775" s="91">
        <v>701</v>
      </c>
      <c r="G775" s="92">
        <v>70015680</v>
      </c>
      <c r="H775" s="91" t="s">
        <v>3896</v>
      </c>
      <c r="I775" s="93" t="s">
        <v>87</v>
      </c>
      <c r="J775" s="94" t="s">
        <v>4221</v>
      </c>
      <c r="K775" s="94" t="s">
        <v>4195</v>
      </c>
      <c r="L775" s="94" t="s">
        <v>4228</v>
      </c>
      <c r="M775" s="95">
        <v>647900</v>
      </c>
      <c r="N775" s="95">
        <v>6000</v>
      </c>
      <c r="O775" s="95">
        <v>8500</v>
      </c>
      <c r="P775" s="96">
        <v>799990</v>
      </c>
      <c r="Q775" s="152"/>
      <c r="R775" s="95">
        <v>727990</v>
      </c>
      <c r="S775" s="95">
        <f>R775/24</f>
        <v>30332.916666666668</v>
      </c>
      <c r="T775" s="95">
        <v>647900</v>
      </c>
      <c r="U775" s="95">
        <f>T775/24</f>
        <v>26995.833333333332</v>
      </c>
      <c r="V775" s="95">
        <v>647900</v>
      </c>
      <c r="W775" s="95">
        <f>V775/24</f>
        <v>26995.833333333332</v>
      </c>
      <c r="X775" s="128"/>
      <c r="Y775" s="95">
        <v>179900</v>
      </c>
      <c r="Z775" s="95">
        <v>55000</v>
      </c>
      <c r="AA775" s="95">
        <f>IFERROR(IF(D775="Premium",0.4*Y775,0),"No Disp")</f>
        <v>71960</v>
      </c>
      <c r="AB775" s="95">
        <f>IFERROR(IF(4*Y775&gt;AC775,1.5*Y775,4*Y775),"No Disp")</f>
        <v>719600</v>
      </c>
      <c r="AC775" s="95">
        <f>IF(Z775="No Disp","No Disp",(Z775*18)+Y775)</f>
        <v>1169900</v>
      </c>
      <c r="AD775" s="95">
        <f>18*Z775-100+Y775</f>
        <v>1169800</v>
      </c>
      <c r="AE775" s="95">
        <v>69900</v>
      </c>
      <c r="AF775" s="95">
        <v>53500</v>
      </c>
      <c r="AG775" s="95">
        <f>IF(AF775="No Disp","No Disp",(AF775*18)+AE775)</f>
        <v>1032900</v>
      </c>
      <c r="AH775" s="98">
        <f>18*AF775-100+AE775</f>
        <v>1032800</v>
      </c>
      <c r="AI775" s="95" t="s">
        <v>4613</v>
      </c>
      <c r="AJ775" s="99"/>
      <c r="AK775" s="100">
        <v>0</v>
      </c>
      <c r="AL775" s="100">
        <v>34000</v>
      </c>
      <c r="AM775" s="100">
        <f>IF(AL775&lt;&gt;"No Disp",AK775+12*AL775,"No Disp")</f>
        <v>408000</v>
      </c>
      <c r="AN775" s="100">
        <v>0</v>
      </c>
      <c r="AO775" s="100">
        <v>34000</v>
      </c>
      <c r="AP775" s="100">
        <f>IF(AO775&lt;&gt;"No Disp",AN775+12*AO775,"No Disp")</f>
        <v>408000</v>
      </c>
      <c r="AQ775" s="100">
        <v>0</v>
      </c>
      <c r="AR775" s="100">
        <v>34000</v>
      </c>
      <c r="AS775" s="100">
        <f>IF(AR775&lt;&gt;"No Disp",AQ775+12*AR775,"No Disp")</f>
        <v>408000</v>
      </c>
    </row>
    <row r="776" spans="1:45" s="101" customFormat="1" x14ac:dyDescent="0.25">
      <c r="A776" s="90" t="s">
        <v>38</v>
      </c>
      <c r="B776" s="90" t="s">
        <v>40</v>
      </c>
      <c r="C776" s="90" t="s">
        <v>39</v>
      </c>
      <c r="D776" s="90" t="s">
        <v>4540</v>
      </c>
      <c r="E776" s="90" t="s">
        <v>4538</v>
      </c>
      <c r="F776" s="91">
        <v>700</v>
      </c>
      <c r="G776" s="92">
        <v>70015684</v>
      </c>
      <c r="H776" s="91" t="s">
        <v>3896</v>
      </c>
      <c r="I776" s="93" t="s">
        <v>87</v>
      </c>
      <c r="J776" s="94" t="s">
        <v>4221</v>
      </c>
      <c r="K776" s="94" t="s">
        <v>4197</v>
      </c>
      <c r="L776" s="94" t="s">
        <v>4230</v>
      </c>
      <c r="M776" s="95">
        <v>647900</v>
      </c>
      <c r="N776" s="95">
        <v>6000</v>
      </c>
      <c r="O776" s="95">
        <v>8500</v>
      </c>
      <c r="P776" s="96">
        <v>799990</v>
      </c>
      <c r="Q776" s="152"/>
      <c r="R776" s="95">
        <v>727990</v>
      </c>
      <c r="S776" s="95">
        <f>R776/24</f>
        <v>30332.916666666668</v>
      </c>
      <c r="T776" s="95">
        <v>647900</v>
      </c>
      <c r="U776" s="95">
        <f>T776/24</f>
        <v>26995.833333333332</v>
      </c>
      <c r="V776" s="95">
        <v>647900</v>
      </c>
      <c r="W776" s="95">
        <f>V776/24</f>
        <v>26995.833333333332</v>
      </c>
      <c r="X776" s="128"/>
      <c r="Y776" s="95">
        <v>179900</v>
      </c>
      <c r="Z776" s="95">
        <v>55000</v>
      </c>
      <c r="AA776" s="95">
        <f>IFERROR(IF(D776="Premium",0.4*Y776,0),"No Disp")</f>
        <v>71960</v>
      </c>
      <c r="AB776" s="95">
        <f>IFERROR(IF(4*Y776&gt;AC776,1.5*Y776,4*Y776),"No Disp")</f>
        <v>719600</v>
      </c>
      <c r="AC776" s="95">
        <f>IF(Z776="No Disp","No Disp",(Z776*18)+Y776)</f>
        <v>1169900</v>
      </c>
      <c r="AD776" s="95">
        <f>18*Z776-100+Y776</f>
        <v>1169800</v>
      </c>
      <c r="AE776" s="95">
        <v>69900</v>
      </c>
      <c r="AF776" s="95">
        <v>53500</v>
      </c>
      <c r="AG776" s="95">
        <f>IF(AF776="No Disp","No Disp",(AF776*18)+AE776)</f>
        <v>1032900</v>
      </c>
      <c r="AH776" s="98">
        <f>18*AF776-100+AE776</f>
        <v>1032800</v>
      </c>
      <c r="AI776" s="95" t="s">
        <v>4613</v>
      </c>
      <c r="AJ776" s="99"/>
      <c r="AK776" s="100">
        <v>0</v>
      </c>
      <c r="AL776" s="100">
        <v>34000</v>
      </c>
      <c r="AM776" s="100">
        <f>IF(AL776&lt;&gt;"No Disp",AK776+12*AL776,"No Disp")</f>
        <v>408000</v>
      </c>
      <c r="AN776" s="100">
        <v>0</v>
      </c>
      <c r="AO776" s="100">
        <v>34000</v>
      </c>
      <c r="AP776" s="100">
        <f>IF(AO776&lt;&gt;"No Disp",AN776+12*AO776,"No Disp")</f>
        <v>408000</v>
      </c>
      <c r="AQ776" s="100">
        <v>0</v>
      </c>
      <c r="AR776" s="100">
        <v>34000</v>
      </c>
      <c r="AS776" s="100">
        <f>IF(AR776&lt;&gt;"No Disp",AQ776+12*AR776,"No Disp")</f>
        <v>408000</v>
      </c>
    </row>
    <row r="777" spans="1:45" s="101" customFormat="1" x14ac:dyDescent="0.25">
      <c r="A777" s="90" t="s">
        <v>38</v>
      </c>
      <c r="B777" s="90" t="s">
        <v>40</v>
      </c>
      <c r="C777" s="90" t="s">
        <v>39</v>
      </c>
      <c r="D777" s="90" t="s">
        <v>4540</v>
      </c>
      <c r="E777" s="90" t="s">
        <v>4538</v>
      </c>
      <c r="F777" s="91">
        <v>699</v>
      </c>
      <c r="G777" s="92">
        <v>70015692</v>
      </c>
      <c r="H777" s="91" t="s">
        <v>3896</v>
      </c>
      <c r="I777" s="93" t="s">
        <v>87</v>
      </c>
      <c r="J777" s="94" t="s">
        <v>4221</v>
      </c>
      <c r="K777" s="94" t="s">
        <v>4199</v>
      </c>
      <c r="L777" s="94" t="s">
        <v>4230</v>
      </c>
      <c r="M777" s="95">
        <v>647900</v>
      </c>
      <c r="N777" s="95">
        <v>6000</v>
      </c>
      <c r="O777" s="95">
        <v>8500</v>
      </c>
      <c r="P777" s="96">
        <v>799990</v>
      </c>
      <c r="Q777" s="152"/>
      <c r="R777" s="95">
        <v>727990</v>
      </c>
      <c r="S777" s="95">
        <f>R777/24</f>
        <v>30332.916666666668</v>
      </c>
      <c r="T777" s="95">
        <v>647900</v>
      </c>
      <c r="U777" s="95">
        <f>T777/24</f>
        <v>26995.833333333332</v>
      </c>
      <c r="V777" s="95">
        <v>647900</v>
      </c>
      <c r="W777" s="95">
        <f>V777/24</f>
        <v>26995.833333333332</v>
      </c>
      <c r="X777" s="128"/>
      <c r="Y777" s="95">
        <v>179900</v>
      </c>
      <c r="Z777" s="95">
        <v>55000</v>
      </c>
      <c r="AA777" s="95">
        <f>IFERROR(IF(D777="Premium",0.4*Y777,0),"No Disp")</f>
        <v>71960</v>
      </c>
      <c r="AB777" s="95">
        <f>IFERROR(IF(4*Y777&gt;AC777,1.5*Y777,4*Y777),"No Disp")</f>
        <v>719600</v>
      </c>
      <c r="AC777" s="95">
        <f>IF(Z777="No Disp","No Disp",(Z777*18)+Y777)</f>
        <v>1169900</v>
      </c>
      <c r="AD777" s="95">
        <f>18*Z777-100+Y777</f>
        <v>1169800</v>
      </c>
      <c r="AE777" s="95">
        <v>69900</v>
      </c>
      <c r="AF777" s="95">
        <v>53500</v>
      </c>
      <c r="AG777" s="95">
        <f>IF(AF777="No Disp","No Disp",(AF777*18)+AE777)</f>
        <v>1032900</v>
      </c>
      <c r="AH777" s="98">
        <f>18*AF777-100+AE777</f>
        <v>1032800</v>
      </c>
      <c r="AI777" s="95" t="s">
        <v>4613</v>
      </c>
      <c r="AJ777" s="99"/>
      <c r="AK777" s="100">
        <v>0</v>
      </c>
      <c r="AL777" s="100">
        <v>34000</v>
      </c>
      <c r="AM777" s="100">
        <f>IF(AL777&lt;&gt;"No Disp",AK777+12*AL777,"No Disp")</f>
        <v>408000</v>
      </c>
      <c r="AN777" s="100">
        <v>0</v>
      </c>
      <c r="AO777" s="100">
        <v>34000</v>
      </c>
      <c r="AP777" s="100">
        <f>IF(AO777&lt;&gt;"No Disp",AN777+12*AO777,"No Disp")</f>
        <v>408000</v>
      </c>
      <c r="AQ777" s="100">
        <v>0</v>
      </c>
      <c r="AR777" s="100">
        <v>34000</v>
      </c>
      <c r="AS777" s="100">
        <f>IF(AR777&lt;&gt;"No Disp",AQ777+12*AR777,"No Disp")</f>
        <v>408000</v>
      </c>
    </row>
    <row r="778" spans="1:45" s="101" customFormat="1" x14ac:dyDescent="0.25">
      <c r="A778" s="90" t="s">
        <v>102</v>
      </c>
      <c r="B778" s="90" t="s">
        <v>39</v>
      </c>
      <c r="C778" s="90" t="s">
        <v>40</v>
      </c>
      <c r="D778" s="90" t="s">
        <v>4541</v>
      </c>
      <c r="E778" s="90" t="s">
        <v>4538</v>
      </c>
      <c r="F778" s="91">
        <v>656</v>
      </c>
      <c r="G778" s="167">
        <v>70015099</v>
      </c>
      <c r="H778" s="91" t="s">
        <v>3896</v>
      </c>
      <c r="I778" s="93" t="s">
        <v>46</v>
      </c>
      <c r="J778" s="94" t="s">
        <v>3968</v>
      </c>
      <c r="K778" s="102" t="s">
        <v>3963</v>
      </c>
      <c r="L778" s="94" t="s">
        <v>3969</v>
      </c>
      <c r="M778" s="95">
        <v>99900</v>
      </c>
      <c r="N778" s="95">
        <v>2500</v>
      </c>
      <c r="O778" s="95">
        <v>4000</v>
      </c>
      <c r="P778" s="96">
        <v>129990</v>
      </c>
      <c r="Q778" s="152"/>
      <c r="R778" s="95">
        <v>109990</v>
      </c>
      <c r="S778" s="95">
        <f>R778/24</f>
        <v>4582.916666666667</v>
      </c>
      <c r="T778" s="95">
        <v>99900</v>
      </c>
      <c r="U778" s="95">
        <f>T778/24</f>
        <v>4162.5</v>
      </c>
      <c r="V778" s="95">
        <v>99900</v>
      </c>
      <c r="W778" s="95">
        <f>V778/24</f>
        <v>4162.5</v>
      </c>
      <c r="X778" s="128"/>
      <c r="Y778" s="95">
        <v>0</v>
      </c>
      <c r="Z778" s="95">
        <v>10000</v>
      </c>
      <c r="AA778" s="95">
        <f>IFERROR(IF(D778="Premium",0.4*Y778,0),"No Disp")</f>
        <v>0</v>
      </c>
      <c r="AB778" s="95">
        <f>IFERROR(IF(4*Y778&gt;AC778,1.5*Y778,4*Y778),"No Disp")</f>
        <v>0</v>
      </c>
      <c r="AC778" s="95">
        <f>IF(Z778="No Disp","No Disp",(Z778*18)+Y778)</f>
        <v>180000</v>
      </c>
      <c r="AD778" s="95">
        <f>18*Z778-100+Y778</f>
        <v>179900</v>
      </c>
      <c r="AE778" s="95">
        <v>0</v>
      </c>
      <c r="AF778" s="95">
        <v>9000</v>
      </c>
      <c r="AG778" s="95">
        <f>IF(AF778="No Disp","No Disp",(AF778*18)+AE778)</f>
        <v>162000</v>
      </c>
      <c r="AH778" s="98">
        <f>18*AF778-100+AE778</f>
        <v>161900</v>
      </c>
      <c r="AI778" s="95" t="s">
        <v>4613</v>
      </c>
      <c r="AJ778" s="99"/>
      <c r="AK778" s="100" t="s">
        <v>43</v>
      </c>
      <c r="AL778" s="100" t="s">
        <v>43</v>
      </c>
      <c r="AM778" s="100" t="str">
        <f>IF(AL778&lt;&gt;"No Disp",AK778+12*AL778,"No Disp")</f>
        <v>No Disp</v>
      </c>
      <c r="AN778" s="100" t="s">
        <v>43</v>
      </c>
      <c r="AO778" s="100" t="s">
        <v>43</v>
      </c>
      <c r="AP778" s="100" t="str">
        <f>IF(AO778&lt;&gt;"No Disp",AN778+12*AO778,"No Disp")</f>
        <v>No Disp</v>
      </c>
      <c r="AQ778" s="100" t="s">
        <v>43</v>
      </c>
      <c r="AR778" s="100" t="s">
        <v>43</v>
      </c>
      <c r="AS778" s="100" t="str">
        <f>IF(AR778&lt;&gt;"No Disp",AQ778+12*AR778,"No Disp")</f>
        <v>No Disp</v>
      </c>
    </row>
    <row r="779" spans="1:45" s="101" customFormat="1" x14ac:dyDescent="0.25">
      <c r="A779" s="90" t="s">
        <v>38</v>
      </c>
      <c r="B779" s="90" t="s">
        <v>39</v>
      </c>
      <c r="C779" s="90" t="s">
        <v>40</v>
      </c>
      <c r="D779" s="90" t="s">
        <v>4537</v>
      </c>
      <c r="E779" s="90" t="s">
        <v>4542</v>
      </c>
      <c r="F779" s="91">
        <v>464</v>
      </c>
      <c r="G779" s="92">
        <v>70012621</v>
      </c>
      <c r="H779" s="91" t="s">
        <v>3896</v>
      </c>
      <c r="I779" s="93" t="s">
        <v>46</v>
      </c>
      <c r="J779" s="94" t="s">
        <v>3919</v>
      </c>
      <c r="K779" s="94" t="s">
        <v>295</v>
      </c>
      <c r="L779" s="94" t="s">
        <v>296</v>
      </c>
      <c r="M779" s="95">
        <v>419900</v>
      </c>
      <c r="N779" s="95">
        <v>6000</v>
      </c>
      <c r="O779" s="95">
        <v>8500</v>
      </c>
      <c r="P779" s="96">
        <v>489990</v>
      </c>
      <c r="Q779" s="152"/>
      <c r="R779" s="95">
        <v>469990</v>
      </c>
      <c r="S779" s="95">
        <f>R779/24</f>
        <v>19582.916666666668</v>
      </c>
      <c r="T779" s="95">
        <v>419900</v>
      </c>
      <c r="U779" s="95">
        <f>T779/24</f>
        <v>17495.833333333332</v>
      </c>
      <c r="V779" s="95">
        <v>419900</v>
      </c>
      <c r="W779" s="95">
        <f>V779/24</f>
        <v>17495.833333333332</v>
      </c>
      <c r="X779" s="128"/>
      <c r="Y779" s="95">
        <v>39900</v>
      </c>
      <c r="Z779" s="95">
        <v>36000</v>
      </c>
      <c r="AA779" s="95">
        <f>IFERROR(IF(D779="Premium",0.4*Y779,0),"No Disp")</f>
        <v>0</v>
      </c>
      <c r="AB779" s="95">
        <f>IFERROR(IF(4*Y779&gt;AC779,1.5*Y779,4*Y779),"No Disp")</f>
        <v>159600</v>
      </c>
      <c r="AC779" s="95">
        <f>IF(Z779="No Disp","No Disp",(Z779*18)+Y779)</f>
        <v>687900</v>
      </c>
      <c r="AD779" s="95">
        <f>18*Z779-100+Y779</f>
        <v>687800</v>
      </c>
      <c r="AE779" s="95">
        <v>19900</v>
      </c>
      <c r="AF779" s="95">
        <v>32000</v>
      </c>
      <c r="AG779" s="95">
        <f>IF(AF779="No Disp","No Disp",(AF779*18)+AE779)</f>
        <v>595900</v>
      </c>
      <c r="AH779" s="98">
        <f>18*AF779-100+AE779</f>
        <v>595800</v>
      </c>
      <c r="AI779" s="95" t="s">
        <v>4613</v>
      </c>
      <c r="AJ779" s="99"/>
      <c r="AK779" s="100" t="s">
        <v>43</v>
      </c>
      <c r="AL779" s="100" t="s">
        <v>43</v>
      </c>
      <c r="AM779" s="100" t="str">
        <f>IF(AL779&lt;&gt;"No Disp",AK779+12*AL779,"No Disp")</f>
        <v>No Disp</v>
      </c>
      <c r="AN779" s="100" t="s">
        <v>43</v>
      </c>
      <c r="AO779" s="100" t="s">
        <v>43</v>
      </c>
      <c r="AP779" s="100" t="str">
        <f>IF(AO779&lt;&gt;"No Disp",AN779+12*AO779,"No Disp")</f>
        <v>No Disp</v>
      </c>
      <c r="AQ779" s="100" t="s">
        <v>43</v>
      </c>
      <c r="AR779" s="100" t="s">
        <v>43</v>
      </c>
      <c r="AS779" s="100" t="str">
        <f>IF(AR779&lt;&gt;"No Disp",AQ779+12*AR779,"No Disp")</f>
        <v>No Disp</v>
      </c>
    </row>
    <row r="780" spans="1:45" s="101" customFormat="1" x14ac:dyDescent="0.25">
      <c r="A780" s="90" t="s">
        <v>38</v>
      </c>
      <c r="B780" s="90" t="s">
        <v>39</v>
      </c>
      <c r="C780" s="90" t="s">
        <v>40</v>
      </c>
      <c r="D780" s="90" t="s">
        <v>4537</v>
      </c>
      <c r="E780" s="90" t="s">
        <v>4542</v>
      </c>
      <c r="F780" s="91">
        <v>463</v>
      </c>
      <c r="G780" s="92">
        <v>70012620</v>
      </c>
      <c r="H780" s="91" t="s">
        <v>3896</v>
      </c>
      <c r="I780" s="93" t="s">
        <v>46</v>
      </c>
      <c r="J780" s="94" t="s">
        <v>3919</v>
      </c>
      <c r="K780" s="94" t="s">
        <v>297</v>
      </c>
      <c r="L780" s="94" t="s">
        <v>298</v>
      </c>
      <c r="M780" s="95">
        <v>419900</v>
      </c>
      <c r="N780" s="95">
        <v>6000</v>
      </c>
      <c r="O780" s="95">
        <v>8500</v>
      </c>
      <c r="P780" s="96">
        <v>489990</v>
      </c>
      <c r="Q780" s="152"/>
      <c r="R780" s="95">
        <v>469990</v>
      </c>
      <c r="S780" s="95">
        <f>R780/24</f>
        <v>19582.916666666668</v>
      </c>
      <c r="T780" s="95">
        <v>419900</v>
      </c>
      <c r="U780" s="95">
        <f>T780/24</f>
        <v>17495.833333333332</v>
      </c>
      <c r="V780" s="95">
        <v>419900</v>
      </c>
      <c r="W780" s="95">
        <f>V780/24</f>
        <v>17495.833333333332</v>
      </c>
      <c r="X780" s="128"/>
      <c r="Y780" s="95">
        <v>39900</v>
      </c>
      <c r="Z780" s="95">
        <v>36000</v>
      </c>
      <c r="AA780" s="95">
        <f>IFERROR(IF(D780="Premium",0.4*Y780,0),"No Disp")</f>
        <v>0</v>
      </c>
      <c r="AB780" s="95">
        <f>IFERROR(IF(4*Y780&gt;AC780,1.5*Y780,4*Y780),"No Disp")</f>
        <v>159600</v>
      </c>
      <c r="AC780" s="95">
        <f>IF(Z780="No Disp","No Disp",(Z780*18)+Y780)</f>
        <v>687900</v>
      </c>
      <c r="AD780" s="95">
        <f>18*Z780-100+Y780</f>
        <v>687800</v>
      </c>
      <c r="AE780" s="95">
        <v>19900</v>
      </c>
      <c r="AF780" s="95">
        <v>32000</v>
      </c>
      <c r="AG780" s="95">
        <f>IF(AF780="No Disp","No Disp",(AF780*18)+AE780)</f>
        <v>595900</v>
      </c>
      <c r="AH780" s="98">
        <f>18*AF780-100+AE780</f>
        <v>595800</v>
      </c>
      <c r="AI780" s="95" t="s">
        <v>4613</v>
      </c>
      <c r="AJ780" s="99"/>
      <c r="AK780" s="100" t="s">
        <v>43</v>
      </c>
      <c r="AL780" s="100" t="s">
        <v>43</v>
      </c>
      <c r="AM780" s="100" t="str">
        <f>IF(AL780&lt;&gt;"No Disp",AK780+12*AL780,"No Disp")</f>
        <v>No Disp</v>
      </c>
      <c r="AN780" s="100" t="s">
        <v>43</v>
      </c>
      <c r="AO780" s="100" t="s">
        <v>43</v>
      </c>
      <c r="AP780" s="100" t="str">
        <f>IF(AO780&lt;&gt;"No Disp",AN780+12*AO780,"No Disp")</f>
        <v>No Disp</v>
      </c>
      <c r="AQ780" s="100" t="s">
        <v>43</v>
      </c>
      <c r="AR780" s="100" t="s">
        <v>43</v>
      </c>
      <c r="AS780" s="100" t="str">
        <f>IF(AR780&lt;&gt;"No Disp",AQ780+12*AR780,"No Disp")</f>
        <v>No Disp</v>
      </c>
    </row>
    <row r="781" spans="1:45" s="101" customFormat="1" x14ac:dyDescent="0.25">
      <c r="A781" s="90" t="s">
        <v>38</v>
      </c>
      <c r="B781" s="90" t="s">
        <v>39</v>
      </c>
      <c r="C781" s="90" t="s">
        <v>40</v>
      </c>
      <c r="D781" s="90" t="s">
        <v>4537</v>
      </c>
      <c r="E781" s="90" t="s">
        <v>4542</v>
      </c>
      <c r="F781" s="91">
        <v>466</v>
      </c>
      <c r="G781" s="92">
        <v>70012623</v>
      </c>
      <c r="H781" s="91" t="s">
        <v>3896</v>
      </c>
      <c r="I781" s="93" t="s">
        <v>46</v>
      </c>
      <c r="J781" s="94" t="s">
        <v>3905</v>
      </c>
      <c r="K781" s="94" t="s">
        <v>291</v>
      </c>
      <c r="L781" s="94" t="s">
        <v>292</v>
      </c>
      <c r="M781" s="95">
        <v>449900</v>
      </c>
      <c r="N781" s="95">
        <v>6000</v>
      </c>
      <c r="O781" s="95">
        <v>8500</v>
      </c>
      <c r="P781" s="96">
        <v>509990</v>
      </c>
      <c r="Q781" s="152"/>
      <c r="R781" s="95">
        <v>499990</v>
      </c>
      <c r="S781" s="95">
        <f>R781/24</f>
        <v>20832.916666666668</v>
      </c>
      <c r="T781" s="95">
        <v>449900</v>
      </c>
      <c r="U781" s="95">
        <f>T781/24</f>
        <v>18745.833333333332</v>
      </c>
      <c r="V781" s="95">
        <v>449900</v>
      </c>
      <c r="W781" s="95">
        <f>V781/24</f>
        <v>18745.833333333332</v>
      </c>
      <c r="X781" s="128"/>
      <c r="Y781" s="95">
        <v>49900</v>
      </c>
      <c r="Z781" s="95">
        <v>40000</v>
      </c>
      <c r="AA781" s="95">
        <f>IFERROR(IF(D781="Premium",0.4*Y781,0),"No Disp")</f>
        <v>0</v>
      </c>
      <c r="AB781" s="95">
        <f>IFERROR(IF(4*Y781&gt;AC781,1.5*Y781,4*Y781),"No Disp")</f>
        <v>199600</v>
      </c>
      <c r="AC781" s="95">
        <f>IF(Z781="No Disp","No Disp",(Z781*18)+Y781)</f>
        <v>769900</v>
      </c>
      <c r="AD781" s="95">
        <f>18*Z781-100+Y781</f>
        <v>769800</v>
      </c>
      <c r="AE781" s="95">
        <v>19900</v>
      </c>
      <c r="AF781" s="95">
        <v>39000</v>
      </c>
      <c r="AG781" s="95">
        <f>IF(AF781="No Disp","No Disp",(AF781*18)+AE781)</f>
        <v>721900</v>
      </c>
      <c r="AH781" s="98">
        <f>18*AF781-100+AE781</f>
        <v>721800</v>
      </c>
      <c r="AI781" s="95" t="s">
        <v>4613</v>
      </c>
      <c r="AJ781" s="99"/>
      <c r="AK781" s="100" t="s">
        <v>43</v>
      </c>
      <c r="AL781" s="100" t="s">
        <v>43</v>
      </c>
      <c r="AM781" s="100" t="str">
        <f>IF(AL781&lt;&gt;"No Disp",AK781+12*AL781,"No Disp")</f>
        <v>No Disp</v>
      </c>
      <c r="AN781" s="100" t="s">
        <v>43</v>
      </c>
      <c r="AO781" s="100" t="s">
        <v>43</v>
      </c>
      <c r="AP781" s="100" t="str">
        <f>IF(AO781&lt;&gt;"No Disp",AN781+12*AO781,"No Disp")</f>
        <v>No Disp</v>
      </c>
      <c r="AQ781" s="100" t="s">
        <v>43</v>
      </c>
      <c r="AR781" s="100" t="s">
        <v>43</v>
      </c>
      <c r="AS781" s="100" t="str">
        <f>IF(AR781&lt;&gt;"No Disp",AQ781+12*AR781,"No Disp")</f>
        <v>No Disp</v>
      </c>
    </row>
    <row r="782" spans="1:45" s="101" customFormat="1" x14ac:dyDescent="0.25">
      <c r="A782" s="90" t="s">
        <v>38</v>
      </c>
      <c r="B782" s="90" t="s">
        <v>39</v>
      </c>
      <c r="C782" s="90" t="s">
        <v>40</v>
      </c>
      <c r="D782" s="90" t="s">
        <v>4537</v>
      </c>
      <c r="E782" s="90" t="s">
        <v>4542</v>
      </c>
      <c r="F782" s="91">
        <v>465</v>
      </c>
      <c r="G782" s="92">
        <v>70012622</v>
      </c>
      <c r="H782" s="91" t="s">
        <v>3896</v>
      </c>
      <c r="I782" s="93" t="s">
        <v>46</v>
      </c>
      <c r="J782" s="94" t="s">
        <v>3905</v>
      </c>
      <c r="K782" s="94" t="s">
        <v>293</v>
      </c>
      <c r="L782" s="94" t="s">
        <v>294</v>
      </c>
      <c r="M782" s="95">
        <v>449900</v>
      </c>
      <c r="N782" s="95">
        <v>6000</v>
      </c>
      <c r="O782" s="95">
        <v>8500</v>
      </c>
      <c r="P782" s="96">
        <v>509990</v>
      </c>
      <c r="Q782" s="152"/>
      <c r="R782" s="95">
        <v>499990</v>
      </c>
      <c r="S782" s="95">
        <f>R782/24</f>
        <v>20832.916666666668</v>
      </c>
      <c r="T782" s="95">
        <v>449900</v>
      </c>
      <c r="U782" s="95">
        <f>T782/24</f>
        <v>18745.833333333332</v>
      </c>
      <c r="V782" s="95">
        <v>449900</v>
      </c>
      <c r="W782" s="95">
        <f>V782/24</f>
        <v>18745.833333333332</v>
      </c>
      <c r="X782" s="128"/>
      <c r="Y782" s="95">
        <v>49900</v>
      </c>
      <c r="Z782" s="95">
        <v>40000</v>
      </c>
      <c r="AA782" s="95">
        <f>IFERROR(IF(D782="Premium",0.4*Y782,0),"No Disp")</f>
        <v>0</v>
      </c>
      <c r="AB782" s="95">
        <f>IFERROR(IF(4*Y782&gt;AC782,1.5*Y782,4*Y782),"No Disp")</f>
        <v>199600</v>
      </c>
      <c r="AC782" s="95">
        <f>IF(Z782="No Disp","No Disp",(Z782*18)+Y782)</f>
        <v>769900</v>
      </c>
      <c r="AD782" s="95">
        <f>18*Z782-100+Y782</f>
        <v>769800</v>
      </c>
      <c r="AE782" s="95">
        <v>19900</v>
      </c>
      <c r="AF782" s="95">
        <v>39000</v>
      </c>
      <c r="AG782" s="95">
        <f>IF(AF782="No Disp","No Disp",(AF782*18)+AE782)</f>
        <v>721900</v>
      </c>
      <c r="AH782" s="98">
        <f>18*AF782-100+AE782</f>
        <v>721800</v>
      </c>
      <c r="AI782" s="95" t="s">
        <v>4613</v>
      </c>
      <c r="AJ782" s="99"/>
      <c r="AK782" s="100" t="s">
        <v>43</v>
      </c>
      <c r="AL782" s="100" t="s">
        <v>43</v>
      </c>
      <c r="AM782" s="100" t="str">
        <f>IF(AL782&lt;&gt;"No Disp",AK782+12*AL782,"No Disp")</f>
        <v>No Disp</v>
      </c>
      <c r="AN782" s="100" t="s">
        <v>43</v>
      </c>
      <c r="AO782" s="100" t="s">
        <v>43</v>
      </c>
      <c r="AP782" s="100" t="str">
        <f>IF(AO782&lt;&gt;"No Disp",AN782+12*AO782,"No Disp")</f>
        <v>No Disp</v>
      </c>
      <c r="AQ782" s="100" t="s">
        <v>43</v>
      </c>
      <c r="AR782" s="100" t="s">
        <v>43</v>
      </c>
      <c r="AS782" s="100" t="str">
        <f>IF(AR782&lt;&gt;"No Disp",AQ782+12*AR782,"No Disp")</f>
        <v>No Disp</v>
      </c>
    </row>
    <row r="783" spans="1:45" s="101" customFormat="1" x14ac:dyDescent="0.25">
      <c r="A783" s="90" t="s">
        <v>38</v>
      </c>
      <c r="B783" s="90" t="s">
        <v>39</v>
      </c>
      <c r="C783" s="90" t="s">
        <v>40</v>
      </c>
      <c r="D783" s="90" t="s">
        <v>4537</v>
      </c>
      <c r="E783" s="90" t="s">
        <v>4538</v>
      </c>
      <c r="F783" s="91"/>
      <c r="G783" s="92">
        <v>70016061</v>
      </c>
      <c r="H783" s="91" t="s">
        <v>3896</v>
      </c>
      <c r="I783" s="93" t="s">
        <v>46</v>
      </c>
      <c r="J783" s="94" t="s">
        <v>4551</v>
      </c>
      <c r="K783" s="94" t="s">
        <v>4570</v>
      </c>
      <c r="L783" s="94" t="s">
        <v>4589</v>
      </c>
      <c r="M783" s="95">
        <v>299900</v>
      </c>
      <c r="N783" s="95">
        <v>4000</v>
      </c>
      <c r="O783" s="95">
        <v>6000</v>
      </c>
      <c r="P783" s="96">
        <v>299990</v>
      </c>
      <c r="Q783" s="152"/>
      <c r="R783" s="95">
        <v>339990</v>
      </c>
      <c r="S783" s="95">
        <f>R783/24</f>
        <v>14166.25</v>
      </c>
      <c r="T783" s="95">
        <v>299900</v>
      </c>
      <c r="U783" s="95">
        <f>T783/24</f>
        <v>12495.833333333334</v>
      </c>
      <c r="V783" s="95">
        <v>299900</v>
      </c>
      <c r="W783" s="95">
        <f>V783/24</f>
        <v>12495.833333333334</v>
      </c>
      <c r="X783" s="128"/>
      <c r="Y783" s="95">
        <v>19900</v>
      </c>
      <c r="Z783" s="95">
        <v>24000</v>
      </c>
      <c r="AA783" s="95">
        <f>IFERROR(IF(D783="Premium",0.4*Y783,0),"No Disp")</f>
        <v>0</v>
      </c>
      <c r="AB783" s="95">
        <f>IFERROR(IF(4*Y783&gt;AC783,1.5*Y783,4*Y783),"No Disp")</f>
        <v>79600</v>
      </c>
      <c r="AC783" s="95">
        <f>IF(Z783="No Disp","No Disp",(Z783*18)+Y783)</f>
        <v>451900</v>
      </c>
      <c r="AD783" s="95">
        <f>18*Z783-100+Y783</f>
        <v>451800</v>
      </c>
      <c r="AE783" s="95">
        <v>19900</v>
      </c>
      <c r="AF783" s="95">
        <v>24000</v>
      </c>
      <c r="AG783" s="95">
        <f>IF(AF783="No Disp","No Disp",(AF783*18)+AE783)</f>
        <v>451900</v>
      </c>
      <c r="AH783" s="98">
        <f>18*AF783-100+AE783</f>
        <v>451800</v>
      </c>
      <c r="AI783" s="95" t="s">
        <v>4613</v>
      </c>
      <c r="AJ783" s="99"/>
      <c r="AK783" s="100" t="s">
        <v>43</v>
      </c>
      <c r="AL783" s="100" t="s">
        <v>43</v>
      </c>
      <c r="AM783" s="100" t="str">
        <f>IF(AL783&lt;&gt;"No Disp",AK783+12*AL783,"No Disp")</f>
        <v>No Disp</v>
      </c>
      <c r="AN783" s="100" t="s">
        <v>43</v>
      </c>
      <c r="AO783" s="100" t="s">
        <v>43</v>
      </c>
      <c r="AP783" s="100" t="str">
        <f>IF(AO783&lt;&gt;"No Disp",AN783+12*AO783,"No Disp")</f>
        <v>No Disp</v>
      </c>
      <c r="AQ783" s="100" t="s">
        <v>43</v>
      </c>
      <c r="AR783" s="100" t="s">
        <v>43</v>
      </c>
      <c r="AS783" s="100" t="str">
        <f>IF(AR783&lt;&gt;"No Disp",AQ783+12*AR783,"No Disp")</f>
        <v>No Disp</v>
      </c>
    </row>
    <row r="784" spans="1:45" s="101" customFormat="1" x14ac:dyDescent="0.25">
      <c r="A784" s="90" t="s">
        <v>38</v>
      </c>
      <c r="B784" s="90" t="s">
        <v>40</v>
      </c>
      <c r="C784" s="90" t="s">
        <v>39</v>
      </c>
      <c r="D784" s="90" t="s">
        <v>4539</v>
      </c>
      <c r="E784" s="90" t="s">
        <v>4538</v>
      </c>
      <c r="F784" s="91">
        <v>741</v>
      </c>
      <c r="G784" s="92">
        <v>70015358</v>
      </c>
      <c r="H784" s="91" t="s">
        <v>3896</v>
      </c>
      <c r="I784" s="93" t="s">
        <v>112</v>
      </c>
      <c r="J784" s="94" t="s">
        <v>4319</v>
      </c>
      <c r="K784" s="94" t="s">
        <v>4515</v>
      </c>
      <c r="L784" s="94" t="s">
        <v>4334</v>
      </c>
      <c r="M784" s="95">
        <v>84900</v>
      </c>
      <c r="N784" s="95">
        <v>2500</v>
      </c>
      <c r="O784" s="95">
        <v>4000</v>
      </c>
      <c r="P784" s="96">
        <v>129990</v>
      </c>
      <c r="Q784" s="152"/>
      <c r="R784" s="95">
        <v>94990</v>
      </c>
      <c r="S784" s="95">
        <f>R784/24</f>
        <v>3957.9166666666665</v>
      </c>
      <c r="T784" s="95">
        <v>84900</v>
      </c>
      <c r="U784" s="95">
        <f>T784/24</f>
        <v>3537.5</v>
      </c>
      <c r="V784" s="95">
        <v>84900</v>
      </c>
      <c r="W784" s="95">
        <f>V784/24</f>
        <v>3537.5</v>
      </c>
      <c r="X784" s="128"/>
      <c r="Y784" s="95">
        <v>0</v>
      </c>
      <c r="Z784" s="95">
        <v>8500</v>
      </c>
      <c r="AA784" s="95">
        <f>IFERROR(IF(D784="Premium",0.4*Y784,0),"No Disp")</f>
        <v>0</v>
      </c>
      <c r="AB784" s="95">
        <f>IFERROR(IF(4*Y784&gt;AC784,1.5*Y784,4*Y784),"No Disp")</f>
        <v>0</v>
      </c>
      <c r="AC784" s="95">
        <f>IF(Z784="No Disp","No Disp",(Z784*18)+Y784)</f>
        <v>153000</v>
      </c>
      <c r="AD784" s="95">
        <f>18*Z784-100+Y784</f>
        <v>152900</v>
      </c>
      <c r="AE784" s="95">
        <v>0</v>
      </c>
      <c r="AF784" s="95">
        <v>7500</v>
      </c>
      <c r="AG784" s="95">
        <f>IF(AF784="No Disp","No Disp",(AF784*18)+AE784)</f>
        <v>135000</v>
      </c>
      <c r="AH784" s="98">
        <f>18*AF784-100+AE784</f>
        <v>134900</v>
      </c>
      <c r="AI784" s="95" t="s">
        <v>4613</v>
      </c>
      <c r="AJ784" s="99"/>
      <c r="AK784" s="100" t="s">
        <v>43</v>
      </c>
      <c r="AL784" s="100" t="s">
        <v>43</v>
      </c>
      <c r="AM784" s="100" t="str">
        <f>IF(AL784&lt;&gt;"No Disp",AK784+12*AL784,"No Disp")</f>
        <v>No Disp</v>
      </c>
      <c r="AN784" s="100" t="s">
        <v>43</v>
      </c>
      <c r="AO784" s="100" t="s">
        <v>43</v>
      </c>
      <c r="AP784" s="100" t="str">
        <f>IF(AO784&lt;&gt;"No Disp",AN784+12*AO784,"No Disp")</f>
        <v>No Disp</v>
      </c>
      <c r="AQ784" s="100" t="s">
        <v>43</v>
      </c>
      <c r="AR784" s="100" t="s">
        <v>43</v>
      </c>
      <c r="AS784" s="100" t="str">
        <f>IF(AR784&lt;&gt;"No Disp",AQ784+12*AR784,"No Disp")</f>
        <v>No Disp</v>
      </c>
    </row>
    <row r="785" spans="1:45" s="101" customFormat="1" x14ac:dyDescent="0.25">
      <c r="A785" s="90" t="s">
        <v>38</v>
      </c>
      <c r="B785" s="90" t="s">
        <v>40</v>
      </c>
      <c r="C785" s="90" t="s">
        <v>39</v>
      </c>
      <c r="D785" s="90" t="s">
        <v>4539</v>
      </c>
      <c r="E785" s="90" t="s">
        <v>4538</v>
      </c>
      <c r="F785" s="91">
        <v>741</v>
      </c>
      <c r="G785" s="92">
        <v>70015966</v>
      </c>
      <c r="H785" s="91" t="s">
        <v>3896</v>
      </c>
      <c r="I785" s="93" t="s">
        <v>112</v>
      </c>
      <c r="J785" s="94" t="s">
        <v>4319</v>
      </c>
      <c r="K785" s="94" t="s">
        <v>4522</v>
      </c>
      <c r="L785" s="94" t="s">
        <v>4523</v>
      </c>
      <c r="M785" s="95">
        <v>84900</v>
      </c>
      <c r="N785" s="95">
        <v>2500</v>
      </c>
      <c r="O785" s="95">
        <v>4000</v>
      </c>
      <c r="P785" s="96">
        <v>129990</v>
      </c>
      <c r="Q785" s="152"/>
      <c r="R785" s="95">
        <v>94990</v>
      </c>
      <c r="S785" s="95">
        <f>R785/24</f>
        <v>3957.9166666666665</v>
      </c>
      <c r="T785" s="95">
        <v>84900</v>
      </c>
      <c r="U785" s="95">
        <f>T785/24</f>
        <v>3537.5</v>
      </c>
      <c r="V785" s="95">
        <v>84900</v>
      </c>
      <c r="W785" s="95">
        <f>V785/24</f>
        <v>3537.5</v>
      </c>
      <c r="X785" s="128"/>
      <c r="Y785" s="95">
        <v>0</v>
      </c>
      <c r="Z785" s="95">
        <v>8500</v>
      </c>
      <c r="AA785" s="95">
        <f>IFERROR(IF(D785="Premium",0.4*Y785,0),"No Disp")</f>
        <v>0</v>
      </c>
      <c r="AB785" s="95">
        <f>IFERROR(IF(4*Y785&gt;AC785,1.5*Y785,4*Y785),"No Disp")</f>
        <v>0</v>
      </c>
      <c r="AC785" s="95">
        <f>IF(Z785="No Disp","No Disp",(Z785*18)+Y785)</f>
        <v>153000</v>
      </c>
      <c r="AD785" s="95">
        <f>18*Z785-100+Y785</f>
        <v>152900</v>
      </c>
      <c r="AE785" s="95">
        <v>0</v>
      </c>
      <c r="AF785" s="95">
        <v>7500</v>
      </c>
      <c r="AG785" s="95">
        <f>IF(AF785="No Disp","No Disp",(AF785*18)+AE785)</f>
        <v>135000</v>
      </c>
      <c r="AH785" s="98">
        <f>18*AF785-100+AE785</f>
        <v>134900</v>
      </c>
      <c r="AI785" s="95" t="s">
        <v>4613</v>
      </c>
      <c r="AJ785" s="99"/>
      <c r="AK785" s="100" t="s">
        <v>43</v>
      </c>
      <c r="AL785" s="100" t="s">
        <v>43</v>
      </c>
      <c r="AM785" s="100" t="str">
        <f>IF(AL785&lt;&gt;"No Disp",AK785+12*AL785,"No Disp")</f>
        <v>No Disp</v>
      </c>
      <c r="AN785" s="100" t="s">
        <v>43</v>
      </c>
      <c r="AO785" s="100" t="s">
        <v>43</v>
      </c>
      <c r="AP785" s="100" t="str">
        <f>IF(AO785&lt;&gt;"No Disp",AN785+12*AO785,"No Disp")</f>
        <v>No Disp</v>
      </c>
      <c r="AQ785" s="100" t="s">
        <v>43</v>
      </c>
      <c r="AR785" s="100" t="s">
        <v>43</v>
      </c>
      <c r="AS785" s="100" t="str">
        <f>IF(AR785&lt;&gt;"No Disp",AQ785+12*AR785,"No Disp")</f>
        <v>No Disp</v>
      </c>
    </row>
    <row r="786" spans="1:45" s="101" customFormat="1" x14ac:dyDescent="0.25">
      <c r="A786" s="90" t="s">
        <v>38</v>
      </c>
      <c r="B786" s="90" t="s">
        <v>39</v>
      </c>
      <c r="C786" s="90" t="s">
        <v>40</v>
      </c>
      <c r="D786" s="90" t="s">
        <v>4541</v>
      </c>
      <c r="E786" s="90" t="s">
        <v>4542</v>
      </c>
      <c r="F786" s="91">
        <v>313</v>
      </c>
      <c r="G786" s="92">
        <v>70011812</v>
      </c>
      <c r="H786" s="91" t="s">
        <v>3896</v>
      </c>
      <c r="I786" s="93" t="s">
        <v>112</v>
      </c>
      <c r="J786" s="94" t="s">
        <v>623</v>
      </c>
      <c r="K786" s="94" t="s">
        <v>580</v>
      </c>
      <c r="L786" s="94" t="s">
        <v>581</v>
      </c>
      <c r="M786" s="95">
        <v>89900</v>
      </c>
      <c r="N786" s="95">
        <v>2500</v>
      </c>
      <c r="O786" s="95">
        <v>4000</v>
      </c>
      <c r="P786" s="96">
        <v>199990</v>
      </c>
      <c r="Q786" s="152"/>
      <c r="R786" s="95">
        <v>99990</v>
      </c>
      <c r="S786" s="95">
        <f>R786/24</f>
        <v>4166.25</v>
      </c>
      <c r="T786" s="95">
        <v>89900</v>
      </c>
      <c r="U786" s="95">
        <f>T786/24</f>
        <v>3745.8333333333335</v>
      </c>
      <c r="V786" s="95">
        <v>89900</v>
      </c>
      <c r="W786" s="95">
        <f>V786/24</f>
        <v>3745.8333333333335</v>
      </c>
      <c r="X786" s="128"/>
      <c r="Y786" s="95">
        <v>0</v>
      </c>
      <c r="Z786" s="95">
        <v>9000</v>
      </c>
      <c r="AA786" s="95">
        <f>IFERROR(IF(D786="Premium",0.4*Y786,0),"No Disp")</f>
        <v>0</v>
      </c>
      <c r="AB786" s="95">
        <f>IFERROR(IF(4*Y786&gt;AC786,1.5*Y786,4*Y786),"No Disp")</f>
        <v>0</v>
      </c>
      <c r="AC786" s="95">
        <f>IF(Z786="No Disp","No Disp",(Z786*18)+Y786)</f>
        <v>162000</v>
      </c>
      <c r="AD786" s="95">
        <f>18*Z786-100+Y786</f>
        <v>161900</v>
      </c>
      <c r="AE786" s="95">
        <v>0</v>
      </c>
      <c r="AF786" s="95">
        <v>8000</v>
      </c>
      <c r="AG786" s="95">
        <f>IF(AF786="No Disp","No Disp",(AF786*18)+AE786)</f>
        <v>144000</v>
      </c>
      <c r="AH786" s="98">
        <f>18*AF786-100+AE786</f>
        <v>143900</v>
      </c>
      <c r="AI786" s="95" t="s">
        <v>4613</v>
      </c>
      <c r="AJ786" s="99"/>
      <c r="AK786" s="100" t="s">
        <v>43</v>
      </c>
      <c r="AL786" s="100" t="s">
        <v>43</v>
      </c>
      <c r="AM786" s="100" t="str">
        <f>IF(AL786&lt;&gt;"No Disp",AK786+12*AL786,"No Disp")</f>
        <v>No Disp</v>
      </c>
      <c r="AN786" s="100" t="s">
        <v>43</v>
      </c>
      <c r="AO786" s="100" t="s">
        <v>43</v>
      </c>
      <c r="AP786" s="100" t="str">
        <f>IF(AO786&lt;&gt;"No Disp",AN786+12*AO786,"No Disp")</f>
        <v>No Disp</v>
      </c>
      <c r="AQ786" s="100" t="s">
        <v>43</v>
      </c>
      <c r="AR786" s="100" t="s">
        <v>43</v>
      </c>
      <c r="AS786" s="100" t="str">
        <f>IF(AR786&lt;&gt;"No Disp",AQ786+12*AR786,"No Disp")</f>
        <v>No Disp</v>
      </c>
    </row>
    <row r="787" spans="1:45" s="101" customFormat="1" x14ac:dyDescent="0.25">
      <c r="A787" s="90" t="s">
        <v>38</v>
      </c>
      <c r="B787" s="90" t="s">
        <v>40</v>
      </c>
      <c r="C787" s="90" t="s">
        <v>39</v>
      </c>
      <c r="D787" s="90" t="s">
        <v>4541</v>
      </c>
      <c r="E787" s="90" t="s">
        <v>4538</v>
      </c>
      <c r="F787" s="91">
        <v>698</v>
      </c>
      <c r="G787" s="92">
        <v>70014777</v>
      </c>
      <c r="H787" s="91" t="s">
        <v>3896</v>
      </c>
      <c r="I787" s="93" t="s">
        <v>112</v>
      </c>
      <c r="J787" s="94" t="s">
        <v>4252</v>
      </c>
      <c r="K787" s="94" t="s">
        <v>4254</v>
      </c>
      <c r="L787" s="94" t="s">
        <v>4256</v>
      </c>
      <c r="M787" s="95">
        <v>89900</v>
      </c>
      <c r="N787" s="95">
        <v>2500</v>
      </c>
      <c r="O787" s="95">
        <v>4000</v>
      </c>
      <c r="P787" s="96">
        <v>199990</v>
      </c>
      <c r="Q787" s="152"/>
      <c r="R787" s="95">
        <v>99990</v>
      </c>
      <c r="S787" s="95">
        <f>R787/24</f>
        <v>4166.25</v>
      </c>
      <c r="T787" s="95">
        <v>89900</v>
      </c>
      <c r="U787" s="95">
        <f>T787/24</f>
        <v>3745.8333333333335</v>
      </c>
      <c r="V787" s="95">
        <v>89900</v>
      </c>
      <c r="W787" s="95">
        <f>V787/24</f>
        <v>3745.8333333333335</v>
      </c>
      <c r="X787" s="128"/>
      <c r="Y787" s="95">
        <v>0</v>
      </c>
      <c r="Z787" s="95">
        <v>9000</v>
      </c>
      <c r="AA787" s="95">
        <f>IFERROR(IF(D787="Premium",0.4*Y787,0),"No Disp")</f>
        <v>0</v>
      </c>
      <c r="AB787" s="95">
        <f>IFERROR(IF(4*Y787&gt;AC787,1.5*Y787,4*Y787),"No Disp")</f>
        <v>0</v>
      </c>
      <c r="AC787" s="95">
        <f>IF(Z787="No Disp","No Disp",(Z787*18)+Y787)</f>
        <v>162000</v>
      </c>
      <c r="AD787" s="95">
        <f>18*Z787-100+Y787</f>
        <v>161900</v>
      </c>
      <c r="AE787" s="95">
        <v>0</v>
      </c>
      <c r="AF787" s="95">
        <v>8000</v>
      </c>
      <c r="AG787" s="95">
        <f>IF(AF787="No Disp","No Disp",(AF787*18)+AE787)</f>
        <v>144000</v>
      </c>
      <c r="AH787" s="98">
        <f>18*AF787-100+AE787</f>
        <v>143900</v>
      </c>
      <c r="AI787" s="95" t="s">
        <v>4613</v>
      </c>
      <c r="AJ787" s="99"/>
      <c r="AK787" s="100" t="s">
        <v>43</v>
      </c>
      <c r="AL787" s="100" t="s">
        <v>43</v>
      </c>
      <c r="AM787" s="100" t="str">
        <f>IF(AL787&lt;&gt;"No Disp",AK787+12*AL787,"No Disp")</f>
        <v>No Disp</v>
      </c>
      <c r="AN787" s="100" t="s">
        <v>43</v>
      </c>
      <c r="AO787" s="100" t="s">
        <v>43</v>
      </c>
      <c r="AP787" s="100" t="str">
        <f>IF(AO787&lt;&gt;"No Disp",AN787+12*AO787,"No Disp")</f>
        <v>No Disp</v>
      </c>
      <c r="AQ787" s="100" t="s">
        <v>43</v>
      </c>
      <c r="AR787" s="100" t="s">
        <v>43</v>
      </c>
      <c r="AS787" s="100" t="str">
        <f>IF(AR787&lt;&gt;"No Disp",AQ787+12*AR787,"No Disp")</f>
        <v>No Disp</v>
      </c>
    </row>
    <row r="788" spans="1:45" s="101" customFormat="1" x14ac:dyDescent="0.25">
      <c r="A788" s="90" t="s">
        <v>38</v>
      </c>
      <c r="B788" s="90" t="s">
        <v>39</v>
      </c>
      <c r="C788" s="90" t="s">
        <v>40</v>
      </c>
      <c r="D788" s="90" t="s">
        <v>4539</v>
      </c>
      <c r="E788" s="90" t="s">
        <v>4542</v>
      </c>
      <c r="F788" s="91">
        <v>483</v>
      </c>
      <c r="G788" s="92">
        <v>70012684</v>
      </c>
      <c r="H788" s="91" t="s">
        <v>3896</v>
      </c>
      <c r="I788" s="93" t="s">
        <v>112</v>
      </c>
      <c r="J788" s="94" t="s">
        <v>3835</v>
      </c>
      <c r="K788" s="94" t="s">
        <v>252</v>
      </c>
      <c r="L788" s="94" t="s">
        <v>253</v>
      </c>
      <c r="M788" s="95">
        <v>179900</v>
      </c>
      <c r="N788" s="95">
        <v>4000</v>
      </c>
      <c r="O788" s="95">
        <v>6000</v>
      </c>
      <c r="P788" s="96">
        <v>299990</v>
      </c>
      <c r="Q788" s="152"/>
      <c r="R788" s="95">
        <v>199990</v>
      </c>
      <c r="S788" s="95">
        <f>R788/24</f>
        <v>8332.9166666666661</v>
      </c>
      <c r="T788" s="95">
        <v>179900</v>
      </c>
      <c r="U788" s="95">
        <f>T788/24</f>
        <v>7495.833333333333</v>
      </c>
      <c r="V788" s="95">
        <v>179900</v>
      </c>
      <c r="W788" s="95">
        <f>V788/24</f>
        <v>7495.833333333333</v>
      </c>
      <c r="X788" s="128"/>
      <c r="Y788" s="95">
        <v>0</v>
      </c>
      <c r="Z788" s="95">
        <v>16500</v>
      </c>
      <c r="AA788" s="95">
        <f>IFERROR(IF(D788="Premium",0.4*Y788,0),"No Disp")</f>
        <v>0</v>
      </c>
      <c r="AB788" s="95">
        <f>IFERROR(IF(4*Y788&gt;AC788,1.5*Y788,4*Y788),"No Disp")</f>
        <v>0</v>
      </c>
      <c r="AC788" s="95">
        <f>IF(Z788="No Disp","No Disp",(Z788*18)+Y788)</f>
        <v>297000</v>
      </c>
      <c r="AD788" s="95">
        <f>18*Z788-100+Y788</f>
        <v>296900</v>
      </c>
      <c r="AE788" s="95">
        <v>0</v>
      </c>
      <c r="AF788" s="95">
        <v>15000</v>
      </c>
      <c r="AG788" s="95">
        <f>IF(AF788="No Disp","No Disp",(AF788*18)+AE788)</f>
        <v>270000</v>
      </c>
      <c r="AH788" s="98">
        <f>18*AF788-100+AE788</f>
        <v>269900</v>
      </c>
      <c r="AI788" s="95" t="s">
        <v>4613</v>
      </c>
      <c r="AJ788" s="99"/>
      <c r="AK788" s="100" t="s">
        <v>43</v>
      </c>
      <c r="AL788" s="100" t="s">
        <v>43</v>
      </c>
      <c r="AM788" s="100" t="str">
        <f>IF(AL788&lt;&gt;"No Disp",AK788+12*AL788,"No Disp")</f>
        <v>No Disp</v>
      </c>
      <c r="AN788" s="100" t="s">
        <v>43</v>
      </c>
      <c r="AO788" s="100" t="s">
        <v>43</v>
      </c>
      <c r="AP788" s="100" t="str">
        <f>IF(AO788&lt;&gt;"No Disp",AN788+12*AO788,"No Disp")</f>
        <v>No Disp</v>
      </c>
      <c r="AQ788" s="100" t="s">
        <v>43</v>
      </c>
      <c r="AR788" s="100" t="s">
        <v>43</v>
      </c>
      <c r="AS788" s="100" t="str">
        <f>IF(AR788&lt;&gt;"No Disp",AQ788+12*AR788,"No Disp")</f>
        <v>No Disp</v>
      </c>
    </row>
    <row r="789" spans="1:45" s="101" customFormat="1" x14ac:dyDescent="0.25">
      <c r="A789" s="90" t="s">
        <v>38</v>
      </c>
      <c r="B789" s="90" t="s">
        <v>39</v>
      </c>
      <c r="C789" s="90" t="s">
        <v>40</v>
      </c>
      <c r="D789" s="90" t="s">
        <v>4539</v>
      </c>
      <c r="E789" s="90" t="s">
        <v>4542</v>
      </c>
      <c r="F789" s="91">
        <v>478</v>
      </c>
      <c r="G789" s="92">
        <v>70012551</v>
      </c>
      <c r="H789" s="91" t="s">
        <v>3896</v>
      </c>
      <c r="I789" s="93" t="s">
        <v>112</v>
      </c>
      <c r="J789" s="94" t="s">
        <v>3835</v>
      </c>
      <c r="K789" s="94" t="s">
        <v>262</v>
      </c>
      <c r="L789" s="94" t="s">
        <v>263</v>
      </c>
      <c r="M789" s="95">
        <v>179900</v>
      </c>
      <c r="N789" s="95">
        <v>4000</v>
      </c>
      <c r="O789" s="95">
        <v>6000</v>
      </c>
      <c r="P789" s="96">
        <v>299990</v>
      </c>
      <c r="Q789" s="152"/>
      <c r="R789" s="95">
        <v>199990</v>
      </c>
      <c r="S789" s="95">
        <f>R789/24</f>
        <v>8332.9166666666661</v>
      </c>
      <c r="T789" s="95">
        <v>179900</v>
      </c>
      <c r="U789" s="95">
        <f>T789/24</f>
        <v>7495.833333333333</v>
      </c>
      <c r="V789" s="95">
        <v>179900</v>
      </c>
      <c r="W789" s="95">
        <f>V789/24</f>
        <v>7495.833333333333</v>
      </c>
      <c r="X789" s="128"/>
      <c r="Y789" s="95">
        <v>0</v>
      </c>
      <c r="Z789" s="95">
        <v>16500</v>
      </c>
      <c r="AA789" s="95">
        <f>IFERROR(IF(D789="Premium",0.4*Y789,0),"No Disp")</f>
        <v>0</v>
      </c>
      <c r="AB789" s="95">
        <f>IFERROR(IF(4*Y789&gt;AC789,1.5*Y789,4*Y789),"No Disp")</f>
        <v>0</v>
      </c>
      <c r="AC789" s="95">
        <f>IF(Z789="No Disp","No Disp",(Z789*18)+Y789)</f>
        <v>297000</v>
      </c>
      <c r="AD789" s="95">
        <f>18*Z789-100+Y789</f>
        <v>296900</v>
      </c>
      <c r="AE789" s="95">
        <v>0</v>
      </c>
      <c r="AF789" s="95">
        <v>15000</v>
      </c>
      <c r="AG789" s="95">
        <f>IF(AF789="No Disp","No Disp",(AF789*18)+AE789)</f>
        <v>270000</v>
      </c>
      <c r="AH789" s="98">
        <f>18*AF789-100+AE789</f>
        <v>269900</v>
      </c>
      <c r="AI789" s="95" t="s">
        <v>4613</v>
      </c>
      <c r="AJ789" s="99"/>
      <c r="AK789" s="100" t="s">
        <v>43</v>
      </c>
      <c r="AL789" s="100" t="s">
        <v>43</v>
      </c>
      <c r="AM789" s="100" t="str">
        <f>IF(AL789&lt;&gt;"No Disp",AK789+12*AL789,"No Disp")</f>
        <v>No Disp</v>
      </c>
      <c r="AN789" s="100" t="s">
        <v>43</v>
      </c>
      <c r="AO789" s="100" t="s">
        <v>43</v>
      </c>
      <c r="AP789" s="100" t="str">
        <f>IF(AO789&lt;&gt;"No Disp",AN789+12*AO789,"No Disp")</f>
        <v>No Disp</v>
      </c>
      <c r="AQ789" s="100" t="s">
        <v>43</v>
      </c>
      <c r="AR789" s="100" t="s">
        <v>43</v>
      </c>
      <c r="AS789" s="100" t="str">
        <f>IF(AR789&lt;&gt;"No Disp",AQ789+12*AR789,"No Disp")</f>
        <v>No Disp</v>
      </c>
    </row>
    <row r="790" spans="1:45" s="101" customFormat="1" x14ac:dyDescent="0.25">
      <c r="A790" s="90" t="s">
        <v>102</v>
      </c>
      <c r="B790" s="90" t="s">
        <v>39</v>
      </c>
      <c r="C790" s="90" t="s">
        <v>40</v>
      </c>
      <c r="D790" s="90" t="s">
        <v>4541</v>
      </c>
      <c r="E790" s="90" t="s">
        <v>4542</v>
      </c>
      <c r="F790" s="91">
        <v>314</v>
      </c>
      <c r="G790" s="92">
        <v>70011811</v>
      </c>
      <c r="H790" s="91" t="s">
        <v>3896</v>
      </c>
      <c r="I790" s="93" t="s">
        <v>112</v>
      </c>
      <c r="J790" s="94" t="s">
        <v>618</v>
      </c>
      <c r="K790" s="94" t="s">
        <v>578</v>
      </c>
      <c r="L790" s="94" t="s">
        <v>579</v>
      </c>
      <c r="M790" s="95">
        <v>84900</v>
      </c>
      <c r="N790" s="95">
        <v>2500</v>
      </c>
      <c r="O790" s="95">
        <v>4000</v>
      </c>
      <c r="P790" s="96">
        <v>199990</v>
      </c>
      <c r="Q790" s="152"/>
      <c r="R790" s="95">
        <v>94990</v>
      </c>
      <c r="S790" s="95">
        <f>R790/24</f>
        <v>3957.9166666666665</v>
      </c>
      <c r="T790" s="95">
        <v>84900</v>
      </c>
      <c r="U790" s="95">
        <f>T790/24</f>
        <v>3537.5</v>
      </c>
      <c r="V790" s="95">
        <v>84900</v>
      </c>
      <c r="W790" s="95">
        <f>V790/24</f>
        <v>3537.5</v>
      </c>
      <c r="X790" s="128"/>
      <c r="Y790" s="95">
        <v>0</v>
      </c>
      <c r="Z790" s="95">
        <v>8500</v>
      </c>
      <c r="AA790" s="95">
        <f>IFERROR(IF(D790="Premium",0.4*Y790,0),"No Disp")</f>
        <v>0</v>
      </c>
      <c r="AB790" s="95">
        <f>IFERROR(IF(4*Y790&gt;AC790,1.5*Y790,4*Y790),"No Disp")</f>
        <v>0</v>
      </c>
      <c r="AC790" s="95">
        <f>IF(Z790="No Disp","No Disp",(Z790*18)+Y790)</f>
        <v>153000</v>
      </c>
      <c r="AD790" s="95">
        <f>18*Z790-100+Y790</f>
        <v>152900</v>
      </c>
      <c r="AE790" s="95">
        <v>0</v>
      </c>
      <c r="AF790" s="95">
        <v>7000</v>
      </c>
      <c r="AG790" s="95">
        <f>IF(AF790="No Disp","No Disp",(AF790*18)+AE790)</f>
        <v>126000</v>
      </c>
      <c r="AH790" s="98">
        <f>18*AF790-100+AE790</f>
        <v>125900</v>
      </c>
      <c r="AI790" s="95" t="s">
        <v>4613</v>
      </c>
      <c r="AJ790" s="99"/>
      <c r="AK790" s="100" t="s">
        <v>43</v>
      </c>
      <c r="AL790" s="100" t="s">
        <v>43</v>
      </c>
      <c r="AM790" s="100" t="str">
        <f>IF(AL790&lt;&gt;"No Disp",AK790+12*AL790,"No Disp")</f>
        <v>No Disp</v>
      </c>
      <c r="AN790" s="100" t="s">
        <v>43</v>
      </c>
      <c r="AO790" s="100" t="s">
        <v>43</v>
      </c>
      <c r="AP790" s="100" t="str">
        <f>IF(AO790&lt;&gt;"No Disp",AN790+12*AO790,"No Disp")</f>
        <v>No Disp</v>
      </c>
      <c r="AQ790" s="100" t="s">
        <v>43</v>
      </c>
      <c r="AR790" s="100" t="s">
        <v>43</v>
      </c>
      <c r="AS790" s="100" t="str">
        <f>IF(AR790&lt;&gt;"No Disp",AQ790+12*AR790,"No Disp")</f>
        <v>No Disp</v>
      </c>
    </row>
    <row r="791" spans="1:45" s="101" customFormat="1" x14ac:dyDescent="0.25">
      <c r="A791" s="90" t="s">
        <v>38</v>
      </c>
      <c r="B791" s="90" t="s">
        <v>40</v>
      </c>
      <c r="C791" s="90" t="s">
        <v>39</v>
      </c>
      <c r="D791" s="90" t="s">
        <v>4539</v>
      </c>
      <c r="E791" s="90" t="s">
        <v>4538</v>
      </c>
      <c r="F791" s="91">
        <v>738</v>
      </c>
      <c r="G791" s="92">
        <v>70014711</v>
      </c>
      <c r="H791" s="91" t="s">
        <v>3896</v>
      </c>
      <c r="I791" s="93" t="s">
        <v>131</v>
      </c>
      <c r="J791" s="94" t="s">
        <v>4321</v>
      </c>
      <c r="K791" s="94" t="s">
        <v>4505</v>
      </c>
      <c r="L791" s="94" t="s">
        <v>4340</v>
      </c>
      <c r="M791" s="95">
        <v>289900</v>
      </c>
      <c r="N791" s="95">
        <v>4000</v>
      </c>
      <c r="O791" s="95">
        <v>6000</v>
      </c>
      <c r="P791" s="96">
        <v>399990</v>
      </c>
      <c r="Q791" s="152"/>
      <c r="R791" s="95">
        <v>319990</v>
      </c>
      <c r="S791" s="95">
        <f>R791/24</f>
        <v>13332.916666666666</v>
      </c>
      <c r="T791" s="95">
        <v>289900</v>
      </c>
      <c r="U791" s="95">
        <f>T791/24</f>
        <v>12079.166666666666</v>
      </c>
      <c r="V791" s="95">
        <v>289900</v>
      </c>
      <c r="W791" s="95">
        <f>V791/24</f>
        <v>12079.166666666666</v>
      </c>
      <c r="X791" s="128"/>
      <c r="Y791" s="95">
        <v>39900</v>
      </c>
      <c r="Z791" s="95">
        <v>26000</v>
      </c>
      <c r="AA791" s="95">
        <f>IFERROR(IF(D791="Premium",0.4*Y791,0),"No Disp")</f>
        <v>0</v>
      </c>
      <c r="AB791" s="95">
        <f>IFERROR(IF(4*Y791&gt;AC791,1.5*Y791,4*Y791),"No Disp")</f>
        <v>159600</v>
      </c>
      <c r="AC791" s="95">
        <f>IF(Z791="No Disp","No Disp",(Z791*18)+Y791)</f>
        <v>507900</v>
      </c>
      <c r="AD791" s="95">
        <f>18*Z791-100+Y791</f>
        <v>507800</v>
      </c>
      <c r="AE791" s="95">
        <v>0</v>
      </c>
      <c r="AF791" s="95">
        <v>24500</v>
      </c>
      <c r="AG791" s="95">
        <f>IF(AF791="No Disp","No Disp",(AF791*18)+AE791)</f>
        <v>441000</v>
      </c>
      <c r="AH791" s="98">
        <f>18*AF791-100+AE791</f>
        <v>440900</v>
      </c>
      <c r="AI791" s="95" t="s">
        <v>4613</v>
      </c>
      <c r="AJ791" s="99"/>
      <c r="AK791" s="100" t="s">
        <v>43</v>
      </c>
      <c r="AL791" s="100" t="s">
        <v>43</v>
      </c>
      <c r="AM791" s="100" t="str">
        <f>IF(AL791&lt;&gt;"No Disp",AK791+12*AL791,"No Disp")</f>
        <v>No Disp</v>
      </c>
      <c r="AN791" s="100" t="s">
        <v>43</v>
      </c>
      <c r="AO791" s="100" t="s">
        <v>43</v>
      </c>
      <c r="AP791" s="100" t="str">
        <f>IF(AO791&lt;&gt;"No Disp",AN791+12*AO791,"No Disp")</f>
        <v>No Disp</v>
      </c>
      <c r="AQ791" s="100" t="s">
        <v>43</v>
      </c>
      <c r="AR791" s="100" t="s">
        <v>43</v>
      </c>
      <c r="AS791" s="100" t="str">
        <f>IF(AR791&lt;&gt;"No Disp",AQ791+12*AR791,"No Disp")</f>
        <v>No Disp</v>
      </c>
    </row>
    <row r="792" spans="1:45" s="101" customFormat="1" x14ac:dyDescent="0.25">
      <c r="A792" s="90" t="s">
        <v>38</v>
      </c>
      <c r="B792" s="90" t="s">
        <v>40</v>
      </c>
      <c r="C792" s="90" t="s">
        <v>39</v>
      </c>
      <c r="D792" s="90" t="s">
        <v>4539</v>
      </c>
      <c r="E792" s="90" t="s">
        <v>4538</v>
      </c>
      <c r="F792" s="91">
        <v>737</v>
      </c>
      <c r="G792" s="92">
        <v>70014717</v>
      </c>
      <c r="H792" s="91" t="s">
        <v>3896</v>
      </c>
      <c r="I792" s="93" t="s">
        <v>131</v>
      </c>
      <c r="J792" s="94" t="s">
        <v>4321</v>
      </c>
      <c r="K792" s="94" t="s">
        <v>4506</v>
      </c>
      <c r="L792" s="94" t="s">
        <v>4342</v>
      </c>
      <c r="M792" s="95">
        <v>289900</v>
      </c>
      <c r="N792" s="95">
        <v>4000</v>
      </c>
      <c r="O792" s="95">
        <v>6000</v>
      </c>
      <c r="P792" s="96">
        <v>399990</v>
      </c>
      <c r="Q792" s="152"/>
      <c r="R792" s="95">
        <v>319990</v>
      </c>
      <c r="S792" s="95">
        <f>R792/24</f>
        <v>13332.916666666666</v>
      </c>
      <c r="T792" s="95">
        <v>289900</v>
      </c>
      <c r="U792" s="95">
        <f>T792/24</f>
        <v>12079.166666666666</v>
      </c>
      <c r="V792" s="95">
        <v>289900</v>
      </c>
      <c r="W792" s="95">
        <f>V792/24</f>
        <v>12079.166666666666</v>
      </c>
      <c r="X792" s="128"/>
      <c r="Y792" s="95">
        <v>39900</v>
      </c>
      <c r="Z792" s="95">
        <v>26000</v>
      </c>
      <c r="AA792" s="95">
        <f>IFERROR(IF(D792="Premium",0.4*Y792,0),"No Disp")</f>
        <v>0</v>
      </c>
      <c r="AB792" s="95">
        <f>IFERROR(IF(4*Y792&gt;AC792,1.5*Y792,4*Y792),"No Disp")</f>
        <v>159600</v>
      </c>
      <c r="AC792" s="95">
        <f>IF(Z792="No Disp","No Disp",(Z792*18)+Y792)</f>
        <v>507900</v>
      </c>
      <c r="AD792" s="95">
        <f>18*Z792-100+Y792</f>
        <v>507800</v>
      </c>
      <c r="AE792" s="95">
        <v>0</v>
      </c>
      <c r="AF792" s="95">
        <v>24500</v>
      </c>
      <c r="AG792" s="95">
        <f>IF(AF792="No Disp","No Disp",(AF792*18)+AE792)</f>
        <v>441000</v>
      </c>
      <c r="AH792" s="98">
        <f>18*AF792-100+AE792</f>
        <v>440900</v>
      </c>
      <c r="AI792" s="95" t="s">
        <v>4613</v>
      </c>
      <c r="AJ792" s="99"/>
      <c r="AK792" s="100" t="s">
        <v>43</v>
      </c>
      <c r="AL792" s="100" t="s">
        <v>43</v>
      </c>
      <c r="AM792" s="100" t="str">
        <f>IF(AL792&lt;&gt;"No Disp",AK792+12*AL792,"No Disp")</f>
        <v>No Disp</v>
      </c>
      <c r="AN792" s="100" t="s">
        <v>43</v>
      </c>
      <c r="AO792" s="100" t="s">
        <v>43</v>
      </c>
      <c r="AP792" s="100" t="str">
        <f>IF(AO792&lt;&gt;"No Disp",AN792+12*AO792,"No Disp")</f>
        <v>No Disp</v>
      </c>
      <c r="AQ792" s="100" t="s">
        <v>43</v>
      </c>
      <c r="AR792" s="100" t="s">
        <v>43</v>
      </c>
      <c r="AS792" s="100" t="str">
        <f>IF(AR792&lt;&gt;"No Disp",AQ792+12*AR792,"No Disp")</f>
        <v>No Disp</v>
      </c>
    </row>
    <row r="793" spans="1:45" s="101" customFormat="1" x14ac:dyDescent="0.25">
      <c r="A793" s="90" t="s">
        <v>38</v>
      </c>
      <c r="B793" s="90" t="s">
        <v>40</v>
      </c>
      <c r="C793" s="90" t="s">
        <v>39</v>
      </c>
      <c r="D793" s="90" t="s">
        <v>4539</v>
      </c>
      <c r="E793" s="90" t="s">
        <v>4538</v>
      </c>
      <c r="F793" s="91">
        <v>736</v>
      </c>
      <c r="G793" s="92">
        <v>70014747</v>
      </c>
      <c r="H793" s="91" t="s">
        <v>3896</v>
      </c>
      <c r="I793" s="93" t="s">
        <v>131</v>
      </c>
      <c r="J793" s="94" t="s">
        <v>4321</v>
      </c>
      <c r="K793" s="94" t="s">
        <v>4507</v>
      </c>
      <c r="L793" s="94" t="s">
        <v>4343</v>
      </c>
      <c r="M793" s="95">
        <v>289900</v>
      </c>
      <c r="N793" s="95">
        <v>4000</v>
      </c>
      <c r="O793" s="95">
        <v>6000</v>
      </c>
      <c r="P793" s="96">
        <v>399990</v>
      </c>
      <c r="Q793" s="152"/>
      <c r="R793" s="95">
        <v>319990</v>
      </c>
      <c r="S793" s="95">
        <f>R793/24</f>
        <v>13332.916666666666</v>
      </c>
      <c r="T793" s="95">
        <v>289900</v>
      </c>
      <c r="U793" s="95">
        <f>T793/24</f>
        <v>12079.166666666666</v>
      </c>
      <c r="V793" s="95">
        <v>289900</v>
      </c>
      <c r="W793" s="95">
        <f>V793/24</f>
        <v>12079.166666666666</v>
      </c>
      <c r="X793" s="128"/>
      <c r="Y793" s="95">
        <v>39900</v>
      </c>
      <c r="Z793" s="95">
        <v>26000</v>
      </c>
      <c r="AA793" s="95">
        <f>IFERROR(IF(D793="Premium",0.4*Y793,0),"No Disp")</f>
        <v>0</v>
      </c>
      <c r="AB793" s="95">
        <f>IFERROR(IF(4*Y793&gt;AC793,1.5*Y793,4*Y793),"No Disp")</f>
        <v>159600</v>
      </c>
      <c r="AC793" s="95">
        <f>IF(Z793="No Disp","No Disp",(Z793*18)+Y793)</f>
        <v>507900</v>
      </c>
      <c r="AD793" s="95">
        <f>18*Z793-100+Y793</f>
        <v>507800</v>
      </c>
      <c r="AE793" s="95">
        <v>0</v>
      </c>
      <c r="AF793" s="95">
        <v>24500</v>
      </c>
      <c r="AG793" s="95">
        <f>IF(AF793="No Disp","No Disp",(AF793*18)+AE793)</f>
        <v>441000</v>
      </c>
      <c r="AH793" s="98">
        <f>18*AF793-100+AE793</f>
        <v>440900</v>
      </c>
      <c r="AI793" s="95" t="s">
        <v>4613</v>
      </c>
      <c r="AJ793" s="99"/>
      <c r="AK793" s="100" t="s">
        <v>43</v>
      </c>
      <c r="AL793" s="100" t="s">
        <v>43</v>
      </c>
      <c r="AM793" s="100" t="str">
        <f>IF(AL793&lt;&gt;"No Disp",AK793+12*AL793,"No Disp")</f>
        <v>No Disp</v>
      </c>
      <c r="AN793" s="100" t="s">
        <v>43</v>
      </c>
      <c r="AO793" s="100" t="s">
        <v>43</v>
      </c>
      <c r="AP793" s="100" t="str">
        <f>IF(AO793&lt;&gt;"No Disp",AN793+12*AO793,"No Disp")</f>
        <v>No Disp</v>
      </c>
      <c r="AQ793" s="100" t="s">
        <v>43</v>
      </c>
      <c r="AR793" s="100" t="s">
        <v>43</v>
      </c>
      <c r="AS793" s="100" t="str">
        <f>IF(AR793&lt;&gt;"No Disp",AQ793+12*AR793,"No Disp")</f>
        <v>No Disp</v>
      </c>
    </row>
    <row r="794" spans="1:45" s="101" customFormat="1" x14ac:dyDescent="0.25">
      <c r="A794" s="90" t="s">
        <v>102</v>
      </c>
      <c r="B794" s="90" t="s">
        <v>39</v>
      </c>
      <c r="C794" s="90" t="s">
        <v>40</v>
      </c>
      <c r="D794" s="90" t="s">
        <v>4541</v>
      </c>
      <c r="E794" s="90" t="s">
        <v>4538</v>
      </c>
      <c r="F794" s="91">
        <v>770</v>
      </c>
      <c r="G794" s="92">
        <v>70015222</v>
      </c>
      <c r="H794" s="91" t="s">
        <v>3896</v>
      </c>
      <c r="I794" s="93" t="s">
        <v>131</v>
      </c>
      <c r="J794" s="94" t="s">
        <v>4449</v>
      </c>
      <c r="K794" s="94" t="s">
        <v>4450</v>
      </c>
      <c r="L794" s="94" t="s">
        <v>4456</v>
      </c>
      <c r="M794" s="95">
        <v>94900</v>
      </c>
      <c r="N794" s="95">
        <v>2500</v>
      </c>
      <c r="O794" s="95">
        <v>4000</v>
      </c>
      <c r="P794" s="96">
        <v>109990</v>
      </c>
      <c r="Q794" s="152"/>
      <c r="R794" s="95">
        <v>104990</v>
      </c>
      <c r="S794" s="95">
        <f>R794/24</f>
        <v>4374.583333333333</v>
      </c>
      <c r="T794" s="95">
        <v>94900</v>
      </c>
      <c r="U794" s="95">
        <f>T794/24</f>
        <v>3954.1666666666665</v>
      </c>
      <c r="V794" s="95">
        <v>94900</v>
      </c>
      <c r="W794" s="95">
        <f>V794/24</f>
        <v>3954.1666666666665</v>
      </c>
      <c r="X794" s="128"/>
      <c r="Y794" s="95">
        <v>0</v>
      </c>
      <c r="Z794" s="95">
        <v>9500</v>
      </c>
      <c r="AA794" s="95">
        <f>IFERROR(IF(D794="Premium",0.4*Y794,0),"No Disp")</f>
        <v>0</v>
      </c>
      <c r="AB794" s="95">
        <f>IFERROR(IF(4*Y794&gt;AC794,1.5*Y794,4*Y794),"No Disp")</f>
        <v>0</v>
      </c>
      <c r="AC794" s="95">
        <f>IF(Z794="No Disp","No Disp",(Z794*18)+Y794)</f>
        <v>171000</v>
      </c>
      <c r="AD794" s="95">
        <f>18*Z794-100+Y794</f>
        <v>170900</v>
      </c>
      <c r="AE794" s="95">
        <v>0</v>
      </c>
      <c r="AF794" s="95">
        <v>8000</v>
      </c>
      <c r="AG794" s="95">
        <f>IF(AF794="No Disp","No Disp",(AF794*18)+AE794)</f>
        <v>144000</v>
      </c>
      <c r="AH794" s="98">
        <f>18*AF794-100+AE794</f>
        <v>143900</v>
      </c>
      <c r="AI794" s="95" t="s">
        <v>4613</v>
      </c>
      <c r="AJ794" s="99"/>
      <c r="AK794" s="100" t="s">
        <v>43</v>
      </c>
      <c r="AL794" s="100" t="s">
        <v>43</v>
      </c>
      <c r="AM794" s="100" t="str">
        <f>IF(AL794&lt;&gt;"No Disp",AK794+12*AL794,"No Disp")</f>
        <v>No Disp</v>
      </c>
      <c r="AN794" s="100" t="s">
        <v>43</v>
      </c>
      <c r="AO794" s="100" t="s">
        <v>43</v>
      </c>
      <c r="AP794" s="100" t="str">
        <f>IF(AO794&lt;&gt;"No Disp",AN794+12*AO794,"No Disp")</f>
        <v>No Disp</v>
      </c>
      <c r="AQ794" s="100" t="s">
        <v>43</v>
      </c>
      <c r="AR794" s="100" t="s">
        <v>43</v>
      </c>
      <c r="AS794" s="100" t="str">
        <f>IF(AR794&lt;&gt;"No Disp",AQ794+12*AR794,"No Disp")</f>
        <v>No Disp</v>
      </c>
    </row>
    <row r="795" spans="1:45" s="101" customFormat="1" x14ac:dyDescent="0.25">
      <c r="A795" s="90" t="s">
        <v>102</v>
      </c>
      <c r="B795" s="90" t="s">
        <v>39</v>
      </c>
      <c r="C795" s="90" t="s">
        <v>40</v>
      </c>
      <c r="D795" s="90" t="s">
        <v>4541</v>
      </c>
      <c r="E795" s="90" t="s">
        <v>4538</v>
      </c>
      <c r="F795" s="91">
        <v>768</v>
      </c>
      <c r="G795" s="92">
        <v>70015226</v>
      </c>
      <c r="H795" s="91" t="s">
        <v>3896</v>
      </c>
      <c r="I795" s="93" t="s">
        <v>131</v>
      </c>
      <c r="J795" s="94" t="s">
        <v>4449</v>
      </c>
      <c r="K795" s="94" t="s">
        <v>4452</v>
      </c>
      <c r="L795" s="94" t="s">
        <v>4458</v>
      </c>
      <c r="M795" s="95">
        <v>94900</v>
      </c>
      <c r="N795" s="95">
        <v>2500</v>
      </c>
      <c r="O795" s="95">
        <v>4000</v>
      </c>
      <c r="P795" s="96">
        <v>109990</v>
      </c>
      <c r="Q795" s="152"/>
      <c r="R795" s="95">
        <v>104990</v>
      </c>
      <c r="S795" s="95">
        <f>R795/24</f>
        <v>4374.583333333333</v>
      </c>
      <c r="T795" s="95">
        <v>94900</v>
      </c>
      <c r="U795" s="95">
        <f>T795/24</f>
        <v>3954.1666666666665</v>
      </c>
      <c r="V795" s="95">
        <v>94900</v>
      </c>
      <c r="W795" s="95">
        <f>V795/24</f>
        <v>3954.1666666666665</v>
      </c>
      <c r="X795" s="128"/>
      <c r="Y795" s="95">
        <v>0</v>
      </c>
      <c r="Z795" s="95">
        <v>9500</v>
      </c>
      <c r="AA795" s="95">
        <f>IFERROR(IF(D795="Premium",0.4*Y795,0),"No Disp")</f>
        <v>0</v>
      </c>
      <c r="AB795" s="95">
        <f>IFERROR(IF(4*Y795&gt;AC795,1.5*Y795,4*Y795),"No Disp")</f>
        <v>0</v>
      </c>
      <c r="AC795" s="95">
        <f>IF(Z795="No Disp","No Disp",(Z795*18)+Y795)</f>
        <v>171000</v>
      </c>
      <c r="AD795" s="95">
        <f>18*Z795-100+Y795</f>
        <v>170900</v>
      </c>
      <c r="AE795" s="95">
        <v>0</v>
      </c>
      <c r="AF795" s="95">
        <v>8000</v>
      </c>
      <c r="AG795" s="95">
        <f>IF(AF795="No Disp","No Disp",(AF795*18)+AE795)</f>
        <v>144000</v>
      </c>
      <c r="AH795" s="98">
        <f>18*AF795-100+AE795</f>
        <v>143900</v>
      </c>
      <c r="AI795" s="95" t="s">
        <v>4613</v>
      </c>
      <c r="AJ795" s="99"/>
      <c r="AK795" s="100" t="s">
        <v>43</v>
      </c>
      <c r="AL795" s="100" t="s">
        <v>43</v>
      </c>
      <c r="AM795" s="100" t="str">
        <f>IF(AL795&lt;&gt;"No Disp",AK795+12*AL795,"No Disp")</f>
        <v>No Disp</v>
      </c>
      <c r="AN795" s="100" t="s">
        <v>43</v>
      </c>
      <c r="AO795" s="100" t="s">
        <v>43</v>
      </c>
      <c r="AP795" s="100" t="str">
        <f>IF(AO795&lt;&gt;"No Disp",AN795+12*AO795,"No Disp")</f>
        <v>No Disp</v>
      </c>
      <c r="AQ795" s="100" t="s">
        <v>43</v>
      </c>
      <c r="AR795" s="100" t="s">
        <v>43</v>
      </c>
      <c r="AS795" s="100" t="str">
        <f>IF(AR795&lt;&gt;"No Disp",AQ795+12*AR795,"No Disp")</f>
        <v>No Disp</v>
      </c>
    </row>
    <row r="796" spans="1:45" s="101" customFormat="1" x14ac:dyDescent="0.25">
      <c r="A796" s="90" t="s">
        <v>102</v>
      </c>
      <c r="B796" s="90" t="s">
        <v>39</v>
      </c>
      <c r="C796" s="90" t="s">
        <v>40</v>
      </c>
      <c r="D796" s="90" t="s">
        <v>4541</v>
      </c>
      <c r="E796" s="90" t="s">
        <v>4538</v>
      </c>
      <c r="F796" s="91">
        <v>767</v>
      </c>
      <c r="G796" s="92">
        <v>70015241</v>
      </c>
      <c r="H796" s="91" t="s">
        <v>3896</v>
      </c>
      <c r="I796" s="93" t="s">
        <v>131</v>
      </c>
      <c r="J796" s="94" t="s">
        <v>4449</v>
      </c>
      <c r="K796" s="94" t="s">
        <v>4453</v>
      </c>
      <c r="L796" s="94" t="s">
        <v>4459</v>
      </c>
      <c r="M796" s="95">
        <v>94900</v>
      </c>
      <c r="N796" s="95">
        <v>2500</v>
      </c>
      <c r="O796" s="95">
        <v>4000</v>
      </c>
      <c r="P796" s="96">
        <v>109990</v>
      </c>
      <c r="Q796" s="152"/>
      <c r="R796" s="95">
        <v>104990</v>
      </c>
      <c r="S796" s="95">
        <f>R796/24</f>
        <v>4374.583333333333</v>
      </c>
      <c r="T796" s="95">
        <v>94900</v>
      </c>
      <c r="U796" s="95">
        <f>T796/24</f>
        <v>3954.1666666666665</v>
      </c>
      <c r="V796" s="95">
        <v>94900</v>
      </c>
      <c r="W796" s="95">
        <f>V796/24</f>
        <v>3954.1666666666665</v>
      </c>
      <c r="X796" s="128"/>
      <c r="Y796" s="95">
        <v>0</v>
      </c>
      <c r="Z796" s="95">
        <v>9500</v>
      </c>
      <c r="AA796" s="95">
        <f>IFERROR(IF(D796="Premium",0.4*Y796,0),"No Disp")</f>
        <v>0</v>
      </c>
      <c r="AB796" s="95">
        <f>IFERROR(IF(4*Y796&gt;AC796,1.5*Y796,4*Y796),"No Disp")</f>
        <v>0</v>
      </c>
      <c r="AC796" s="95">
        <f>IF(Z796="No Disp","No Disp",(Z796*18)+Y796)</f>
        <v>171000</v>
      </c>
      <c r="AD796" s="95">
        <f>18*Z796-100+Y796</f>
        <v>170900</v>
      </c>
      <c r="AE796" s="95">
        <v>0</v>
      </c>
      <c r="AF796" s="95">
        <v>8000</v>
      </c>
      <c r="AG796" s="95">
        <f>IF(AF796="No Disp","No Disp",(AF796*18)+AE796)</f>
        <v>144000</v>
      </c>
      <c r="AH796" s="98">
        <f>18*AF796-100+AE796</f>
        <v>143900</v>
      </c>
      <c r="AI796" s="95" t="s">
        <v>4613</v>
      </c>
      <c r="AJ796" s="99"/>
      <c r="AK796" s="100" t="s">
        <v>43</v>
      </c>
      <c r="AL796" s="100" t="s">
        <v>43</v>
      </c>
      <c r="AM796" s="100" t="str">
        <f>IF(AL796&lt;&gt;"No Disp",AK796+12*AL796,"No Disp")</f>
        <v>No Disp</v>
      </c>
      <c r="AN796" s="100" t="s">
        <v>43</v>
      </c>
      <c r="AO796" s="100" t="s">
        <v>43</v>
      </c>
      <c r="AP796" s="100" t="str">
        <f>IF(AO796&lt;&gt;"No Disp",AN796+12*AO796,"No Disp")</f>
        <v>No Disp</v>
      </c>
      <c r="AQ796" s="100" t="s">
        <v>43</v>
      </c>
      <c r="AR796" s="100" t="s">
        <v>43</v>
      </c>
      <c r="AS796" s="100" t="str">
        <f>IF(AR796&lt;&gt;"No Disp",AQ796+12*AR796,"No Disp")</f>
        <v>No Disp</v>
      </c>
    </row>
    <row r="797" spans="1:45" s="101" customFormat="1" x14ac:dyDescent="0.25">
      <c r="A797" s="90" t="s">
        <v>38</v>
      </c>
      <c r="B797" s="90" t="s">
        <v>39</v>
      </c>
      <c r="C797" s="90" t="s">
        <v>40</v>
      </c>
      <c r="D797" s="90" t="s">
        <v>4541</v>
      </c>
      <c r="E797" s="90" t="s">
        <v>4538</v>
      </c>
      <c r="F797" s="91"/>
      <c r="G797" s="92">
        <v>70015667</v>
      </c>
      <c r="H797" s="91" t="s">
        <v>3896</v>
      </c>
      <c r="I797" s="93" t="s">
        <v>131</v>
      </c>
      <c r="J797" s="94" t="s">
        <v>4543</v>
      </c>
      <c r="K797" s="94" t="s">
        <v>4553</v>
      </c>
      <c r="L797" s="94" t="s">
        <v>4572</v>
      </c>
      <c r="M797" s="95">
        <v>139900</v>
      </c>
      <c r="N797" s="95">
        <v>4000</v>
      </c>
      <c r="O797" s="95">
        <v>6000</v>
      </c>
      <c r="P797" s="96">
        <v>189990</v>
      </c>
      <c r="Q797" s="152"/>
      <c r="R797" s="95">
        <v>149990</v>
      </c>
      <c r="S797" s="95">
        <f>R797/24</f>
        <v>6249.583333333333</v>
      </c>
      <c r="T797" s="95">
        <v>139900</v>
      </c>
      <c r="U797" s="95">
        <f>T797/24</f>
        <v>5829.166666666667</v>
      </c>
      <c r="V797" s="95">
        <v>139900</v>
      </c>
      <c r="W797" s="95">
        <f>V797/24</f>
        <v>5829.166666666667</v>
      </c>
      <c r="X797" s="128"/>
      <c r="Y797" s="95">
        <v>19900</v>
      </c>
      <c r="Z797" s="95">
        <v>13000</v>
      </c>
      <c r="AA797" s="95">
        <f>IFERROR(IF(D797="Premium",0.4*Y797,0),"No Disp")</f>
        <v>0</v>
      </c>
      <c r="AB797" s="95">
        <f>IFERROR(IF(4*Y797&gt;AC797,1.5*Y797,4*Y797),"No Disp")</f>
        <v>79600</v>
      </c>
      <c r="AC797" s="95">
        <f>IF(Z797="No Disp","No Disp",(Z797*18)+Y797)</f>
        <v>253900</v>
      </c>
      <c r="AD797" s="95">
        <f>18*Z797-100+Y797</f>
        <v>253800</v>
      </c>
      <c r="AE797" s="95">
        <v>9900</v>
      </c>
      <c r="AF797" s="95">
        <v>11000</v>
      </c>
      <c r="AG797" s="95">
        <f>IF(AF797="No Disp","No Disp",(AF797*18)+AE797)</f>
        <v>207900</v>
      </c>
      <c r="AH797" s="98">
        <f>18*AF797-100+AE797</f>
        <v>207800</v>
      </c>
      <c r="AI797" s="95" t="s">
        <v>4613</v>
      </c>
      <c r="AJ797" s="99"/>
      <c r="AK797" s="100" t="s">
        <v>43</v>
      </c>
      <c r="AL797" s="100" t="s">
        <v>43</v>
      </c>
      <c r="AM797" s="100" t="str">
        <f>IF(AL797&lt;&gt;"No Disp",AK797+12*AL797,"No Disp")</f>
        <v>No Disp</v>
      </c>
      <c r="AN797" s="100" t="s">
        <v>43</v>
      </c>
      <c r="AO797" s="100" t="s">
        <v>43</v>
      </c>
      <c r="AP797" s="100" t="str">
        <f>IF(AO797&lt;&gt;"No Disp",AN797+12*AO797,"No Disp")</f>
        <v>No Disp</v>
      </c>
      <c r="AQ797" s="100" t="s">
        <v>43</v>
      </c>
      <c r="AR797" s="100" t="s">
        <v>43</v>
      </c>
      <c r="AS797" s="100" t="str">
        <f>IF(AR797&lt;&gt;"No Disp",AQ797+12*AR797,"No Disp")</f>
        <v>No Disp</v>
      </c>
    </row>
    <row r="798" spans="1:45" s="101" customFormat="1" x14ac:dyDescent="0.25">
      <c r="A798" s="90" t="s">
        <v>38</v>
      </c>
      <c r="B798" s="90" t="s">
        <v>39</v>
      </c>
      <c r="C798" s="90" t="s">
        <v>40</v>
      </c>
      <c r="D798" s="90" t="s">
        <v>4539</v>
      </c>
      <c r="E798" s="90" t="s">
        <v>4538</v>
      </c>
      <c r="F798" s="91"/>
      <c r="G798" s="92">
        <v>70016068</v>
      </c>
      <c r="H798" s="91" t="s">
        <v>3896</v>
      </c>
      <c r="I798" s="93" t="s">
        <v>41</v>
      </c>
      <c r="J798" s="94" t="s">
        <v>4544</v>
      </c>
      <c r="K798" s="94" t="s">
        <v>4554</v>
      </c>
      <c r="L798" s="94" t="s">
        <v>4573</v>
      </c>
      <c r="M798" s="95">
        <v>249360</v>
      </c>
      <c r="N798" s="95">
        <v>4000</v>
      </c>
      <c r="O798" s="95">
        <v>6000</v>
      </c>
      <c r="P798" s="96">
        <v>299990</v>
      </c>
      <c r="Q798" s="152"/>
      <c r="R798" s="95">
        <v>279990</v>
      </c>
      <c r="S798" s="95">
        <f>R798/24</f>
        <v>11666.25</v>
      </c>
      <c r="T798" s="95">
        <v>249360</v>
      </c>
      <c r="U798" s="95">
        <f>T798/24</f>
        <v>10390</v>
      </c>
      <c r="V798" s="95">
        <v>249360</v>
      </c>
      <c r="W798" s="95">
        <f>V798/24</f>
        <v>10390</v>
      </c>
      <c r="X798" s="128"/>
      <c r="Y798" s="95">
        <v>0</v>
      </c>
      <c r="Z798" s="95">
        <v>24000</v>
      </c>
      <c r="AA798" s="95">
        <f>IFERROR(IF(D798="Premium",0.4*Y798,0),"No Disp")</f>
        <v>0</v>
      </c>
      <c r="AB798" s="95">
        <f>IFERROR(IF(4*Y798&gt;AC798,1.5*Y798,4*Y798),"No Disp")</f>
        <v>0</v>
      </c>
      <c r="AC798" s="95">
        <f>IF(Z798="No Disp","No Disp",(Z798*18)+Y798)</f>
        <v>432000</v>
      </c>
      <c r="AD798" s="95">
        <f>18*Z798-100+Y798</f>
        <v>431900</v>
      </c>
      <c r="AE798" s="95">
        <v>0</v>
      </c>
      <c r="AF798" s="95">
        <v>24000</v>
      </c>
      <c r="AG798" s="95">
        <f>IF(AF798="No Disp","No Disp",(AF798*18)+AE798)</f>
        <v>432000</v>
      </c>
      <c r="AH798" s="98">
        <f>18*AF798-100+AE798</f>
        <v>431900</v>
      </c>
      <c r="AI798" s="95" t="s">
        <v>4613</v>
      </c>
      <c r="AJ798" s="99"/>
      <c r="AK798" s="100" t="s">
        <v>43</v>
      </c>
      <c r="AL798" s="100" t="s">
        <v>43</v>
      </c>
      <c r="AM798" s="100" t="str">
        <f>IF(AL798&lt;&gt;"No Disp",AK798+12*AL798,"No Disp")</f>
        <v>No Disp</v>
      </c>
      <c r="AN798" s="100" t="s">
        <v>43</v>
      </c>
      <c r="AO798" s="100" t="s">
        <v>43</v>
      </c>
      <c r="AP798" s="100" t="str">
        <f>IF(AO798&lt;&gt;"No Disp",AN798+12*AO798,"No Disp")</f>
        <v>No Disp</v>
      </c>
      <c r="AQ798" s="100" t="s">
        <v>43</v>
      </c>
      <c r="AR798" s="100" t="s">
        <v>43</v>
      </c>
      <c r="AS798" s="100" t="str">
        <f>IF(AR798&lt;&gt;"No Disp",AQ798+12*AR798,"No Disp")</f>
        <v>No Disp</v>
      </c>
    </row>
    <row r="799" spans="1:45" s="101" customFormat="1" x14ac:dyDescent="0.25">
      <c r="A799" s="90" t="s">
        <v>38</v>
      </c>
      <c r="B799" s="90" t="s">
        <v>39</v>
      </c>
      <c r="C799" s="90" t="s">
        <v>40</v>
      </c>
      <c r="D799" s="90" t="s">
        <v>4539</v>
      </c>
      <c r="E799" s="90" t="s">
        <v>4538</v>
      </c>
      <c r="F799" s="91"/>
      <c r="G799" s="92">
        <v>70016069</v>
      </c>
      <c r="H799" s="91" t="s">
        <v>3896</v>
      </c>
      <c r="I799" s="93" t="s">
        <v>41</v>
      </c>
      <c r="J799" s="94" t="s">
        <v>4544</v>
      </c>
      <c r="K799" s="94" t="s">
        <v>4555</v>
      </c>
      <c r="L799" s="94" t="s">
        <v>4574</v>
      </c>
      <c r="M799" s="95">
        <v>249360</v>
      </c>
      <c r="N799" s="95">
        <v>4000</v>
      </c>
      <c r="O799" s="95">
        <v>6000</v>
      </c>
      <c r="P799" s="96">
        <v>299990</v>
      </c>
      <c r="Q799" s="152"/>
      <c r="R799" s="95">
        <v>279990</v>
      </c>
      <c r="S799" s="95">
        <f>R799/24</f>
        <v>11666.25</v>
      </c>
      <c r="T799" s="95">
        <v>249360</v>
      </c>
      <c r="U799" s="95">
        <f>T799/24</f>
        <v>10390</v>
      </c>
      <c r="V799" s="95">
        <v>249360</v>
      </c>
      <c r="W799" s="95">
        <f>V799/24</f>
        <v>10390</v>
      </c>
      <c r="X799" s="128"/>
      <c r="Y799" s="95">
        <v>0</v>
      </c>
      <c r="Z799" s="95">
        <v>24000</v>
      </c>
      <c r="AA799" s="95">
        <f>IFERROR(IF(D799="Premium",0.4*Y799,0),"No Disp")</f>
        <v>0</v>
      </c>
      <c r="AB799" s="95">
        <f>IFERROR(IF(4*Y799&gt;AC799,1.5*Y799,4*Y799),"No Disp")</f>
        <v>0</v>
      </c>
      <c r="AC799" s="95">
        <f>IF(Z799="No Disp","No Disp",(Z799*18)+Y799)</f>
        <v>432000</v>
      </c>
      <c r="AD799" s="95">
        <f>18*Z799-100+Y799</f>
        <v>431900</v>
      </c>
      <c r="AE799" s="95">
        <v>0</v>
      </c>
      <c r="AF799" s="95">
        <v>24000</v>
      </c>
      <c r="AG799" s="95">
        <f>IF(AF799="No Disp","No Disp",(AF799*18)+AE799)</f>
        <v>432000</v>
      </c>
      <c r="AH799" s="98">
        <f>18*AF799-100+AE799</f>
        <v>431900</v>
      </c>
      <c r="AI799" s="95" t="s">
        <v>4613</v>
      </c>
      <c r="AJ799" s="99"/>
      <c r="AK799" s="100" t="s">
        <v>43</v>
      </c>
      <c r="AL799" s="100" t="s">
        <v>43</v>
      </c>
      <c r="AM799" s="100" t="str">
        <f>IF(AL799&lt;&gt;"No Disp",AK799+12*AL799,"No Disp")</f>
        <v>No Disp</v>
      </c>
      <c r="AN799" s="100" t="s">
        <v>43</v>
      </c>
      <c r="AO799" s="100" t="s">
        <v>43</v>
      </c>
      <c r="AP799" s="100" t="str">
        <f>IF(AO799&lt;&gt;"No Disp",AN799+12*AO799,"No Disp")</f>
        <v>No Disp</v>
      </c>
      <c r="AQ799" s="100" t="s">
        <v>43</v>
      </c>
      <c r="AR799" s="100" t="s">
        <v>43</v>
      </c>
      <c r="AS799" s="100" t="str">
        <f>IF(AR799&lt;&gt;"No Disp",AQ799+12*AR799,"No Disp")</f>
        <v>No Disp</v>
      </c>
    </row>
    <row r="800" spans="1:45" s="101" customFormat="1" x14ac:dyDescent="0.25">
      <c r="A800" s="90" t="s">
        <v>38</v>
      </c>
      <c r="B800" s="90" t="s">
        <v>39</v>
      </c>
      <c r="C800" s="90" t="s">
        <v>40</v>
      </c>
      <c r="D800" s="90" t="s">
        <v>4537</v>
      </c>
      <c r="E800" s="90" t="s">
        <v>4538</v>
      </c>
      <c r="F800" s="91"/>
      <c r="G800" s="92">
        <v>70016048</v>
      </c>
      <c r="H800" s="91" t="s">
        <v>3896</v>
      </c>
      <c r="I800" s="93" t="s">
        <v>63</v>
      </c>
      <c r="J800" s="94" t="s">
        <v>4545</v>
      </c>
      <c r="K800" s="94" t="s">
        <v>4556</v>
      </c>
      <c r="L800" s="94" t="s">
        <v>4575</v>
      </c>
      <c r="M800" s="95">
        <v>467760</v>
      </c>
      <c r="N800" s="95">
        <v>4000</v>
      </c>
      <c r="O800" s="95">
        <v>6000</v>
      </c>
      <c r="P800" s="96">
        <v>299990</v>
      </c>
      <c r="Q800" s="152"/>
      <c r="R800" s="95">
        <v>489990</v>
      </c>
      <c r="S800" s="95">
        <f>R800/24</f>
        <v>20416.25</v>
      </c>
      <c r="T800" s="95">
        <v>467760</v>
      </c>
      <c r="U800" s="95">
        <f>T800/24</f>
        <v>19490</v>
      </c>
      <c r="V800" s="95">
        <v>467760</v>
      </c>
      <c r="W800" s="95">
        <f>V800/24</f>
        <v>19490</v>
      </c>
      <c r="X800" s="128"/>
      <c r="Y800" s="95">
        <v>49900</v>
      </c>
      <c r="Z800" s="95">
        <v>41000</v>
      </c>
      <c r="AA800" s="95">
        <f>IFERROR(IF(D800="Premium",0.4*Y800,0),"No Disp")</f>
        <v>0</v>
      </c>
      <c r="AB800" s="95">
        <f>IFERROR(IF(4*Y800&gt;AC800,1.5*Y800,4*Y800),"No Disp")</f>
        <v>199600</v>
      </c>
      <c r="AC800" s="95">
        <f>IF(Z800="No Disp","No Disp",(Z800*18)+Y800)</f>
        <v>787900</v>
      </c>
      <c r="AD800" s="95">
        <f>18*Z800-100+Y800</f>
        <v>787800</v>
      </c>
      <c r="AE800" s="95">
        <v>49900</v>
      </c>
      <c r="AF800" s="95">
        <v>41000</v>
      </c>
      <c r="AG800" s="95">
        <f>IF(AF800="No Disp","No Disp",(AF800*18)+AE800)</f>
        <v>787900</v>
      </c>
      <c r="AH800" s="98">
        <f>18*AF800-100+AE800</f>
        <v>787800</v>
      </c>
      <c r="AI800" s="95" t="s">
        <v>4613</v>
      </c>
      <c r="AJ800" s="99"/>
      <c r="AK800" s="100" t="s">
        <v>43</v>
      </c>
      <c r="AL800" s="100" t="s">
        <v>43</v>
      </c>
      <c r="AM800" s="100" t="str">
        <f>IF(AL800&lt;&gt;"No Disp",AK800+12*AL800,"No Disp")</f>
        <v>No Disp</v>
      </c>
      <c r="AN800" s="100" t="s">
        <v>43</v>
      </c>
      <c r="AO800" s="100" t="s">
        <v>43</v>
      </c>
      <c r="AP800" s="100" t="str">
        <f>IF(AO800&lt;&gt;"No Disp",AN800+12*AO800,"No Disp")</f>
        <v>No Disp</v>
      </c>
      <c r="AQ800" s="100" t="s">
        <v>43</v>
      </c>
      <c r="AR800" s="100" t="s">
        <v>43</v>
      </c>
      <c r="AS800" s="100" t="str">
        <f>IF(AR800&lt;&gt;"No Disp",AQ800+12*AR800,"No Disp")</f>
        <v>No Disp</v>
      </c>
    </row>
    <row r="801" spans="1:45" s="101" customFormat="1" x14ac:dyDescent="0.25">
      <c r="A801" s="90" t="s">
        <v>38</v>
      </c>
      <c r="B801" s="90" t="s">
        <v>39</v>
      </c>
      <c r="C801" s="90" t="s">
        <v>40</v>
      </c>
      <c r="D801" s="90" t="s">
        <v>4537</v>
      </c>
      <c r="E801" s="90" t="s">
        <v>4538</v>
      </c>
      <c r="F801" s="91"/>
      <c r="G801" s="92">
        <v>70016049</v>
      </c>
      <c r="H801" s="91" t="s">
        <v>3896</v>
      </c>
      <c r="I801" s="93" t="s">
        <v>63</v>
      </c>
      <c r="J801" s="94" t="s">
        <v>4545</v>
      </c>
      <c r="K801" s="94" t="s">
        <v>4557</v>
      </c>
      <c r="L801" s="94" t="s">
        <v>4576</v>
      </c>
      <c r="M801" s="95">
        <v>467760</v>
      </c>
      <c r="N801" s="95">
        <v>4000</v>
      </c>
      <c r="O801" s="95">
        <v>6000</v>
      </c>
      <c r="P801" s="96">
        <v>299990</v>
      </c>
      <c r="Q801" s="152"/>
      <c r="R801" s="95">
        <v>489990</v>
      </c>
      <c r="S801" s="95">
        <f>R801/24</f>
        <v>20416.25</v>
      </c>
      <c r="T801" s="95">
        <v>467760</v>
      </c>
      <c r="U801" s="95">
        <f>T801/24</f>
        <v>19490</v>
      </c>
      <c r="V801" s="95">
        <v>467760</v>
      </c>
      <c r="W801" s="95">
        <f>V801/24</f>
        <v>19490</v>
      </c>
      <c r="X801" s="128"/>
      <c r="Y801" s="95">
        <v>49900</v>
      </c>
      <c r="Z801" s="95">
        <v>41000</v>
      </c>
      <c r="AA801" s="95">
        <f>IFERROR(IF(D801="Premium",0.4*Y801,0),"No Disp")</f>
        <v>0</v>
      </c>
      <c r="AB801" s="95">
        <f>IFERROR(IF(4*Y801&gt;AC801,1.5*Y801,4*Y801),"No Disp")</f>
        <v>199600</v>
      </c>
      <c r="AC801" s="95">
        <f>IF(Z801="No Disp","No Disp",(Z801*18)+Y801)</f>
        <v>787900</v>
      </c>
      <c r="AD801" s="95">
        <f>18*Z801-100+Y801</f>
        <v>787800</v>
      </c>
      <c r="AE801" s="95">
        <v>49900</v>
      </c>
      <c r="AF801" s="95">
        <v>41000</v>
      </c>
      <c r="AG801" s="95">
        <f>IF(AF801="No Disp","No Disp",(AF801*18)+AE801)</f>
        <v>787900</v>
      </c>
      <c r="AH801" s="98">
        <f>18*AF801-100+AE801</f>
        <v>787800</v>
      </c>
      <c r="AI801" s="95" t="s">
        <v>4613</v>
      </c>
      <c r="AJ801" s="99"/>
      <c r="AK801" s="100" t="s">
        <v>43</v>
      </c>
      <c r="AL801" s="100" t="s">
        <v>43</v>
      </c>
      <c r="AM801" s="100" t="str">
        <f>IF(AL801&lt;&gt;"No Disp",AK801+12*AL801,"No Disp")</f>
        <v>No Disp</v>
      </c>
      <c r="AN801" s="100" t="s">
        <v>43</v>
      </c>
      <c r="AO801" s="100" t="s">
        <v>43</v>
      </c>
      <c r="AP801" s="100" t="str">
        <f>IF(AO801&lt;&gt;"No Disp",AN801+12*AO801,"No Disp")</f>
        <v>No Disp</v>
      </c>
      <c r="AQ801" s="100" t="s">
        <v>43</v>
      </c>
      <c r="AR801" s="100" t="s">
        <v>43</v>
      </c>
      <c r="AS801" s="100" t="str">
        <f>IF(AR801&lt;&gt;"No Disp",AQ801+12*AR801,"No Disp")</f>
        <v>No Disp</v>
      </c>
    </row>
    <row r="802" spans="1:45" s="101" customFormat="1" x14ac:dyDescent="0.25">
      <c r="A802" s="90" t="s">
        <v>38</v>
      </c>
      <c r="B802" s="90" t="s">
        <v>40</v>
      </c>
      <c r="C802" s="90" t="s">
        <v>39</v>
      </c>
      <c r="D802" s="90" t="s">
        <v>4540</v>
      </c>
      <c r="E802" s="90" t="s">
        <v>4538</v>
      </c>
      <c r="F802" s="91">
        <v>95</v>
      </c>
      <c r="G802" s="92">
        <v>70015770</v>
      </c>
      <c r="H802" s="91" t="s">
        <v>3896</v>
      </c>
      <c r="I802" s="93" t="s">
        <v>63</v>
      </c>
      <c r="J802" s="94" t="s">
        <v>4261</v>
      </c>
      <c r="K802" s="94" t="s">
        <v>4292</v>
      </c>
      <c r="L802" s="94" t="s">
        <v>4282</v>
      </c>
      <c r="M802" s="95">
        <v>729900</v>
      </c>
      <c r="N802" s="95">
        <v>6000</v>
      </c>
      <c r="O802" s="95">
        <v>8500</v>
      </c>
      <c r="P802" s="96">
        <v>1214990</v>
      </c>
      <c r="Q802" s="152"/>
      <c r="R802" s="95">
        <v>819990</v>
      </c>
      <c r="S802" s="95">
        <f>R802/24</f>
        <v>34166.25</v>
      </c>
      <c r="T802" s="95">
        <v>729900</v>
      </c>
      <c r="U802" s="95">
        <f>T802/24</f>
        <v>30412.5</v>
      </c>
      <c r="V802" s="95">
        <v>729900</v>
      </c>
      <c r="W802" s="95">
        <f>V802/24</f>
        <v>30412.5</v>
      </c>
      <c r="X802" s="128"/>
      <c r="Y802" s="95">
        <v>249900</v>
      </c>
      <c r="Z802" s="95">
        <v>45000</v>
      </c>
      <c r="AA802" s="95">
        <f>IFERROR(IF(D802="Premium",0.4*Y802,0),"No Disp")</f>
        <v>99960</v>
      </c>
      <c r="AB802" s="95">
        <f>IFERROR(IF(4*Y802&gt;AC802,1.5*Y802,4*Y802),"No Disp")</f>
        <v>999600</v>
      </c>
      <c r="AC802" s="95">
        <f>IF(Z802="No Disp","No Disp",(Z802*18)+Y802)</f>
        <v>1059900</v>
      </c>
      <c r="AD802" s="95">
        <f>18*Z802-100+Y802</f>
        <v>1059800</v>
      </c>
      <c r="AE802" s="95">
        <v>149900</v>
      </c>
      <c r="AF802" s="95">
        <v>52000</v>
      </c>
      <c r="AG802" s="95">
        <f>IF(AF802="No Disp","No Disp",(AF802*18)+AE802)</f>
        <v>1085900</v>
      </c>
      <c r="AH802" s="98">
        <f>18*AF802-100+AE802</f>
        <v>1085800</v>
      </c>
      <c r="AI802" s="95" t="s">
        <v>4613</v>
      </c>
      <c r="AJ802" s="99"/>
      <c r="AK802" s="100">
        <v>0</v>
      </c>
      <c r="AL802" s="100">
        <v>34000</v>
      </c>
      <c r="AM802" s="100">
        <f>IF(AL802&lt;&gt;"No Disp",AK802+12*AL802,"No Disp")</f>
        <v>408000</v>
      </c>
      <c r="AN802" s="100">
        <v>0</v>
      </c>
      <c r="AO802" s="100">
        <v>34000</v>
      </c>
      <c r="AP802" s="100">
        <f>IF(AO802&lt;&gt;"No Disp",AN802+12*AO802,"No Disp")</f>
        <v>408000</v>
      </c>
      <c r="AQ802" s="100">
        <v>0</v>
      </c>
      <c r="AR802" s="100">
        <v>34000</v>
      </c>
      <c r="AS802" s="100">
        <f>IF(AR802&lt;&gt;"No Disp",AQ802+12*AR802,"No Disp")</f>
        <v>408000</v>
      </c>
    </row>
    <row r="803" spans="1:45" s="101" customFormat="1" x14ac:dyDescent="0.25">
      <c r="A803" s="90" t="s">
        <v>38</v>
      </c>
      <c r="B803" s="90" t="s">
        <v>40</v>
      </c>
      <c r="C803" s="90" t="s">
        <v>39</v>
      </c>
      <c r="D803" s="90" t="s">
        <v>4540</v>
      </c>
      <c r="E803" s="90" t="s">
        <v>4538</v>
      </c>
      <c r="F803" s="91">
        <v>143</v>
      </c>
      <c r="G803" s="92">
        <v>70015774</v>
      </c>
      <c r="H803" s="91" t="s">
        <v>3896</v>
      </c>
      <c r="I803" s="93" t="s">
        <v>63</v>
      </c>
      <c r="J803" s="94" t="s">
        <v>4261</v>
      </c>
      <c r="K803" s="94" t="s">
        <v>4293</v>
      </c>
      <c r="L803" s="94" t="s">
        <v>4283</v>
      </c>
      <c r="M803" s="95">
        <v>729900</v>
      </c>
      <c r="N803" s="95">
        <v>6000</v>
      </c>
      <c r="O803" s="95">
        <v>8500</v>
      </c>
      <c r="P803" s="96">
        <v>1214990</v>
      </c>
      <c r="Q803" s="152"/>
      <c r="R803" s="95">
        <v>819990</v>
      </c>
      <c r="S803" s="95">
        <f>R803/24</f>
        <v>34166.25</v>
      </c>
      <c r="T803" s="95">
        <v>729900</v>
      </c>
      <c r="U803" s="95">
        <f>T803/24</f>
        <v>30412.5</v>
      </c>
      <c r="V803" s="95">
        <v>729900</v>
      </c>
      <c r="W803" s="95">
        <f>V803/24</f>
        <v>30412.5</v>
      </c>
      <c r="X803" s="128"/>
      <c r="Y803" s="95">
        <v>249900</v>
      </c>
      <c r="Z803" s="95">
        <v>45000</v>
      </c>
      <c r="AA803" s="95">
        <f>IFERROR(IF(D803="Premium",0.4*Y803,0),"No Disp")</f>
        <v>99960</v>
      </c>
      <c r="AB803" s="95">
        <f>IFERROR(IF(4*Y803&gt;AC803,1.5*Y803,4*Y803),"No Disp")</f>
        <v>999600</v>
      </c>
      <c r="AC803" s="95">
        <f>IF(Z803="No Disp","No Disp",(Z803*18)+Y803)</f>
        <v>1059900</v>
      </c>
      <c r="AD803" s="95">
        <f>18*Z803-100+Y803</f>
        <v>1059800</v>
      </c>
      <c r="AE803" s="95">
        <v>149900</v>
      </c>
      <c r="AF803" s="95">
        <v>52000</v>
      </c>
      <c r="AG803" s="95">
        <f>IF(AF803="No Disp","No Disp",(AF803*18)+AE803)</f>
        <v>1085900</v>
      </c>
      <c r="AH803" s="98">
        <f>18*AF803-100+AE803</f>
        <v>1085800</v>
      </c>
      <c r="AI803" s="95" t="s">
        <v>4613</v>
      </c>
      <c r="AJ803" s="99"/>
      <c r="AK803" s="100">
        <v>0</v>
      </c>
      <c r="AL803" s="100">
        <v>34000</v>
      </c>
      <c r="AM803" s="100">
        <f>IF(AL803&lt;&gt;"No Disp",AK803+12*AL803,"No Disp")</f>
        <v>408000</v>
      </c>
      <c r="AN803" s="100">
        <v>0</v>
      </c>
      <c r="AO803" s="100">
        <v>34000</v>
      </c>
      <c r="AP803" s="100">
        <f>IF(AO803&lt;&gt;"No Disp",AN803+12*AO803,"No Disp")</f>
        <v>408000</v>
      </c>
      <c r="AQ803" s="100">
        <v>0</v>
      </c>
      <c r="AR803" s="100">
        <v>34000</v>
      </c>
      <c r="AS803" s="100">
        <f>IF(AR803&lt;&gt;"No Disp",AQ803+12*AR803,"No Disp")</f>
        <v>408000</v>
      </c>
    </row>
    <row r="804" spans="1:45" s="101" customFormat="1" x14ac:dyDescent="0.25">
      <c r="A804" s="90" t="s">
        <v>38</v>
      </c>
      <c r="B804" s="90" t="s">
        <v>40</v>
      </c>
      <c r="C804" s="90" t="s">
        <v>39</v>
      </c>
      <c r="D804" s="90" t="s">
        <v>4540</v>
      </c>
      <c r="E804" s="90" t="s">
        <v>4538</v>
      </c>
      <c r="F804" s="91">
        <v>95</v>
      </c>
      <c r="G804" s="92">
        <v>70015778</v>
      </c>
      <c r="H804" s="91" t="s">
        <v>3896</v>
      </c>
      <c r="I804" s="93" t="s">
        <v>63</v>
      </c>
      <c r="J804" s="94" t="s">
        <v>4261</v>
      </c>
      <c r="K804" s="94" t="s">
        <v>4294</v>
      </c>
      <c r="L804" s="94" t="s">
        <v>4284</v>
      </c>
      <c r="M804" s="95">
        <v>729900</v>
      </c>
      <c r="N804" s="95">
        <v>6000</v>
      </c>
      <c r="O804" s="95">
        <v>8500</v>
      </c>
      <c r="P804" s="96">
        <v>1214990</v>
      </c>
      <c r="Q804" s="152"/>
      <c r="R804" s="95">
        <v>819990</v>
      </c>
      <c r="S804" s="95">
        <f>R804/24</f>
        <v>34166.25</v>
      </c>
      <c r="T804" s="95">
        <v>729900</v>
      </c>
      <c r="U804" s="95">
        <f>T804/24</f>
        <v>30412.5</v>
      </c>
      <c r="V804" s="95">
        <v>729900</v>
      </c>
      <c r="W804" s="95">
        <f>V804/24</f>
        <v>30412.5</v>
      </c>
      <c r="X804" s="128"/>
      <c r="Y804" s="95">
        <v>249900</v>
      </c>
      <c r="Z804" s="95">
        <v>45000</v>
      </c>
      <c r="AA804" s="95">
        <f>IFERROR(IF(D804="Premium",0.4*Y804,0),"No Disp")</f>
        <v>99960</v>
      </c>
      <c r="AB804" s="95">
        <f>IFERROR(IF(4*Y804&gt;AC804,1.5*Y804,4*Y804),"No Disp")</f>
        <v>999600</v>
      </c>
      <c r="AC804" s="95">
        <f>IF(Z804="No Disp","No Disp",(Z804*18)+Y804)</f>
        <v>1059900</v>
      </c>
      <c r="AD804" s="95">
        <f>18*Z804-100+Y804</f>
        <v>1059800</v>
      </c>
      <c r="AE804" s="95">
        <v>149900</v>
      </c>
      <c r="AF804" s="95">
        <v>52000</v>
      </c>
      <c r="AG804" s="95">
        <f>IF(AF804="No Disp","No Disp",(AF804*18)+AE804)</f>
        <v>1085900</v>
      </c>
      <c r="AH804" s="98">
        <f>18*AF804-100+AE804</f>
        <v>1085800</v>
      </c>
      <c r="AI804" s="95" t="s">
        <v>4613</v>
      </c>
      <c r="AJ804" s="99"/>
      <c r="AK804" s="100">
        <v>0</v>
      </c>
      <c r="AL804" s="100">
        <v>34000</v>
      </c>
      <c r="AM804" s="100">
        <f>IF(AL804&lt;&gt;"No Disp",AK804+12*AL804,"No Disp")</f>
        <v>408000</v>
      </c>
      <c r="AN804" s="100">
        <v>0</v>
      </c>
      <c r="AO804" s="100">
        <v>34000</v>
      </c>
      <c r="AP804" s="100">
        <f>IF(AO804&lt;&gt;"No Disp",AN804+12*AO804,"No Disp")</f>
        <v>408000</v>
      </c>
      <c r="AQ804" s="100">
        <v>0</v>
      </c>
      <c r="AR804" s="100">
        <v>34000</v>
      </c>
      <c r="AS804" s="100">
        <f>IF(AR804&lt;&gt;"No Disp",AQ804+12*AR804,"No Disp")</f>
        <v>408000</v>
      </c>
    </row>
    <row r="805" spans="1:45" s="101" customFormat="1" x14ac:dyDescent="0.25">
      <c r="A805" s="90" t="s">
        <v>38</v>
      </c>
      <c r="B805" s="90" t="s">
        <v>40</v>
      </c>
      <c r="C805" s="90" t="s">
        <v>39</v>
      </c>
      <c r="D805" s="90" t="s">
        <v>4540</v>
      </c>
      <c r="E805" s="90" t="s">
        <v>4538</v>
      </c>
      <c r="F805" s="91">
        <v>143</v>
      </c>
      <c r="G805" s="92">
        <v>70015782</v>
      </c>
      <c r="H805" s="91" t="s">
        <v>3896</v>
      </c>
      <c r="I805" s="93" t="s">
        <v>63</v>
      </c>
      <c r="J805" s="94" t="s">
        <v>4261</v>
      </c>
      <c r="K805" s="94" t="s">
        <v>4295</v>
      </c>
      <c r="L805" s="94" t="s">
        <v>4285</v>
      </c>
      <c r="M805" s="95">
        <v>729900</v>
      </c>
      <c r="N805" s="95">
        <v>6000</v>
      </c>
      <c r="O805" s="95">
        <v>8500</v>
      </c>
      <c r="P805" s="96">
        <v>1214990</v>
      </c>
      <c r="Q805" s="152"/>
      <c r="R805" s="95">
        <v>819990</v>
      </c>
      <c r="S805" s="95">
        <f>R805/24</f>
        <v>34166.25</v>
      </c>
      <c r="T805" s="95">
        <v>729900</v>
      </c>
      <c r="U805" s="95">
        <f>T805/24</f>
        <v>30412.5</v>
      </c>
      <c r="V805" s="95">
        <v>729900</v>
      </c>
      <c r="W805" s="95">
        <f>V805/24</f>
        <v>30412.5</v>
      </c>
      <c r="X805" s="128"/>
      <c r="Y805" s="95">
        <v>249900</v>
      </c>
      <c r="Z805" s="95">
        <v>45000</v>
      </c>
      <c r="AA805" s="95">
        <f>IFERROR(IF(D805="Premium",0.4*Y805,0),"No Disp")</f>
        <v>99960</v>
      </c>
      <c r="AB805" s="95">
        <f>IFERROR(IF(4*Y805&gt;AC805,1.5*Y805,4*Y805),"No Disp")</f>
        <v>999600</v>
      </c>
      <c r="AC805" s="95">
        <f>IF(Z805="No Disp","No Disp",(Z805*18)+Y805)</f>
        <v>1059900</v>
      </c>
      <c r="AD805" s="95">
        <f>18*Z805-100+Y805</f>
        <v>1059800</v>
      </c>
      <c r="AE805" s="95">
        <v>149900</v>
      </c>
      <c r="AF805" s="95">
        <v>52000</v>
      </c>
      <c r="AG805" s="95">
        <f>IF(AF805="No Disp","No Disp",(AF805*18)+AE805)</f>
        <v>1085900</v>
      </c>
      <c r="AH805" s="98">
        <f>18*AF805-100+AE805</f>
        <v>1085800</v>
      </c>
      <c r="AI805" s="95" t="s">
        <v>4613</v>
      </c>
      <c r="AJ805" s="99"/>
      <c r="AK805" s="100">
        <v>0</v>
      </c>
      <c r="AL805" s="100">
        <v>34000</v>
      </c>
      <c r="AM805" s="100">
        <f>IF(AL805&lt;&gt;"No Disp",AK805+12*AL805,"No Disp")</f>
        <v>408000</v>
      </c>
      <c r="AN805" s="100">
        <v>0</v>
      </c>
      <c r="AO805" s="100">
        <v>34000</v>
      </c>
      <c r="AP805" s="100">
        <f>IF(AO805&lt;&gt;"No Disp",AN805+12*AO805,"No Disp")</f>
        <v>408000</v>
      </c>
      <c r="AQ805" s="100">
        <v>0</v>
      </c>
      <c r="AR805" s="100">
        <v>34000</v>
      </c>
      <c r="AS805" s="100">
        <f>IF(AR805&lt;&gt;"No Disp",AQ805+12*AR805,"No Disp")</f>
        <v>408000</v>
      </c>
    </row>
    <row r="806" spans="1:45" s="101" customFormat="1" x14ac:dyDescent="0.25">
      <c r="A806" s="90" t="s">
        <v>38</v>
      </c>
      <c r="B806" s="90" t="s">
        <v>40</v>
      </c>
      <c r="C806" s="90" t="s">
        <v>39</v>
      </c>
      <c r="D806" s="90" t="s">
        <v>4540</v>
      </c>
      <c r="E806" s="90" t="s">
        <v>4538</v>
      </c>
      <c r="F806" s="91">
        <v>95</v>
      </c>
      <c r="G806" s="92">
        <v>70015786</v>
      </c>
      <c r="H806" s="91" t="s">
        <v>3896</v>
      </c>
      <c r="I806" s="93" t="s">
        <v>63</v>
      </c>
      <c r="J806" s="94" t="s">
        <v>4261</v>
      </c>
      <c r="K806" s="94" t="s">
        <v>4296</v>
      </c>
      <c r="L806" s="94" t="s">
        <v>4286</v>
      </c>
      <c r="M806" s="95">
        <v>729900</v>
      </c>
      <c r="N806" s="95">
        <v>6000</v>
      </c>
      <c r="O806" s="95">
        <v>8500</v>
      </c>
      <c r="P806" s="96">
        <v>1214990</v>
      </c>
      <c r="Q806" s="152"/>
      <c r="R806" s="95">
        <v>819990</v>
      </c>
      <c r="S806" s="95">
        <f>R806/24</f>
        <v>34166.25</v>
      </c>
      <c r="T806" s="95">
        <v>729900</v>
      </c>
      <c r="U806" s="95">
        <f>T806/24</f>
        <v>30412.5</v>
      </c>
      <c r="V806" s="95">
        <v>729900</v>
      </c>
      <c r="W806" s="95">
        <f>V806/24</f>
        <v>30412.5</v>
      </c>
      <c r="X806" s="128"/>
      <c r="Y806" s="95">
        <v>249900</v>
      </c>
      <c r="Z806" s="95">
        <v>45000</v>
      </c>
      <c r="AA806" s="95">
        <f>IFERROR(IF(D806="Premium",0.4*Y806,0),"No Disp")</f>
        <v>99960</v>
      </c>
      <c r="AB806" s="95">
        <f>IFERROR(IF(4*Y806&gt;AC806,1.5*Y806,4*Y806),"No Disp")</f>
        <v>999600</v>
      </c>
      <c r="AC806" s="95">
        <f>IF(Z806="No Disp","No Disp",(Z806*18)+Y806)</f>
        <v>1059900</v>
      </c>
      <c r="AD806" s="95">
        <f>18*Z806-100+Y806</f>
        <v>1059800</v>
      </c>
      <c r="AE806" s="95">
        <v>149900</v>
      </c>
      <c r="AF806" s="95">
        <v>52000</v>
      </c>
      <c r="AG806" s="95">
        <f>IF(AF806="No Disp","No Disp",(AF806*18)+AE806)</f>
        <v>1085900</v>
      </c>
      <c r="AH806" s="98">
        <f>18*AF806-100+AE806</f>
        <v>1085800</v>
      </c>
      <c r="AI806" s="95" t="s">
        <v>4613</v>
      </c>
      <c r="AJ806" s="99"/>
      <c r="AK806" s="100">
        <v>0</v>
      </c>
      <c r="AL806" s="100">
        <v>34000</v>
      </c>
      <c r="AM806" s="100">
        <f>IF(AL806&lt;&gt;"No Disp",AK806+12*AL806,"No Disp")</f>
        <v>408000</v>
      </c>
      <c r="AN806" s="100">
        <v>0</v>
      </c>
      <c r="AO806" s="100">
        <v>34000</v>
      </c>
      <c r="AP806" s="100">
        <f>IF(AO806&lt;&gt;"No Disp",AN806+12*AO806,"No Disp")</f>
        <v>408000</v>
      </c>
      <c r="AQ806" s="100">
        <v>0</v>
      </c>
      <c r="AR806" s="100">
        <v>34000</v>
      </c>
      <c r="AS806" s="100">
        <f>IF(AR806&lt;&gt;"No Disp",AQ806+12*AR806,"No Disp")</f>
        <v>408000</v>
      </c>
    </row>
    <row r="807" spans="1:45" s="101" customFormat="1" x14ac:dyDescent="0.25">
      <c r="A807" s="90" t="s">
        <v>38</v>
      </c>
      <c r="B807" s="90" t="s">
        <v>40</v>
      </c>
      <c r="C807" s="90" t="s">
        <v>39</v>
      </c>
      <c r="D807" s="90" t="s">
        <v>4540</v>
      </c>
      <c r="E807" s="90" t="s">
        <v>4538</v>
      </c>
      <c r="F807" s="91">
        <v>96</v>
      </c>
      <c r="G807" s="92">
        <v>70015818</v>
      </c>
      <c r="H807" s="91" t="s">
        <v>3896</v>
      </c>
      <c r="I807" s="93" t="s">
        <v>63</v>
      </c>
      <c r="J807" s="94" t="s">
        <v>4260</v>
      </c>
      <c r="K807" s="94" t="s">
        <v>4289</v>
      </c>
      <c r="L807" s="94" t="s">
        <v>4279</v>
      </c>
      <c r="M807" s="95">
        <v>1439900</v>
      </c>
      <c r="N807" s="95">
        <v>9500</v>
      </c>
      <c r="O807" s="95">
        <v>13500</v>
      </c>
      <c r="P807" s="96">
        <v>1589990</v>
      </c>
      <c r="Q807" s="152"/>
      <c r="R807" s="95">
        <v>1589990</v>
      </c>
      <c r="S807" s="95">
        <f>R807/24</f>
        <v>66249.583333333328</v>
      </c>
      <c r="T807" s="95">
        <v>1439900</v>
      </c>
      <c r="U807" s="95">
        <f>T807/24</f>
        <v>59995.833333333336</v>
      </c>
      <c r="V807" s="95">
        <v>1439900</v>
      </c>
      <c r="W807" s="95">
        <f>V807/24</f>
        <v>59995.833333333336</v>
      </c>
      <c r="X807" s="128"/>
      <c r="Y807" s="95">
        <v>699900</v>
      </c>
      <c r="Z807" s="95">
        <v>77500</v>
      </c>
      <c r="AA807" s="95">
        <f>IFERROR(IF(D807="Premium",0.4*Y807,0),"No Disp")</f>
        <v>279960</v>
      </c>
      <c r="AB807" s="95">
        <f>IFERROR(IF(4*Y807&gt;AC807,1.5*Y807,4*Y807),"No Disp")</f>
        <v>1049850</v>
      </c>
      <c r="AC807" s="95">
        <f>IF(Z807="No Disp","No Disp",(Z807*18)+Y807)</f>
        <v>2094900</v>
      </c>
      <c r="AD807" s="95">
        <f>18*Z807-100+Y807</f>
        <v>2094800</v>
      </c>
      <c r="AE807" s="95">
        <v>599900</v>
      </c>
      <c r="AF807" s="95">
        <v>77500</v>
      </c>
      <c r="AG807" s="95">
        <f>IF(AF807="No Disp","No Disp",(AF807*18)+AE807)</f>
        <v>1994900</v>
      </c>
      <c r="AH807" s="98">
        <f>18*AF807-100+AE807</f>
        <v>1994800</v>
      </c>
      <c r="AI807" s="95" t="s">
        <v>4613</v>
      </c>
      <c r="AJ807" s="99"/>
      <c r="AK807" s="100">
        <v>0</v>
      </c>
      <c r="AL807" s="100">
        <v>69000</v>
      </c>
      <c r="AM807" s="100">
        <f>IF(AL807&lt;&gt;"No Disp",AK807+12*AL807,"No Disp")</f>
        <v>828000</v>
      </c>
      <c r="AN807" s="100">
        <v>0</v>
      </c>
      <c r="AO807" s="100">
        <v>69000</v>
      </c>
      <c r="AP807" s="100">
        <f>IF(AO807&lt;&gt;"No Disp",AN807+12*AO807,"No Disp")</f>
        <v>828000</v>
      </c>
      <c r="AQ807" s="100">
        <v>0</v>
      </c>
      <c r="AR807" s="100">
        <v>69000</v>
      </c>
      <c r="AS807" s="100">
        <f>IF(AR807&lt;&gt;"No Disp",AQ807+12*AR807,"No Disp")</f>
        <v>828000</v>
      </c>
    </row>
    <row r="808" spans="1:45" s="101" customFormat="1" x14ac:dyDescent="0.25">
      <c r="A808" s="90" t="s">
        <v>38</v>
      </c>
      <c r="B808" s="90" t="s">
        <v>40</v>
      </c>
      <c r="C808" s="90" t="s">
        <v>39</v>
      </c>
      <c r="D808" s="90" t="s">
        <v>4540</v>
      </c>
      <c r="E808" s="90" t="s">
        <v>4538</v>
      </c>
      <c r="F808" s="91">
        <v>94</v>
      </c>
      <c r="G808" s="92">
        <v>70015822</v>
      </c>
      <c r="H808" s="91" t="s">
        <v>3896</v>
      </c>
      <c r="I808" s="93" t="s">
        <v>63</v>
      </c>
      <c r="J808" s="94" t="s">
        <v>4260</v>
      </c>
      <c r="K808" s="94" t="s">
        <v>4290</v>
      </c>
      <c r="L808" s="94" t="s">
        <v>4280</v>
      </c>
      <c r="M808" s="95">
        <v>1439900</v>
      </c>
      <c r="N808" s="95">
        <v>9500</v>
      </c>
      <c r="O808" s="95">
        <v>13500</v>
      </c>
      <c r="P808" s="96">
        <v>1589990</v>
      </c>
      <c r="Q808" s="152"/>
      <c r="R808" s="95">
        <v>1589990</v>
      </c>
      <c r="S808" s="95">
        <f>R808/24</f>
        <v>66249.583333333328</v>
      </c>
      <c r="T808" s="95">
        <v>1439900</v>
      </c>
      <c r="U808" s="95">
        <f>T808/24</f>
        <v>59995.833333333336</v>
      </c>
      <c r="V808" s="95">
        <v>1439900</v>
      </c>
      <c r="W808" s="95">
        <f>V808/24</f>
        <v>59995.833333333336</v>
      </c>
      <c r="X808" s="128"/>
      <c r="Y808" s="95">
        <v>699900</v>
      </c>
      <c r="Z808" s="95">
        <v>77500</v>
      </c>
      <c r="AA808" s="95">
        <f>IFERROR(IF(D808="Premium",0.4*Y808,0),"No Disp")</f>
        <v>279960</v>
      </c>
      <c r="AB808" s="95">
        <f>IFERROR(IF(4*Y808&gt;AC808,1.5*Y808,4*Y808),"No Disp")</f>
        <v>1049850</v>
      </c>
      <c r="AC808" s="95">
        <f>IF(Z808="No Disp","No Disp",(Z808*18)+Y808)</f>
        <v>2094900</v>
      </c>
      <c r="AD808" s="95">
        <f>18*Z808-100+Y808</f>
        <v>2094800</v>
      </c>
      <c r="AE808" s="95">
        <v>599900</v>
      </c>
      <c r="AF808" s="95">
        <v>77500</v>
      </c>
      <c r="AG808" s="95">
        <f>IF(AF808="No Disp","No Disp",(AF808*18)+AE808)</f>
        <v>1994900</v>
      </c>
      <c r="AH808" s="98">
        <f>18*AF808-100+AE808</f>
        <v>1994800</v>
      </c>
      <c r="AI808" s="95" t="s">
        <v>4613</v>
      </c>
      <c r="AJ808" s="99"/>
      <c r="AK808" s="100">
        <v>0</v>
      </c>
      <c r="AL808" s="100">
        <v>69000</v>
      </c>
      <c r="AM808" s="100">
        <f>IF(AL808&lt;&gt;"No Disp",AK808+12*AL808,"No Disp")</f>
        <v>828000</v>
      </c>
      <c r="AN808" s="100">
        <v>0</v>
      </c>
      <c r="AO808" s="100">
        <v>69000</v>
      </c>
      <c r="AP808" s="100">
        <f>IF(AO808&lt;&gt;"No Disp",AN808+12*AO808,"No Disp")</f>
        <v>828000</v>
      </c>
      <c r="AQ808" s="100">
        <v>0</v>
      </c>
      <c r="AR808" s="100">
        <v>69000</v>
      </c>
      <c r="AS808" s="100">
        <f>IF(AR808&lt;&gt;"No Disp",AQ808+12*AR808,"No Disp")</f>
        <v>828000</v>
      </c>
    </row>
    <row r="809" spans="1:45" s="101" customFormat="1" x14ac:dyDescent="0.25">
      <c r="A809" s="90" t="s">
        <v>38</v>
      </c>
      <c r="B809" s="90" t="s">
        <v>40</v>
      </c>
      <c r="C809" s="90" t="s">
        <v>39</v>
      </c>
      <c r="D809" s="90" t="s">
        <v>4540</v>
      </c>
      <c r="E809" s="90" t="s">
        <v>4538</v>
      </c>
      <c r="F809" s="91">
        <v>96</v>
      </c>
      <c r="G809" s="92">
        <v>70015826</v>
      </c>
      <c r="H809" s="91" t="s">
        <v>3896</v>
      </c>
      <c r="I809" s="93" t="s">
        <v>63</v>
      </c>
      <c r="J809" s="94" t="s">
        <v>4260</v>
      </c>
      <c r="K809" s="94" t="s">
        <v>4291</v>
      </c>
      <c r="L809" s="94" t="s">
        <v>4281</v>
      </c>
      <c r="M809" s="95">
        <v>1439900</v>
      </c>
      <c r="N809" s="95">
        <v>9500</v>
      </c>
      <c r="O809" s="95">
        <v>13500</v>
      </c>
      <c r="P809" s="96">
        <v>1589990</v>
      </c>
      <c r="Q809" s="152"/>
      <c r="R809" s="95">
        <v>1589990</v>
      </c>
      <c r="S809" s="95">
        <f>R809/24</f>
        <v>66249.583333333328</v>
      </c>
      <c r="T809" s="95">
        <v>1439900</v>
      </c>
      <c r="U809" s="95">
        <f>T809/24</f>
        <v>59995.833333333336</v>
      </c>
      <c r="V809" s="95">
        <v>1439900</v>
      </c>
      <c r="W809" s="95">
        <f>V809/24</f>
        <v>59995.833333333336</v>
      </c>
      <c r="X809" s="128"/>
      <c r="Y809" s="95">
        <v>699900</v>
      </c>
      <c r="Z809" s="95">
        <v>77500</v>
      </c>
      <c r="AA809" s="95">
        <f>IFERROR(IF(D809="Premium",0.4*Y809,0),"No Disp")</f>
        <v>279960</v>
      </c>
      <c r="AB809" s="95">
        <f>IFERROR(IF(4*Y809&gt;AC809,1.5*Y809,4*Y809),"No Disp")</f>
        <v>1049850</v>
      </c>
      <c r="AC809" s="95">
        <f>IF(Z809="No Disp","No Disp",(Z809*18)+Y809)</f>
        <v>2094900</v>
      </c>
      <c r="AD809" s="95">
        <f>18*Z809-100+Y809</f>
        <v>2094800</v>
      </c>
      <c r="AE809" s="95">
        <v>599900</v>
      </c>
      <c r="AF809" s="95">
        <v>77500</v>
      </c>
      <c r="AG809" s="95">
        <f>IF(AF809="No Disp","No Disp",(AF809*18)+AE809)</f>
        <v>1994900</v>
      </c>
      <c r="AH809" s="98">
        <f>18*AF809-100+AE809</f>
        <v>1994800</v>
      </c>
      <c r="AI809" s="95" t="s">
        <v>4613</v>
      </c>
      <c r="AJ809" s="99"/>
      <c r="AK809" s="100">
        <v>0</v>
      </c>
      <c r="AL809" s="100">
        <v>69000</v>
      </c>
      <c r="AM809" s="100">
        <f>IF(AL809&lt;&gt;"No Disp",AK809+12*AL809,"No Disp")</f>
        <v>828000</v>
      </c>
      <c r="AN809" s="100">
        <v>0</v>
      </c>
      <c r="AO809" s="100">
        <v>69000</v>
      </c>
      <c r="AP809" s="100">
        <f>IF(AO809&lt;&gt;"No Disp",AN809+12*AO809,"No Disp")</f>
        <v>828000</v>
      </c>
      <c r="AQ809" s="100">
        <v>0</v>
      </c>
      <c r="AR809" s="100">
        <v>69000</v>
      </c>
      <c r="AS809" s="100">
        <f>IF(AR809&lt;&gt;"No Disp",AQ809+12*AR809,"No Disp")</f>
        <v>828000</v>
      </c>
    </row>
    <row r="810" spans="1:45" s="101" customFormat="1" x14ac:dyDescent="0.25">
      <c r="A810" s="90" t="s">
        <v>38</v>
      </c>
      <c r="B810" s="90" t="s">
        <v>40</v>
      </c>
      <c r="C810" s="90" t="s">
        <v>39</v>
      </c>
      <c r="D810" s="90" t="s">
        <v>4540</v>
      </c>
      <c r="E810" s="90" t="s">
        <v>4538</v>
      </c>
      <c r="F810" s="91"/>
      <c r="G810" s="92">
        <v>70015481</v>
      </c>
      <c r="H810" s="91" t="s">
        <v>3896</v>
      </c>
      <c r="I810" s="93" t="s">
        <v>63</v>
      </c>
      <c r="J810" s="94" t="s">
        <v>4642</v>
      </c>
      <c r="K810" s="94" t="s">
        <v>4639</v>
      </c>
      <c r="L810" s="94" t="s">
        <v>4643</v>
      </c>
      <c r="M810" s="95">
        <v>1999900</v>
      </c>
      <c r="N810" s="95">
        <v>12000</v>
      </c>
      <c r="O810" s="95">
        <v>15500</v>
      </c>
      <c r="P810" s="96">
        <v>2069990</v>
      </c>
      <c r="Q810" s="152"/>
      <c r="R810" s="95">
        <v>2069990</v>
      </c>
      <c r="S810" s="95">
        <v>22082.916666666668</v>
      </c>
      <c r="T810" s="95">
        <v>1999900</v>
      </c>
      <c r="U810" s="95">
        <v>20790</v>
      </c>
      <c r="V810" s="95">
        <v>1999900</v>
      </c>
      <c r="W810" s="95">
        <v>20790</v>
      </c>
      <c r="X810" s="128"/>
      <c r="Y810" s="95">
        <v>1199900</v>
      </c>
      <c r="Z810" s="95">
        <v>77500</v>
      </c>
      <c r="AA810" s="95">
        <f>IFERROR(IF(D810="Premium",0.4*Y810,0),"No Disp")</f>
        <v>479960</v>
      </c>
      <c r="AB810" s="95">
        <f>IFERROR(IF(4*Y810&gt;AC810,1.5*Y810,4*Y810),"No Disp")</f>
        <v>1799850</v>
      </c>
      <c r="AC810" s="95">
        <f>IF(Z810="No Disp","No Disp",(Z810*18)+Y810)</f>
        <v>2594900</v>
      </c>
      <c r="AD810" s="95">
        <f>IF($H810="EMP",18*Z810-100,18*Z810-100+Y810)</f>
        <v>2594800</v>
      </c>
      <c r="AE810" s="95">
        <v>1059900</v>
      </c>
      <c r="AF810" s="95">
        <v>77500</v>
      </c>
      <c r="AG810" s="95">
        <f>IF(AF810="No Disp","No Disp",(AF810*18)+AE810)</f>
        <v>2454900</v>
      </c>
      <c r="AH810" s="98">
        <f>IF($H810="EMP",18*AF810-100,18*AF810-100+AE810)</f>
        <v>2454800</v>
      </c>
      <c r="AI810" s="95" t="s">
        <v>4613</v>
      </c>
      <c r="AJ810" s="99"/>
      <c r="AK810" s="100" t="s">
        <v>43</v>
      </c>
      <c r="AL810" s="100" t="s">
        <v>43</v>
      </c>
      <c r="AM810" s="100" t="s">
        <v>43</v>
      </c>
      <c r="AN810" s="100" t="s">
        <v>43</v>
      </c>
      <c r="AO810" s="100" t="s">
        <v>43</v>
      </c>
      <c r="AP810" s="100" t="s">
        <v>43</v>
      </c>
      <c r="AQ810" s="100" t="s">
        <v>43</v>
      </c>
      <c r="AR810" s="100" t="s">
        <v>43</v>
      </c>
      <c r="AS810" s="100" t="s">
        <v>43</v>
      </c>
    </row>
    <row r="811" spans="1:45" s="101" customFormat="1" x14ac:dyDescent="0.25">
      <c r="A811" s="90" t="s">
        <v>38</v>
      </c>
      <c r="B811" s="90" t="s">
        <v>40</v>
      </c>
      <c r="C811" s="90" t="s">
        <v>39</v>
      </c>
      <c r="D811" s="90" t="s">
        <v>4540</v>
      </c>
      <c r="E811" s="90" t="s">
        <v>4538</v>
      </c>
      <c r="F811" s="91"/>
      <c r="G811" s="92">
        <v>70015485</v>
      </c>
      <c r="H811" s="91" t="s">
        <v>3896</v>
      </c>
      <c r="I811" s="93" t="s">
        <v>63</v>
      </c>
      <c r="J811" s="94" t="s">
        <v>4642</v>
      </c>
      <c r="K811" s="94" t="s">
        <v>4640</v>
      </c>
      <c r="L811" s="94" t="s">
        <v>4644</v>
      </c>
      <c r="M811" s="95">
        <v>1999900</v>
      </c>
      <c r="N811" s="95">
        <v>12000</v>
      </c>
      <c r="O811" s="95">
        <v>15500</v>
      </c>
      <c r="P811" s="96">
        <v>2069990</v>
      </c>
      <c r="Q811" s="152"/>
      <c r="R811" s="95">
        <v>2069990</v>
      </c>
      <c r="S811" s="95">
        <v>22082.916666666668</v>
      </c>
      <c r="T811" s="95">
        <v>1999900</v>
      </c>
      <c r="U811" s="95">
        <v>20790</v>
      </c>
      <c r="V811" s="95">
        <v>1999900</v>
      </c>
      <c r="W811" s="95">
        <v>20790</v>
      </c>
      <c r="X811" s="128"/>
      <c r="Y811" s="95">
        <v>1199900</v>
      </c>
      <c r="Z811" s="95">
        <v>77500</v>
      </c>
      <c r="AA811" s="95">
        <f>IFERROR(IF(D811="Premium",0.4*Y811,0),"No Disp")</f>
        <v>479960</v>
      </c>
      <c r="AB811" s="95">
        <f>IFERROR(IF(4*Y811&gt;AC811,1.5*Y811,4*Y811),"No Disp")</f>
        <v>1799850</v>
      </c>
      <c r="AC811" s="95">
        <f>IF(Z811="No Disp","No Disp",(Z811*18)+Y811)</f>
        <v>2594900</v>
      </c>
      <c r="AD811" s="95">
        <f>IF($H811="EMP",18*Z811-100,18*Z811-100+Y811)</f>
        <v>2594800</v>
      </c>
      <c r="AE811" s="95">
        <v>1059900</v>
      </c>
      <c r="AF811" s="95">
        <v>77500</v>
      </c>
      <c r="AG811" s="95">
        <f>IF(AF811="No Disp","No Disp",(AF811*18)+AE811)</f>
        <v>2454900</v>
      </c>
      <c r="AH811" s="98">
        <f>IF($H811="EMP",18*AF811-100,18*AF811-100+AE811)</f>
        <v>2454800</v>
      </c>
      <c r="AI811" s="95" t="s">
        <v>4613</v>
      </c>
      <c r="AJ811" s="99"/>
      <c r="AK811" s="100" t="s">
        <v>43</v>
      </c>
      <c r="AL811" s="100" t="s">
        <v>43</v>
      </c>
      <c r="AM811" s="100" t="s">
        <v>43</v>
      </c>
      <c r="AN811" s="100" t="s">
        <v>43</v>
      </c>
      <c r="AO811" s="100" t="s">
        <v>43</v>
      </c>
      <c r="AP811" s="100" t="s">
        <v>43</v>
      </c>
      <c r="AQ811" s="100" t="s">
        <v>43</v>
      </c>
      <c r="AR811" s="100" t="s">
        <v>43</v>
      </c>
      <c r="AS811" s="100" t="s">
        <v>43</v>
      </c>
    </row>
    <row r="812" spans="1:45" s="101" customFormat="1" x14ac:dyDescent="0.25">
      <c r="A812" s="90" t="s">
        <v>38</v>
      </c>
      <c r="B812" s="90" t="s">
        <v>40</v>
      </c>
      <c r="C812" s="90" t="s">
        <v>39</v>
      </c>
      <c r="D812" s="90" t="s">
        <v>4540</v>
      </c>
      <c r="E812" s="90" t="s">
        <v>4538</v>
      </c>
      <c r="F812" s="91"/>
      <c r="G812" s="92">
        <v>70015509</v>
      </c>
      <c r="H812" s="91" t="s">
        <v>3896</v>
      </c>
      <c r="I812" s="93" t="s">
        <v>63</v>
      </c>
      <c r="J812" s="94" t="s">
        <v>4642</v>
      </c>
      <c r="K812" s="94" t="s">
        <v>4641</v>
      </c>
      <c r="L812" s="94" t="s">
        <v>4645</v>
      </c>
      <c r="M812" s="95">
        <v>1999900</v>
      </c>
      <c r="N812" s="95">
        <v>12000</v>
      </c>
      <c r="O812" s="95">
        <v>15500</v>
      </c>
      <c r="P812" s="96">
        <v>2069990</v>
      </c>
      <c r="Q812" s="152"/>
      <c r="R812" s="95">
        <v>2069990</v>
      </c>
      <c r="S812" s="95">
        <v>22082.916666666668</v>
      </c>
      <c r="T812" s="95">
        <v>1999900</v>
      </c>
      <c r="U812" s="95">
        <v>20790</v>
      </c>
      <c r="V812" s="95">
        <v>1999900</v>
      </c>
      <c r="W812" s="95">
        <v>20790</v>
      </c>
      <c r="X812" s="128"/>
      <c r="Y812" s="95">
        <v>1199900</v>
      </c>
      <c r="Z812" s="95">
        <v>77500</v>
      </c>
      <c r="AA812" s="95">
        <f>IFERROR(IF(D812="Premium",0.4*Y812,0),"No Disp")</f>
        <v>479960</v>
      </c>
      <c r="AB812" s="95">
        <f>IFERROR(IF(4*Y812&gt;AC812,1.5*Y812,4*Y812),"No Disp")</f>
        <v>1799850</v>
      </c>
      <c r="AC812" s="95">
        <f>IF(Z812="No Disp","No Disp",(Z812*18)+Y812)</f>
        <v>2594900</v>
      </c>
      <c r="AD812" s="95">
        <f>IF($H812="EMP",18*Z812-100,18*Z812-100+Y812)</f>
        <v>2594800</v>
      </c>
      <c r="AE812" s="95">
        <v>1059900</v>
      </c>
      <c r="AF812" s="95">
        <v>77500</v>
      </c>
      <c r="AG812" s="95">
        <f>IF(AF812="No Disp","No Disp",(AF812*18)+AE812)</f>
        <v>2454900</v>
      </c>
      <c r="AH812" s="98">
        <f>IF($H812="EMP",18*AF812-100,18*AF812-100+AE812)</f>
        <v>2454800</v>
      </c>
      <c r="AI812" s="95" t="s">
        <v>4613</v>
      </c>
      <c r="AJ812" s="99"/>
      <c r="AK812" s="100" t="s">
        <v>43</v>
      </c>
      <c r="AL812" s="100" t="s">
        <v>43</v>
      </c>
      <c r="AM812" s="100" t="s">
        <v>43</v>
      </c>
      <c r="AN812" s="100" t="s">
        <v>43</v>
      </c>
      <c r="AO812" s="100" t="s">
        <v>43</v>
      </c>
      <c r="AP812" s="100" t="s">
        <v>43</v>
      </c>
      <c r="AQ812" s="100" t="s">
        <v>43</v>
      </c>
      <c r="AR812" s="100" t="s">
        <v>43</v>
      </c>
      <c r="AS812" s="100" t="s">
        <v>43</v>
      </c>
    </row>
    <row r="813" spans="1:45" s="101" customFormat="1" x14ac:dyDescent="0.25">
      <c r="A813" s="90" t="s">
        <v>102</v>
      </c>
      <c r="B813" s="90" t="s">
        <v>39</v>
      </c>
      <c r="C813" s="90" t="s">
        <v>40</v>
      </c>
      <c r="D813" s="90" t="s">
        <v>4539</v>
      </c>
      <c r="E813" s="90" t="s">
        <v>4538</v>
      </c>
      <c r="F813" s="91">
        <v>777</v>
      </c>
      <c r="G813" s="92">
        <v>70015891</v>
      </c>
      <c r="H813" s="91" t="s">
        <v>3896</v>
      </c>
      <c r="I813" s="93" t="s">
        <v>41</v>
      </c>
      <c r="J813" s="94" t="s">
        <v>4479</v>
      </c>
      <c r="K813" s="94" t="s">
        <v>4500</v>
      </c>
      <c r="L813" s="94" t="s">
        <v>4486</v>
      </c>
      <c r="M813" s="95">
        <v>279900</v>
      </c>
      <c r="N813" s="95">
        <v>4000</v>
      </c>
      <c r="O813" s="95">
        <v>6000</v>
      </c>
      <c r="P813" s="96">
        <v>608980</v>
      </c>
      <c r="Q813" s="152"/>
      <c r="R813" s="95">
        <v>309990</v>
      </c>
      <c r="S813" s="95">
        <f>R813/24</f>
        <v>12916.25</v>
      </c>
      <c r="T813" s="95">
        <v>279900</v>
      </c>
      <c r="U813" s="95">
        <f>T813/24</f>
        <v>11662.5</v>
      </c>
      <c r="V813" s="95">
        <v>279900</v>
      </c>
      <c r="W813" s="95">
        <f>V813/24</f>
        <v>11662.5</v>
      </c>
      <c r="X813" s="128"/>
      <c r="Y813" s="95">
        <v>29900</v>
      </c>
      <c r="Z813" s="95">
        <v>29000</v>
      </c>
      <c r="AA813" s="95">
        <f>IFERROR(IF(D813="Premium",0.4*Y813,0),"No Disp")</f>
        <v>0</v>
      </c>
      <c r="AB813" s="95">
        <f>IFERROR(IF(4*Y813&gt;AC813,1.5*Y813,4*Y813),"No Disp")</f>
        <v>119600</v>
      </c>
      <c r="AC813" s="95">
        <f>IF(Z813="No Disp","No Disp",(Z813*18)+Y813)</f>
        <v>551900</v>
      </c>
      <c r="AD813" s="95">
        <f>18*Z813-100+Y813</f>
        <v>551800</v>
      </c>
      <c r="AE813" s="95">
        <v>0</v>
      </c>
      <c r="AF813" s="95">
        <v>25000</v>
      </c>
      <c r="AG813" s="95">
        <f>IF(AF813="No Disp","No Disp",(AF813*18)+AE813)</f>
        <v>450000</v>
      </c>
      <c r="AH813" s="98">
        <f>18*AF813-100+AE813</f>
        <v>449900</v>
      </c>
      <c r="AI813" s="95" t="s">
        <v>4613</v>
      </c>
      <c r="AJ813" s="99"/>
      <c r="AK813" s="100" t="s">
        <v>43</v>
      </c>
      <c r="AL813" s="100" t="s">
        <v>43</v>
      </c>
      <c r="AM813" s="100" t="str">
        <f>IF(AL813&lt;&gt;"No Disp",AK813+12*AL813,"No Disp")</f>
        <v>No Disp</v>
      </c>
      <c r="AN813" s="100" t="s">
        <v>43</v>
      </c>
      <c r="AO813" s="100" t="s">
        <v>43</v>
      </c>
      <c r="AP813" s="100" t="str">
        <f>IF(AO813&lt;&gt;"No Disp",AN813+12*AO813,"No Disp")</f>
        <v>No Disp</v>
      </c>
      <c r="AQ813" s="100" t="s">
        <v>43</v>
      </c>
      <c r="AR813" s="100" t="s">
        <v>43</v>
      </c>
      <c r="AS813" s="100" t="str">
        <f>IF(AR813&lt;&gt;"No Disp",AQ813+12*AR813,"No Disp")</f>
        <v>No Disp</v>
      </c>
    </row>
    <row r="814" spans="1:45" s="101" customFormat="1" x14ac:dyDescent="0.25">
      <c r="A814" s="90" t="s">
        <v>38</v>
      </c>
      <c r="B814" s="90" t="s">
        <v>39</v>
      </c>
      <c r="C814" s="90" t="s">
        <v>40</v>
      </c>
      <c r="D814" s="90" t="s">
        <v>4539</v>
      </c>
      <c r="E814" s="90" t="s">
        <v>4538</v>
      </c>
      <c r="F814" s="91">
        <v>562</v>
      </c>
      <c r="G814" s="92">
        <v>70013798</v>
      </c>
      <c r="H814" s="91" t="s">
        <v>3896</v>
      </c>
      <c r="I814" s="93" t="s">
        <v>41</v>
      </c>
      <c r="J814" s="102" t="s">
        <v>3403</v>
      </c>
      <c r="K814" s="94" t="s">
        <v>3908</v>
      </c>
      <c r="L814" s="94" t="s">
        <v>44</v>
      </c>
      <c r="M814" s="95">
        <v>279900</v>
      </c>
      <c r="N814" s="95">
        <v>6000</v>
      </c>
      <c r="O814" s="95">
        <v>8500</v>
      </c>
      <c r="P814" s="96">
        <v>564990</v>
      </c>
      <c r="Q814" s="152"/>
      <c r="R814" s="95">
        <v>309990</v>
      </c>
      <c r="S814" s="95">
        <f>R814/24</f>
        <v>12916.25</v>
      </c>
      <c r="T814" s="95">
        <v>279900</v>
      </c>
      <c r="U814" s="95">
        <f>T814/24</f>
        <v>11662.5</v>
      </c>
      <c r="V814" s="95">
        <v>279900</v>
      </c>
      <c r="W814" s="95">
        <f>V814/24</f>
        <v>11662.5</v>
      </c>
      <c r="X814" s="128"/>
      <c r="Y814" s="95">
        <v>29900</v>
      </c>
      <c r="Z814" s="95">
        <v>29000</v>
      </c>
      <c r="AA814" s="95">
        <f>IFERROR(IF(D814="Premium",0.4*Y814,0),"No Disp")</f>
        <v>0</v>
      </c>
      <c r="AB814" s="95">
        <f>IFERROR(IF(4*Y814&gt;AC814,1.5*Y814,4*Y814),"No Disp")</f>
        <v>119600</v>
      </c>
      <c r="AC814" s="95">
        <f>IF(Z814="No Disp","No Disp",(Z814*18)+Y814)</f>
        <v>551900</v>
      </c>
      <c r="AD814" s="95">
        <f>18*Z814-100+Y814</f>
        <v>551800</v>
      </c>
      <c r="AE814" s="95">
        <v>0</v>
      </c>
      <c r="AF814" s="95">
        <v>25000</v>
      </c>
      <c r="AG814" s="95">
        <f>IF(AF814="No Disp","No Disp",(AF814*18)+AE814)</f>
        <v>450000</v>
      </c>
      <c r="AH814" s="98">
        <f>18*AF814-100+AE814</f>
        <v>449900</v>
      </c>
      <c r="AI814" s="95" t="s">
        <v>4613</v>
      </c>
      <c r="AJ814" s="99"/>
      <c r="AK814" s="100">
        <v>0</v>
      </c>
      <c r="AL814" s="100">
        <v>16000</v>
      </c>
      <c r="AM814" s="100">
        <f>IF(AL814&lt;&gt;"No Disp",AK814+12*AL814,"No Disp")</f>
        <v>192000</v>
      </c>
      <c r="AN814" s="100">
        <v>0</v>
      </c>
      <c r="AO814" s="100">
        <v>16000</v>
      </c>
      <c r="AP814" s="100">
        <f>IF(AO814&lt;&gt;"No Disp",AN814+12*AO814,"No Disp")</f>
        <v>192000</v>
      </c>
      <c r="AQ814" s="100">
        <v>0</v>
      </c>
      <c r="AR814" s="100">
        <v>16000</v>
      </c>
      <c r="AS814" s="100">
        <f>IF(AR814&lt;&gt;"No Disp",AQ814+12*AR814,"No Disp")</f>
        <v>192000</v>
      </c>
    </row>
    <row r="815" spans="1:45" s="101" customFormat="1" x14ac:dyDescent="0.25">
      <c r="A815" s="90" t="s">
        <v>38</v>
      </c>
      <c r="B815" s="90" t="s">
        <v>39</v>
      </c>
      <c r="C815" s="90" t="s">
        <v>40</v>
      </c>
      <c r="D815" s="90" t="s">
        <v>4539</v>
      </c>
      <c r="E815" s="90" t="s">
        <v>4538</v>
      </c>
      <c r="F815" s="91">
        <v>563</v>
      </c>
      <c r="G815" s="92">
        <v>70013542</v>
      </c>
      <c r="H815" s="91" t="s">
        <v>3896</v>
      </c>
      <c r="I815" s="93" t="s">
        <v>41</v>
      </c>
      <c r="J815" s="102" t="s">
        <v>3403</v>
      </c>
      <c r="K815" s="94" t="s">
        <v>42</v>
      </c>
      <c r="L815" s="94" t="s">
        <v>138</v>
      </c>
      <c r="M815" s="95">
        <v>279900</v>
      </c>
      <c r="N815" s="95">
        <v>6000</v>
      </c>
      <c r="O815" s="95">
        <v>8500</v>
      </c>
      <c r="P815" s="96">
        <v>564990</v>
      </c>
      <c r="Q815" s="152"/>
      <c r="R815" s="95">
        <v>309990</v>
      </c>
      <c r="S815" s="95">
        <f>R815/24</f>
        <v>12916.25</v>
      </c>
      <c r="T815" s="95">
        <v>279900</v>
      </c>
      <c r="U815" s="95">
        <f>T815/24</f>
        <v>11662.5</v>
      </c>
      <c r="V815" s="95">
        <v>279900</v>
      </c>
      <c r="W815" s="95">
        <f>V815/24</f>
        <v>11662.5</v>
      </c>
      <c r="X815" s="128"/>
      <c r="Y815" s="95">
        <v>29900</v>
      </c>
      <c r="Z815" s="95">
        <v>29000</v>
      </c>
      <c r="AA815" s="95">
        <f>IFERROR(IF(D815="Premium",0.4*Y815,0),"No Disp")</f>
        <v>0</v>
      </c>
      <c r="AB815" s="95">
        <f>IFERROR(IF(4*Y815&gt;AC815,1.5*Y815,4*Y815),"No Disp")</f>
        <v>119600</v>
      </c>
      <c r="AC815" s="95">
        <f>IF(Z815="No Disp","No Disp",(Z815*18)+Y815)</f>
        <v>551900</v>
      </c>
      <c r="AD815" s="95">
        <f>18*Z815-100+Y815</f>
        <v>551800</v>
      </c>
      <c r="AE815" s="95">
        <v>0</v>
      </c>
      <c r="AF815" s="95">
        <v>25000</v>
      </c>
      <c r="AG815" s="95">
        <f>IF(AF815="No Disp","No Disp",(AF815*18)+AE815)</f>
        <v>450000</v>
      </c>
      <c r="AH815" s="98">
        <f>18*AF815-100+AE815</f>
        <v>449900</v>
      </c>
      <c r="AI815" s="95" t="s">
        <v>4613</v>
      </c>
      <c r="AJ815" s="99"/>
      <c r="AK815" s="100">
        <v>0</v>
      </c>
      <c r="AL815" s="100">
        <v>16000</v>
      </c>
      <c r="AM815" s="100">
        <f>IF(AL815&lt;&gt;"No Disp",AK815+12*AL815,"No Disp")</f>
        <v>192000</v>
      </c>
      <c r="AN815" s="100">
        <v>0</v>
      </c>
      <c r="AO815" s="100">
        <v>16000</v>
      </c>
      <c r="AP815" s="100">
        <f>IF(AO815&lt;&gt;"No Disp",AN815+12*AO815,"No Disp")</f>
        <v>192000</v>
      </c>
      <c r="AQ815" s="100">
        <v>0</v>
      </c>
      <c r="AR815" s="100">
        <v>16000</v>
      </c>
      <c r="AS815" s="100">
        <f>IF(AR815&lt;&gt;"No Disp",AQ815+12*AR815,"No Disp")</f>
        <v>192000</v>
      </c>
    </row>
    <row r="816" spans="1:45" s="101" customFormat="1" x14ac:dyDescent="0.25">
      <c r="A816" s="90" t="s">
        <v>38</v>
      </c>
      <c r="B816" s="90" t="s">
        <v>40</v>
      </c>
      <c r="C816" s="90" t="s">
        <v>39</v>
      </c>
      <c r="D816" s="90" t="s">
        <v>4540</v>
      </c>
      <c r="E816" s="90" t="s">
        <v>4538</v>
      </c>
      <c r="F816" s="91">
        <v>586</v>
      </c>
      <c r="G816" s="92">
        <v>70013799</v>
      </c>
      <c r="H816" s="91" t="s">
        <v>3896</v>
      </c>
      <c r="I816" s="93" t="s">
        <v>41</v>
      </c>
      <c r="J816" s="94" t="s">
        <v>2839</v>
      </c>
      <c r="K816" s="94" t="s">
        <v>2868</v>
      </c>
      <c r="L816" s="94" t="s">
        <v>2869</v>
      </c>
      <c r="M816" s="95">
        <v>899900</v>
      </c>
      <c r="N816" s="95">
        <v>9500</v>
      </c>
      <c r="O816" s="95">
        <v>13500</v>
      </c>
      <c r="P816" s="96">
        <v>1499990</v>
      </c>
      <c r="Q816" s="152"/>
      <c r="R816" s="95">
        <v>1009990</v>
      </c>
      <c r="S816" s="95">
        <f>R816/24</f>
        <v>42082.916666666664</v>
      </c>
      <c r="T816" s="95">
        <v>899900</v>
      </c>
      <c r="U816" s="95">
        <f>T816/24</f>
        <v>37495.833333333336</v>
      </c>
      <c r="V816" s="95">
        <v>899900</v>
      </c>
      <c r="W816" s="95">
        <f>V816/24</f>
        <v>37495.833333333336</v>
      </c>
      <c r="X816" s="128"/>
      <c r="Y816" s="95">
        <v>299900</v>
      </c>
      <c r="Z816" s="95">
        <v>69000</v>
      </c>
      <c r="AA816" s="95">
        <f>IFERROR(IF(D816="Premium",0.4*Y816,0),"No Disp")</f>
        <v>119960</v>
      </c>
      <c r="AB816" s="95">
        <f>IFERROR(IF(4*Y816&gt;AC816,1.5*Y816,4*Y816),"No Disp")</f>
        <v>1199600</v>
      </c>
      <c r="AC816" s="95">
        <f>IF(Z816="No Disp","No Disp",(Z816*18)+Y816)</f>
        <v>1541900</v>
      </c>
      <c r="AD816" s="95">
        <f>18*Z816-100+Y816</f>
        <v>1541800</v>
      </c>
      <c r="AE816" s="95">
        <v>199900</v>
      </c>
      <c r="AF816" s="95">
        <v>66000</v>
      </c>
      <c r="AG816" s="95">
        <f>IF(AF816="No Disp","No Disp",(AF816*18)+AE816)</f>
        <v>1387900</v>
      </c>
      <c r="AH816" s="98">
        <f>18*AF816-100+AE816</f>
        <v>1387800</v>
      </c>
      <c r="AI816" s="95" t="s">
        <v>4613</v>
      </c>
      <c r="AJ816" s="99"/>
      <c r="AK816" s="100">
        <v>0</v>
      </c>
      <c r="AL816" s="100">
        <v>52000</v>
      </c>
      <c r="AM816" s="100">
        <f>IF(AL816&lt;&gt;"No Disp",AK816+12*AL816,"No Disp")</f>
        <v>624000</v>
      </c>
      <c r="AN816" s="100">
        <v>0</v>
      </c>
      <c r="AO816" s="100">
        <v>52000</v>
      </c>
      <c r="AP816" s="100">
        <f>IF(AO816&lt;&gt;"No Disp",AN816+12*AO816,"No Disp")</f>
        <v>624000</v>
      </c>
      <c r="AQ816" s="100">
        <v>0</v>
      </c>
      <c r="AR816" s="100">
        <v>52000</v>
      </c>
      <c r="AS816" s="100">
        <f>IF(AR816&lt;&gt;"No Disp",AQ816+12*AR816,"No Disp")</f>
        <v>624000</v>
      </c>
    </row>
    <row r="817" spans="1:45" s="101" customFormat="1" x14ac:dyDescent="0.25">
      <c r="A817" s="90" t="s">
        <v>38</v>
      </c>
      <c r="B817" s="90" t="s">
        <v>40</v>
      </c>
      <c r="C817" s="90" t="s">
        <v>39</v>
      </c>
      <c r="D817" s="90" t="s">
        <v>4539</v>
      </c>
      <c r="E817" s="90" t="s">
        <v>4538</v>
      </c>
      <c r="F817" s="91">
        <v>764</v>
      </c>
      <c r="G817" s="92">
        <v>70015351</v>
      </c>
      <c r="H817" s="91" t="s">
        <v>3896</v>
      </c>
      <c r="I817" s="93" t="s">
        <v>87</v>
      </c>
      <c r="J817" s="94" t="s">
        <v>4371</v>
      </c>
      <c r="K817" s="94" t="s">
        <v>4347</v>
      </c>
      <c r="L817" s="94" t="s">
        <v>4376</v>
      </c>
      <c r="M817" s="95">
        <v>189900</v>
      </c>
      <c r="N817" s="95">
        <v>2500</v>
      </c>
      <c r="O817" s="95">
        <v>4000</v>
      </c>
      <c r="P817" s="96">
        <v>229990</v>
      </c>
      <c r="Q817" s="152"/>
      <c r="R817" s="95">
        <v>209990</v>
      </c>
      <c r="S817" s="95">
        <f>R817/24</f>
        <v>8749.5833333333339</v>
      </c>
      <c r="T817" s="95">
        <v>189900</v>
      </c>
      <c r="U817" s="95">
        <f>T817/24</f>
        <v>7912.5</v>
      </c>
      <c r="V817" s="95">
        <v>189900</v>
      </c>
      <c r="W817" s="95">
        <f>V817/24</f>
        <v>7912.5</v>
      </c>
      <c r="X817" s="128"/>
      <c r="Y817" s="95">
        <v>19900</v>
      </c>
      <c r="Z817" s="95">
        <v>18000</v>
      </c>
      <c r="AA817" s="95">
        <f>IFERROR(IF(D817="Premium",0.4*Y817,0),"No Disp")</f>
        <v>0</v>
      </c>
      <c r="AB817" s="95">
        <f>IFERROR(IF(4*Y817&gt;AC817,1.5*Y817,4*Y817),"No Disp")</f>
        <v>79600</v>
      </c>
      <c r="AC817" s="95">
        <f>IF(Z817="No Disp","No Disp",(Z817*18)+Y817)</f>
        <v>343900</v>
      </c>
      <c r="AD817" s="95">
        <f>18*Z817-100+Y817</f>
        <v>343800</v>
      </c>
      <c r="AE817" s="95">
        <v>9900</v>
      </c>
      <c r="AF817" s="95">
        <v>16500</v>
      </c>
      <c r="AG817" s="95">
        <f>IF(AF817="No Disp","No Disp",(AF817*18)+AE817)</f>
        <v>306900</v>
      </c>
      <c r="AH817" s="98">
        <f>18*AF817-100+AE817</f>
        <v>306800</v>
      </c>
      <c r="AI817" s="95" t="s">
        <v>4613</v>
      </c>
      <c r="AJ817" s="99"/>
      <c r="AK817" s="100" t="s">
        <v>43</v>
      </c>
      <c r="AL817" s="100" t="s">
        <v>43</v>
      </c>
      <c r="AM817" s="100" t="str">
        <f>IF(AL817&lt;&gt;"No Disp",AK817+12*AL817,"No Disp")</f>
        <v>No Disp</v>
      </c>
      <c r="AN817" s="100" t="s">
        <v>43</v>
      </c>
      <c r="AO817" s="100" t="s">
        <v>43</v>
      </c>
      <c r="AP817" s="100" t="str">
        <f>IF(AO817&lt;&gt;"No Disp",AN817+12*AO817,"No Disp")</f>
        <v>No Disp</v>
      </c>
      <c r="AQ817" s="100" t="s">
        <v>43</v>
      </c>
      <c r="AR817" s="100" t="s">
        <v>43</v>
      </c>
      <c r="AS817" s="100" t="str">
        <f>IF(AR817&lt;&gt;"No Disp",AQ817+12*AR817,"No Disp")</f>
        <v>No Disp</v>
      </c>
    </row>
    <row r="818" spans="1:45" s="101" customFormat="1" x14ac:dyDescent="0.25">
      <c r="A818" s="90" t="s">
        <v>38</v>
      </c>
      <c r="B818" s="90" t="s">
        <v>39</v>
      </c>
      <c r="C818" s="90" t="s">
        <v>40</v>
      </c>
      <c r="D818" s="90" t="s">
        <v>4539</v>
      </c>
      <c r="E818" s="90" t="s">
        <v>4538</v>
      </c>
      <c r="F818" s="91"/>
      <c r="G818" s="92">
        <v>70015976</v>
      </c>
      <c r="H818" s="91" t="s">
        <v>3896</v>
      </c>
      <c r="I818" s="93" t="s">
        <v>87</v>
      </c>
      <c r="J818" s="94" t="s">
        <v>4546</v>
      </c>
      <c r="K818" s="94" t="s">
        <v>4558</v>
      </c>
      <c r="L818" s="94" t="s">
        <v>4577</v>
      </c>
      <c r="M818" s="95">
        <v>189900</v>
      </c>
      <c r="N818" s="95">
        <v>4000</v>
      </c>
      <c r="O818" s="95">
        <v>6000</v>
      </c>
      <c r="P818" s="96">
        <v>244990</v>
      </c>
      <c r="Q818" s="152"/>
      <c r="R818" s="95">
        <v>209990</v>
      </c>
      <c r="S818" s="95">
        <f>R818/24</f>
        <v>8749.5833333333339</v>
      </c>
      <c r="T818" s="95">
        <v>189900</v>
      </c>
      <c r="U818" s="95">
        <f>T818/24</f>
        <v>7912.5</v>
      </c>
      <c r="V818" s="95">
        <v>189900</v>
      </c>
      <c r="W818" s="95">
        <f>V818/24</f>
        <v>7912.5</v>
      </c>
      <c r="X818" s="128"/>
      <c r="Y818" s="95">
        <v>19900</v>
      </c>
      <c r="Z818" s="95">
        <v>18000</v>
      </c>
      <c r="AA818" s="95">
        <f>IFERROR(IF(D818="Premium",0.4*Y818,0),"No Disp")</f>
        <v>0</v>
      </c>
      <c r="AB818" s="95">
        <f>IFERROR(IF(4*Y818&gt;AC818,1.5*Y818,4*Y818),"No Disp")</f>
        <v>79600</v>
      </c>
      <c r="AC818" s="95">
        <f>IF(Z818="No Disp","No Disp",(Z818*18)+Y818)</f>
        <v>343900</v>
      </c>
      <c r="AD818" s="95">
        <f>18*Z818-100+Y818</f>
        <v>343800</v>
      </c>
      <c r="AE818" s="95">
        <v>9900</v>
      </c>
      <c r="AF818" s="95">
        <v>16500</v>
      </c>
      <c r="AG818" s="95">
        <f>IF(AF818="No Disp","No Disp",(AF818*18)+AE818)</f>
        <v>306900</v>
      </c>
      <c r="AH818" s="98">
        <f>18*AF818-100+AE818</f>
        <v>306800</v>
      </c>
      <c r="AI818" s="95" t="s">
        <v>4613</v>
      </c>
      <c r="AJ818" s="99"/>
      <c r="AK818" s="100" t="s">
        <v>43</v>
      </c>
      <c r="AL818" s="100" t="s">
        <v>43</v>
      </c>
      <c r="AM818" s="100" t="str">
        <f>IF(AL818&lt;&gt;"No Disp",AK818+12*AL818,"No Disp")</f>
        <v>No Disp</v>
      </c>
      <c r="AN818" s="100" t="s">
        <v>43</v>
      </c>
      <c r="AO818" s="100" t="s">
        <v>43</v>
      </c>
      <c r="AP818" s="100" t="str">
        <f>IF(AO818&lt;&gt;"No Disp",AN818+12*AO818,"No Disp")</f>
        <v>No Disp</v>
      </c>
      <c r="AQ818" s="100" t="s">
        <v>43</v>
      </c>
      <c r="AR818" s="100" t="s">
        <v>43</v>
      </c>
      <c r="AS818" s="100" t="str">
        <f>IF(AR818&lt;&gt;"No Disp",AQ818+12*AR818,"No Disp")</f>
        <v>No Disp</v>
      </c>
    </row>
    <row r="819" spans="1:45" s="101" customFormat="1" x14ac:dyDescent="0.25">
      <c r="A819" s="90" t="s">
        <v>38</v>
      </c>
      <c r="B819" s="90" t="s">
        <v>40</v>
      </c>
      <c r="C819" s="90" t="s">
        <v>39</v>
      </c>
      <c r="D819" s="90" t="s">
        <v>4541</v>
      </c>
      <c r="E819" s="90" t="s">
        <v>4538</v>
      </c>
      <c r="F819" s="91">
        <v>762</v>
      </c>
      <c r="G819" s="92">
        <v>70015323</v>
      </c>
      <c r="H819" s="91" t="s">
        <v>3896</v>
      </c>
      <c r="I819" s="93" t="s">
        <v>87</v>
      </c>
      <c r="J819" s="94" t="s">
        <v>4372</v>
      </c>
      <c r="K819" s="94" t="s">
        <v>4349</v>
      </c>
      <c r="L819" s="94" t="s">
        <v>4378</v>
      </c>
      <c r="M819" s="95">
        <v>119900</v>
      </c>
      <c r="N819" s="95">
        <v>2500</v>
      </c>
      <c r="O819" s="95">
        <v>4000</v>
      </c>
      <c r="P819" s="96">
        <v>229990</v>
      </c>
      <c r="Q819" s="152"/>
      <c r="R819" s="95">
        <v>129990</v>
      </c>
      <c r="S819" s="95">
        <f>R819/24</f>
        <v>5416.25</v>
      </c>
      <c r="T819" s="95">
        <v>119900</v>
      </c>
      <c r="U819" s="95">
        <f>T819/24</f>
        <v>4995.833333333333</v>
      </c>
      <c r="V819" s="95">
        <v>119900</v>
      </c>
      <c r="W819" s="95">
        <f>V819/24</f>
        <v>4995.833333333333</v>
      </c>
      <c r="X819" s="128"/>
      <c r="Y819" s="95">
        <v>19900</v>
      </c>
      <c r="Z819" s="95">
        <v>10500</v>
      </c>
      <c r="AA819" s="95">
        <f>IFERROR(IF(D819="Premium",0.4*Y819,0),"No Disp")</f>
        <v>0</v>
      </c>
      <c r="AB819" s="95">
        <f>IFERROR(IF(4*Y819&gt;AC819,1.5*Y819,4*Y819),"No Disp")</f>
        <v>79600</v>
      </c>
      <c r="AC819" s="95">
        <f>IF(Z819="No Disp","No Disp",(Z819*18)+Y819)</f>
        <v>208900</v>
      </c>
      <c r="AD819" s="95">
        <f>18*Z819-100+Y819</f>
        <v>208800</v>
      </c>
      <c r="AE819" s="95">
        <v>0</v>
      </c>
      <c r="AF819" s="95">
        <v>10500</v>
      </c>
      <c r="AG819" s="95">
        <f>IF(AF819="No Disp","No Disp",(AF819*18)+AE819)</f>
        <v>189000</v>
      </c>
      <c r="AH819" s="98">
        <f>18*AF819-100+AE819</f>
        <v>188900</v>
      </c>
      <c r="AI819" s="95" t="s">
        <v>4613</v>
      </c>
      <c r="AJ819" s="99"/>
      <c r="AK819" s="100" t="s">
        <v>43</v>
      </c>
      <c r="AL819" s="100" t="s">
        <v>43</v>
      </c>
      <c r="AM819" s="100" t="str">
        <f>IF(AL819&lt;&gt;"No Disp",AK819+12*AL819,"No Disp")</f>
        <v>No Disp</v>
      </c>
      <c r="AN819" s="100" t="s">
        <v>43</v>
      </c>
      <c r="AO819" s="100" t="s">
        <v>43</v>
      </c>
      <c r="AP819" s="100" t="str">
        <f>IF(AO819&lt;&gt;"No Disp",AN819+12*AO819,"No Disp")</f>
        <v>No Disp</v>
      </c>
      <c r="AQ819" s="100" t="s">
        <v>43</v>
      </c>
      <c r="AR819" s="100" t="s">
        <v>43</v>
      </c>
      <c r="AS819" s="100" t="str">
        <f>IF(AR819&lt;&gt;"No Disp",AQ819+12*AR819,"No Disp")</f>
        <v>No Disp</v>
      </c>
    </row>
    <row r="820" spans="1:45" s="101" customFormat="1" x14ac:dyDescent="0.25">
      <c r="A820" s="90" t="s">
        <v>38</v>
      </c>
      <c r="B820" s="90" t="s">
        <v>40</v>
      </c>
      <c r="C820" s="90" t="s">
        <v>39</v>
      </c>
      <c r="D820" s="90" t="s">
        <v>4541</v>
      </c>
      <c r="E820" s="90" t="s">
        <v>4538</v>
      </c>
      <c r="F820" s="91">
        <v>760</v>
      </c>
      <c r="G820" s="92">
        <v>70015327</v>
      </c>
      <c r="H820" s="91" t="s">
        <v>3896</v>
      </c>
      <c r="I820" s="93" t="s">
        <v>87</v>
      </c>
      <c r="J820" s="94" t="s">
        <v>4372</v>
      </c>
      <c r="K820" s="94" t="s">
        <v>4351</v>
      </c>
      <c r="L820" s="94" t="s">
        <v>4380</v>
      </c>
      <c r="M820" s="95">
        <v>119900</v>
      </c>
      <c r="N820" s="95">
        <v>2500</v>
      </c>
      <c r="O820" s="95">
        <v>4000</v>
      </c>
      <c r="P820" s="96">
        <v>229990</v>
      </c>
      <c r="Q820" s="152"/>
      <c r="R820" s="95">
        <v>129990</v>
      </c>
      <c r="S820" s="95">
        <f>R820/24</f>
        <v>5416.25</v>
      </c>
      <c r="T820" s="95">
        <v>119900</v>
      </c>
      <c r="U820" s="95">
        <f>T820/24</f>
        <v>4995.833333333333</v>
      </c>
      <c r="V820" s="95">
        <v>119900</v>
      </c>
      <c r="W820" s="95">
        <f>V820/24</f>
        <v>4995.833333333333</v>
      </c>
      <c r="X820" s="128"/>
      <c r="Y820" s="95">
        <v>19900</v>
      </c>
      <c r="Z820" s="95">
        <v>10500</v>
      </c>
      <c r="AA820" s="95">
        <f>IFERROR(IF(D820="Premium",0.4*Y820,0),"No Disp")</f>
        <v>0</v>
      </c>
      <c r="AB820" s="95">
        <f>IFERROR(IF(4*Y820&gt;AC820,1.5*Y820,4*Y820),"No Disp")</f>
        <v>79600</v>
      </c>
      <c r="AC820" s="95">
        <f>IF(Z820="No Disp","No Disp",(Z820*18)+Y820)</f>
        <v>208900</v>
      </c>
      <c r="AD820" s="95">
        <f>18*Z820-100+Y820</f>
        <v>208800</v>
      </c>
      <c r="AE820" s="95">
        <v>0</v>
      </c>
      <c r="AF820" s="95">
        <v>10500</v>
      </c>
      <c r="AG820" s="95">
        <f>IF(AF820="No Disp","No Disp",(AF820*18)+AE820)</f>
        <v>189000</v>
      </c>
      <c r="AH820" s="98">
        <f>18*AF820-100+AE820</f>
        <v>188900</v>
      </c>
      <c r="AI820" s="95" t="s">
        <v>4613</v>
      </c>
      <c r="AJ820" s="99"/>
      <c r="AK820" s="100" t="s">
        <v>43</v>
      </c>
      <c r="AL820" s="100" t="s">
        <v>43</v>
      </c>
      <c r="AM820" s="100" t="str">
        <f>IF(AL820&lt;&gt;"No Disp",AK820+12*AL820,"No Disp")</f>
        <v>No Disp</v>
      </c>
      <c r="AN820" s="100" t="s">
        <v>43</v>
      </c>
      <c r="AO820" s="100" t="s">
        <v>43</v>
      </c>
      <c r="AP820" s="100" t="str">
        <f>IF(AO820&lt;&gt;"No Disp",AN820+12*AO820,"No Disp")</f>
        <v>No Disp</v>
      </c>
      <c r="AQ820" s="100" t="s">
        <v>43</v>
      </c>
      <c r="AR820" s="100" t="s">
        <v>43</v>
      </c>
      <c r="AS820" s="100" t="str">
        <f>IF(AR820&lt;&gt;"No Disp",AQ820+12*AR820,"No Disp")</f>
        <v>No Disp</v>
      </c>
    </row>
    <row r="821" spans="1:45" s="101" customFormat="1" x14ac:dyDescent="0.25">
      <c r="A821" s="90" t="s">
        <v>38</v>
      </c>
      <c r="B821" s="90" t="s">
        <v>40</v>
      </c>
      <c r="C821" s="90" t="s">
        <v>39</v>
      </c>
      <c r="D821" s="90" t="s">
        <v>4541</v>
      </c>
      <c r="E821" s="90" t="s">
        <v>4538</v>
      </c>
      <c r="F821" s="91">
        <v>755</v>
      </c>
      <c r="G821" s="92">
        <v>70015341</v>
      </c>
      <c r="H821" s="91" t="s">
        <v>3896</v>
      </c>
      <c r="I821" s="93" t="s">
        <v>87</v>
      </c>
      <c r="J821" s="94" t="s">
        <v>4372</v>
      </c>
      <c r="K821" s="94" t="s">
        <v>4356</v>
      </c>
      <c r="L821" s="94" t="s">
        <v>4385</v>
      </c>
      <c r="M821" s="95">
        <v>119900</v>
      </c>
      <c r="N821" s="95">
        <v>2500</v>
      </c>
      <c r="O821" s="95">
        <v>4000</v>
      </c>
      <c r="P821" s="96">
        <v>229990</v>
      </c>
      <c r="Q821" s="152"/>
      <c r="R821" s="95">
        <v>129990</v>
      </c>
      <c r="S821" s="95">
        <f>R821/24</f>
        <v>5416.25</v>
      </c>
      <c r="T821" s="95">
        <v>119900</v>
      </c>
      <c r="U821" s="95">
        <f>T821/24</f>
        <v>4995.833333333333</v>
      </c>
      <c r="V821" s="95">
        <v>119900</v>
      </c>
      <c r="W821" s="95">
        <f>V821/24</f>
        <v>4995.833333333333</v>
      </c>
      <c r="X821" s="128"/>
      <c r="Y821" s="95">
        <v>19900</v>
      </c>
      <c r="Z821" s="95">
        <v>10500</v>
      </c>
      <c r="AA821" s="95">
        <f>IFERROR(IF(D821="Premium",0.4*Y821,0),"No Disp")</f>
        <v>0</v>
      </c>
      <c r="AB821" s="95">
        <f>IFERROR(IF(4*Y821&gt;AC821,1.5*Y821,4*Y821),"No Disp")</f>
        <v>79600</v>
      </c>
      <c r="AC821" s="95">
        <f>IF(Z821="No Disp","No Disp",(Z821*18)+Y821)</f>
        <v>208900</v>
      </c>
      <c r="AD821" s="95">
        <f>18*Z821-100+Y821</f>
        <v>208800</v>
      </c>
      <c r="AE821" s="95">
        <v>0</v>
      </c>
      <c r="AF821" s="95">
        <v>10500</v>
      </c>
      <c r="AG821" s="95">
        <f>IF(AF821="No Disp","No Disp",(AF821*18)+AE821)</f>
        <v>189000</v>
      </c>
      <c r="AH821" s="98">
        <f>18*AF821-100+AE821</f>
        <v>188900</v>
      </c>
      <c r="AI821" s="95" t="s">
        <v>4613</v>
      </c>
      <c r="AJ821" s="99"/>
      <c r="AK821" s="100" t="s">
        <v>43</v>
      </c>
      <c r="AL821" s="100" t="s">
        <v>43</v>
      </c>
      <c r="AM821" s="100" t="str">
        <f>IF(AL821&lt;&gt;"No Disp",AK821+12*AL821,"No Disp")</f>
        <v>No Disp</v>
      </c>
      <c r="AN821" s="100" t="s">
        <v>43</v>
      </c>
      <c r="AO821" s="100" t="s">
        <v>43</v>
      </c>
      <c r="AP821" s="100" t="str">
        <f>IF(AO821&lt;&gt;"No Disp",AN821+12*AO821,"No Disp")</f>
        <v>No Disp</v>
      </c>
      <c r="AQ821" s="100" t="s">
        <v>43</v>
      </c>
      <c r="AR821" s="100" t="s">
        <v>43</v>
      </c>
      <c r="AS821" s="100" t="str">
        <f>IF(AR821&lt;&gt;"No Disp",AQ821+12*AR821,"No Disp")</f>
        <v>No Disp</v>
      </c>
    </row>
    <row r="822" spans="1:45" s="101" customFormat="1" x14ac:dyDescent="0.25">
      <c r="A822" s="90" t="s">
        <v>38</v>
      </c>
      <c r="B822" s="90" t="s">
        <v>39</v>
      </c>
      <c r="C822" s="90" t="s">
        <v>40</v>
      </c>
      <c r="D822" s="90" t="s">
        <v>4541</v>
      </c>
      <c r="E822" s="90" t="s">
        <v>4538</v>
      </c>
      <c r="F822" s="91"/>
      <c r="G822" s="92">
        <v>70016082</v>
      </c>
      <c r="H822" s="91" t="s">
        <v>3896</v>
      </c>
      <c r="I822" s="93" t="s">
        <v>87</v>
      </c>
      <c r="J822" s="94" t="s">
        <v>4552</v>
      </c>
      <c r="K822" s="94" t="s">
        <v>4571</v>
      </c>
      <c r="L822" s="94" t="s">
        <v>4590</v>
      </c>
      <c r="M822" s="95">
        <v>138960</v>
      </c>
      <c r="N822" s="95">
        <v>4000</v>
      </c>
      <c r="O822" s="95">
        <v>6000</v>
      </c>
      <c r="P822" s="96">
        <v>299990</v>
      </c>
      <c r="Q822" s="152"/>
      <c r="R822" s="95">
        <v>148990</v>
      </c>
      <c r="S822" s="95">
        <f>R822/24</f>
        <v>6207.916666666667</v>
      </c>
      <c r="T822" s="95">
        <v>138960</v>
      </c>
      <c r="U822" s="95">
        <f>T822/24</f>
        <v>5790</v>
      </c>
      <c r="V822" s="95">
        <v>138960</v>
      </c>
      <c r="W822" s="95">
        <f>V822/24</f>
        <v>5790</v>
      </c>
      <c r="X822" s="128"/>
      <c r="Y822" s="95">
        <v>0</v>
      </c>
      <c r="Z822" s="95">
        <v>11000</v>
      </c>
      <c r="AA822" s="95">
        <f>IFERROR(IF(D822="Premium",0.4*Y822,0),"No Disp")</f>
        <v>0</v>
      </c>
      <c r="AB822" s="95">
        <f>IFERROR(IF(4*Y822&gt;AC822,1.5*Y822,4*Y822),"No Disp")</f>
        <v>0</v>
      </c>
      <c r="AC822" s="95">
        <f>IF(Z822="No Disp","No Disp",(Z822*18)+Y822)</f>
        <v>198000</v>
      </c>
      <c r="AD822" s="95">
        <f>18*Z822-100+Y822</f>
        <v>197900</v>
      </c>
      <c r="AE822" s="95">
        <v>0</v>
      </c>
      <c r="AF822" s="95">
        <v>11000</v>
      </c>
      <c r="AG822" s="95">
        <f>IF(AF822="No Disp","No Disp",(AF822*18)+AE822)</f>
        <v>198000</v>
      </c>
      <c r="AH822" s="98">
        <f>18*AF822-100+AE822</f>
        <v>197900</v>
      </c>
      <c r="AI822" s="95" t="s">
        <v>4613</v>
      </c>
      <c r="AJ822" s="99"/>
      <c r="AK822" s="100" t="s">
        <v>43</v>
      </c>
      <c r="AL822" s="100" t="s">
        <v>43</v>
      </c>
      <c r="AM822" s="100" t="str">
        <f>IF(AL822&lt;&gt;"No Disp",AK822+12*AL822,"No Disp")</f>
        <v>No Disp</v>
      </c>
      <c r="AN822" s="100" t="s">
        <v>43</v>
      </c>
      <c r="AO822" s="100" t="s">
        <v>43</v>
      </c>
      <c r="AP822" s="100" t="str">
        <f>IF(AO822&lt;&gt;"No Disp",AN822+12*AO822,"No Disp")</f>
        <v>No Disp</v>
      </c>
      <c r="AQ822" s="100" t="s">
        <v>43</v>
      </c>
      <c r="AR822" s="100" t="s">
        <v>43</v>
      </c>
      <c r="AS822" s="100" t="str">
        <f>IF(AR822&lt;&gt;"No Disp",AQ822+12*AR822,"No Disp")</f>
        <v>No Disp</v>
      </c>
    </row>
    <row r="823" spans="1:45" s="101" customFormat="1" x14ac:dyDescent="0.25">
      <c r="A823" s="90" t="s">
        <v>38</v>
      </c>
      <c r="B823" s="90" t="s">
        <v>39</v>
      </c>
      <c r="C823" s="90" t="s">
        <v>40</v>
      </c>
      <c r="D823" s="90" t="s">
        <v>4539</v>
      </c>
      <c r="E823" s="90" t="s">
        <v>4538</v>
      </c>
      <c r="F823" s="91"/>
      <c r="G823" s="92">
        <v>70016075</v>
      </c>
      <c r="H823" s="91" t="s">
        <v>3896</v>
      </c>
      <c r="I823" s="93" t="s">
        <v>87</v>
      </c>
      <c r="J823" s="94" t="s">
        <v>4547</v>
      </c>
      <c r="K823" s="94" t="s">
        <v>4559</v>
      </c>
      <c r="L823" s="94" t="s">
        <v>4578</v>
      </c>
      <c r="M823" s="95">
        <v>209900</v>
      </c>
      <c r="N823" s="95">
        <v>4000</v>
      </c>
      <c r="O823" s="95">
        <v>6000</v>
      </c>
      <c r="P823" s="96">
        <v>299990</v>
      </c>
      <c r="Q823" s="152"/>
      <c r="R823" s="95">
        <v>219990</v>
      </c>
      <c r="S823" s="95">
        <f>R823/24</f>
        <v>9166.25</v>
      </c>
      <c r="T823" s="95">
        <v>209900</v>
      </c>
      <c r="U823" s="95">
        <f>T823/24</f>
        <v>8745.8333333333339</v>
      </c>
      <c r="V823" s="95">
        <v>209900</v>
      </c>
      <c r="W823" s="95">
        <f>V823/24</f>
        <v>8745.8333333333339</v>
      </c>
      <c r="X823" s="128"/>
      <c r="Y823" s="95">
        <v>0</v>
      </c>
      <c r="Z823" s="95">
        <v>20500</v>
      </c>
      <c r="AA823" s="95">
        <f>IFERROR(IF(D823="Premium",0.4*Y823,0),"No Disp")</f>
        <v>0</v>
      </c>
      <c r="AB823" s="95">
        <f>IFERROR(IF(4*Y823&gt;AC823,1.5*Y823,4*Y823),"No Disp")</f>
        <v>0</v>
      </c>
      <c r="AC823" s="95">
        <f>IF(Z823="No Disp","No Disp",(Z823*18)+Y823)</f>
        <v>369000</v>
      </c>
      <c r="AD823" s="95">
        <f>18*Z823-100+Y823</f>
        <v>368900</v>
      </c>
      <c r="AE823" s="95">
        <v>0</v>
      </c>
      <c r="AF823" s="95">
        <v>20500</v>
      </c>
      <c r="AG823" s="95">
        <f>IF(AF823="No Disp","No Disp",(AF823*18)+AE823)</f>
        <v>369000</v>
      </c>
      <c r="AH823" s="98">
        <f>18*AF823-100+AE823</f>
        <v>368900</v>
      </c>
      <c r="AI823" s="95" t="s">
        <v>4613</v>
      </c>
      <c r="AJ823" s="99"/>
      <c r="AK823" s="100" t="s">
        <v>43</v>
      </c>
      <c r="AL823" s="100" t="s">
        <v>43</v>
      </c>
      <c r="AM823" s="100" t="str">
        <f>IF(AL823&lt;&gt;"No Disp",AK823+12*AL823,"No Disp")</f>
        <v>No Disp</v>
      </c>
      <c r="AN823" s="100" t="s">
        <v>43</v>
      </c>
      <c r="AO823" s="100" t="s">
        <v>43</v>
      </c>
      <c r="AP823" s="100" t="str">
        <f>IF(AO823&lt;&gt;"No Disp",AN823+12*AO823,"No Disp")</f>
        <v>No Disp</v>
      </c>
      <c r="AQ823" s="100" t="s">
        <v>43</v>
      </c>
      <c r="AR823" s="100" t="s">
        <v>43</v>
      </c>
      <c r="AS823" s="100" t="str">
        <f>IF(AR823&lt;&gt;"No Disp",AQ823+12*AR823,"No Disp")</f>
        <v>No Disp</v>
      </c>
    </row>
    <row r="824" spans="1:45" s="101" customFormat="1" x14ac:dyDescent="0.25">
      <c r="A824" s="90" t="s">
        <v>38</v>
      </c>
      <c r="B824" s="90" t="s">
        <v>39</v>
      </c>
      <c r="C824" s="90" t="s">
        <v>40</v>
      </c>
      <c r="D824" s="90" t="s">
        <v>4539</v>
      </c>
      <c r="E824" s="90" t="s">
        <v>4538</v>
      </c>
      <c r="F824" s="91"/>
      <c r="G824" s="92">
        <v>70016076</v>
      </c>
      <c r="H824" s="91" t="s">
        <v>3896</v>
      </c>
      <c r="I824" s="93" t="s">
        <v>87</v>
      </c>
      <c r="J824" s="94" t="s">
        <v>4547</v>
      </c>
      <c r="K824" s="94" t="s">
        <v>4560</v>
      </c>
      <c r="L824" s="94" t="s">
        <v>4579</v>
      </c>
      <c r="M824" s="95">
        <v>209900</v>
      </c>
      <c r="N824" s="95">
        <v>4000</v>
      </c>
      <c r="O824" s="95">
        <v>6000</v>
      </c>
      <c r="P824" s="96">
        <v>299990</v>
      </c>
      <c r="Q824" s="152"/>
      <c r="R824" s="95">
        <v>219990</v>
      </c>
      <c r="S824" s="95">
        <f>R824/24</f>
        <v>9166.25</v>
      </c>
      <c r="T824" s="95">
        <v>209900</v>
      </c>
      <c r="U824" s="95">
        <f>T824/24</f>
        <v>8745.8333333333339</v>
      </c>
      <c r="V824" s="95">
        <v>209900</v>
      </c>
      <c r="W824" s="95">
        <f>V824/24</f>
        <v>8745.8333333333339</v>
      </c>
      <c r="X824" s="128"/>
      <c r="Y824" s="95">
        <v>0</v>
      </c>
      <c r="Z824" s="95">
        <v>20500</v>
      </c>
      <c r="AA824" s="95">
        <f>IFERROR(IF(D824="Premium",0.4*Y824,0),"No Disp")</f>
        <v>0</v>
      </c>
      <c r="AB824" s="95">
        <f>IFERROR(IF(4*Y824&gt;AC824,1.5*Y824,4*Y824),"No Disp")</f>
        <v>0</v>
      </c>
      <c r="AC824" s="95">
        <f>IF(Z824="No Disp","No Disp",(Z824*18)+Y824)</f>
        <v>369000</v>
      </c>
      <c r="AD824" s="95">
        <f>18*Z824-100+Y824</f>
        <v>368900</v>
      </c>
      <c r="AE824" s="95">
        <v>0</v>
      </c>
      <c r="AF824" s="95">
        <v>20500</v>
      </c>
      <c r="AG824" s="95">
        <f>IF(AF824="No Disp","No Disp",(AF824*18)+AE824)</f>
        <v>369000</v>
      </c>
      <c r="AH824" s="98">
        <f>18*AF824-100+AE824</f>
        <v>368900</v>
      </c>
      <c r="AI824" s="95" t="s">
        <v>4613</v>
      </c>
      <c r="AJ824" s="99"/>
      <c r="AK824" s="100" t="s">
        <v>43</v>
      </c>
      <c r="AL824" s="100" t="s">
        <v>43</v>
      </c>
      <c r="AM824" s="100" t="str">
        <f>IF(AL824&lt;&gt;"No Disp",AK824+12*AL824,"No Disp")</f>
        <v>No Disp</v>
      </c>
      <c r="AN824" s="100" t="s">
        <v>43</v>
      </c>
      <c r="AO824" s="100" t="s">
        <v>43</v>
      </c>
      <c r="AP824" s="100" t="str">
        <f>IF(AO824&lt;&gt;"No Disp",AN824+12*AO824,"No Disp")</f>
        <v>No Disp</v>
      </c>
      <c r="AQ824" s="100" t="s">
        <v>43</v>
      </c>
      <c r="AR824" s="100" t="s">
        <v>43</v>
      </c>
      <c r="AS824" s="100" t="str">
        <f>IF(AR824&lt;&gt;"No Disp",AQ824+12*AR824,"No Disp")</f>
        <v>No Disp</v>
      </c>
    </row>
    <row r="825" spans="1:45" s="101" customFormat="1" x14ac:dyDescent="0.25">
      <c r="A825" s="90" t="s">
        <v>38</v>
      </c>
      <c r="B825" s="90" t="s">
        <v>39</v>
      </c>
      <c r="C825" s="90" t="s">
        <v>40</v>
      </c>
      <c r="D825" s="90" t="s">
        <v>4537</v>
      </c>
      <c r="E825" s="90" t="s">
        <v>4538</v>
      </c>
      <c r="F825" s="91"/>
      <c r="G825" s="92">
        <v>70016059</v>
      </c>
      <c r="H825" s="91" t="s">
        <v>3896</v>
      </c>
      <c r="I825" s="93" t="s">
        <v>87</v>
      </c>
      <c r="J825" s="94" t="s">
        <v>4549</v>
      </c>
      <c r="K825" s="94" t="s">
        <v>4565</v>
      </c>
      <c r="L825" s="94" t="s">
        <v>4584</v>
      </c>
      <c r="M825" s="95">
        <v>287760</v>
      </c>
      <c r="N825" s="95">
        <v>4000</v>
      </c>
      <c r="O825" s="95">
        <v>6000</v>
      </c>
      <c r="P825" s="96">
        <v>299990</v>
      </c>
      <c r="Q825" s="152"/>
      <c r="R825" s="95">
        <v>317990</v>
      </c>
      <c r="S825" s="95">
        <f>R825/24</f>
        <v>13249.583333333334</v>
      </c>
      <c r="T825" s="95">
        <v>287760</v>
      </c>
      <c r="U825" s="95">
        <f>T825/24</f>
        <v>11990</v>
      </c>
      <c r="V825" s="95">
        <v>287760</v>
      </c>
      <c r="W825" s="95">
        <f>V825/24</f>
        <v>11990</v>
      </c>
      <c r="X825" s="128"/>
      <c r="Y825" s="95">
        <v>19900</v>
      </c>
      <c r="Z825" s="95">
        <v>25000</v>
      </c>
      <c r="AA825" s="95">
        <f>IFERROR(IF(D825="Premium",0.4*Y825,0),"No Disp")</f>
        <v>0</v>
      </c>
      <c r="AB825" s="95">
        <f>IFERROR(IF(4*Y825&gt;AC825,1.5*Y825,4*Y825),"No Disp")</f>
        <v>79600</v>
      </c>
      <c r="AC825" s="95">
        <f>IF(Z825="No Disp","No Disp",(Z825*18)+Y825)</f>
        <v>469900</v>
      </c>
      <c r="AD825" s="95">
        <f>18*Z825-100+Y825</f>
        <v>469800</v>
      </c>
      <c r="AE825" s="95">
        <v>19900</v>
      </c>
      <c r="AF825" s="95">
        <v>25000</v>
      </c>
      <c r="AG825" s="95">
        <f>IF(AF825="No Disp","No Disp",(AF825*18)+AE825)</f>
        <v>469900</v>
      </c>
      <c r="AH825" s="98">
        <f>18*AF825-100+AE825</f>
        <v>469800</v>
      </c>
      <c r="AI825" s="95" t="s">
        <v>4613</v>
      </c>
      <c r="AJ825" s="99"/>
      <c r="AK825" s="100" t="s">
        <v>43</v>
      </c>
      <c r="AL825" s="100" t="s">
        <v>43</v>
      </c>
      <c r="AM825" s="100" t="str">
        <f>IF(AL825&lt;&gt;"No Disp",AK825+12*AL825,"No Disp")</f>
        <v>No Disp</v>
      </c>
      <c r="AN825" s="100" t="s">
        <v>43</v>
      </c>
      <c r="AO825" s="100" t="s">
        <v>43</v>
      </c>
      <c r="AP825" s="100" t="str">
        <f>IF(AO825&lt;&gt;"No Disp",AN825+12*AO825,"No Disp")</f>
        <v>No Disp</v>
      </c>
      <c r="AQ825" s="100" t="s">
        <v>43</v>
      </c>
      <c r="AR825" s="100" t="s">
        <v>43</v>
      </c>
      <c r="AS825" s="100" t="str">
        <f>IF(AR825&lt;&gt;"No Disp",AQ825+12*AR825,"No Disp")</f>
        <v>No Disp</v>
      </c>
    </row>
    <row r="826" spans="1:45" s="101" customFormat="1" x14ac:dyDescent="0.25">
      <c r="A826" s="90" t="s">
        <v>38</v>
      </c>
      <c r="B826" s="90" t="s">
        <v>39</v>
      </c>
      <c r="C826" s="90" t="s">
        <v>40</v>
      </c>
      <c r="D826" s="90" t="s">
        <v>4537</v>
      </c>
      <c r="E826" s="90" t="s">
        <v>4538</v>
      </c>
      <c r="F826" s="91"/>
      <c r="G826" s="92">
        <v>70016057</v>
      </c>
      <c r="H826" s="91" t="s">
        <v>3896</v>
      </c>
      <c r="I826" s="93" t="s">
        <v>87</v>
      </c>
      <c r="J826" s="94" t="s">
        <v>4549</v>
      </c>
      <c r="K826" s="94" t="s">
        <v>4566</v>
      </c>
      <c r="L826" s="94" t="s">
        <v>4585</v>
      </c>
      <c r="M826" s="95">
        <v>287760</v>
      </c>
      <c r="N826" s="95">
        <v>4000</v>
      </c>
      <c r="O826" s="95">
        <v>6000</v>
      </c>
      <c r="P826" s="96">
        <v>299990</v>
      </c>
      <c r="Q826" s="152"/>
      <c r="R826" s="95">
        <v>317990</v>
      </c>
      <c r="S826" s="95">
        <f>R826/24</f>
        <v>13249.583333333334</v>
      </c>
      <c r="T826" s="95">
        <v>287760</v>
      </c>
      <c r="U826" s="95">
        <f>T826/24</f>
        <v>11990</v>
      </c>
      <c r="V826" s="95">
        <v>287760</v>
      </c>
      <c r="W826" s="95">
        <f>V826/24</f>
        <v>11990</v>
      </c>
      <c r="X826" s="128"/>
      <c r="Y826" s="95">
        <v>19900</v>
      </c>
      <c r="Z826" s="95">
        <v>25000</v>
      </c>
      <c r="AA826" s="95">
        <f>IFERROR(IF(D826="Premium",0.4*Y826,0),"No Disp")</f>
        <v>0</v>
      </c>
      <c r="AB826" s="95">
        <f>IFERROR(IF(4*Y826&gt;AC826,1.5*Y826,4*Y826),"No Disp")</f>
        <v>79600</v>
      </c>
      <c r="AC826" s="95">
        <f>IF(Z826="No Disp","No Disp",(Z826*18)+Y826)</f>
        <v>469900</v>
      </c>
      <c r="AD826" s="95">
        <f>18*Z826-100+Y826</f>
        <v>469800</v>
      </c>
      <c r="AE826" s="95">
        <v>19900</v>
      </c>
      <c r="AF826" s="95">
        <v>25000</v>
      </c>
      <c r="AG826" s="95">
        <f>IF(AF826="No Disp","No Disp",(AF826*18)+AE826)</f>
        <v>469900</v>
      </c>
      <c r="AH826" s="98">
        <f>18*AF826-100+AE826</f>
        <v>469800</v>
      </c>
      <c r="AI826" s="95" t="s">
        <v>4613</v>
      </c>
      <c r="AJ826" s="99"/>
      <c r="AK826" s="100" t="s">
        <v>43</v>
      </c>
      <c r="AL826" s="100" t="s">
        <v>43</v>
      </c>
      <c r="AM826" s="100" t="str">
        <f>IF(AL826&lt;&gt;"No Disp",AK826+12*AL826,"No Disp")</f>
        <v>No Disp</v>
      </c>
      <c r="AN826" s="100" t="s">
        <v>43</v>
      </c>
      <c r="AO826" s="100" t="s">
        <v>43</v>
      </c>
      <c r="AP826" s="100" t="str">
        <f>IF(AO826&lt;&gt;"No Disp",AN826+12*AO826,"No Disp")</f>
        <v>No Disp</v>
      </c>
      <c r="AQ826" s="100" t="s">
        <v>43</v>
      </c>
      <c r="AR826" s="100" t="s">
        <v>43</v>
      </c>
      <c r="AS826" s="100" t="str">
        <f>IF(AR826&lt;&gt;"No Disp",AQ826+12*AR826,"No Disp")</f>
        <v>No Disp</v>
      </c>
    </row>
    <row r="827" spans="1:45" s="101" customFormat="1" x14ac:dyDescent="0.25">
      <c r="A827" s="90" t="s">
        <v>38</v>
      </c>
      <c r="B827" s="90" t="s">
        <v>39</v>
      </c>
      <c r="C827" s="90" t="s">
        <v>40</v>
      </c>
      <c r="D827" s="90" t="s">
        <v>4537</v>
      </c>
      <c r="E827" s="90" t="s">
        <v>4538</v>
      </c>
      <c r="F827" s="91">
        <v>540</v>
      </c>
      <c r="G827" s="92">
        <v>70013452</v>
      </c>
      <c r="H827" s="91" t="s">
        <v>3896</v>
      </c>
      <c r="I827" s="93" t="s">
        <v>87</v>
      </c>
      <c r="J827" s="94" t="s">
        <v>3898</v>
      </c>
      <c r="K827" s="94" t="s">
        <v>169</v>
      </c>
      <c r="L827" s="94" t="s">
        <v>170</v>
      </c>
      <c r="M827" s="95">
        <v>399900</v>
      </c>
      <c r="N827" s="95">
        <v>6000</v>
      </c>
      <c r="O827" s="95">
        <v>8500</v>
      </c>
      <c r="P827" s="96">
        <v>479990</v>
      </c>
      <c r="Q827" s="152"/>
      <c r="R827" s="95">
        <v>449990</v>
      </c>
      <c r="S827" s="95">
        <f>R827/24</f>
        <v>18749.583333333332</v>
      </c>
      <c r="T827" s="95">
        <v>399900</v>
      </c>
      <c r="U827" s="95">
        <f>T827/24</f>
        <v>16662.5</v>
      </c>
      <c r="V827" s="95">
        <v>399900</v>
      </c>
      <c r="W827" s="95">
        <f>V827/24</f>
        <v>16662.5</v>
      </c>
      <c r="X827" s="128"/>
      <c r="Y827" s="95">
        <v>29900</v>
      </c>
      <c r="Z827" s="95">
        <v>38000</v>
      </c>
      <c r="AA827" s="95">
        <f>IFERROR(IF(D827="Premium",0.4*Y827,0),"No Disp")</f>
        <v>0</v>
      </c>
      <c r="AB827" s="95">
        <f>IFERROR(IF(4*Y827&gt;AC827,1.5*Y827,4*Y827),"No Disp")</f>
        <v>119600</v>
      </c>
      <c r="AC827" s="95">
        <f>IF(Z827="No Disp","No Disp",(Z827*18)+Y827)</f>
        <v>713900</v>
      </c>
      <c r="AD827" s="95">
        <f>18*Z827-100+Y827</f>
        <v>713800</v>
      </c>
      <c r="AE827" s="95">
        <v>29900</v>
      </c>
      <c r="AF827" s="95">
        <v>33000</v>
      </c>
      <c r="AG827" s="95">
        <f>IF(AF827="No Disp","No Disp",(AF827*18)+AE827)</f>
        <v>623900</v>
      </c>
      <c r="AH827" s="98">
        <f>18*AF827-100+AE827</f>
        <v>623800</v>
      </c>
      <c r="AI827" s="95" t="s">
        <v>4613</v>
      </c>
      <c r="AJ827" s="99"/>
      <c r="AK827" s="100" t="s">
        <v>43</v>
      </c>
      <c r="AL827" s="100" t="s">
        <v>43</v>
      </c>
      <c r="AM827" s="100" t="str">
        <f>IF(AL827&lt;&gt;"No Disp",AK827+12*AL827,"No Disp")</f>
        <v>No Disp</v>
      </c>
      <c r="AN827" s="100" t="s">
        <v>43</v>
      </c>
      <c r="AO827" s="100" t="s">
        <v>43</v>
      </c>
      <c r="AP827" s="100" t="str">
        <f>IF(AO827&lt;&gt;"No Disp",AN827+12*AO827,"No Disp")</f>
        <v>No Disp</v>
      </c>
      <c r="AQ827" s="100" t="s">
        <v>43</v>
      </c>
      <c r="AR827" s="100" t="s">
        <v>43</v>
      </c>
      <c r="AS827" s="100" t="str">
        <f>IF(AR827&lt;&gt;"No Disp",AQ827+12*AR827,"No Disp")</f>
        <v>No Disp</v>
      </c>
    </row>
    <row r="828" spans="1:45" s="101" customFormat="1" x14ac:dyDescent="0.25">
      <c r="A828" s="90" t="s">
        <v>38</v>
      </c>
      <c r="B828" s="90" t="s">
        <v>39</v>
      </c>
      <c r="C828" s="90" t="s">
        <v>40</v>
      </c>
      <c r="D828" s="90" t="s">
        <v>4540</v>
      </c>
      <c r="E828" s="90" t="s">
        <v>4538</v>
      </c>
      <c r="F828" s="91"/>
      <c r="G828" s="92">
        <v>70016021</v>
      </c>
      <c r="H828" s="91" t="s">
        <v>3896</v>
      </c>
      <c r="I828" s="93" t="s">
        <v>46</v>
      </c>
      <c r="J828" s="94" t="s">
        <v>4550</v>
      </c>
      <c r="K828" s="94" t="s">
        <v>4567</v>
      </c>
      <c r="L828" s="94" t="s">
        <v>4586</v>
      </c>
      <c r="M828" s="95">
        <v>549900</v>
      </c>
      <c r="N828" s="95">
        <v>4000</v>
      </c>
      <c r="O828" s="95">
        <v>6000</v>
      </c>
      <c r="P828" s="96">
        <v>299990</v>
      </c>
      <c r="Q828" s="152"/>
      <c r="R828" s="95">
        <v>609990</v>
      </c>
      <c r="S828" s="95">
        <f>R828/24</f>
        <v>25416.25</v>
      </c>
      <c r="T828" s="95">
        <v>549900</v>
      </c>
      <c r="U828" s="95">
        <f>T828/24</f>
        <v>22912.5</v>
      </c>
      <c r="V828" s="95">
        <v>549900</v>
      </c>
      <c r="W828" s="95">
        <f>V828/24</f>
        <v>22912.5</v>
      </c>
      <c r="X828" s="128"/>
      <c r="Y828" s="95">
        <v>39900</v>
      </c>
      <c r="Z828" s="95">
        <v>43000</v>
      </c>
      <c r="AA828" s="95">
        <f>IFERROR(IF(D828="Premium",0.4*Y828,0),"No Disp")</f>
        <v>15960</v>
      </c>
      <c r="AB828" s="95">
        <f>IFERROR(IF(4*Y828&gt;AC828,1.5*Y828,4*Y828),"No Disp")</f>
        <v>159600</v>
      </c>
      <c r="AC828" s="95">
        <f>IF(Z828="No Disp","No Disp",(Z828*18)+Y828)</f>
        <v>813900</v>
      </c>
      <c r="AD828" s="95">
        <f>18*Z828-100+Y828</f>
        <v>813800</v>
      </c>
      <c r="AE828" s="95">
        <v>39900</v>
      </c>
      <c r="AF828" s="95">
        <v>43000</v>
      </c>
      <c r="AG828" s="95">
        <f>IF(AF828="No Disp","No Disp",(AF828*18)+AE828)</f>
        <v>813900</v>
      </c>
      <c r="AH828" s="98">
        <f>18*AF828-100+AE828</f>
        <v>813800</v>
      </c>
      <c r="AI828" s="95" t="s">
        <v>4613</v>
      </c>
      <c r="AJ828" s="99"/>
      <c r="AK828" s="100" t="s">
        <v>43</v>
      </c>
      <c r="AL828" s="100" t="s">
        <v>43</v>
      </c>
      <c r="AM828" s="100" t="str">
        <f>IF(AL828&lt;&gt;"No Disp",AK828+12*AL828,"No Disp")</f>
        <v>No Disp</v>
      </c>
      <c r="AN828" s="100" t="s">
        <v>43</v>
      </c>
      <c r="AO828" s="100" t="s">
        <v>43</v>
      </c>
      <c r="AP828" s="100" t="str">
        <f>IF(AO828&lt;&gt;"No Disp",AN828+12*AO828,"No Disp")</f>
        <v>No Disp</v>
      </c>
      <c r="AQ828" s="100" t="s">
        <v>43</v>
      </c>
      <c r="AR828" s="100" t="s">
        <v>43</v>
      </c>
      <c r="AS828" s="100" t="str">
        <f>IF(AR828&lt;&gt;"No Disp",AQ828+12*AR828,"No Disp")</f>
        <v>No Disp</v>
      </c>
    </row>
    <row r="829" spans="1:45" s="101" customFormat="1" x14ac:dyDescent="0.25">
      <c r="A829" s="90" t="s">
        <v>38</v>
      </c>
      <c r="B829" s="90" t="s">
        <v>39</v>
      </c>
      <c r="C829" s="90" t="s">
        <v>40</v>
      </c>
      <c r="D829" s="90" t="s">
        <v>4539</v>
      </c>
      <c r="E829" s="90" t="s">
        <v>4538</v>
      </c>
      <c r="F829" s="91"/>
      <c r="G829" s="92">
        <v>70016007</v>
      </c>
      <c r="H829" s="91" t="s">
        <v>3896</v>
      </c>
      <c r="I829" s="93" t="s">
        <v>171</v>
      </c>
      <c r="J829" s="94" t="s">
        <v>4604</v>
      </c>
      <c r="K829" s="94" t="s">
        <v>4568</v>
      </c>
      <c r="L829" s="94" t="s">
        <v>4587</v>
      </c>
      <c r="M829" s="95">
        <v>359900</v>
      </c>
      <c r="N829" s="95">
        <v>4000</v>
      </c>
      <c r="O829" s="95">
        <v>6000</v>
      </c>
      <c r="P829" s="96">
        <v>419990</v>
      </c>
      <c r="Q829" s="152"/>
      <c r="R829" s="95">
        <v>399990</v>
      </c>
      <c r="S829" s="95">
        <f>R829/24</f>
        <v>16666.25</v>
      </c>
      <c r="T829" s="95">
        <v>359900</v>
      </c>
      <c r="U829" s="95">
        <f>T829/24</f>
        <v>14995.833333333334</v>
      </c>
      <c r="V829" s="95">
        <v>359900</v>
      </c>
      <c r="W829" s="95">
        <f>V829/24</f>
        <v>14995.833333333334</v>
      </c>
      <c r="X829" s="128"/>
      <c r="Y829" s="95">
        <v>39900</v>
      </c>
      <c r="Z829" s="95">
        <v>33000</v>
      </c>
      <c r="AA829" s="95">
        <f>IFERROR(IF(D829="Premium",0.4*Y829,0),"No Disp")</f>
        <v>0</v>
      </c>
      <c r="AB829" s="95">
        <f>IFERROR(IF(4*Y829&gt;AC829,1.5*Y829,4*Y829),"No Disp")</f>
        <v>159600</v>
      </c>
      <c r="AC829" s="95">
        <f>IF(Z829="No Disp","No Disp",(Z829*18)+Y829)</f>
        <v>633900</v>
      </c>
      <c r="AD829" s="95">
        <f>18*Z829-100+Y829</f>
        <v>633800</v>
      </c>
      <c r="AE829" s="95">
        <v>19900</v>
      </c>
      <c r="AF829" s="95">
        <v>29500</v>
      </c>
      <c r="AG829" s="95">
        <f>IF(AF829="No Disp","No Disp",(AF829*18)+AE829)</f>
        <v>550900</v>
      </c>
      <c r="AH829" s="98">
        <f>18*AF829-100+AE829</f>
        <v>550800</v>
      </c>
      <c r="AI829" s="95" t="s">
        <v>4613</v>
      </c>
      <c r="AJ829" s="99"/>
      <c r="AK829" s="100" t="s">
        <v>43</v>
      </c>
      <c r="AL829" s="100" t="s">
        <v>43</v>
      </c>
      <c r="AM829" s="100" t="str">
        <f>IF(AL829&lt;&gt;"No Disp",AK829+12*AL829,"No Disp")</f>
        <v>No Disp</v>
      </c>
      <c r="AN829" s="100" t="s">
        <v>43</v>
      </c>
      <c r="AO829" s="100" t="s">
        <v>43</v>
      </c>
      <c r="AP829" s="100" t="str">
        <f>IF(AO829&lt;&gt;"No Disp",AN829+12*AO829,"No Disp")</f>
        <v>No Disp</v>
      </c>
      <c r="AQ829" s="100" t="s">
        <v>43</v>
      </c>
      <c r="AR829" s="100" t="s">
        <v>43</v>
      </c>
      <c r="AS829" s="100" t="str">
        <f>IF(AR829&lt;&gt;"No Disp",AQ829+12*AR829,"No Disp")</f>
        <v>No Disp</v>
      </c>
    </row>
    <row r="830" spans="1:45" s="101" customFormat="1" x14ac:dyDescent="0.25">
      <c r="A830" s="90" t="s">
        <v>38</v>
      </c>
      <c r="B830" s="90" t="s">
        <v>39</v>
      </c>
      <c r="C830" s="90" t="s">
        <v>40</v>
      </c>
      <c r="D830" s="90" t="s">
        <v>4539</v>
      </c>
      <c r="E830" s="90" t="s">
        <v>4538</v>
      </c>
      <c r="F830" s="91"/>
      <c r="G830" s="92">
        <v>70016041</v>
      </c>
      <c r="H830" s="91" t="s">
        <v>3896</v>
      </c>
      <c r="I830" s="93" t="s">
        <v>171</v>
      </c>
      <c r="J830" s="94" t="s">
        <v>4604</v>
      </c>
      <c r="K830" s="94" t="s">
        <v>4569</v>
      </c>
      <c r="L830" s="94" t="s">
        <v>4588</v>
      </c>
      <c r="M830" s="95">
        <v>359900</v>
      </c>
      <c r="N830" s="95">
        <v>4000</v>
      </c>
      <c r="O830" s="95">
        <v>6000</v>
      </c>
      <c r="P830" s="96">
        <v>419990</v>
      </c>
      <c r="Q830" s="152"/>
      <c r="R830" s="95">
        <v>399990</v>
      </c>
      <c r="S830" s="95">
        <f>R830/24</f>
        <v>16666.25</v>
      </c>
      <c r="T830" s="95">
        <v>359900</v>
      </c>
      <c r="U830" s="95">
        <f>T830/24</f>
        <v>14995.833333333334</v>
      </c>
      <c r="V830" s="95">
        <v>359900</v>
      </c>
      <c r="W830" s="95">
        <f>V830/24</f>
        <v>14995.833333333334</v>
      </c>
      <c r="X830" s="128"/>
      <c r="Y830" s="95">
        <v>39900</v>
      </c>
      <c r="Z830" s="95">
        <v>33000</v>
      </c>
      <c r="AA830" s="95">
        <f>IFERROR(IF(D830="Premium",0.4*Y830,0),"No Disp")</f>
        <v>0</v>
      </c>
      <c r="AB830" s="95">
        <f>IFERROR(IF(4*Y830&gt;AC830,1.5*Y830,4*Y830),"No Disp")</f>
        <v>159600</v>
      </c>
      <c r="AC830" s="95">
        <f>IF(Z830="No Disp","No Disp",(Z830*18)+Y830)</f>
        <v>633900</v>
      </c>
      <c r="AD830" s="95">
        <f>18*Z830-100+Y830</f>
        <v>633800</v>
      </c>
      <c r="AE830" s="95">
        <v>19900</v>
      </c>
      <c r="AF830" s="95">
        <v>29500</v>
      </c>
      <c r="AG830" s="95">
        <f>IF(AF830="No Disp","No Disp",(AF830*18)+AE830)</f>
        <v>550900</v>
      </c>
      <c r="AH830" s="98">
        <f>18*AF830-100+AE830</f>
        <v>550800</v>
      </c>
      <c r="AI830" s="95" t="s">
        <v>4613</v>
      </c>
      <c r="AJ830" s="99"/>
      <c r="AK830" s="100" t="s">
        <v>43</v>
      </c>
      <c r="AL830" s="100" t="s">
        <v>43</v>
      </c>
      <c r="AM830" s="100" t="str">
        <f>IF(AL830&lt;&gt;"No Disp",AK830+12*AL830,"No Disp")</f>
        <v>No Disp</v>
      </c>
      <c r="AN830" s="100" t="s">
        <v>43</v>
      </c>
      <c r="AO830" s="100" t="s">
        <v>43</v>
      </c>
      <c r="AP830" s="100" t="str">
        <f>IF(AO830&lt;&gt;"No Disp",AN830+12*AO830,"No Disp")</f>
        <v>No Disp</v>
      </c>
      <c r="AQ830" s="100" t="s">
        <v>43</v>
      </c>
      <c r="AR830" s="100" t="s">
        <v>43</v>
      </c>
      <c r="AS830" s="100" t="str">
        <f>IF(AR830&lt;&gt;"No Disp",AQ830+12*AR830,"No Disp")</f>
        <v>No Disp</v>
      </c>
    </row>
    <row r="831" spans="1:45" s="101" customFormat="1" x14ac:dyDescent="0.25">
      <c r="A831" s="90" t="s">
        <v>38</v>
      </c>
      <c r="B831" s="90" t="s">
        <v>40</v>
      </c>
      <c r="C831" s="90" t="s">
        <v>39</v>
      </c>
      <c r="D831" s="90" t="s">
        <v>4541</v>
      </c>
      <c r="E831" s="90" t="s">
        <v>4538</v>
      </c>
      <c r="F831" s="91">
        <v>143</v>
      </c>
      <c r="G831" s="92">
        <v>70015237</v>
      </c>
      <c r="H831" s="91" t="s">
        <v>3896</v>
      </c>
      <c r="I831" s="93" t="s">
        <v>41</v>
      </c>
      <c r="J831" s="94" t="s">
        <v>4257</v>
      </c>
      <c r="K831" s="94" t="s">
        <v>4288</v>
      </c>
      <c r="L831" s="94" t="s">
        <v>4287</v>
      </c>
      <c r="M831" s="95">
        <v>99900</v>
      </c>
      <c r="N831" s="95">
        <v>2500</v>
      </c>
      <c r="O831" s="95">
        <v>4000</v>
      </c>
      <c r="P831" s="96">
        <v>119990</v>
      </c>
      <c r="Q831" s="152"/>
      <c r="R831" s="95">
        <v>109990</v>
      </c>
      <c r="S831" s="95">
        <f>R831/24</f>
        <v>4582.916666666667</v>
      </c>
      <c r="T831" s="95">
        <v>99900</v>
      </c>
      <c r="U831" s="95">
        <f>T831/24</f>
        <v>4162.5</v>
      </c>
      <c r="V831" s="95">
        <v>99900</v>
      </c>
      <c r="W831" s="95">
        <f>V831/24</f>
        <v>4162.5</v>
      </c>
      <c r="X831" s="128"/>
      <c r="Y831" s="95">
        <v>0</v>
      </c>
      <c r="Z831" s="95">
        <v>10000</v>
      </c>
      <c r="AA831" s="95">
        <f>IFERROR(IF(D831="Premium",0.4*Y831,0),"No Disp")</f>
        <v>0</v>
      </c>
      <c r="AB831" s="95">
        <f>IFERROR(IF(4*Y831&gt;AC831,1.5*Y831,4*Y831),"No Disp")</f>
        <v>0</v>
      </c>
      <c r="AC831" s="95">
        <f>IF(Z831="No Disp","No Disp",(Z831*18)+Y831)</f>
        <v>180000</v>
      </c>
      <c r="AD831" s="95">
        <f>18*Z831-100+Y831</f>
        <v>179900</v>
      </c>
      <c r="AE831" s="95">
        <v>0</v>
      </c>
      <c r="AF831" s="95">
        <v>8500</v>
      </c>
      <c r="AG831" s="95">
        <f>IF(AF831="No Disp","No Disp",(AF831*18)+AE831)</f>
        <v>153000</v>
      </c>
      <c r="AH831" s="98">
        <f>18*AF831-100+AE831</f>
        <v>152900</v>
      </c>
      <c r="AI831" s="95" t="s">
        <v>4613</v>
      </c>
      <c r="AJ831" s="99"/>
      <c r="AK831" s="100" t="s">
        <v>43</v>
      </c>
      <c r="AL831" s="100" t="s">
        <v>43</v>
      </c>
      <c r="AM831" s="100" t="str">
        <f>IF(AL831&lt;&gt;"No Disp",AK831+12*AL831,"No Disp")</f>
        <v>No Disp</v>
      </c>
      <c r="AN831" s="100" t="s">
        <v>43</v>
      </c>
      <c r="AO831" s="100" t="s">
        <v>43</v>
      </c>
      <c r="AP831" s="100" t="str">
        <f>IF(AO831&lt;&gt;"No Disp",AN831+12*AO831,"No Disp")</f>
        <v>No Disp</v>
      </c>
      <c r="AQ831" s="100" t="s">
        <v>43</v>
      </c>
      <c r="AR831" s="100" t="s">
        <v>43</v>
      </c>
      <c r="AS831" s="100" t="str">
        <f>IF(AR831&lt;&gt;"No Disp",AQ831+12*AR831,"No Disp")</f>
        <v>No Disp</v>
      </c>
    </row>
    <row r="832" spans="1:45" s="101" customFormat="1" x14ac:dyDescent="0.25">
      <c r="A832" s="90" t="s">
        <v>38</v>
      </c>
      <c r="B832" s="90" t="s">
        <v>40</v>
      </c>
      <c r="C832" s="90" t="s">
        <v>39</v>
      </c>
      <c r="D832" s="90" t="s">
        <v>4539</v>
      </c>
      <c r="E832" s="90" t="s">
        <v>4538</v>
      </c>
      <c r="F832" s="91"/>
      <c r="G832" s="92">
        <v>70015982</v>
      </c>
      <c r="H832" s="91" t="s">
        <v>4370</v>
      </c>
      <c r="I832" s="93" t="s">
        <v>87</v>
      </c>
      <c r="J832" s="94" t="s">
        <v>128</v>
      </c>
      <c r="K832" s="94" t="s">
        <v>4679</v>
      </c>
      <c r="L832" s="94" t="s">
        <v>4647</v>
      </c>
      <c r="M832" s="95">
        <v>335900</v>
      </c>
      <c r="N832" s="95">
        <v>6000</v>
      </c>
      <c r="O832" s="95">
        <v>8500</v>
      </c>
      <c r="P832" s="96">
        <v>399990</v>
      </c>
      <c r="Q832" s="152"/>
      <c r="R832" s="95">
        <v>335900</v>
      </c>
      <c r="S832" s="95">
        <v>13620.833333333334</v>
      </c>
      <c r="T832" s="95">
        <v>335900</v>
      </c>
      <c r="U832" s="95">
        <v>13620.833333333334</v>
      </c>
      <c r="V832" s="95">
        <v>335900</v>
      </c>
      <c r="W832" s="95">
        <v>13620.833333333334</v>
      </c>
      <c r="X832" s="128"/>
      <c r="Y832" s="95">
        <v>0</v>
      </c>
      <c r="Z832" s="95">
        <v>17000</v>
      </c>
      <c r="AA832" s="95">
        <f>IFERROR(IF(D832="Premium",0.4*Y832,0),"No Disp")</f>
        <v>0</v>
      </c>
      <c r="AB832" s="95">
        <f>IFERROR(IF(4*Y832&gt;AC832,1.5*Y832,4*Y832),"No Disp")</f>
        <v>0</v>
      </c>
      <c r="AC832" s="95">
        <f>IF(Z832="No Disp","No Disp",(Z832*18)+Y832)</f>
        <v>306000</v>
      </c>
      <c r="AD832" s="95">
        <f>IF($H832="EMP",18*Z832-100,18*Z832-100+Y832)</f>
        <v>305900</v>
      </c>
      <c r="AE832" s="95">
        <v>77900</v>
      </c>
      <c r="AF832" s="95">
        <v>18000</v>
      </c>
      <c r="AG832" s="95">
        <f>IF(AF832="No Disp","No Disp",(AF832*18)+AE832)</f>
        <v>401900</v>
      </c>
      <c r="AH832" s="98">
        <f>IF($H832="EMP",18*AF832-100,18*AF832-100+AE832)</f>
        <v>323900</v>
      </c>
      <c r="AI832" s="95">
        <v>22000</v>
      </c>
      <c r="AJ832" s="99"/>
      <c r="AK832" s="100" t="s">
        <v>43</v>
      </c>
      <c r="AL832" s="100" t="s">
        <v>43</v>
      </c>
      <c r="AM832" s="100" t="s">
        <v>43</v>
      </c>
      <c r="AN832" s="100" t="s">
        <v>43</v>
      </c>
      <c r="AO832" s="100" t="s">
        <v>43</v>
      </c>
      <c r="AP832" s="100" t="s">
        <v>43</v>
      </c>
      <c r="AQ832" s="100" t="s">
        <v>43</v>
      </c>
      <c r="AR832" s="100" t="s">
        <v>43</v>
      </c>
      <c r="AS832" s="100" t="s">
        <v>43</v>
      </c>
    </row>
    <row r="833" spans="1:45" s="101" customFormat="1" x14ac:dyDescent="0.25">
      <c r="A833" s="90" t="s">
        <v>38</v>
      </c>
      <c r="B833" s="90" t="s">
        <v>40</v>
      </c>
      <c r="C833" s="90" t="s">
        <v>39</v>
      </c>
      <c r="D833" s="90" t="s">
        <v>4540</v>
      </c>
      <c r="E833" s="90" t="s">
        <v>4538</v>
      </c>
      <c r="F833" s="91"/>
      <c r="G833" s="92">
        <v>70013961</v>
      </c>
      <c r="H833" s="91" t="s">
        <v>4370</v>
      </c>
      <c r="I833" s="93" t="s">
        <v>63</v>
      </c>
      <c r="J833" s="94" t="s">
        <v>559</v>
      </c>
      <c r="K833" s="94" t="s">
        <v>2983</v>
      </c>
      <c r="L833" s="94" t="s">
        <v>2990</v>
      </c>
      <c r="M833" s="95">
        <v>743900</v>
      </c>
      <c r="N833" s="95">
        <v>7000</v>
      </c>
      <c r="O833" s="95">
        <v>10000</v>
      </c>
      <c r="P833" s="96">
        <v>1054990</v>
      </c>
      <c r="Q833" s="152"/>
      <c r="R833" s="95">
        <v>743900</v>
      </c>
      <c r="S833" s="95">
        <v>33662.5</v>
      </c>
      <c r="T833" s="95">
        <v>743900</v>
      </c>
      <c r="U833" s="95">
        <v>33662.5</v>
      </c>
      <c r="V833" s="95">
        <v>743900</v>
      </c>
      <c r="W833" s="95">
        <v>33662.5</v>
      </c>
      <c r="X833" s="128"/>
      <c r="Y833" s="95">
        <v>213900</v>
      </c>
      <c r="Z833" s="95">
        <v>36000</v>
      </c>
      <c r="AA833" s="95">
        <f>IFERROR(IF(D833="Premium",0.4*Y833,0),"No Disp")</f>
        <v>85560</v>
      </c>
      <c r="AB833" s="95">
        <f>IFERROR(IF(4*Y833&gt;AC833,1.5*Y833,4*Y833),"No Disp")</f>
        <v>855600</v>
      </c>
      <c r="AC833" s="95">
        <f>IF(Z833="No Disp","No Disp",(Z833*18)+Y833)</f>
        <v>861900</v>
      </c>
      <c r="AD833" s="95">
        <f>IF($H833="EMP",18*Z833-100,18*Z833-100+Y833)</f>
        <v>647900</v>
      </c>
      <c r="AE833" s="95">
        <v>213900</v>
      </c>
      <c r="AF833" s="95">
        <v>36000</v>
      </c>
      <c r="AG833" s="95">
        <f>IF(AF833="No Disp","No Disp",(AF833*18)+AE833)</f>
        <v>861900</v>
      </c>
      <c r="AH833" s="98">
        <f>IF($H833="EMP",18*AF833-100,18*AF833-100+AE833)</f>
        <v>647900</v>
      </c>
      <c r="AI833" s="95">
        <v>47000</v>
      </c>
      <c r="AJ833" s="99"/>
      <c r="AK833" s="100" t="s">
        <v>43</v>
      </c>
      <c r="AL833" s="100" t="s">
        <v>43</v>
      </c>
      <c r="AM833" s="100" t="s">
        <v>43</v>
      </c>
      <c r="AN833" s="100" t="s">
        <v>43</v>
      </c>
      <c r="AO833" s="100" t="s">
        <v>43</v>
      </c>
      <c r="AP833" s="100" t="s">
        <v>43</v>
      </c>
      <c r="AQ833" s="100" t="s">
        <v>43</v>
      </c>
      <c r="AR833" s="100" t="s">
        <v>43</v>
      </c>
      <c r="AS833" s="100" t="s">
        <v>43</v>
      </c>
    </row>
    <row r="834" spans="1:45" s="101" customFormat="1" x14ac:dyDescent="0.25">
      <c r="A834" s="90" t="s">
        <v>38</v>
      </c>
      <c r="B834" s="90" t="s">
        <v>40</v>
      </c>
      <c r="C834" s="90" t="s">
        <v>39</v>
      </c>
      <c r="D834" s="90" t="s">
        <v>4539</v>
      </c>
      <c r="E834" s="90" t="s">
        <v>4538</v>
      </c>
      <c r="F834" s="91"/>
      <c r="G834" s="92">
        <v>70015364</v>
      </c>
      <c r="H834" s="91" t="s">
        <v>4370</v>
      </c>
      <c r="I834" s="93" t="s">
        <v>112</v>
      </c>
      <c r="J834" s="94" t="s">
        <v>4320</v>
      </c>
      <c r="K834" s="94" t="s">
        <v>4517</v>
      </c>
      <c r="L834" s="94" t="s">
        <v>4337</v>
      </c>
      <c r="M834" s="95">
        <v>230900</v>
      </c>
      <c r="N834" s="95">
        <v>4000</v>
      </c>
      <c r="O834" s="95">
        <v>6000</v>
      </c>
      <c r="P834" s="96">
        <v>299990</v>
      </c>
      <c r="Q834" s="152"/>
      <c r="R834" s="95">
        <v>230900</v>
      </c>
      <c r="S834" s="95">
        <v>12499.583333333334</v>
      </c>
      <c r="T834" s="95">
        <v>230900</v>
      </c>
      <c r="U834" s="95">
        <v>11245.833333333334</v>
      </c>
      <c r="V834" s="95">
        <v>230900</v>
      </c>
      <c r="W834" s="95">
        <v>11245.833333333334</v>
      </c>
      <c r="X834" s="128"/>
      <c r="Y834" s="95">
        <v>39900</v>
      </c>
      <c r="Z834" s="95">
        <v>13000</v>
      </c>
      <c r="AA834" s="95">
        <f>IFERROR(IF(D834="Premium",0.4*Y834,0),"No Disp")</f>
        <v>0</v>
      </c>
      <c r="AB834" s="95">
        <f>IFERROR(IF(4*Y834&gt;AC834,1.5*Y834,4*Y834),"No Disp")</f>
        <v>159600</v>
      </c>
      <c r="AC834" s="95">
        <f>IF(Z834="No Disp","No Disp",(Z834*18)+Y834)</f>
        <v>273900</v>
      </c>
      <c r="AD834" s="95">
        <f>IF($H834="EMP",18*Z834-100,18*Z834-100+Y834)</f>
        <v>233900</v>
      </c>
      <c r="AE834" s="95">
        <v>39900</v>
      </c>
      <c r="AF834" s="95">
        <v>13000</v>
      </c>
      <c r="AG834" s="95">
        <f>IF(AF834="No Disp","No Disp",(AF834*18)+AE834)</f>
        <v>273900</v>
      </c>
      <c r="AH834" s="98">
        <f>IF($H834="EMP",18*AF834-100,18*AF834-100+AE834)</f>
        <v>233900</v>
      </c>
      <c r="AI834" s="95">
        <v>15000</v>
      </c>
      <c r="AJ834" s="99"/>
      <c r="AK834" s="100" t="s">
        <v>43</v>
      </c>
      <c r="AL834" s="100" t="s">
        <v>43</v>
      </c>
      <c r="AM834" s="100" t="s">
        <v>43</v>
      </c>
      <c r="AN834" s="100" t="s">
        <v>43</v>
      </c>
      <c r="AO834" s="100" t="s">
        <v>43</v>
      </c>
      <c r="AP834" s="100" t="s">
        <v>43</v>
      </c>
      <c r="AQ834" s="100" t="s">
        <v>43</v>
      </c>
      <c r="AR834" s="100" t="s">
        <v>43</v>
      </c>
      <c r="AS834" s="100" t="s">
        <v>43</v>
      </c>
    </row>
    <row r="835" spans="1:45" s="101" customFormat="1" x14ac:dyDescent="0.25">
      <c r="A835" s="90" t="s">
        <v>38</v>
      </c>
      <c r="B835" s="90" t="s">
        <v>40</v>
      </c>
      <c r="C835" s="90" t="s">
        <v>39</v>
      </c>
      <c r="D835" s="90" t="s">
        <v>4539</v>
      </c>
      <c r="E835" s="90" t="s">
        <v>4538</v>
      </c>
      <c r="F835" s="91"/>
      <c r="G835" s="92">
        <v>70015368</v>
      </c>
      <c r="H835" s="91" t="s">
        <v>4370</v>
      </c>
      <c r="I835" s="93" t="s">
        <v>112</v>
      </c>
      <c r="J835" s="94" t="s">
        <v>4320</v>
      </c>
      <c r="K835" s="94" t="s">
        <v>4518</v>
      </c>
      <c r="L835" s="94" t="s">
        <v>4339</v>
      </c>
      <c r="M835" s="95">
        <v>230900</v>
      </c>
      <c r="N835" s="95">
        <v>4000</v>
      </c>
      <c r="O835" s="95">
        <v>6000</v>
      </c>
      <c r="P835" s="96">
        <v>299990</v>
      </c>
      <c r="Q835" s="152"/>
      <c r="R835" s="95">
        <v>230900</v>
      </c>
      <c r="S835" s="95">
        <v>12499.583333333334</v>
      </c>
      <c r="T835" s="95">
        <v>230900</v>
      </c>
      <c r="U835" s="95">
        <v>11245.833333333334</v>
      </c>
      <c r="V835" s="95">
        <v>230900</v>
      </c>
      <c r="W835" s="95">
        <v>11245.833333333334</v>
      </c>
      <c r="X835" s="128"/>
      <c r="Y835" s="95">
        <v>39900</v>
      </c>
      <c r="Z835" s="95">
        <v>13000</v>
      </c>
      <c r="AA835" s="95">
        <f>IFERROR(IF(D835="Premium",0.4*Y835,0),"No Disp")</f>
        <v>0</v>
      </c>
      <c r="AB835" s="95">
        <f>IFERROR(IF(4*Y835&gt;AC835,1.5*Y835,4*Y835),"No Disp")</f>
        <v>159600</v>
      </c>
      <c r="AC835" s="95">
        <f>IF(Z835="No Disp","No Disp",(Z835*18)+Y835)</f>
        <v>273900</v>
      </c>
      <c r="AD835" s="95">
        <f>IF($H835="EMP",18*Z835-100,18*Z835-100+Y835)</f>
        <v>233900</v>
      </c>
      <c r="AE835" s="95">
        <v>39900</v>
      </c>
      <c r="AF835" s="95">
        <v>13000</v>
      </c>
      <c r="AG835" s="95">
        <f>IF(AF835="No Disp","No Disp",(AF835*18)+AE835)</f>
        <v>273900</v>
      </c>
      <c r="AH835" s="98">
        <f>IF($H835="EMP",18*AF835-100,18*AF835-100+AE835)</f>
        <v>233900</v>
      </c>
      <c r="AI835" s="95">
        <v>15000</v>
      </c>
      <c r="AJ835" s="99"/>
      <c r="AK835" s="100" t="s">
        <v>43</v>
      </c>
      <c r="AL835" s="100" t="s">
        <v>43</v>
      </c>
      <c r="AM835" s="100" t="s">
        <v>43</v>
      </c>
      <c r="AN835" s="100" t="s">
        <v>43</v>
      </c>
      <c r="AO835" s="100" t="s">
        <v>43</v>
      </c>
      <c r="AP835" s="100" t="s">
        <v>43</v>
      </c>
      <c r="AQ835" s="100" t="s">
        <v>43</v>
      </c>
      <c r="AR835" s="100" t="s">
        <v>43</v>
      </c>
      <c r="AS835" s="100" t="s">
        <v>43</v>
      </c>
    </row>
    <row r="836" spans="1:45" s="101" customFormat="1" x14ac:dyDescent="0.25">
      <c r="A836" s="90" t="s">
        <v>38</v>
      </c>
      <c r="B836" s="90" t="s">
        <v>39</v>
      </c>
      <c r="C836" s="90" t="s">
        <v>39</v>
      </c>
      <c r="D836" s="90" t="s">
        <v>4539</v>
      </c>
      <c r="E836" s="90" t="s">
        <v>4538</v>
      </c>
      <c r="F836" s="91"/>
      <c r="G836" s="92">
        <v>70014092</v>
      </c>
      <c r="H836" s="91" t="s">
        <v>4370</v>
      </c>
      <c r="I836" s="93" t="s">
        <v>112</v>
      </c>
      <c r="J836" s="94" t="s">
        <v>3292</v>
      </c>
      <c r="K836" s="94" t="s">
        <v>3439</v>
      </c>
      <c r="L836" s="94" t="s">
        <v>3451</v>
      </c>
      <c r="M836" s="95">
        <v>240900</v>
      </c>
      <c r="N836" s="95">
        <v>9500</v>
      </c>
      <c r="O836" s="95">
        <v>13500</v>
      </c>
      <c r="P836" s="96">
        <v>449990</v>
      </c>
      <c r="Q836" s="152"/>
      <c r="R836" s="95">
        <v>240900</v>
      </c>
      <c r="S836" s="95">
        <v>11454.166666666666</v>
      </c>
      <c r="T836" s="95">
        <v>240900</v>
      </c>
      <c r="U836" s="95">
        <v>11454.166666666666</v>
      </c>
      <c r="V836" s="95">
        <v>240900</v>
      </c>
      <c r="W836" s="95">
        <v>11454.166666666666</v>
      </c>
      <c r="X836" s="128"/>
      <c r="Y836" s="95">
        <v>41900</v>
      </c>
      <c r="Z836" s="95">
        <v>14000</v>
      </c>
      <c r="AA836" s="95">
        <f>IFERROR(IF(D836="Premium",0.4*Y836,0),"No Disp")</f>
        <v>0</v>
      </c>
      <c r="AB836" s="95">
        <f>IFERROR(IF(4*Y836&gt;AC836,1.5*Y836,4*Y836),"No Disp")</f>
        <v>167600</v>
      </c>
      <c r="AC836" s="95">
        <f>IF(Z836="No Disp","No Disp",(Z836*18)+Y836)</f>
        <v>293900</v>
      </c>
      <c r="AD836" s="95">
        <f>IF($H836="EMP",18*Z836-100,18*Z836-100+Y836)</f>
        <v>251900</v>
      </c>
      <c r="AE836" s="95">
        <v>41900</v>
      </c>
      <c r="AF836" s="95">
        <v>14000</v>
      </c>
      <c r="AG836" s="95">
        <f>IF(AF836="No Disp","No Disp",(AF836*18)+AE836)</f>
        <v>293900</v>
      </c>
      <c r="AH836" s="98">
        <f>IF($H836="EMP",18*AF836-100,18*AF836-100+AE836)</f>
        <v>251900</v>
      </c>
      <c r="AI836" s="95">
        <v>16000</v>
      </c>
      <c r="AJ836" s="99"/>
      <c r="AK836" s="100" t="s">
        <v>43</v>
      </c>
      <c r="AL836" s="100" t="s">
        <v>43</v>
      </c>
      <c r="AM836" s="100" t="s">
        <v>43</v>
      </c>
      <c r="AN836" s="100" t="s">
        <v>43</v>
      </c>
      <c r="AO836" s="100" t="s">
        <v>43</v>
      </c>
      <c r="AP836" s="100" t="s">
        <v>43</v>
      </c>
      <c r="AQ836" s="100" t="s">
        <v>43</v>
      </c>
      <c r="AR836" s="100" t="s">
        <v>43</v>
      </c>
      <c r="AS836" s="100" t="s">
        <v>43</v>
      </c>
    </row>
    <row r="837" spans="1:45" s="101" customFormat="1" x14ac:dyDescent="0.25">
      <c r="A837" s="90" t="s">
        <v>38</v>
      </c>
      <c r="B837" s="90" t="s">
        <v>39</v>
      </c>
      <c r="C837" s="90" t="s">
        <v>39</v>
      </c>
      <c r="D837" s="90" t="s">
        <v>4539</v>
      </c>
      <c r="E837" s="90" t="s">
        <v>4538</v>
      </c>
      <c r="F837" s="91"/>
      <c r="G837" s="92">
        <v>70014410</v>
      </c>
      <c r="H837" s="91" t="s">
        <v>4370</v>
      </c>
      <c r="I837" s="93" t="s">
        <v>112</v>
      </c>
      <c r="J837" s="94" t="s">
        <v>3292</v>
      </c>
      <c r="K837" s="94" t="s">
        <v>3440</v>
      </c>
      <c r="L837" s="94" t="s">
        <v>3452</v>
      </c>
      <c r="M837" s="95">
        <v>240900</v>
      </c>
      <c r="N837" s="95">
        <v>9500</v>
      </c>
      <c r="O837" s="95">
        <v>13500</v>
      </c>
      <c r="P837" s="96">
        <v>449990</v>
      </c>
      <c r="Q837" s="152"/>
      <c r="R837" s="95">
        <v>240900</v>
      </c>
      <c r="S837" s="95">
        <v>11454.166666666666</v>
      </c>
      <c r="T837" s="95">
        <v>240900</v>
      </c>
      <c r="U837" s="95">
        <v>11454.166666666666</v>
      </c>
      <c r="V837" s="95">
        <v>240900</v>
      </c>
      <c r="W837" s="95">
        <v>11454.166666666666</v>
      </c>
      <c r="X837" s="128"/>
      <c r="Y837" s="95">
        <v>41900</v>
      </c>
      <c r="Z837" s="95">
        <v>14000</v>
      </c>
      <c r="AA837" s="95">
        <f>IFERROR(IF(D837="Premium",0.4*Y837,0),"No Disp")</f>
        <v>0</v>
      </c>
      <c r="AB837" s="95">
        <f>IFERROR(IF(4*Y837&gt;AC837,1.5*Y837,4*Y837),"No Disp")</f>
        <v>167600</v>
      </c>
      <c r="AC837" s="95">
        <f>IF(Z837="No Disp","No Disp",(Z837*18)+Y837)</f>
        <v>293900</v>
      </c>
      <c r="AD837" s="95">
        <f>IF($H837="EMP",18*Z837-100,18*Z837-100+Y837)</f>
        <v>251900</v>
      </c>
      <c r="AE837" s="95">
        <v>41900</v>
      </c>
      <c r="AF837" s="95">
        <v>14000</v>
      </c>
      <c r="AG837" s="95">
        <f>IF(AF837="No Disp","No Disp",(AF837*18)+AE837)</f>
        <v>293900</v>
      </c>
      <c r="AH837" s="98">
        <f>IF($H837="EMP",18*AF837-100,18*AF837-100+AE837)</f>
        <v>251900</v>
      </c>
      <c r="AI837" s="95">
        <v>16000</v>
      </c>
      <c r="AJ837" s="99"/>
      <c r="AK837" s="100" t="s">
        <v>43</v>
      </c>
      <c r="AL837" s="100" t="s">
        <v>43</v>
      </c>
      <c r="AM837" s="100" t="s">
        <v>43</v>
      </c>
      <c r="AN837" s="100" t="s">
        <v>43</v>
      </c>
      <c r="AO837" s="100" t="s">
        <v>43</v>
      </c>
      <c r="AP837" s="100" t="s">
        <v>43</v>
      </c>
      <c r="AQ837" s="100" t="s">
        <v>43</v>
      </c>
      <c r="AR837" s="100" t="s">
        <v>43</v>
      </c>
      <c r="AS837" s="100" t="s">
        <v>43</v>
      </c>
    </row>
    <row r="838" spans="1:45" s="101" customFormat="1" x14ac:dyDescent="0.25">
      <c r="A838" s="90" t="s">
        <v>38</v>
      </c>
      <c r="B838" s="90" t="s">
        <v>39</v>
      </c>
      <c r="C838" s="90" t="s">
        <v>39</v>
      </c>
      <c r="D838" s="90" t="s">
        <v>4539</v>
      </c>
      <c r="E838" s="90" t="s">
        <v>4538</v>
      </c>
      <c r="F838" s="91"/>
      <c r="G838" s="92">
        <v>70014093</v>
      </c>
      <c r="H838" s="91" t="s">
        <v>4370</v>
      </c>
      <c r="I838" s="93" t="s">
        <v>112</v>
      </c>
      <c r="J838" s="94" t="s">
        <v>3292</v>
      </c>
      <c r="K838" s="94" t="s">
        <v>3441</v>
      </c>
      <c r="L838" s="94" t="s">
        <v>3453</v>
      </c>
      <c r="M838" s="95">
        <v>240900</v>
      </c>
      <c r="N838" s="95">
        <v>9500</v>
      </c>
      <c r="O838" s="95">
        <v>13500</v>
      </c>
      <c r="P838" s="96">
        <v>449990</v>
      </c>
      <c r="Q838" s="152"/>
      <c r="R838" s="95">
        <v>240900</v>
      </c>
      <c r="S838" s="95">
        <v>11454.166666666666</v>
      </c>
      <c r="T838" s="95">
        <v>240900</v>
      </c>
      <c r="U838" s="95">
        <v>11454.166666666666</v>
      </c>
      <c r="V838" s="95">
        <v>240900</v>
      </c>
      <c r="W838" s="95">
        <v>11454.166666666666</v>
      </c>
      <c r="X838" s="128"/>
      <c r="Y838" s="95">
        <v>41900</v>
      </c>
      <c r="Z838" s="95">
        <v>14000</v>
      </c>
      <c r="AA838" s="95">
        <f>IFERROR(IF(D838="Premium",0.4*Y838,0),"No Disp")</f>
        <v>0</v>
      </c>
      <c r="AB838" s="95">
        <f>IFERROR(IF(4*Y838&gt;AC838,1.5*Y838,4*Y838),"No Disp")</f>
        <v>167600</v>
      </c>
      <c r="AC838" s="95">
        <f>IF(Z838="No Disp","No Disp",(Z838*18)+Y838)</f>
        <v>293900</v>
      </c>
      <c r="AD838" s="95">
        <f>IF($H838="EMP",18*Z838-100,18*Z838-100+Y838)</f>
        <v>251900</v>
      </c>
      <c r="AE838" s="95">
        <v>41900</v>
      </c>
      <c r="AF838" s="95">
        <v>14000</v>
      </c>
      <c r="AG838" s="95">
        <f>IF(AF838="No Disp","No Disp",(AF838*18)+AE838)</f>
        <v>293900</v>
      </c>
      <c r="AH838" s="98">
        <f>IF($H838="EMP",18*AF838-100,18*AF838-100+AE838)</f>
        <v>251900</v>
      </c>
      <c r="AI838" s="95">
        <v>16000</v>
      </c>
      <c r="AJ838" s="99"/>
      <c r="AK838" s="100" t="s">
        <v>43</v>
      </c>
      <c r="AL838" s="100" t="s">
        <v>43</v>
      </c>
      <c r="AM838" s="100" t="s">
        <v>43</v>
      </c>
      <c r="AN838" s="100" t="s">
        <v>43</v>
      </c>
      <c r="AO838" s="100" t="s">
        <v>43</v>
      </c>
      <c r="AP838" s="100" t="s">
        <v>43</v>
      </c>
      <c r="AQ838" s="100" t="s">
        <v>43</v>
      </c>
      <c r="AR838" s="100" t="s">
        <v>43</v>
      </c>
      <c r="AS838" s="100" t="s">
        <v>43</v>
      </c>
    </row>
    <row r="839" spans="1:45" s="101" customFormat="1" x14ac:dyDescent="0.25">
      <c r="A839" s="90" t="s">
        <v>38</v>
      </c>
      <c r="B839" s="90" t="s">
        <v>39</v>
      </c>
      <c r="C839" s="90" t="s">
        <v>39</v>
      </c>
      <c r="D839" s="90" t="s">
        <v>4539</v>
      </c>
      <c r="E839" s="90" t="s">
        <v>4538</v>
      </c>
      <c r="F839" s="91"/>
      <c r="G839" s="92">
        <v>70014415</v>
      </c>
      <c r="H839" s="91" t="s">
        <v>4370</v>
      </c>
      <c r="I839" s="93" t="s">
        <v>112</v>
      </c>
      <c r="J839" s="94" t="s">
        <v>3292</v>
      </c>
      <c r="K839" s="94" t="s">
        <v>3442</v>
      </c>
      <c r="L839" s="94" t="s">
        <v>3454</v>
      </c>
      <c r="M839" s="95">
        <v>240900</v>
      </c>
      <c r="N839" s="95">
        <v>9500</v>
      </c>
      <c r="O839" s="95">
        <v>13500</v>
      </c>
      <c r="P839" s="96">
        <v>449990</v>
      </c>
      <c r="Q839" s="152"/>
      <c r="R839" s="95">
        <v>240900</v>
      </c>
      <c r="S839" s="95">
        <v>11454.166666666666</v>
      </c>
      <c r="T839" s="95">
        <v>240900</v>
      </c>
      <c r="U839" s="95">
        <v>11454.166666666666</v>
      </c>
      <c r="V839" s="95">
        <v>240900</v>
      </c>
      <c r="W839" s="95">
        <v>11454.166666666666</v>
      </c>
      <c r="X839" s="128"/>
      <c r="Y839" s="95">
        <v>41900</v>
      </c>
      <c r="Z839" s="95">
        <v>14000</v>
      </c>
      <c r="AA839" s="95">
        <f>IFERROR(IF(D839="Premium",0.4*Y839,0),"No Disp")</f>
        <v>0</v>
      </c>
      <c r="AB839" s="95">
        <f>IFERROR(IF(4*Y839&gt;AC839,1.5*Y839,4*Y839),"No Disp")</f>
        <v>167600</v>
      </c>
      <c r="AC839" s="95">
        <f>IF(Z839="No Disp","No Disp",(Z839*18)+Y839)</f>
        <v>293900</v>
      </c>
      <c r="AD839" s="95">
        <f>IF($H839="EMP",18*Z839-100,18*Z839-100+Y839)</f>
        <v>251900</v>
      </c>
      <c r="AE839" s="95">
        <v>41900</v>
      </c>
      <c r="AF839" s="95">
        <v>14000</v>
      </c>
      <c r="AG839" s="95">
        <f>IF(AF839="No Disp","No Disp",(AF839*18)+AE839)</f>
        <v>293900</v>
      </c>
      <c r="AH839" s="98">
        <f>IF($H839="EMP",18*AF839-100,18*AF839-100+AE839)</f>
        <v>251900</v>
      </c>
      <c r="AI839" s="95">
        <v>16000</v>
      </c>
      <c r="AJ839" s="99"/>
      <c r="AK839" s="100" t="s">
        <v>43</v>
      </c>
      <c r="AL839" s="100" t="s">
        <v>43</v>
      </c>
      <c r="AM839" s="100" t="s">
        <v>43</v>
      </c>
      <c r="AN839" s="100" t="s">
        <v>43</v>
      </c>
      <c r="AO839" s="100" t="s">
        <v>43</v>
      </c>
      <c r="AP839" s="100" t="s">
        <v>43</v>
      </c>
      <c r="AQ839" s="100" t="s">
        <v>43</v>
      </c>
      <c r="AR839" s="100" t="s">
        <v>43</v>
      </c>
      <c r="AS839" s="100" t="s">
        <v>43</v>
      </c>
    </row>
    <row r="840" spans="1:45" s="101" customFormat="1" x14ac:dyDescent="0.25">
      <c r="A840" s="90" t="s">
        <v>38</v>
      </c>
      <c r="B840" s="90" t="s">
        <v>40</v>
      </c>
      <c r="C840" s="90" t="s">
        <v>39</v>
      </c>
      <c r="D840" s="90" t="s">
        <v>4539</v>
      </c>
      <c r="E840" s="90" t="s">
        <v>4538</v>
      </c>
      <c r="F840" s="91"/>
      <c r="G840" s="92">
        <v>70014082</v>
      </c>
      <c r="H840" s="91" t="s">
        <v>4370</v>
      </c>
      <c r="I840" s="93" t="s">
        <v>46</v>
      </c>
      <c r="J840" s="94" t="s">
        <v>2819</v>
      </c>
      <c r="K840" s="94" t="s">
        <v>3324</v>
      </c>
      <c r="L840" s="94" t="s">
        <v>3321</v>
      </c>
      <c r="M840" s="95">
        <v>327900</v>
      </c>
      <c r="N840" s="95">
        <v>6000</v>
      </c>
      <c r="O840" s="95">
        <v>8500</v>
      </c>
      <c r="P840" s="96">
        <v>449990</v>
      </c>
      <c r="Q840" s="152"/>
      <c r="R840" s="95">
        <v>327900</v>
      </c>
      <c r="S840" s="95">
        <v>14454.166666666666</v>
      </c>
      <c r="T840" s="95">
        <v>327900</v>
      </c>
      <c r="U840" s="95">
        <v>14454.166666666666</v>
      </c>
      <c r="V840" s="95">
        <v>327900</v>
      </c>
      <c r="W840" s="95">
        <v>14454.166666666666</v>
      </c>
      <c r="X840" s="128"/>
      <c r="Y840" s="95">
        <v>75900</v>
      </c>
      <c r="Z840" s="95">
        <v>17000</v>
      </c>
      <c r="AA840" s="95">
        <f>IFERROR(IF(D840="Premium",0.4*Y840,0),"No Disp")</f>
        <v>0</v>
      </c>
      <c r="AB840" s="95">
        <f>IFERROR(IF(4*Y840&gt;AC840,1.5*Y840,4*Y840),"No Disp")</f>
        <v>303600</v>
      </c>
      <c r="AC840" s="95">
        <f>IF(Z840="No Disp","No Disp",(Z840*18)+Y840)</f>
        <v>381900</v>
      </c>
      <c r="AD840" s="95">
        <f>IF($H840="EMP",18*Z840-100,18*Z840-100+Y840)</f>
        <v>305900</v>
      </c>
      <c r="AE840" s="95">
        <v>75900</v>
      </c>
      <c r="AF840" s="95">
        <v>17000</v>
      </c>
      <c r="AG840" s="95">
        <f>IF(AF840="No Disp","No Disp",(AF840*18)+AE840)</f>
        <v>381900</v>
      </c>
      <c r="AH840" s="98">
        <f>IF($H840="EMP",18*AF840-100,18*AF840-100+AE840)</f>
        <v>305900</v>
      </c>
      <c r="AI840" s="95">
        <v>21000</v>
      </c>
      <c r="AJ840" s="99"/>
      <c r="AK840" s="100" t="s">
        <v>43</v>
      </c>
      <c r="AL840" s="100" t="s">
        <v>43</v>
      </c>
      <c r="AM840" s="100" t="s">
        <v>43</v>
      </c>
      <c r="AN840" s="100" t="s">
        <v>43</v>
      </c>
      <c r="AO840" s="100" t="s">
        <v>43</v>
      </c>
      <c r="AP840" s="100" t="s">
        <v>43</v>
      </c>
      <c r="AQ840" s="100" t="s">
        <v>43</v>
      </c>
      <c r="AR840" s="100" t="s">
        <v>43</v>
      </c>
      <c r="AS840" s="100" t="s">
        <v>43</v>
      </c>
    </row>
    <row r="841" spans="1:45" s="101" customFormat="1" x14ac:dyDescent="0.25">
      <c r="A841" s="90" t="s">
        <v>38</v>
      </c>
      <c r="B841" s="90" t="s">
        <v>40</v>
      </c>
      <c r="C841" s="90" t="s">
        <v>39</v>
      </c>
      <c r="D841" s="90" t="s">
        <v>4539</v>
      </c>
      <c r="E841" s="90" t="s">
        <v>4538</v>
      </c>
      <c r="F841" s="91"/>
      <c r="G841" s="92">
        <v>70014099</v>
      </c>
      <c r="H841" s="91" t="s">
        <v>4370</v>
      </c>
      <c r="I841" s="93" t="s">
        <v>46</v>
      </c>
      <c r="J841" s="94" t="s">
        <v>2819</v>
      </c>
      <c r="K841" s="94" t="s">
        <v>3079</v>
      </c>
      <c r="L841" s="94" t="s">
        <v>3226</v>
      </c>
      <c r="M841" s="95">
        <v>327900</v>
      </c>
      <c r="N841" s="95">
        <v>6000</v>
      </c>
      <c r="O841" s="95">
        <v>8500</v>
      </c>
      <c r="P841" s="96">
        <v>449990</v>
      </c>
      <c r="Q841" s="152"/>
      <c r="R841" s="95">
        <v>327900</v>
      </c>
      <c r="S841" s="95">
        <v>14454.166666666666</v>
      </c>
      <c r="T841" s="95">
        <v>327900</v>
      </c>
      <c r="U841" s="95">
        <v>14454.166666666666</v>
      </c>
      <c r="V841" s="95">
        <v>327900</v>
      </c>
      <c r="W841" s="95">
        <v>14454.166666666666</v>
      </c>
      <c r="X841" s="128"/>
      <c r="Y841" s="95">
        <v>75900</v>
      </c>
      <c r="Z841" s="95">
        <v>17000</v>
      </c>
      <c r="AA841" s="95">
        <f>IFERROR(IF(D841="Premium",0.4*Y841,0),"No Disp")</f>
        <v>0</v>
      </c>
      <c r="AB841" s="95">
        <f>IFERROR(IF(4*Y841&gt;AC841,1.5*Y841,4*Y841),"No Disp")</f>
        <v>303600</v>
      </c>
      <c r="AC841" s="95">
        <f>IF(Z841="No Disp","No Disp",(Z841*18)+Y841)</f>
        <v>381900</v>
      </c>
      <c r="AD841" s="95">
        <f>IF($H841="EMP",18*Z841-100,18*Z841-100+Y841)</f>
        <v>305900</v>
      </c>
      <c r="AE841" s="95">
        <v>75900</v>
      </c>
      <c r="AF841" s="95">
        <v>17000</v>
      </c>
      <c r="AG841" s="95">
        <f>IF(AF841="No Disp","No Disp",(AF841*18)+AE841)</f>
        <v>381900</v>
      </c>
      <c r="AH841" s="98">
        <f>IF($H841="EMP",18*AF841-100,18*AF841-100+AE841)</f>
        <v>305900</v>
      </c>
      <c r="AI841" s="95">
        <v>21000</v>
      </c>
      <c r="AJ841" s="99"/>
      <c r="AK841" s="100" t="s">
        <v>43</v>
      </c>
      <c r="AL841" s="100" t="s">
        <v>43</v>
      </c>
      <c r="AM841" s="100" t="s">
        <v>43</v>
      </c>
      <c r="AN841" s="100" t="s">
        <v>43</v>
      </c>
      <c r="AO841" s="100" t="s">
        <v>43</v>
      </c>
      <c r="AP841" s="100" t="s">
        <v>43</v>
      </c>
      <c r="AQ841" s="100" t="s">
        <v>43</v>
      </c>
      <c r="AR841" s="100" t="s">
        <v>43</v>
      </c>
      <c r="AS841" s="100" t="s">
        <v>43</v>
      </c>
    </row>
    <row r="842" spans="1:45" s="101" customFormat="1" x14ac:dyDescent="0.25">
      <c r="A842" s="90" t="s">
        <v>38</v>
      </c>
      <c r="B842" s="90" t="s">
        <v>40</v>
      </c>
      <c r="C842" s="90" t="s">
        <v>39</v>
      </c>
      <c r="D842" s="90" t="s">
        <v>4539</v>
      </c>
      <c r="E842" s="90" t="s">
        <v>4538</v>
      </c>
      <c r="F842" s="91"/>
      <c r="G842" s="92">
        <v>70014100</v>
      </c>
      <c r="H842" s="91" t="s">
        <v>4370</v>
      </c>
      <c r="I842" s="93" t="s">
        <v>46</v>
      </c>
      <c r="J842" s="94" t="s">
        <v>2819</v>
      </c>
      <c r="K842" s="94" t="s">
        <v>3080</v>
      </c>
      <c r="L842" s="94" t="s">
        <v>3227</v>
      </c>
      <c r="M842" s="95">
        <v>327900</v>
      </c>
      <c r="N842" s="95">
        <v>6000</v>
      </c>
      <c r="O842" s="95">
        <v>8500</v>
      </c>
      <c r="P842" s="96">
        <v>449990</v>
      </c>
      <c r="Q842" s="152"/>
      <c r="R842" s="95">
        <v>327900</v>
      </c>
      <c r="S842" s="95">
        <v>14454.166666666666</v>
      </c>
      <c r="T842" s="95">
        <v>327900</v>
      </c>
      <c r="U842" s="95">
        <v>14454.166666666666</v>
      </c>
      <c r="V842" s="95">
        <v>327900</v>
      </c>
      <c r="W842" s="95">
        <v>14454.166666666666</v>
      </c>
      <c r="X842" s="128"/>
      <c r="Y842" s="95">
        <v>75900</v>
      </c>
      <c r="Z842" s="95">
        <v>17000</v>
      </c>
      <c r="AA842" s="95">
        <f>IFERROR(IF(D842="Premium",0.4*Y842,0),"No Disp")</f>
        <v>0</v>
      </c>
      <c r="AB842" s="95">
        <f>IFERROR(IF(4*Y842&gt;AC842,1.5*Y842,4*Y842),"No Disp")</f>
        <v>303600</v>
      </c>
      <c r="AC842" s="95">
        <f>IF(Z842="No Disp","No Disp",(Z842*18)+Y842)</f>
        <v>381900</v>
      </c>
      <c r="AD842" s="95">
        <f>IF($H842="EMP",18*Z842-100,18*Z842-100+Y842)</f>
        <v>305900</v>
      </c>
      <c r="AE842" s="95">
        <v>75900</v>
      </c>
      <c r="AF842" s="95">
        <v>17000</v>
      </c>
      <c r="AG842" s="95">
        <f>IF(AF842="No Disp","No Disp",(AF842*18)+AE842)</f>
        <v>381900</v>
      </c>
      <c r="AH842" s="98">
        <f>IF($H842="EMP",18*AF842-100,18*AF842-100+AE842)</f>
        <v>305900</v>
      </c>
      <c r="AI842" s="95">
        <v>21000</v>
      </c>
      <c r="AJ842" s="99"/>
      <c r="AK842" s="100" t="s">
        <v>43</v>
      </c>
      <c r="AL842" s="100" t="s">
        <v>43</v>
      </c>
      <c r="AM842" s="100" t="s">
        <v>43</v>
      </c>
      <c r="AN842" s="100" t="s">
        <v>43</v>
      </c>
      <c r="AO842" s="100" t="s">
        <v>43</v>
      </c>
      <c r="AP842" s="100" t="s">
        <v>43</v>
      </c>
      <c r="AQ842" s="100" t="s">
        <v>43</v>
      </c>
      <c r="AR842" s="100" t="s">
        <v>43</v>
      </c>
      <c r="AS842" s="100" t="s">
        <v>43</v>
      </c>
    </row>
    <row r="843" spans="1:45" s="101" customFormat="1" x14ac:dyDescent="0.25">
      <c r="A843" s="90" t="s">
        <v>38</v>
      </c>
      <c r="B843" s="90" t="s">
        <v>40</v>
      </c>
      <c r="C843" s="90" t="s">
        <v>39</v>
      </c>
      <c r="D843" s="90" t="s">
        <v>4539</v>
      </c>
      <c r="E843" s="90" t="s">
        <v>4538</v>
      </c>
      <c r="F843" s="91"/>
      <c r="G843" s="92">
        <v>70014101</v>
      </c>
      <c r="H843" s="91" t="s">
        <v>4370</v>
      </c>
      <c r="I843" s="93" t="s">
        <v>46</v>
      </c>
      <c r="J843" s="94" t="s">
        <v>2819</v>
      </c>
      <c r="K843" s="94" t="s">
        <v>3081</v>
      </c>
      <c r="L843" s="94" t="s">
        <v>3228</v>
      </c>
      <c r="M843" s="95">
        <v>327900</v>
      </c>
      <c r="N843" s="95">
        <v>6000</v>
      </c>
      <c r="O843" s="95">
        <v>8500</v>
      </c>
      <c r="P843" s="96">
        <v>449990</v>
      </c>
      <c r="Q843" s="152"/>
      <c r="R843" s="95">
        <v>327900</v>
      </c>
      <c r="S843" s="95">
        <v>14454.166666666666</v>
      </c>
      <c r="T843" s="95">
        <v>327900</v>
      </c>
      <c r="U843" s="95">
        <v>14454.166666666666</v>
      </c>
      <c r="V843" s="95">
        <v>327900</v>
      </c>
      <c r="W843" s="95">
        <v>14454.166666666666</v>
      </c>
      <c r="X843" s="128"/>
      <c r="Y843" s="95">
        <v>75900</v>
      </c>
      <c r="Z843" s="95">
        <v>17000</v>
      </c>
      <c r="AA843" s="95">
        <f>IFERROR(IF(D843="Premium",0.4*Y843,0),"No Disp")</f>
        <v>0</v>
      </c>
      <c r="AB843" s="95">
        <f>IFERROR(IF(4*Y843&gt;AC843,1.5*Y843,4*Y843),"No Disp")</f>
        <v>303600</v>
      </c>
      <c r="AC843" s="95">
        <f>IF(Z843="No Disp","No Disp",(Z843*18)+Y843)</f>
        <v>381900</v>
      </c>
      <c r="AD843" s="95">
        <f>IF($H843="EMP",18*Z843-100,18*Z843-100+Y843)</f>
        <v>305900</v>
      </c>
      <c r="AE843" s="95">
        <v>75900</v>
      </c>
      <c r="AF843" s="95">
        <v>17000</v>
      </c>
      <c r="AG843" s="95">
        <f>IF(AF843="No Disp","No Disp",(AF843*18)+AE843)</f>
        <v>381900</v>
      </c>
      <c r="AH843" s="98">
        <f>IF($H843="EMP",18*AF843-100,18*AF843-100+AE843)</f>
        <v>305900</v>
      </c>
      <c r="AI843" s="95">
        <v>21000</v>
      </c>
      <c r="AJ843" s="99"/>
      <c r="AK843" s="100" t="s">
        <v>43</v>
      </c>
      <c r="AL843" s="100" t="s">
        <v>43</v>
      </c>
      <c r="AM843" s="100" t="s">
        <v>43</v>
      </c>
      <c r="AN843" s="100" t="s">
        <v>43</v>
      </c>
      <c r="AO843" s="100" t="s">
        <v>43</v>
      </c>
      <c r="AP843" s="100" t="s">
        <v>43</v>
      </c>
      <c r="AQ843" s="100" t="s">
        <v>43</v>
      </c>
      <c r="AR843" s="100" t="s">
        <v>43</v>
      </c>
      <c r="AS843" s="100" t="s">
        <v>43</v>
      </c>
    </row>
    <row r="844" spans="1:45" s="101" customFormat="1" x14ac:dyDescent="0.25">
      <c r="A844" s="90" t="s">
        <v>102</v>
      </c>
      <c r="B844" s="90" t="s">
        <v>39</v>
      </c>
      <c r="C844" s="90" t="s">
        <v>40</v>
      </c>
      <c r="D844" s="90" t="s">
        <v>4540</v>
      </c>
      <c r="E844" s="90" t="s">
        <v>4538</v>
      </c>
      <c r="F844" s="91">
        <v>657</v>
      </c>
      <c r="G844" s="92">
        <v>70014220</v>
      </c>
      <c r="H844" s="91" t="s">
        <v>4370</v>
      </c>
      <c r="I844" s="93" t="s">
        <v>46</v>
      </c>
      <c r="J844" s="94" t="s">
        <v>47</v>
      </c>
      <c r="K844" s="121" t="s">
        <v>3964</v>
      </c>
      <c r="L844" s="94" t="s">
        <v>3967</v>
      </c>
      <c r="M844" s="95">
        <v>728900</v>
      </c>
      <c r="N844" s="95">
        <v>6000</v>
      </c>
      <c r="O844" s="95">
        <v>8500</v>
      </c>
      <c r="P844" s="96">
        <v>949990</v>
      </c>
      <c r="Q844" s="152"/>
      <c r="R844" s="95">
        <v>728900</v>
      </c>
      <c r="S844" s="95">
        <v>29162.5</v>
      </c>
      <c r="T844" s="95">
        <v>728900</v>
      </c>
      <c r="U844" s="95">
        <v>29162.5</v>
      </c>
      <c r="V844" s="95">
        <v>728900</v>
      </c>
      <c r="W844" s="95">
        <v>29162.5</v>
      </c>
      <c r="X844" s="128"/>
      <c r="Y844" s="95">
        <v>209900</v>
      </c>
      <c r="Z844" s="95">
        <v>35000</v>
      </c>
      <c r="AA844" s="95">
        <f>IFERROR(IF(D844="Premium",0.4*Y844,0),"No Disp")</f>
        <v>83960</v>
      </c>
      <c r="AB844" s="95">
        <f>IFERROR(IF(4*Y844&gt;AC844,1.5*Y844,4*Y844),"No Disp")</f>
        <v>839600</v>
      </c>
      <c r="AC844" s="95">
        <f>IF(Z844="No Disp","No Disp",(Z844*18)+Y844)</f>
        <v>839900</v>
      </c>
      <c r="AD844" s="95">
        <f>IF($H844="EMP",18*Z844-100,18*Z844-100+Y844)</f>
        <v>629900</v>
      </c>
      <c r="AE844" s="95">
        <v>209900</v>
      </c>
      <c r="AF844" s="95">
        <v>35000</v>
      </c>
      <c r="AG844" s="95">
        <f>IF(AF844="No Disp","No Disp",(AF844*18)+AE844)</f>
        <v>839900</v>
      </c>
      <c r="AH844" s="98">
        <f>IF($H844="EMP",18*AF844-100,18*AF844-100+AE844)</f>
        <v>629900</v>
      </c>
      <c r="AI844" s="95">
        <v>46000</v>
      </c>
      <c r="AJ844" s="99"/>
      <c r="AK844" s="100" t="s">
        <v>43</v>
      </c>
      <c r="AL844" s="100" t="s">
        <v>43</v>
      </c>
      <c r="AM844" s="100" t="s">
        <v>43</v>
      </c>
      <c r="AN844" s="100" t="s">
        <v>43</v>
      </c>
      <c r="AO844" s="100" t="s">
        <v>43</v>
      </c>
      <c r="AP844" s="100" t="s">
        <v>43</v>
      </c>
      <c r="AQ844" s="100" t="s">
        <v>43</v>
      </c>
      <c r="AR844" s="100" t="s">
        <v>43</v>
      </c>
      <c r="AS844" s="100" t="s">
        <v>43</v>
      </c>
    </row>
    <row r="845" spans="1:45" s="101" customFormat="1" x14ac:dyDescent="0.25">
      <c r="A845" s="90" t="s">
        <v>38</v>
      </c>
      <c r="B845" s="90" t="s">
        <v>40</v>
      </c>
      <c r="C845" s="90" t="s">
        <v>39</v>
      </c>
      <c r="D845" s="90" t="s">
        <v>4540</v>
      </c>
      <c r="E845" s="90" t="s">
        <v>4538</v>
      </c>
      <c r="F845" s="91"/>
      <c r="G845" s="92">
        <v>70014015</v>
      </c>
      <c r="H845" s="91" t="s">
        <v>4370</v>
      </c>
      <c r="I845" s="93" t="s">
        <v>46</v>
      </c>
      <c r="J845" s="94" t="s">
        <v>47</v>
      </c>
      <c r="K845" s="94" t="s">
        <v>3109</v>
      </c>
      <c r="L845" s="94" t="s">
        <v>3257</v>
      </c>
      <c r="M845" s="95">
        <v>728900</v>
      </c>
      <c r="N845" s="95">
        <v>6000</v>
      </c>
      <c r="O845" s="95">
        <v>8500</v>
      </c>
      <c r="P845" s="96">
        <v>949990</v>
      </c>
      <c r="Q845" s="152"/>
      <c r="R845" s="95">
        <v>728900</v>
      </c>
      <c r="S845" s="95">
        <v>29162.5</v>
      </c>
      <c r="T845" s="95">
        <v>728900</v>
      </c>
      <c r="U845" s="95">
        <v>29162.5</v>
      </c>
      <c r="V845" s="95">
        <v>728900</v>
      </c>
      <c r="W845" s="95">
        <v>29162.5</v>
      </c>
      <c r="X845" s="128"/>
      <c r="Y845" s="95">
        <v>209900</v>
      </c>
      <c r="Z845" s="95">
        <v>35000</v>
      </c>
      <c r="AA845" s="95">
        <f>IFERROR(IF(D845="Premium",0.4*Y845,0),"No Disp")</f>
        <v>83960</v>
      </c>
      <c r="AB845" s="95">
        <f>IFERROR(IF(4*Y845&gt;AC845,1.5*Y845,4*Y845),"No Disp")</f>
        <v>839600</v>
      </c>
      <c r="AC845" s="95">
        <f>IF(Z845="No Disp","No Disp",(Z845*18)+Y845)</f>
        <v>839900</v>
      </c>
      <c r="AD845" s="95">
        <f>IF($H845="EMP",18*Z845-100,18*Z845-100+Y845)</f>
        <v>629900</v>
      </c>
      <c r="AE845" s="95">
        <v>209900</v>
      </c>
      <c r="AF845" s="95">
        <v>35000</v>
      </c>
      <c r="AG845" s="95">
        <f>IF(AF845="No Disp","No Disp",(AF845*18)+AE845)</f>
        <v>839900</v>
      </c>
      <c r="AH845" s="98">
        <f>IF($H845="EMP",18*AF845-100,18*AF845-100+AE845)</f>
        <v>629900</v>
      </c>
      <c r="AI845" s="95">
        <v>46000</v>
      </c>
      <c r="AJ845" s="99"/>
      <c r="AK845" s="100" t="s">
        <v>43</v>
      </c>
      <c r="AL845" s="100" t="s">
        <v>43</v>
      </c>
      <c r="AM845" s="100" t="s">
        <v>43</v>
      </c>
      <c r="AN845" s="100" t="s">
        <v>43</v>
      </c>
      <c r="AO845" s="100" t="s">
        <v>43</v>
      </c>
      <c r="AP845" s="100" t="s">
        <v>43</v>
      </c>
      <c r="AQ845" s="100" t="s">
        <v>43</v>
      </c>
      <c r="AR845" s="100" t="s">
        <v>43</v>
      </c>
      <c r="AS845" s="100" t="s">
        <v>43</v>
      </c>
    </row>
    <row r="846" spans="1:45" s="101" customFormat="1" x14ac:dyDescent="0.25">
      <c r="A846" s="90" t="s">
        <v>38</v>
      </c>
      <c r="B846" s="90" t="s">
        <v>40</v>
      </c>
      <c r="C846" s="90" t="s">
        <v>39</v>
      </c>
      <c r="D846" s="90" t="s">
        <v>4540</v>
      </c>
      <c r="E846" s="90" t="s">
        <v>4538</v>
      </c>
      <c r="F846" s="91"/>
      <c r="G846" s="92">
        <v>70014016</v>
      </c>
      <c r="H846" s="91" t="s">
        <v>4370</v>
      </c>
      <c r="I846" s="93" t="s">
        <v>46</v>
      </c>
      <c r="J846" s="94" t="s">
        <v>47</v>
      </c>
      <c r="K846" s="94" t="s">
        <v>3110</v>
      </c>
      <c r="L846" s="94" t="s">
        <v>3258</v>
      </c>
      <c r="M846" s="95">
        <v>728900</v>
      </c>
      <c r="N846" s="95">
        <v>6000</v>
      </c>
      <c r="O846" s="95">
        <v>8500</v>
      </c>
      <c r="P846" s="96">
        <v>949990</v>
      </c>
      <c r="Q846" s="152"/>
      <c r="R846" s="95">
        <v>728900</v>
      </c>
      <c r="S846" s="95">
        <v>29162.5</v>
      </c>
      <c r="T846" s="95">
        <v>728900</v>
      </c>
      <c r="U846" s="95">
        <v>29162.5</v>
      </c>
      <c r="V846" s="95">
        <v>728900</v>
      </c>
      <c r="W846" s="95">
        <v>29162.5</v>
      </c>
      <c r="X846" s="128"/>
      <c r="Y846" s="95">
        <v>209900</v>
      </c>
      <c r="Z846" s="95">
        <v>35000</v>
      </c>
      <c r="AA846" s="95">
        <f>IFERROR(IF(D846="Premium",0.4*Y846,0),"No Disp")</f>
        <v>83960</v>
      </c>
      <c r="AB846" s="95">
        <f>IFERROR(IF(4*Y846&gt;AC846,1.5*Y846,4*Y846),"No Disp")</f>
        <v>839600</v>
      </c>
      <c r="AC846" s="95">
        <f>IF(Z846="No Disp","No Disp",(Z846*18)+Y846)</f>
        <v>839900</v>
      </c>
      <c r="AD846" s="95">
        <f>IF($H846="EMP",18*Z846-100,18*Z846-100+Y846)</f>
        <v>629900</v>
      </c>
      <c r="AE846" s="95">
        <v>209900</v>
      </c>
      <c r="AF846" s="95">
        <v>35000</v>
      </c>
      <c r="AG846" s="95">
        <f>IF(AF846="No Disp","No Disp",(AF846*18)+AE846)</f>
        <v>839900</v>
      </c>
      <c r="AH846" s="98">
        <f>IF($H846="EMP",18*AF846-100,18*AF846-100+AE846)</f>
        <v>629900</v>
      </c>
      <c r="AI846" s="95">
        <v>46000</v>
      </c>
      <c r="AJ846" s="99"/>
      <c r="AK846" s="100" t="s">
        <v>43</v>
      </c>
      <c r="AL846" s="100" t="s">
        <v>43</v>
      </c>
      <c r="AM846" s="100" t="s">
        <v>43</v>
      </c>
      <c r="AN846" s="100" t="s">
        <v>43</v>
      </c>
      <c r="AO846" s="100" t="s">
        <v>43</v>
      </c>
      <c r="AP846" s="100" t="s">
        <v>43</v>
      </c>
      <c r="AQ846" s="100" t="s">
        <v>43</v>
      </c>
      <c r="AR846" s="100" t="s">
        <v>43</v>
      </c>
      <c r="AS846" s="100" t="s">
        <v>43</v>
      </c>
    </row>
    <row r="847" spans="1:45" s="101" customFormat="1" x14ac:dyDescent="0.25">
      <c r="A847" s="90" t="s">
        <v>38</v>
      </c>
      <c r="B847" s="90" t="s">
        <v>40</v>
      </c>
      <c r="C847" s="90" t="s">
        <v>39</v>
      </c>
      <c r="D847" s="90" t="s">
        <v>4539</v>
      </c>
      <c r="E847" s="90" t="s">
        <v>4538</v>
      </c>
      <c r="F847" s="91"/>
      <c r="G847" s="92">
        <v>70014023</v>
      </c>
      <c r="H847" s="91" t="s">
        <v>4370</v>
      </c>
      <c r="I847" s="93" t="s">
        <v>87</v>
      </c>
      <c r="J847" s="94" t="s">
        <v>128</v>
      </c>
      <c r="K847" s="94" t="s">
        <v>3069</v>
      </c>
      <c r="L847" s="94" t="s">
        <v>3216</v>
      </c>
      <c r="M847" s="95">
        <v>335900</v>
      </c>
      <c r="N847" s="95">
        <v>6000</v>
      </c>
      <c r="O847" s="95">
        <v>8500</v>
      </c>
      <c r="P847" s="96">
        <v>399990</v>
      </c>
      <c r="Q847" s="152"/>
      <c r="R847" s="95">
        <v>335900</v>
      </c>
      <c r="S847" s="95">
        <v>13620.833333333334</v>
      </c>
      <c r="T847" s="95">
        <v>335900</v>
      </c>
      <c r="U847" s="95">
        <v>13620.833333333334</v>
      </c>
      <c r="V847" s="95">
        <v>335900</v>
      </c>
      <c r="W847" s="95">
        <v>13620.833333333334</v>
      </c>
      <c r="X847" s="128"/>
      <c r="Y847" s="95">
        <v>77900</v>
      </c>
      <c r="Z847" s="95">
        <v>18000</v>
      </c>
      <c r="AA847" s="95">
        <f>IFERROR(IF(D847="Premium",0.4*Y847,0),"No Disp")</f>
        <v>0</v>
      </c>
      <c r="AB847" s="95">
        <f>IFERROR(IF(4*Y847&gt;AC847,1.5*Y847,4*Y847),"No Disp")</f>
        <v>311600</v>
      </c>
      <c r="AC847" s="95">
        <f>IF(Z847="No Disp","No Disp",(Z847*18)+Y847)</f>
        <v>401900</v>
      </c>
      <c r="AD847" s="95">
        <f>IF($H847="EMP",18*Z847-100,18*Z847-100+Y847)</f>
        <v>323900</v>
      </c>
      <c r="AE847" s="95">
        <v>77900</v>
      </c>
      <c r="AF847" s="95">
        <v>18000</v>
      </c>
      <c r="AG847" s="95">
        <f>IF(AF847="No Disp","No Disp",(AF847*18)+AE847)</f>
        <v>401900</v>
      </c>
      <c r="AH847" s="98">
        <f>IF($H847="EMP",18*AF847-100,18*AF847-100+AE847)</f>
        <v>323900</v>
      </c>
      <c r="AI847" s="95">
        <v>22000</v>
      </c>
      <c r="AJ847" s="99"/>
      <c r="AK847" s="100" t="s">
        <v>43</v>
      </c>
      <c r="AL847" s="100" t="s">
        <v>43</v>
      </c>
      <c r="AM847" s="100" t="s">
        <v>43</v>
      </c>
      <c r="AN847" s="100" t="s">
        <v>43</v>
      </c>
      <c r="AO847" s="100" t="s">
        <v>43</v>
      </c>
      <c r="AP847" s="100" t="s">
        <v>43</v>
      </c>
      <c r="AQ847" s="100" t="s">
        <v>43</v>
      </c>
      <c r="AR847" s="100" t="s">
        <v>43</v>
      </c>
      <c r="AS847" s="100" t="s">
        <v>43</v>
      </c>
    </row>
    <row r="848" spans="1:45" s="101" customFormat="1" x14ac:dyDescent="0.25">
      <c r="A848" s="90" t="s">
        <v>38</v>
      </c>
      <c r="B848" s="90" t="s">
        <v>40</v>
      </c>
      <c r="C848" s="90" t="s">
        <v>39</v>
      </c>
      <c r="D848" s="90" t="s">
        <v>4539</v>
      </c>
      <c r="E848" s="90" t="s">
        <v>4538</v>
      </c>
      <c r="F848" s="91"/>
      <c r="G848" s="92">
        <v>70014024</v>
      </c>
      <c r="H848" s="91" t="s">
        <v>4370</v>
      </c>
      <c r="I848" s="93" t="s">
        <v>87</v>
      </c>
      <c r="J848" s="94" t="s">
        <v>128</v>
      </c>
      <c r="K848" s="94" t="s">
        <v>3070</v>
      </c>
      <c r="L848" s="94" t="s">
        <v>3217</v>
      </c>
      <c r="M848" s="95">
        <v>335900</v>
      </c>
      <c r="N848" s="95">
        <v>6000</v>
      </c>
      <c r="O848" s="95">
        <v>8500</v>
      </c>
      <c r="P848" s="96">
        <v>399990</v>
      </c>
      <c r="Q848" s="152"/>
      <c r="R848" s="95">
        <v>335900</v>
      </c>
      <c r="S848" s="95">
        <v>13620.833333333334</v>
      </c>
      <c r="T848" s="95">
        <v>335900</v>
      </c>
      <c r="U848" s="95">
        <v>13620.833333333334</v>
      </c>
      <c r="V848" s="95">
        <v>335900</v>
      </c>
      <c r="W848" s="95">
        <v>13620.833333333334</v>
      </c>
      <c r="X848" s="128"/>
      <c r="Y848" s="95">
        <v>77900</v>
      </c>
      <c r="Z848" s="95">
        <v>18000</v>
      </c>
      <c r="AA848" s="95">
        <f>IFERROR(IF(D848="Premium",0.4*Y848,0),"No Disp")</f>
        <v>0</v>
      </c>
      <c r="AB848" s="95">
        <f>IFERROR(IF(4*Y848&gt;AC848,1.5*Y848,4*Y848),"No Disp")</f>
        <v>311600</v>
      </c>
      <c r="AC848" s="95">
        <f>IF(Z848="No Disp","No Disp",(Z848*18)+Y848)</f>
        <v>401900</v>
      </c>
      <c r="AD848" s="95">
        <f>IF($H848="EMP",18*Z848-100,18*Z848-100+Y848)</f>
        <v>323900</v>
      </c>
      <c r="AE848" s="95">
        <v>77900</v>
      </c>
      <c r="AF848" s="95">
        <v>18000</v>
      </c>
      <c r="AG848" s="95">
        <f>IF(AF848="No Disp","No Disp",(AF848*18)+AE848)</f>
        <v>401900</v>
      </c>
      <c r="AH848" s="98">
        <f>IF($H848="EMP",18*AF848-100,18*AF848-100+AE848)</f>
        <v>323900</v>
      </c>
      <c r="AI848" s="95">
        <v>22000</v>
      </c>
      <c r="AJ848" s="99"/>
      <c r="AK848" s="100" t="s">
        <v>43</v>
      </c>
      <c r="AL848" s="100" t="s">
        <v>43</v>
      </c>
      <c r="AM848" s="100" t="s">
        <v>43</v>
      </c>
      <c r="AN848" s="100" t="s">
        <v>43</v>
      </c>
      <c r="AO848" s="100" t="s">
        <v>43</v>
      </c>
      <c r="AP848" s="100" t="s">
        <v>43</v>
      </c>
      <c r="AQ848" s="100" t="s">
        <v>43</v>
      </c>
      <c r="AR848" s="100" t="s">
        <v>43</v>
      </c>
      <c r="AS848" s="100" t="s">
        <v>43</v>
      </c>
    </row>
    <row r="849" spans="1:45" s="101" customFormat="1" x14ac:dyDescent="0.25">
      <c r="A849" s="90" t="s">
        <v>38</v>
      </c>
      <c r="B849" s="90" t="s">
        <v>40</v>
      </c>
      <c r="C849" s="90" t="s">
        <v>39</v>
      </c>
      <c r="D849" s="90" t="s">
        <v>4540</v>
      </c>
      <c r="E849" s="90" t="s">
        <v>4538</v>
      </c>
      <c r="F849" s="91"/>
      <c r="G849" s="92">
        <v>70015313</v>
      </c>
      <c r="H849" s="91" t="s">
        <v>4370</v>
      </c>
      <c r="I849" s="93" t="s">
        <v>46</v>
      </c>
      <c r="J849" s="94" t="s">
        <v>4222</v>
      </c>
      <c r="K849" s="94" t="s">
        <v>4202</v>
      </c>
      <c r="L849" s="94" t="s">
        <v>4233</v>
      </c>
      <c r="M849" s="95">
        <v>587900</v>
      </c>
      <c r="N849" s="95">
        <v>6000</v>
      </c>
      <c r="O849" s="95">
        <v>8500</v>
      </c>
      <c r="P849" s="96">
        <v>719990</v>
      </c>
      <c r="Q849" s="152"/>
      <c r="R849" s="95">
        <v>587900</v>
      </c>
      <c r="S849" s="95">
        <v>25912.5</v>
      </c>
      <c r="T849" s="95">
        <v>587900</v>
      </c>
      <c r="U849" s="95">
        <v>25912.5</v>
      </c>
      <c r="V849" s="95">
        <v>587900</v>
      </c>
      <c r="W849" s="95">
        <v>25912.5</v>
      </c>
      <c r="X849" s="128"/>
      <c r="Y849" s="95">
        <v>0</v>
      </c>
      <c r="Z849" s="95">
        <v>38000</v>
      </c>
      <c r="AA849" s="95">
        <f>IFERROR(IF(D849="Premium",0.4*Y849,0),"No Disp")</f>
        <v>0</v>
      </c>
      <c r="AB849" s="95">
        <f>IFERROR(IF(4*Y849&gt;AC849,1.5*Y849,4*Y849),"No Disp")</f>
        <v>0</v>
      </c>
      <c r="AC849" s="95">
        <f>IF(Z849="No Disp","No Disp",(Z849*18)+Y849)</f>
        <v>684000</v>
      </c>
      <c r="AD849" s="95">
        <f>IF($H849="EMP",18*Z849-100,18*Z849-100+Y849)</f>
        <v>683900</v>
      </c>
      <c r="AE849" s="95">
        <v>0</v>
      </c>
      <c r="AF849" s="95">
        <v>38000</v>
      </c>
      <c r="AG849" s="95">
        <f>IF(AF849="No Disp","No Disp",(AF849*18)+AE849)</f>
        <v>684000</v>
      </c>
      <c r="AH849" s="98">
        <f>IF($H849="EMP",18*AF849-100,18*AF849-100+AE849)</f>
        <v>683900</v>
      </c>
      <c r="AI849" s="95">
        <v>17000</v>
      </c>
      <c r="AJ849" s="99"/>
      <c r="AK849" s="100" t="s">
        <v>43</v>
      </c>
      <c r="AL849" s="100" t="s">
        <v>43</v>
      </c>
      <c r="AM849" s="100" t="s">
        <v>43</v>
      </c>
      <c r="AN849" s="100" t="s">
        <v>43</v>
      </c>
      <c r="AO849" s="100" t="s">
        <v>43</v>
      </c>
      <c r="AP849" s="100" t="s">
        <v>43</v>
      </c>
      <c r="AQ849" s="100" t="s">
        <v>43</v>
      </c>
      <c r="AR849" s="100" t="s">
        <v>43</v>
      </c>
      <c r="AS849" s="100" t="s">
        <v>43</v>
      </c>
    </row>
    <row r="850" spans="1:45" s="101" customFormat="1" x14ac:dyDescent="0.25">
      <c r="A850" s="90" t="s">
        <v>38</v>
      </c>
      <c r="B850" s="90" t="s">
        <v>40</v>
      </c>
      <c r="C850" s="90" t="s">
        <v>39</v>
      </c>
      <c r="D850" s="90" t="s">
        <v>4540</v>
      </c>
      <c r="E850" s="90" t="s">
        <v>4538</v>
      </c>
      <c r="F850" s="91"/>
      <c r="G850" s="92">
        <v>70015317</v>
      </c>
      <c r="H850" s="91" t="s">
        <v>4370</v>
      </c>
      <c r="I850" s="93" t="s">
        <v>46</v>
      </c>
      <c r="J850" s="94" t="s">
        <v>4222</v>
      </c>
      <c r="K850" s="94" t="s">
        <v>4204</v>
      </c>
      <c r="L850" s="94" t="s">
        <v>4235</v>
      </c>
      <c r="M850" s="95">
        <v>587900</v>
      </c>
      <c r="N850" s="95">
        <v>6000</v>
      </c>
      <c r="O850" s="95">
        <v>8500</v>
      </c>
      <c r="P850" s="96">
        <v>719990</v>
      </c>
      <c r="Q850" s="152"/>
      <c r="R850" s="95">
        <v>587900</v>
      </c>
      <c r="S850" s="95">
        <v>25912.5</v>
      </c>
      <c r="T850" s="95">
        <v>587900</v>
      </c>
      <c r="U850" s="95">
        <v>25912.5</v>
      </c>
      <c r="V850" s="95">
        <v>587900</v>
      </c>
      <c r="W850" s="95">
        <v>25912.5</v>
      </c>
      <c r="X850" s="128"/>
      <c r="Y850" s="95">
        <v>0</v>
      </c>
      <c r="Z850" s="95">
        <v>38000</v>
      </c>
      <c r="AA850" s="95">
        <f>IFERROR(IF(D850="Premium",0.4*Y850,0),"No Disp")</f>
        <v>0</v>
      </c>
      <c r="AB850" s="95">
        <f>IFERROR(IF(4*Y850&gt;AC850,1.5*Y850,4*Y850),"No Disp")</f>
        <v>0</v>
      </c>
      <c r="AC850" s="95">
        <f>IF(Z850="No Disp","No Disp",(Z850*18)+Y850)</f>
        <v>684000</v>
      </c>
      <c r="AD850" s="95">
        <f>IF($H850="EMP",18*Z850-100,18*Z850-100+Y850)</f>
        <v>683900</v>
      </c>
      <c r="AE850" s="95">
        <v>0</v>
      </c>
      <c r="AF850" s="95">
        <v>38000</v>
      </c>
      <c r="AG850" s="95">
        <f>IF(AF850="No Disp","No Disp",(AF850*18)+AE850)</f>
        <v>684000</v>
      </c>
      <c r="AH850" s="98">
        <f>IF($H850="EMP",18*AF850-100,18*AF850-100+AE850)</f>
        <v>683900</v>
      </c>
      <c r="AI850" s="95">
        <v>39000</v>
      </c>
      <c r="AJ850" s="99"/>
      <c r="AK850" s="100" t="s">
        <v>43</v>
      </c>
      <c r="AL850" s="100" t="s">
        <v>43</v>
      </c>
      <c r="AM850" s="100" t="s">
        <v>43</v>
      </c>
      <c r="AN850" s="100" t="s">
        <v>43</v>
      </c>
      <c r="AO850" s="100" t="s">
        <v>43</v>
      </c>
      <c r="AP850" s="100" t="s">
        <v>43</v>
      </c>
      <c r="AQ850" s="100" t="s">
        <v>43</v>
      </c>
      <c r="AR850" s="100" t="s">
        <v>43</v>
      </c>
      <c r="AS850" s="100" t="s">
        <v>43</v>
      </c>
    </row>
    <row r="851" spans="1:45" s="101" customFormat="1" x14ac:dyDescent="0.25">
      <c r="A851" s="90" t="s">
        <v>38</v>
      </c>
      <c r="B851" s="90" t="s">
        <v>40</v>
      </c>
      <c r="C851" s="90" t="s">
        <v>39</v>
      </c>
      <c r="D851" s="90" t="s">
        <v>4540</v>
      </c>
      <c r="E851" s="90" t="s">
        <v>4538</v>
      </c>
      <c r="F851" s="91"/>
      <c r="G851" s="92">
        <v>70015247</v>
      </c>
      <c r="H851" s="91" t="s">
        <v>4370</v>
      </c>
      <c r="I851" s="93" t="s">
        <v>46</v>
      </c>
      <c r="J851" s="94" t="s">
        <v>4222</v>
      </c>
      <c r="K851" s="94" t="s">
        <v>4206</v>
      </c>
      <c r="L851" s="94" t="s">
        <v>4237</v>
      </c>
      <c r="M851" s="95">
        <v>587900</v>
      </c>
      <c r="N851" s="95">
        <v>6000</v>
      </c>
      <c r="O851" s="95">
        <v>8500</v>
      </c>
      <c r="P851" s="96">
        <v>719990</v>
      </c>
      <c r="Q851" s="152"/>
      <c r="R851" s="95">
        <v>587900</v>
      </c>
      <c r="S851" s="95">
        <v>25912.5</v>
      </c>
      <c r="T851" s="95">
        <v>587900</v>
      </c>
      <c r="U851" s="95">
        <v>25912.5</v>
      </c>
      <c r="V851" s="95">
        <v>587900</v>
      </c>
      <c r="W851" s="95">
        <v>25912.5</v>
      </c>
      <c r="X851" s="128"/>
      <c r="Y851" s="95">
        <v>0</v>
      </c>
      <c r="Z851" s="95">
        <v>38000</v>
      </c>
      <c r="AA851" s="95">
        <f>IFERROR(IF(D851="Premium",0.4*Y851,0),"No Disp")</f>
        <v>0</v>
      </c>
      <c r="AB851" s="95">
        <f>IFERROR(IF(4*Y851&gt;AC851,1.5*Y851,4*Y851),"No Disp")</f>
        <v>0</v>
      </c>
      <c r="AC851" s="95">
        <f>IF(Z851="No Disp","No Disp",(Z851*18)+Y851)</f>
        <v>684000</v>
      </c>
      <c r="AD851" s="95">
        <f>IF($H851="EMP",18*Z851-100,18*Z851-100+Y851)</f>
        <v>683900</v>
      </c>
      <c r="AE851" s="95">
        <v>0</v>
      </c>
      <c r="AF851" s="95">
        <v>38000</v>
      </c>
      <c r="AG851" s="95">
        <f>IF(AF851="No Disp","No Disp",(AF851*18)+AE851)</f>
        <v>684000</v>
      </c>
      <c r="AH851" s="98">
        <f>IF($H851="EMP",18*AF851-100,18*AF851-100+AE851)</f>
        <v>683900</v>
      </c>
      <c r="AI851" s="95">
        <v>39000</v>
      </c>
      <c r="AJ851" s="99"/>
      <c r="AK851" s="100" t="s">
        <v>43</v>
      </c>
      <c r="AL851" s="100" t="s">
        <v>43</v>
      </c>
      <c r="AM851" s="100" t="s">
        <v>43</v>
      </c>
      <c r="AN851" s="100" t="s">
        <v>43</v>
      </c>
      <c r="AO851" s="100" t="s">
        <v>43</v>
      </c>
      <c r="AP851" s="100" t="s">
        <v>43</v>
      </c>
      <c r="AQ851" s="100" t="s">
        <v>43</v>
      </c>
      <c r="AR851" s="100" t="s">
        <v>43</v>
      </c>
      <c r="AS851" s="100" t="s">
        <v>43</v>
      </c>
    </row>
    <row r="852" spans="1:45" s="101" customFormat="1" x14ac:dyDescent="0.25">
      <c r="A852" s="90" t="s">
        <v>38</v>
      </c>
      <c r="B852" s="90" t="s">
        <v>40</v>
      </c>
      <c r="C852" s="90" t="s">
        <v>39</v>
      </c>
      <c r="D852" s="90" t="s">
        <v>4540</v>
      </c>
      <c r="E852" s="90" t="s">
        <v>4538</v>
      </c>
      <c r="F852" s="91"/>
      <c r="G852" s="92">
        <v>70015321</v>
      </c>
      <c r="H852" s="91" t="s">
        <v>4370</v>
      </c>
      <c r="I852" s="93" t="s">
        <v>46</v>
      </c>
      <c r="J852" s="94" t="s">
        <v>4222</v>
      </c>
      <c r="K852" s="94" t="s">
        <v>4208</v>
      </c>
      <c r="L852" s="94" t="s">
        <v>4239</v>
      </c>
      <c r="M852" s="95">
        <v>587900</v>
      </c>
      <c r="N852" s="95">
        <v>6000</v>
      </c>
      <c r="O852" s="95">
        <v>8500</v>
      </c>
      <c r="P852" s="96">
        <v>719990</v>
      </c>
      <c r="Q852" s="152"/>
      <c r="R852" s="95">
        <v>587900</v>
      </c>
      <c r="S852" s="95">
        <v>25912.5</v>
      </c>
      <c r="T852" s="95">
        <v>587900</v>
      </c>
      <c r="U852" s="95">
        <v>25912.5</v>
      </c>
      <c r="V852" s="95">
        <v>587900</v>
      </c>
      <c r="W852" s="95">
        <v>25912.5</v>
      </c>
      <c r="X852" s="128"/>
      <c r="Y852" s="95">
        <v>0</v>
      </c>
      <c r="Z852" s="95">
        <v>38000</v>
      </c>
      <c r="AA852" s="95">
        <f>IFERROR(IF(D852="Premium",0.4*Y852,0),"No Disp")</f>
        <v>0</v>
      </c>
      <c r="AB852" s="95">
        <f>IFERROR(IF(4*Y852&gt;AC852,1.5*Y852,4*Y852),"No Disp")</f>
        <v>0</v>
      </c>
      <c r="AC852" s="95">
        <f>IF(Z852="No Disp","No Disp",(Z852*18)+Y852)</f>
        <v>684000</v>
      </c>
      <c r="AD852" s="95">
        <f>IF($H852="EMP",18*Z852-100,18*Z852-100+Y852)</f>
        <v>683900</v>
      </c>
      <c r="AE852" s="95">
        <v>0</v>
      </c>
      <c r="AF852" s="95">
        <v>38000</v>
      </c>
      <c r="AG852" s="95">
        <f>IF(AF852="No Disp","No Disp",(AF852*18)+AE852)</f>
        <v>684000</v>
      </c>
      <c r="AH852" s="98">
        <f>IF($H852="EMP",18*AF852-100,18*AF852-100+AE852)</f>
        <v>683900</v>
      </c>
      <c r="AI852" s="95">
        <v>39000</v>
      </c>
      <c r="AJ852" s="99"/>
      <c r="AK852" s="100" t="s">
        <v>43</v>
      </c>
      <c r="AL852" s="100" t="s">
        <v>43</v>
      </c>
      <c r="AM852" s="100" t="s">
        <v>43</v>
      </c>
      <c r="AN852" s="100" t="s">
        <v>43</v>
      </c>
      <c r="AO852" s="100" t="s">
        <v>43</v>
      </c>
      <c r="AP852" s="100" t="s">
        <v>43</v>
      </c>
      <c r="AQ852" s="100" t="s">
        <v>43</v>
      </c>
      <c r="AR852" s="100" t="s">
        <v>43</v>
      </c>
      <c r="AS852" s="100" t="s">
        <v>43</v>
      </c>
    </row>
    <row r="853" spans="1:45" s="101" customFormat="1" x14ac:dyDescent="0.25">
      <c r="A853" s="90" t="s">
        <v>38</v>
      </c>
      <c r="B853" s="90" t="s">
        <v>40</v>
      </c>
      <c r="C853" s="90" t="s">
        <v>39</v>
      </c>
      <c r="D853" s="90" t="s">
        <v>4540</v>
      </c>
      <c r="E853" s="90" t="s">
        <v>4538</v>
      </c>
      <c r="F853" s="91"/>
      <c r="G853" s="92">
        <v>70015331</v>
      </c>
      <c r="H853" s="91" t="s">
        <v>4370</v>
      </c>
      <c r="I853" s="93" t="s">
        <v>46</v>
      </c>
      <c r="J853" s="94" t="s">
        <v>4222</v>
      </c>
      <c r="K853" s="94" t="s">
        <v>4210</v>
      </c>
      <c r="L853" s="94" t="s">
        <v>4241</v>
      </c>
      <c r="M853" s="95">
        <v>587900</v>
      </c>
      <c r="N853" s="95">
        <v>6000</v>
      </c>
      <c r="O853" s="95">
        <v>8500</v>
      </c>
      <c r="P853" s="96">
        <v>719990</v>
      </c>
      <c r="Q853" s="152"/>
      <c r="R853" s="95">
        <v>587900</v>
      </c>
      <c r="S853" s="95">
        <v>25912.5</v>
      </c>
      <c r="T853" s="95">
        <v>587900</v>
      </c>
      <c r="U853" s="95">
        <v>25912.5</v>
      </c>
      <c r="V853" s="95">
        <v>587900</v>
      </c>
      <c r="W853" s="95">
        <v>25912.5</v>
      </c>
      <c r="X853" s="128"/>
      <c r="Y853" s="95">
        <v>0</v>
      </c>
      <c r="Z853" s="95">
        <v>38000</v>
      </c>
      <c r="AA853" s="95">
        <f>IFERROR(IF(D853="Premium",0.4*Y853,0),"No Disp")</f>
        <v>0</v>
      </c>
      <c r="AB853" s="95">
        <f>IFERROR(IF(4*Y853&gt;AC853,1.5*Y853,4*Y853),"No Disp")</f>
        <v>0</v>
      </c>
      <c r="AC853" s="95">
        <f>IF(Z853="No Disp","No Disp",(Z853*18)+Y853)</f>
        <v>684000</v>
      </c>
      <c r="AD853" s="95">
        <f>IF($H853="EMP",18*Z853-100,18*Z853-100+Y853)</f>
        <v>683900</v>
      </c>
      <c r="AE853" s="95">
        <v>0</v>
      </c>
      <c r="AF853" s="95">
        <v>38000</v>
      </c>
      <c r="AG853" s="95">
        <f>IF(AF853="No Disp","No Disp",(AF853*18)+AE853)</f>
        <v>684000</v>
      </c>
      <c r="AH853" s="98">
        <f>IF($H853="EMP",18*AF853-100,18*AF853-100+AE853)</f>
        <v>683900</v>
      </c>
      <c r="AI853" s="95">
        <v>39000</v>
      </c>
      <c r="AJ853" s="99"/>
      <c r="AK853" s="100" t="s">
        <v>43</v>
      </c>
      <c r="AL853" s="100" t="s">
        <v>43</v>
      </c>
      <c r="AM853" s="100" t="s">
        <v>43</v>
      </c>
      <c r="AN853" s="100" t="s">
        <v>43</v>
      </c>
      <c r="AO853" s="100" t="s">
        <v>43</v>
      </c>
      <c r="AP853" s="100" t="s">
        <v>43</v>
      </c>
      <c r="AQ853" s="100" t="s">
        <v>43</v>
      </c>
      <c r="AR853" s="100" t="s">
        <v>43</v>
      </c>
      <c r="AS853" s="100" t="s">
        <v>43</v>
      </c>
    </row>
    <row r="854" spans="1:45" s="101" customFormat="1" x14ac:dyDescent="0.25">
      <c r="A854" s="90" t="s">
        <v>38</v>
      </c>
      <c r="B854" s="90" t="s">
        <v>40</v>
      </c>
      <c r="C854" s="90" t="s">
        <v>39</v>
      </c>
      <c r="D854" s="90" t="s">
        <v>4539</v>
      </c>
      <c r="E854" s="90" t="s">
        <v>4538</v>
      </c>
      <c r="F854" s="91"/>
      <c r="G854" s="92">
        <v>70014120</v>
      </c>
      <c r="H854" s="91" t="s">
        <v>4370</v>
      </c>
      <c r="I854" s="93" t="s">
        <v>41</v>
      </c>
      <c r="J854" s="94" t="s">
        <v>2940</v>
      </c>
      <c r="K854" s="94" t="s">
        <v>3064</v>
      </c>
      <c r="L854" s="94" t="s">
        <v>3211</v>
      </c>
      <c r="M854" s="95">
        <v>293900</v>
      </c>
      <c r="N854" s="95">
        <v>4000</v>
      </c>
      <c r="O854" s="95">
        <v>6000</v>
      </c>
      <c r="P854" s="96">
        <v>349990</v>
      </c>
      <c r="Q854" s="152"/>
      <c r="R854" s="95">
        <v>293900</v>
      </c>
      <c r="S854" s="95">
        <v>11704.166666666666</v>
      </c>
      <c r="T854" s="95">
        <v>293900</v>
      </c>
      <c r="U854" s="95">
        <v>11704.166666666666</v>
      </c>
      <c r="V854" s="95">
        <v>293900</v>
      </c>
      <c r="W854" s="95">
        <v>11704.166666666666</v>
      </c>
      <c r="X854" s="128"/>
      <c r="Y854" s="95">
        <v>50900</v>
      </c>
      <c r="Z854" s="95">
        <v>16000</v>
      </c>
      <c r="AA854" s="95">
        <f>IFERROR(IF(D854="Premium",0.4*Y854,0),"No Disp")</f>
        <v>0</v>
      </c>
      <c r="AB854" s="95">
        <f>IFERROR(IF(4*Y854&gt;AC854,1.5*Y854,4*Y854),"No Disp")</f>
        <v>203600</v>
      </c>
      <c r="AC854" s="95">
        <f>IF(Z854="No Disp","No Disp",(Z854*18)+Y854)</f>
        <v>338900</v>
      </c>
      <c r="AD854" s="95">
        <f>IF($H854="EMP",18*Z854-100,18*Z854-100+Y854)</f>
        <v>287900</v>
      </c>
      <c r="AE854" s="95">
        <v>50900</v>
      </c>
      <c r="AF854" s="95">
        <v>16000</v>
      </c>
      <c r="AG854" s="95">
        <f>IF(AF854="No Disp","No Disp",(AF854*18)+AE854)</f>
        <v>338900</v>
      </c>
      <c r="AH854" s="98">
        <f>IF($H854="EMP",18*AF854-100,18*AF854-100+AE854)</f>
        <v>287900</v>
      </c>
      <c r="AI854" s="95">
        <v>18000</v>
      </c>
      <c r="AJ854" s="99"/>
      <c r="AK854" s="100" t="s">
        <v>43</v>
      </c>
      <c r="AL854" s="100" t="s">
        <v>43</v>
      </c>
      <c r="AM854" s="100" t="s">
        <v>43</v>
      </c>
      <c r="AN854" s="100" t="s">
        <v>43</v>
      </c>
      <c r="AO854" s="100" t="s">
        <v>43</v>
      </c>
      <c r="AP854" s="100" t="s">
        <v>43</v>
      </c>
      <c r="AQ854" s="100" t="s">
        <v>43</v>
      </c>
      <c r="AR854" s="100" t="s">
        <v>43</v>
      </c>
      <c r="AS854" s="100" t="s">
        <v>43</v>
      </c>
    </row>
    <row r="855" spans="1:45" s="101" customFormat="1" x14ac:dyDescent="0.25">
      <c r="A855" s="90" t="s">
        <v>38</v>
      </c>
      <c r="B855" s="90" t="s">
        <v>40</v>
      </c>
      <c r="C855" s="90" t="s">
        <v>39</v>
      </c>
      <c r="D855" s="90" t="s">
        <v>4539</v>
      </c>
      <c r="E855" s="90" t="s">
        <v>4538</v>
      </c>
      <c r="F855" s="91"/>
      <c r="G855" s="92">
        <v>70014122</v>
      </c>
      <c r="H855" s="91" t="s">
        <v>4370</v>
      </c>
      <c r="I855" s="93" t="s">
        <v>41</v>
      </c>
      <c r="J855" s="94" t="s">
        <v>2940</v>
      </c>
      <c r="K855" s="94" t="s">
        <v>3060</v>
      </c>
      <c r="L855" s="94" t="s">
        <v>3207</v>
      </c>
      <c r="M855" s="95">
        <v>293900</v>
      </c>
      <c r="N855" s="95">
        <v>4000</v>
      </c>
      <c r="O855" s="95">
        <v>6000</v>
      </c>
      <c r="P855" s="96">
        <v>349990</v>
      </c>
      <c r="Q855" s="152"/>
      <c r="R855" s="95">
        <v>293900</v>
      </c>
      <c r="S855" s="95">
        <v>11704.166666666666</v>
      </c>
      <c r="T855" s="95">
        <v>293900</v>
      </c>
      <c r="U855" s="95">
        <v>11704.166666666666</v>
      </c>
      <c r="V855" s="95">
        <v>293900</v>
      </c>
      <c r="W855" s="95">
        <v>11704.166666666666</v>
      </c>
      <c r="X855" s="128"/>
      <c r="Y855" s="95">
        <v>50900</v>
      </c>
      <c r="Z855" s="95">
        <v>16000</v>
      </c>
      <c r="AA855" s="95">
        <f>IFERROR(IF(D855="Premium",0.4*Y855,0),"No Disp")</f>
        <v>0</v>
      </c>
      <c r="AB855" s="95">
        <f>IFERROR(IF(4*Y855&gt;AC855,1.5*Y855,4*Y855),"No Disp")</f>
        <v>203600</v>
      </c>
      <c r="AC855" s="95">
        <f>IF(Z855="No Disp","No Disp",(Z855*18)+Y855)</f>
        <v>338900</v>
      </c>
      <c r="AD855" s="95">
        <f>IF($H855="EMP",18*Z855-100,18*Z855-100+Y855)</f>
        <v>287900</v>
      </c>
      <c r="AE855" s="95">
        <v>50900</v>
      </c>
      <c r="AF855" s="95">
        <v>16000</v>
      </c>
      <c r="AG855" s="95">
        <f>IF(AF855="No Disp","No Disp",(AF855*18)+AE855)</f>
        <v>338900</v>
      </c>
      <c r="AH855" s="98">
        <f>IF($H855="EMP",18*AF855-100,18*AF855-100+AE855)</f>
        <v>287900</v>
      </c>
      <c r="AI855" s="95">
        <v>18000</v>
      </c>
      <c r="AJ855" s="99"/>
      <c r="AK855" s="100" t="s">
        <v>43</v>
      </c>
      <c r="AL855" s="100" t="s">
        <v>43</v>
      </c>
      <c r="AM855" s="100" t="s">
        <v>43</v>
      </c>
      <c r="AN855" s="100" t="s">
        <v>43</v>
      </c>
      <c r="AO855" s="100" t="s">
        <v>43</v>
      </c>
      <c r="AP855" s="100" t="s">
        <v>43</v>
      </c>
      <c r="AQ855" s="100" t="s">
        <v>43</v>
      </c>
      <c r="AR855" s="100" t="s">
        <v>43</v>
      </c>
      <c r="AS855" s="100" t="s">
        <v>43</v>
      </c>
    </row>
    <row r="856" spans="1:45" s="101" customFormat="1" x14ac:dyDescent="0.25">
      <c r="A856" s="90" t="s">
        <v>38</v>
      </c>
      <c r="B856" s="90" t="s">
        <v>40</v>
      </c>
      <c r="C856" s="90" t="s">
        <v>39</v>
      </c>
      <c r="D856" s="90" t="s">
        <v>4539</v>
      </c>
      <c r="E856" s="90" t="s">
        <v>4538</v>
      </c>
      <c r="F856" s="91"/>
      <c r="G856" s="92">
        <v>70014124</v>
      </c>
      <c r="H856" s="91" t="s">
        <v>4370</v>
      </c>
      <c r="I856" s="93" t="s">
        <v>41</v>
      </c>
      <c r="J856" s="94" t="s">
        <v>2940</v>
      </c>
      <c r="K856" s="94" t="s">
        <v>3062</v>
      </c>
      <c r="L856" s="94" t="s">
        <v>3209</v>
      </c>
      <c r="M856" s="95">
        <v>293900</v>
      </c>
      <c r="N856" s="95">
        <v>4000</v>
      </c>
      <c r="O856" s="95">
        <v>6000</v>
      </c>
      <c r="P856" s="96">
        <v>349990</v>
      </c>
      <c r="Q856" s="152"/>
      <c r="R856" s="95">
        <v>293900</v>
      </c>
      <c r="S856" s="95">
        <v>11704.166666666666</v>
      </c>
      <c r="T856" s="95">
        <v>293900</v>
      </c>
      <c r="U856" s="95">
        <v>11704.166666666666</v>
      </c>
      <c r="V856" s="95">
        <v>293900</v>
      </c>
      <c r="W856" s="95">
        <v>11704.166666666666</v>
      </c>
      <c r="X856" s="128"/>
      <c r="Y856" s="95">
        <v>50900</v>
      </c>
      <c r="Z856" s="95">
        <v>16000</v>
      </c>
      <c r="AA856" s="95">
        <f>IFERROR(IF(D856="Premium",0.4*Y856,0),"No Disp")</f>
        <v>0</v>
      </c>
      <c r="AB856" s="95">
        <f>IFERROR(IF(4*Y856&gt;AC856,1.5*Y856,4*Y856),"No Disp")</f>
        <v>203600</v>
      </c>
      <c r="AC856" s="95">
        <f>IF(Z856="No Disp","No Disp",(Z856*18)+Y856)</f>
        <v>338900</v>
      </c>
      <c r="AD856" s="95">
        <f>IF($H856="EMP",18*Z856-100,18*Z856-100+Y856)</f>
        <v>287900</v>
      </c>
      <c r="AE856" s="95">
        <v>50900</v>
      </c>
      <c r="AF856" s="95">
        <v>16000</v>
      </c>
      <c r="AG856" s="95">
        <f>IF(AF856="No Disp","No Disp",(AF856*18)+AE856)</f>
        <v>338900</v>
      </c>
      <c r="AH856" s="98">
        <f>IF($H856="EMP",18*AF856-100,18*AF856-100+AE856)</f>
        <v>287900</v>
      </c>
      <c r="AI856" s="95">
        <v>18000</v>
      </c>
      <c r="AJ856" s="99"/>
      <c r="AK856" s="100" t="s">
        <v>43</v>
      </c>
      <c r="AL856" s="100" t="s">
        <v>43</v>
      </c>
      <c r="AM856" s="100" t="s">
        <v>43</v>
      </c>
      <c r="AN856" s="100" t="s">
        <v>43</v>
      </c>
      <c r="AO856" s="100" t="s">
        <v>43</v>
      </c>
      <c r="AP856" s="100" t="s">
        <v>43</v>
      </c>
      <c r="AQ856" s="100" t="s">
        <v>43</v>
      </c>
      <c r="AR856" s="100" t="s">
        <v>43</v>
      </c>
      <c r="AS856" s="100" t="s">
        <v>43</v>
      </c>
    </row>
    <row r="857" spans="1:45" s="101" customFormat="1" x14ac:dyDescent="0.25">
      <c r="A857" s="90" t="s">
        <v>38</v>
      </c>
      <c r="B857" s="90" t="s">
        <v>40</v>
      </c>
      <c r="C857" s="90" t="s">
        <v>39</v>
      </c>
      <c r="D857" s="90" t="s">
        <v>4539</v>
      </c>
      <c r="E857" s="90" t="s">
        <v>4538</v>
      </c>
      <c r="F857" s="91"/>
      <c r="G857" s="92">
        <v>70014103</v>
      </c>
      <c r="H857" s="91" t="s">
        <v>4370</v>
      </c>
      <c r="I857" s="93" t="s">
        <v>41</v>
      </c>
      <c r="J857" s="94" t="s">
        <v>2940</v>
      </c>
      <c r="K857" s="94" t="s">
        <v>3065</v>
      </c>
      <c r="L857" s="94" t="s">
        <v>3212</v>
      </c>
      <c r="M857" s="95">
        <v>293900</v>
      </c>
      <c r="N857" s="95">
        <v>4000</v>
      </c>
      <c r="O857" s="95">
        <v>6000</v>
      </c>
      <c r="P857" s="96">
        <v>349990</v>
      </c>
      <c r="Q857" s="152"/>
      <c r="R857" s="95">
        <v>293900</v>
      </c>
      <c r="S857" s="95">
        <v>11704.166666666666</v>
      </c>
      <c r="T857" s="95">
        <v>293900</v>
      </c>
      <c r="U857" s="95">
        <v>11704.166666666666</v>
      </c>
      <c r="V857" s="95">
        <v>293900</v>
      </c>
      <c r="W857" s="95">
        <v>11704.166666666666</v>
      </c>
      <c r="X857" s="128"/>
      <c r="Y857" s="95">
        <v>50900</v>
      </c>
      <c r="Z857" s="95">
        <v>16000</v>
      </c>
      <c r="AA857" s="95">
        <f>IFERROR(IF(D857="Premium",0.4*Y857,0),"No Disp")</f>
        <v>0</v>
      </c>
      <c r="AB857" s="95">
        <f>IFERROR(IF(4*Y857&gt;AC857,1.5*Y857,4*Y857),"No Disp")</f>
        <v>203600</v>
      </c>
      <c r="AC857" s="95">
        <f>IF(Z857="No Disp","No Disp",(Z857*18)+Y857)</f>
        <v>338900</v>
      </c>
      <c r="AD857" s="95">
        <f>IF($H857="EMP",18*Z857-100,18*Z857-100+Y857)</f>
        <v>287900</v>
      </c>
      <c r="AE857" s="95">
        <v>50900</v>
      </c>
      <c r="AF857" s="95">
        <v>16000</v>
      </c>
      <c r="AG857" s="95">
        <f>IF(AF857="No Disp","No Disp",(AF857*18)+AE857)</f>
        <v>338900</v>
      </c>
      <c r="AH857" s="98">
        <f>IF($H857="EMP",18*AF857-100,18*AF857-100+AE857)</f>
        <v>287900</v>
      </c>
      <c r="AI857" s="95">
        <v>18000</v>
      </c>
      <c r="AJ857" s="99"/>
      <c r="AK857" s="100" t="s">
        <v>43</v>
      </c>
      <c r="AL857" s="100" t="s">
        <v>43</v>
      </c>
      <c r="AM857" s="100" t="s">
        <v>43</v>
      </c>
      <c r="AN857" s="100" t="s">
        <v>43</v>
      </c>
      <c r="AO857" s="100" t="s">
        <v>43</v>
      </c>
      <c r="AP857" s="100" t="s">
        <v>43</v>
      </c>
      <c r="AQ857" s="100" t="s">
        <v>43</v>
      </c>
      <c r="AR857" s="100" t="s">
        <v>43</v>
      </c>
      <c r="AS857" s="100" t="s">
        <v>43</v>
      </c>
    </row>
    <row r="858" spans="1:45" s="101" customFormat="1" x14ac:dyDescent="0.25">
      <c r="A858" s="90" t="s">
        <v>38</v>
      </c>
      <c r="B858" s="90" t="s">
        <v>40</v>
      </c>
      <c r="C858" s="90" t="s">
        <v>39</v>
      </c>
      <c r="D858" s="90" t="s">
        <v>4539</v>
      </c>
      <c r="E858" s="90" t="s">
        <v>4538</v>
      </c>
      <c r="F858" s="91"/>
      <c r="G858" s="92">
        <v>70014104</v>
      </c>
      <c r="H858" s="91" t="s">
        <v>4370</v>
      </c>
      <c r="I858" s="93" t="s">
        <v>41</v>
      </c>
      <c r="J858" s="94" t="s">
        <v>2940</v>
      </c>
      <c r="K858" s="94" t="s">
        <v>3061</v>
      </c>
      <c r="L858" s="94" t="s">
        <v>3208</v>
      </c>
      <c r="M858" s="95">
        <v>293900</v>
      </c>
      <c r="N858" s="95">
        <v>4000</v>
      </c>
      <c r="O858" s="95">
        <v>6000</v>
      </c>
      <c r="P858" s="96">
        <v>349990</v>
      </c>
      <c r="Q858" s="152"/>
      <c r="R858" s="95">
        <v>293900</v>
      </c>
      <c r="S858" s="95">
        <v>11704.166666666666</v>
      </c>
      <c r="T858" s="95">
        <v>293900</v>
      </c>
      <c r="U858" s="95">
        <v>11704.166666666666</v>
      </c>
      <c r="V858" s="95">
        <v>293900</v>
      </c>
      <c r="W858" s="95">
        <v>11704.166666666666</v>
      </c>
      <c r="X858" s="128"/>
      <c r="Y858" s="95">
        <v>50900</v>
      </c>
      <c r="Z858" s="95">
        <v>16000</v>
      </c>
      <c r="AA858" s="95">
        <f>IFERROR(IF(D858="Premium",0.4*Y858,0),"No Disp")</f>
        <v>0</v>
      </c>
      <c r="AB858" s="95">
        <f>IFERROR(IF(4*Y858&gt;AC858,1.5*Y858,4*Y858),"No Disp")</f>
        <v>203600</v>
      </c>
      <c r="AC858" s="95">
        <f>IF(Z858="No Disp","No Disp",(Z858*18)+Y858)</f>
        <v>338900</v>
      </c>
      <c r="AD858" s="95">
        <f>IF($H858="EMP",18*Z858-100,18*Z858-100+Y858)</f>
        <v>287900</v>
      </c>
      <c r="AE858" s="95">
        <v>50900</v>
      </c>
      <c r="AF858" s="95">
        <v>16000</v>
      </c>
      <c r="AG858" s="95">
        <f>IF(AF858="No Disp","No Disp",(AF858*18)+AE858)</f>
        <v>338900</v>
      </c>
      <c r="AH858" s="98">
        <f>IF($H858="EMP",18*AF858-100,18*AF858-100+AE858)</f>
        <v>287900</v>
      </c>
      <c r="AI858" s="95">
        <v>18000</v>
      </c>
      <c r="AJ858" s="99"/>
      <c r="AK858" s="100" t="s">
        <v>43</v>
      </c>
      <c r="AL858" s="100" t="s">
        <v>43</v>
      </c>
      <c r="AM858" s="100" t="s">
        <v>43</v>
      </c>
      <c r="AN858" s="100" t="s">
        <v>43</v>
      </c>
      <c r="AO858" s="100" t="s">
        <v>43</v>
      </c>
      <c r="AP858" s="100" t="s">
        <v>43</v>
      </c>
      <c r="AQ858" s="100" t="s">
        <v>43</v>
      </c>
      <c r="AR858" s="100" t="s">
        <v>43</v>
      </c>
      <c r="AS858" s="100" t="s">
        <v>43</v>
      </c>
    </row>
    <row r="859" spans="1:45" s="101" customFormat="1" x14ac:dyDescent="0.25">
      <c r="A859" s="90" t="s">
        <v>38</v>
      </c>
      <c r="B859" s="90" t="s">
        <v>40</v>
      </c>
      <c r="C859" s="90" t="s">
        <v>39</v>
      </c>
      <c r="D859" s="90" t="s">
        <v>4539</v>
      </c>
      <c r="E859" s="90" t="s">
        <v>4538</v>
      </c>
      <c r="F859" s="91"/>
      <c r="G859" s="92">
        <v>70014105</v>
      </c>
      <c r="H859" s="91" t="s">
        <v>4370</v>
      </c>
      <c r="I859" s="93" t="s">
        <v>41</v>
      </c>
      <c r="J859" s="94" t="s">
        <v>2940</v>
      </c>
      <c r="K859" s="94" t="s">
        <v>3063</v>
      </c>
      <c r="L859" s="94" t="s">
        <v>3210</v>
      </c>
      <c r="M859" s="95">
        <v>293900</v>
      </c>
      <c r="N859" s="95">
        <v>4000</v>
      </c>
      <c r="O859" s="95">
        <v>6000</v>
      </c>
      <c r="P859" s="96">
        <v>349990</v>
      </c>
      <c r="Q859" s="152"/>
      <c r="R859" s="95">
        <v>293900</v>
      </c>
      <c r="S859" s="95">
        <v>11704.166666666666</v>
      </c>
      <c r="T859" s="95">
        <v>293900</v>
      </c>
      <c r="U859" s="95">
        <v>11704.166666666666</v>
      </c>
      <c r="V859" s="95">
        <v>293900</v>
      </c>
      <c r="W859" s="95">
        <v>11704.166666666666</v>
      </c>
      <c r="X859" s="128"/>
      <c r="Y859" s="95">
        <v>50900</v>
      </c>
      <c r="Z859" s="95">
        <v>16000</v>
      </c>
      <c r="AA859" s="95">
        <f>IFERROR(IF(D859="Premium",0.4*Y859,0),"No Disp")</f>
        <v>0</v>
      </c>
      <c r="AB859" s="95">
        <f>IFERROR(IF(4*Y859&gt;AC859,1.5*Y859,4*Y859),"No Disp")</f>
        <v>203600</v>
      </c>
      <c r="AC859" s="95">
        <f>IF(Z859="No Disp","No Disp",(Z859*18)+Y859)</f>
        <v>338900</v>
      </c>
      <c r="AD859" s="95">
        <f>IF($H859="EMP",18*Z859-100,18*Z859-100+Y859)</f>
        <v>287900</v>
      </c>
      <c r="AE859" s="95">
        <v>50900</v>
      </c>
      <c r="AF859" s="95">
        <v>16000</v>
      </c>
      <c r="AG859" s="95">
        <f>IF(AF859="No Disp","No Disp",(AF859*18)+AE859)</f>
        <v>338900</v>
      </c>
      <c r="AH859" s="98">
        <f>IF($H859="EMP",18*AF859-100,18*AF859-100+AE859)</f>
        <v>287900</v>
      </c>
      <c r="AI859" s="95">
        <v>18000</v>
      </c>
      <c r="AJ859" s="99"/>
      <c r="AK859" s="100" t="s">
        <v>43</v>
      </c>
      <c r="AL859" s="100" t="s">
        <v>43</v>
      </c>
      <c r="AM859" s="100" t="s">
        <v>43</v>
      </c>
      <c r="AN859" s="100" t="s">
        <v>43</v>
      </c>
      <c r="AO859" s="100" t="s">
        <v>43</v>
      </c>
      <c r="AP859" s="100" t="s">
        <v>43</v>
      </c>
      <c r="AQ859" s="100" t="s">
        <v>43</v>
      </c>
      <c r="AR859" s="100" t="s">
        <v>43</v>
      </c>
      <c r="AS859" s="100" t="s">
        <v>43</v>
      </c>
    </row>
    <row r="860" spans="1:45" s="101" customFormat="1" x14ac:dyDescent="0.25">
      <c r="A860" s="90" t="s">
        <v>38</v>
      </c>
      <c r="B860" s="90" t="s">
        <v>39</v>
      </c>
      <c r="C860" s="90" t="s">
        <v>39</v>
      </c>
      <c r="D860" s="90" t="s">
        <v>4540</v>
      </c>
      <c r="E860" s="90" t="s">
        <v>4538</v>
      </c>
      <c r="F860" s="91">
        <v>682</v>
      </c>
      <c r="G860" s="92">
        <v>70015386</v>
      </c>
      <c r="H860" s="91" t="s">
        <v>4370</v>
      </c>
      <c r="I860" s="93" t="s">
        <v>63</v>
      </c>
      <c r="J860" s="94" t="s">
        <v>4079</v>
      </c>
      <c r="K860" s="94" t="s">
        <v>4100</v>
      </c>
      <c r="L860" s="94" t="s">
        <v>4136</v>
      </c>
      <c r="M860" s="95">
        <v>970900</v>
      </c>
      <c r="N860" s="95">
        <v>7000</v>
      </c>
      <c r="O860" s="95">
        <v>10000</v>
      </c>
      <c r="P860" s="96">
        <v>999990</v>
      </c>
      <c r="Q860" s="152"/>
      <c r="R860" s="95">
        <v>970900</v>
      </c>
      <c r="S860" s="95">
        <v>41666.25</v>
      </c>
      <c r="T860" s="95">
        <v>970900</v>
      </c>
      <c r="U860" s="95">
        <v>41245.833333333336</v>
      </c>
      <c r="V860" s="95">
        <v>970900</v>
      </c>
      <c r="W860" s="95">
        <v>41245.833333333336</v>
      </c>
      <c r="X860" s="128"/>
      <c r="Y860" s="95">
        <v>334900</v>
      </c>
      <c r="Z860" s="95">
        <v>44000</v>
      </c>
      <c r="AA860" s="95">
        <f>IFERROR(IF(D860="Premium",0.4*Y860,0),"No Disp")</f>
        <v>133960</v>
      </c>
      <c r="AB860" s="95">
        <f>IFERROR(IF(4*Y860&gt;AC860,1.5*Y860,4*Y860),"No Disp")</f>
        <v>502350</v>
      </c>
      <c r="AC860" s="95">
        <f>IF(Z860="No Disp","No Disp",(Z860*18)+Y860)</f>
        <v>1126900</v>
      </c>
      <c r="AD860" s="95">
        <f>IF($H860="EMP",18*Z860-100,18*Z860-100+Y860)</f>
        <v>791900</v>
      </c>
      <c r="AE860" s="95">
        <v>334900</v>
      </c>
      <c r="AF860" s="95">
        <v>44000</v>
      </c>
      <c r="AG860" s="95">
        <f>IF(AF860="No Disp","No Disp",(AF860*18)+AE860)</f>
        <v>1126900</v>
      </c>
      <c r="AH860" s="98">
        <f>IF($H860="EMP",18*AF860-100,18*AF860-100+AE860)</f>
        <v>791900</v>
      </c>
      <c r="AI860" s="95">
        <v>62000</v>
      </c>
      <c r="AJ860" s="99"/>
      <c r="AK860" s="100" t="s">
        <v>43</v>
      </c>
      <c r="AL860" s="100" t="s">
        <v>43</v>
      </c>
      <c r="AM860" s="100" t="s">
        <v>43</v>
      </c>
      <c r="AN860" s="100" t="s">
        <v>43</v>
      </c>
      <c r="AO860" s="100" t="s">
        <v>43</v>
      </c>
      <c r="AP860" s="100" t="s">
        <v>43</v>
      </c>
      <c r="AQ860" s="100" t="s">
        <v>43</v>
      </c>
      <c r="AR860" s="100" t="s">
        <v>43</v>
      </c>
      <c r="AS860" s="100" t="s">
        <v>43</v>
      </c>
    </row>
    <row r="861" spans="1:45" s="101" customFormat="1" x14ac:dyDescent="0.25">
      <c r="A861" s="90" t="s">
        <v>38</v>
      </c>
      <c r="B861" s="90" t="s">
        <v>39</v>
      </c>
      <c r="C861" s="90" t="s">
        <v>39</v>
      </c>
      <c r="D861" s="90" t="s">
        <v>4540</v>
      </c>
      <c r="E861" s="90" t="s">
        <v>4538</v>
      </c>
      <c r="F861" s="91">
        <v>684</v>
      </c>
      <c r="G861" s="92">
        <v>70015394</v>
      </c>
      <c r="H861" s="91" t="s">
        <v>4370</v>
      </c>
      <c r="I861" s="93" t="s">
        <v>63</v>
      </c>
      <c r="J861" s="94" t="s">
        <v>4079</v>
      </c>
      <c r="K861" s="94" t="s">
        <v>4102</v>
      </c>
      <c r="L861" s="94" t="s">
        <v>4138</v>
      </c>
      <c r="M861" s="95">
        <v>970900</v>
      </c>
      <c r="N861" s="95">
        <v>7000</v>
      </c>
      <c r="O861" s="95">
        <v>10000</v>
      </c>
      <c r="P861" s="96">
        <v>999990</v>
      </c>
      <c r="Q861" s="152"/>
      <c r="R861" s="95">
        <v>970900</v>
      </c>
      <c r="S861" s="95">
        <v>41666.25</v>
      </c>
      <c r="T861" s="95">
        <v>970900</v>
      </c>
      <c r="U861" s="95">
        <v>41245.833333333336</v>
      </c>
      <c r="V861" s="95">
        <v>970900</v>
      </c>
      <c r="W861" s="95">
        <v>41245.833333333336</v>
      </c>
      <c r="X861" s="128"/>
      <c r="Y861" s="95">
        <v>334900</v>
      </c>
      <c r="Z861" s="95">
        <v>44000</v>
      </c>
      <c r="AA861" s="95">
        <f>IFERROR(IF(D861="Premium",0.4*Y861,0),"No Disp")</f>
        <v>133960</v>
      </c>
      <c r="AB861" s="95">
        <f>IFERROR(IF(4*Y861&gt;AC861,1.5*Y861,4*Y861),"No Disp")</f>
        <v>502350</v>
      </c>
      <c r="AC861" s="95">
        <f>IF(Z861="No Disp","No Disp",(Z861*18)+Y861)</f>
        <v>1126900</v>
      </c>
      <c r="AD861" s="95">
        <f>IF($H861="EMP",18*Z861-100,18*Z861-100+Y861)</f>
        <v>791900</v>
      </c>
      <c r="AE861" s="95">
        <v>334900</v>
      </c>
      <c r="AF861" s="95">
        <v>44000</v>
      </c>
      <c r="AG861" s="95">
        <f>IF(AF861="No Disp","No Disp",(AF861*18)+AE861)</f>
        <v>1126900</v>
      </c>
      <c r="AH861" s="98">
        <f>IF($H861="EMP",18*AF861-100,18*AF861-100+AE861)</f>
        <v>791900</v>
      </c>
      <c r="AI861" s="95">
        <v>62000</v>
      </c>
      <c r="AJ861" s="99"/>
      <c r="AK861" s="100" t="s">
        <v>43</v>
      </c>
      <c r="AL861" s="100" t="s">
        <v>43</v>
      </c>
      <c r="AM861" s="100" t="s">
        <v>43</v>
      </c>
      <c r="AN861" s="100" t="s">
        <v>43</v>
      </c>
      <c r="AO861" s="100" t="s">
        <v>43</v>
      </c>
      <c r="AP861" s="100" t="s">
        <v>43</v>
      </c>
      <c r="AQ861" s="100" t="s">
        <v>43</v>
      </c>
      <c r="AR861" s="100" t="s">
        <v>43</v>
      </c>
      <c r="AS861" s="100" t="s">
        <v>43</v>
      </c>
    </row>
    <row r="862" spans="1:45" s="101" customFormat="1" x14ac:dyDescent="0.25">
      <c r="A862" s="90" t="s">
        <v>38</v>
      </c>
      <c r="B862" s="90" t="s">
        <v>39</v>
      </c>
      <c r="C862" s="90" t="s">
        <v>39</v>
      </c>
      <c r="D862" s="90" t="s">
        <v>4540</v>
      </c>
      <c r="E862" s="90" t="s">
        <v>4538</v>
      </c>
      <c r="F862" s="91">
        <v>686</v>
      </c>
      <c r="G862" s="92">
        <v>70015399</v>
      </c>
      <c r="H862" s="91" t="s">
        <v>4370</v>
      </c>
      <c r="I862" s="93" t="s">
        <v>63</v>
      </c>
      <c r="J862" s="94" t="s">
        <v>4079</v>
      </c>
      <c r="K862" s="94" t="s">
        <v>4104</v>
      </c>
      <c r="L862" s="94" t="s">
        <v>4140</v>
      </c>
      <c r="M862" s="95">
        <v>970900</v>
      </c>
      <c r="N862" s="95">
        <v>7000</v>
      </c>
      <c r="O862" s="95">
        <v>10000</v>
      </c>
      <c r="P862" s="96">
        <v>999990</v>
      </c>
      <c r="Q862" s="152"/>
      <c r="R862" s="95">
        <v>970900</v>
      </c>
      <c r="S862" s="95">
        <v>41666.25</v>
      </c>
      <c r="T862" s="95">
        <v>970900</v>
      </c>
      <c r="U862" s="95">
        <v>41245.833333333336</v>
      </c>
      <c r="V862" s="95">
        <v>970900</v>
      </c>
      <c r="W862" s="95">
        <v>41245.833333333336</v>
      </c>
      <c r="X862" s="128"/>
      <c r="Y862" s="95">
        <v>334900</v>
      </c>
      <c r="Z862" s="95">
        <v>44000</v>
      </c>
      <c r="AA862" s="95">
        <f>IFERROR(IF(D862="Premium",0.4*Y862,0),"No Disp")</f>
        <v>133960</v>
      </c>
      <c r="AB862" s="95">
        <f>IFERROR(IF(4*Y862&gt;AC862,1.5*Y862,4*Y862),"No Disp")</f>
        <v>502350</v>
      </c>
      <c r="AC862" s="95">
        <f>IF(Z862="No Disp","No Disp",(Z862*18)+Y862)</f>
        <v>1126900</v>
      </c>
      <c r="AD862" s="95">
        <f>IF($H862="EMP",18*Z862-100,18*Z862-100+Y862)</f>
        <v>791900</v>
      </c>
      <c r="AE862" s="95">
        <v>334900</v>
      </c>
      <c r="AF862" s="95">
        <v>44000</v>
      </c>
      <c r="AG862" s="95">
        <f>IF(AF862="No Disp","No Disp",(AF862*18)+AE862)</f>
        <v>1126900</v>
      </c>
      <c r="AH862" s="98">
        <f>IF($H862="EMP",18*AF862-100,18*AF862-100+AE862)</f>
        <v>791900</v>
      </c>
      <c r="AI862" s="95">
        <v>62000</v>
      </c>
      <c r="AJ862" s="99"/>
      <c r="AK862" s="100" t="s">
        <v>43</v>
      </c>
      <c r="AL862" s="100" t="s">
        <v>43</v>
      </c>
      <c r="AM862" s="100" t="s">
        <v>43</v>
      </c>
      <c r="AN862" s="100" t="s">
        <v>43</v>
      </c>
      <c r="AO862" s="100" t="s">
        <v>43</v>
      </c>
      <c r="AP862" s="100" t="s">
        <v>43</v>
      </c>
      <c r="AQ862" s="100" t="s">
        <v>43</v>
      </c>
      <c r="AR862" s="100" t="s">
        <v>43</v>
      </c>
      <c r="AS862" s="100" t="s">
        <v>43</v>
      </c>
    </row>
    <row r="863" spans="1:45" s="101" customFormat="1" x14ac:dyDescent="0.25">
      <c r="A863" s="90" t="s">
        <v>38</v>
      </c>
      <c r="B863" s="90" t="s">
        <v>39</v>
      </c>
      <c r="C863" s="90" t="s">
        <v>39</v>
      </c>
      <c r="D863" s="90" t="s">
        <v>4540</v>
      </c>
      <c r="E863" s="90" t="s">
        <v>4538</v>
      </c>
      <c r="F863" s="91">
        <v>688</v>
      </c>
      <c r="G863" s="92">
        <v>70015408</v>
      </c>
      <c r="H863" s="91" t="s">
        <v>4370</v>
      </c>
      <c r="I863" s="93" t="s">
        <v>63</v>
      </c>
      <c r="J863" s="94" t="s">
        <v>4079</v>
      </c>
      <c r="K863" s="94" t="s">
        <v>4106</v>
      </c>
      <c r="L863" s="94" t="s">
        <v>4142</v>
      </c>
      <c r="M863" s="95">
        <v>970900</v>
      </c>
      <c r="N863" s="95">
        <v>7000</v>
      </c>
      <c r="O863" s="95">
        <v>10000</v>
      </c>
      <c r="P863" s="96">
        <v>999990</v>
      </c>
      <c r="Q863" s="152"/>
      <c r="R863" s="95">
        <v>970900</v>
      </c>
      <c r="S863" s="95">
        <v>41666.25</v>
      </c>
      <c r="T863" s="95">
        <v>970900</v>
      </c>
      <c r="U863" s="95">
        <v>41245.833333333336</v>
      </c>
      <c r="V863" s="95">
        <v>970900</v>
      </c>
      <c r="W863" s="95">
        <v>41245.833333333336</v>
      </c>
      <c r="X863" s="128"/>
      <c r="Y863" s="95">
        <v>334900</v>
      </c>
      <c r="Z863" s="95">
        <v>44000</v>
      </c>
      <c r="AA863" s="95">
        <f>IFERROR(IF(D863="Premium",0.4*Y863,0),"No Disp")</f>
        <v>133960</v>
      </c>
      <c r="AB863" s="95">
        <f>IFERROR(IF(4*Y863&gt;AC863,1.5*Y863,4*Y863),"No Disp")</f>
        <v>502350</v>
      </c>
      <c r="AC863" s="95">
        <f>IF(Z863="No Disp","No Disp",(Z863*18)+Y863)</f>
        <v>1126900</v>
      </c>
      <c r="AD863" s="95">
        <f>IF($H863="EMP",18*Z863-100,18*Z863-100+Y863)</f>
        <v>791900</v>
      </c>
      <c r="AE863" s="95">
        <v>334900</v>
      </c>
      <c r="AF863" s="95">
        <v>44000</v>
      </c>
      <c r="AG863" s="95">
        <f>IF(AF863="No Disp","No Disp",(AF863*18)+AE863)</f>
        <v>1126900</v>
      </c>
      <c r="AH863" s="98">
        <f>IF($H863="EMP",18*AF863-100,18*AF863-100+AE863)</f>
        <v>791900</v>
      </c>
      <c r="AI863" s="95">
        <v>62000</v>
      </c>
      <c r="AJ863" s="99"/>
      <c r="AK863" s="100" t="s">
        <v>43</v>
      </c>
      <c r="AL863" s="100" t="s">
        <v>43</v>
      </c>
      <c r="AM863" s="100" t="s">
        <v>43</v>
      </c>
      <c r="AN863" s="100" t="s">
        <v>43</v>
      </c>
      <c r="AO863" s="100" t="s">
        <v>43</v>
      </c>
      <c r="AP863" s="100" t="s">
        <v>43</v>
      </c>
      <c r="AQ863" s="100" t="s">
        <v>43</v>
      </c>
      <c r="AR863" s="100" t="s">
        <v>43</v>
      </c>
      <c r="AS863" s="100" t="s">
        <v>43</v>
      </c>
    </row>
    <row r="864" spans="1:45" s="101" customFormat="1" x14ac:dyDescent="0.25">
      <c r="A864" s="90" t="s">
        <v>38</v>
      </c>
      <c r="B864" s="90" t="s">
        <v>39</v>
      </c>
      <c r="C864" s="90" t="s">
        <v>39</v>
      </c>
      <c r="D864" s="90" t="s">
        <v>4540</v>
      </c>
      <c r="E864" s="90" t="s">
        <v>4538</v>
      </c>
      <c r="F864" s="91">
        <v>690</v>
      </c>
      <c r="G864" s="92">
        <v>70015390</v>
      </c>
      <c r="H864" s="91" t="s">
        <v>4370</v>
      </c>
      <c r="I864" s="93" t="s">
        <v>63</v>
      </c>
      <c r="J864" s="94" t="s">
        <v>4079</v>
      </c>
      <c r="K864" s="94" t="s">
        <v>4108</v>
      </c>
      <c r="L864" s="94" t="s">
        <v>4144</v>
      </c>
      <c r="M864" s="95">
        <v>970900</v>
      </c>
      <c r="N864" s="95">
        <v>7000</v>
      </c>
      <c r="O864" s="95">
        <v>10000</v>
      </c>
      <c r="P864" s="96">
        <v>999990</v>
      </c>
      <c r="Q864" s="152"/>
      <c r="R864" s="95">
        <v>970900</v>
      </c>
      <c r="S864" s="95">
        <v>41666.25</v>
      </c>
      <c r="T864" s="95">
        <v>970900</v>
      </c>
      <c r="U864" s="95">
        <v>41245.833333333336</v>
      </c>
      <c r="V864" s="95">
        <v>970900</v>
      </c>
      <c r="W864" s="95">
        <v>41245.833333333336</v>
      </c>
      <c r="X864" s="128"/>
      <c r="Y864" s="95">
        <v>334900</v>
      </c>
      <c r="Z864" s="95">
        <v>44000</v>
      </c>
      <c r="AA864" s="95">
        <f>IFERROR(IF(D864="Premium",0.4*Y864,0),"No Disp")</f>
        <v>133960</v>
      </c>
      <c r="AB864" s="95">
        <f>IFERROR(IF(4*Y864&gt;AC864,1.5*Y864,4*Y864),"No Disp")</f>
        <v>502350</v>
      </c>
      <c r="AC864" s="95">
        <f>IF(Z864="No Disp","No Disp",(Z864*18)+Y864)</f>
        <v>1126900</v>
      </c>
      <c r="AD864" s="95">
        <f>IF($H864="EMP",18*Z864-100,18*Z864-100+Y864)</f>
        <v>791900</v>
      </c>
      <c r="AE864" s="95">
        <v>334900</v>
      </c>
      <c r="AF864" s="95">
        <v>44000</v>
      </c>
      <c r="AG864" s="95">
        <f>IF(AF864="No Disp","No Disp",(AF864*18)+AE864)</f>
        <v>1126900</v>
      </c>
      <c r="AH864" s="98">
        <f>IF($H864="EMP",18*AF864-100,18*AF864-100+AE864)</f>
        <v>791900</v>
      </c>
      <c r="AI864" s="95">
        <v>62000</v>
      </c>
      <c r="AJ864" s="99"/>
      <c r="AK864" s="100" t="s">
        <v>43</v>
      </c>
      <c r="AL864" s="100" t="s">
        <v>43</v>
      </c>
      <c r="AM864" s="100" t="s">
        <v>43</v>
      </c>
      <c r="AN864" s="100" t="s">
        <v>43</v>
      </c>
      <c r="AO864" s="100" t="s">
        <v>43</v>
      </c>
      <c r="AP864" s="100" t="s">
        <v>43</v>
      </c>
      <c r="AQ864" s="100" t="s">
        <v>43</v>
      </c>
      <c r="AR864" s="100" t="s">
        <v>43</v>
      </c>
      <c r="AS864" s="100" t="s">
        <v>43</v>
      </c>
    </row>
    <row r="865" spans="1:45" s="101" customFormat="1" x14ac:dyDescent="0.25">
      <c r="A865" s="90" t="s">
        <v>38</v>
      </c>
      <c r="B865" s="90" t="s">
        <v>40</v>
      </c>
      <c r="C865" s="90" t="s">
        <v>39</v>
      </c>
      <c r="D865" s="90" t="s">
        <v>4539</v>
      </c>
      <c r="E865" s="90" t="s">
        <v>4538</v>
      </c>
      <c r="F865" s="91">
        <v>771</v>
      </c>
      <c r="G865" s="92">
        <v>70015252</v>
      </c>
      <c r="H865" s="91" t="s">
        <v>4370</v>
      </c>
      <c r="I865" s="93" t="s">
        <v>131</v>
      </c>
      <c r="J865" s="94" t="s">
        <v>4465</v>
      </c>
      <c r="K865" s="94" t="s">
        <v>4469</v>
      </c>
      <c r="L865" s="94" t="s">
        <v>4474</v>
      </c>
      <c r="M865" s="95">
        <v>185900</v>
      </c>
      <c r="N865" s="95">
        <v>4000</v>
      </c>
      <c r="O865" s="95">
        <v>6000</v>
      </c>
      <c r="P865" s="96">
        <v>259990</v>
      </c>
      <c r="Q865" s="152"/>
      <c r="R865" s="95">
        <v>185900</v>
      </c>
      <c r="S865" s="95">
        <v>31666.25</v>
      </c>
      <c r="T865" s="95">
        <v>185900</v>
      </c>
      <c r="U865" s="95">
        <v>28690</v>
      </c>
      <c r="V865" s="95">
        <v>185900</v>
      </c>
      <c r="W865" s="95">
        <v>28690</v>
      </c>
      <c r="X865" s="128"/>
      <c r="Y865" s="95">
        <v>0</v>
      </c>
      <c r="Z865" s="95">
        <v>12000</v>
      </c>
      <c r="AA865" s="95">
        <f>IFERROR(IF(D865="Premium",0.4*Y865,0),"No Disp")</f>
        <v>0</v>
      </c>
      <c r="AB865" s="95">
        <f>IFERROR(IF(4*Y865&gt;AC865,1.5*Y865,4*Y865),"No Disp")</f>
        <v>0</v>
      </c>
      <c r="AC865" s="95">
        <f>IF(Z865="No Disp","No Disp",(Z865*18)+Y865)</f>
        <v>216000</v>
      </c>
      <c r="AD865" s="95">
        <f>IF($H865="EMP",18*Z865-100,18*Z865-100+Y865)</f>
        <v>215900</v>
      </c>
      <c r="AE865" s="95">
        <v>0</v>
      </c>
      <c r="AF865" s="95">
        <v>12000</v>
      </c>
      <c r="AG865" s="95">
        <f>IF(AF865="No Disp","No Disp",(AF865*18)+AE865)</f>
        <v>216000</v>
      </c>
      <c r="AH865" s="98">
        <f>IF($H865="EMP",18*AF865-100,18*AF865-100+AE865)</f>
        <v>215900</v>
      </c>
      <c r="AI865" s="95">
        <v>12000</v>
      </c>
      <c r="AJ865" s="99"/>
      <c r="AK865" s="100" t="s">
        <v>43</v>
      </c>
      <c r="AL865" s="100" t="s">
        <v>43</v>
      </c>
      <c r="AM865" s="100" t="str">
        <f>IF(AL865&lt;&gt;"No Disp",AK865+12*AL865,"No Disp")</f>
        <v>No Disp</v>
      </c>
      <c r="AN865" s="100" t="s">
        <v>43</v>
      </c>
      <c r="AO865" s="100" t="s">
        <v>43</v>
      </c>
      <c r="AP865" s="100" t="str">
        <f>IF(AO865&lt;&gt;"No Disp",AN865+12*AO865,"No Disp")</f>
        <v>No Disp</v>
      </c>
      <c r="AQ865" s="100" t="s">
        <v>43</v>
      </c>
      <c r="AR865" s="100" t="s">
        <v>43</v>
      </c>
      <c r="AS865" s="100" t="str">
        <f>IF(AR865&lt;&gt;"No Disp",AQ865+12*AR865,"No Disp")</f>
        <v>No Disp</v>
      </c>
    </row>
    <row r="866" spans="1:45" s="101" customFormat="1" x14ac:dyDescent="0.25">
      <c r="A866" s="90" t="s">
        <v>38</v>
      </c>
      <c r="B866" s="90" t="s">
        <v>40</v>
      </c>
      <c r="C866" s="90" t="s">
        <v>39</v>
      </c>
      <c r="D866" s="90" t="s">
        <v>4539</v>
      </c>
      <c r="E866" s="90" t="s">
        <v>4538</v>
      </c>
      <c r="F866" s="91">
        <v>772</v>
      </c>
      <c r="G866" s="92">
        <v>70015256</v>
      </c>
      <c r="H866" s="91" t="s">
        <v>4370</v>
      </c>
      <c r="I866" s="93" t="s">
        <v>131</v>
      </c>
      <c r="J866" s="94" t="s">
        <v>4465</v>
      </c>
      <c r="K866" s="94" t="s">
        <v>4470</v>
      </c>
      <c r="L866" s="94" t="s">
        <v>4475</v>
      </c>
      <c r="M866" s="95">
        <v>185900</v>
      </c>
      <c r="N866" s="95">
        <v>4000</v>
      </c>
      <c r="O866" s="95">
        <v>6000</v>
      </c>
      <c r="P866" s="96">
        <v>259990</v>
      </c>
      <c r="Q866" s="152"/>
      <c r="R866" s="95">
        <v>185900</v>
      </c>
      <c r="S866" s="95">
        <v>22082.916666666668</v>
      </c>
      <c r="T866" s="95">
        <v>185900</v>
      </c>
      <c r="U866" s="95">
        <v>20790</v>
      </c>
      <c r="V866" s="95">
        <v>185900</v>
      </c>
      <c r="W866" s="95">
        <v>20790</v>
      </c>
      <c r="X866" s="128"/>
      <c r="Y866" s="95">
        <v>0</v>
      </c>
      <c r="Z866" s="95">
        <v>12000</v>
      </c>
      <c r="AA866" s="95">
        <f>IFERROR(IF(D866="Premium",0.4*Y866,0),"No Disp")</f>
        <v>0</v>
      </c>
      <c r="AB866" s="95">
        <f>IFERROR(IF(4*Y866&gt;AC866,1.5*Y866,4*Y866),"No Disp")</f>
        <v>0</v>
      </c>
      <c r="AC866" s="95">
        <f>IF(Z866="No Disp","No Disp",(Z866*18)+Y866)</f>
        <v>216000</v>
      </c>
      <c r="AD866" s="95">
        <f>IF($H866="EMP",18*Z866-100,18*Z866-100+Y866)</f>
        <v>215900</v>
      </c>
      <c r="AE866" s="95">
        <v>0</v>
      </c>
      <c r="AF866" s="95">
        <v>12000</v>
      </c>
      <c r="AG866" s="95">
        <f>IF(AF866="No Disp","No Disp",(AF866*18)+AE866)</f>
        <v>216000</v>
      </c>
      <c r="AH866" s="98">
        <f>IF($H866="EMP",18*AF866-100,18*AF866-100+AE866)</f>
        <v>215900</v>
      </c>
      <c r="AI866" s="95">
        <v>12000</v>
      </c>
      <c r="AJ866" s="99"/>
      <c r="AK866" s="100" t="s">
        <v>43</v>
      </c>
      <c r="AL866" s="100" t="s">
        <v>43</v>
      </c>
      <c r="AM866" s="100" t="str">
        <f>IF(AL866&lt;&gt;"No Disp",AK866+12*AL866,"No Disp")</f>
        <v>No Disp</v>
      </c>
      <c r="AN866" s="100" t="s">
        <v>43</v>
      </c>
      <c r="AO866" s="100" t="s">
        <v>43</v>
      </c>
      <c r="AP866" s="100" t="str">
        <f>IF(AO866&lt;&gt;"No Disp",AN866+12*AO866,"No Disp")</f>
        <v>No Disp</v>
      </c>
      <c r="AQ866" s="100" t="s">
        <v>43</v>
      </c>
      <c r="AR866" s="100" t="s">
        <v>43</v>
      </c>
      <c r="AS866" s="100" t="str">
        <f>IF(AR866&lt;&gt;"No Disp",AQ866+12*AR866,"No Disp")</f>
        <v>No Disp</v>
      </c>
    </row>
    <row r="867" spans="1:45" s="101" customFormat="1" x14ac:dyDescent="0.25">
      <c r="A867" s="90" t="s">
        <v>38</v>
      </c>
      <c r="B867" s="90" t="s">
        <v>39</v>
      </c>
      <c r="C867" s="90" t="s">
        <v>40</v>
      </c>
      <c r="D867" s="90" t="s">
        <v>4539</v>
      </c>
      <c r="E867" s="90" t="s">
        <v>4538</v>
      </c>
      <c r="F867" s="91"/>
      <c r="G867" s="92">
        <v>70015109</v>
      </c>
      <c r="H867" s="91" t="s">
        <v>4370</v>
      </c>
      <c r="I867" s="93" t="s">
        <v>41</v>
      </c>
      <c r="J867" s="102" t="s">
        <v>4006</v>
      </c>
      <c r="K867" s="94" t="s">
        <v>4009</v>
      </c>
      <c r="L867" s="94" t="s">
        <v>4010</v>
      </c>
      <c r="M867" s="95">
        <v>203900</v>
      </c>
      <c r="N867" s="95">
        <v>4000</v>
      </c>
      <c r="O867" s="95">
        <v>6000</v>
      </c>
      <c r="P867" s="96">
        <v>249990</v>
      </c>
      <c r="Q867" s="152"/>
      <c r="R867" s="95">
        <v>203900</v>
      </c>
      <c r="S867" s="95">
        <v>10416.25</v>
      </c>
      <c r="T867" s="95">
        <v>203900</v>
      </c>
      <c r="U867" s="95">
        <v>9162.5</v>
      </c>
      <c r="V867" s="95">
        <v>203900</v>
      </c>
      <c r="W867" s="95">
        <v>9162.5</v>
      </c>
      <c r="X867" s="128"/>
      <c r="Y867" s="95">
        <v>0</v>
      </c>
      <c r="Z867" s="97">
        <v>13000</v>
      </c>
      <c r="AA867" s="95">
        <f>IFERROR(IF(D867="Premium",0.4*Y867,0),"No Disp")</f>
        <v>0</v>
      </c>
      <c r="AB867" s="95">
        <f>IFERROR(IF(4*Y867&gt;AC867,1.5*Y867,4*Y867),"No Disp")</f>
        <v>0</v>
      </c>
      <c r="AC867" s="95">
        <f>IF(Z867="No Disp","No Disp",(Z867*18)+Y867)</f>
        <v>234000</v>
      </c>
      <c r="AD867" s="95">
        <f>IF($H867="EMP",18*Z867-100,18*Z867-100+Y867)</f>
        <v>233900</v>
      </c>
      <c r="AE867" s="95">
        <v>0</v>
      </c>
      <c r="AF867" s="95">
        <v>13000</v>
      </c>
      <c r="AG867" s="95">
        <f>IF(AF867="No Disp","No Disp",(AF867*18)+AE867)</f>
        <v>234000</v>
      </c>
      <c r="AH867" s="98">
        <f>IF($H867="EMP",18*AF867-100,18*AF867-100+AE867)</f>
        <v>233900</v>
      </c>
      <c r="AI867" s="95">
        <v>13000</v>
      </c>
      <c r="AJ867" s="99"/>
      <c r="AK867" s="100" t="s">
        <v>43</v>
      </c>
      <c r="AL867" s="100" t="s">
        <v>43</v>
      </c>
      <c r="AM867" s="100" t="s">
        <v>43</v>
      </c>
      <c r="AN867" s="100" t="s">
        <v>43</v>
      </c>
      <c r="AO867" s="100" t="s">
        <v>43</v>
      </c>
      <c r="AP867" s="100" t="s">
        <v>43</v>
      </c>
      <c r="AQ867" s="100" t="s">
        <v>43</v>
      </c>
      <c r="AR867" s="100" t="s">
        <v>43</v>
      </c>
      <c r="AS867" s="100" t="s">
        <v>43</v>
      </c>
    </row>
    <row r="868" spans="1:45" s="101" customFormat="1" x14ac:dyDescent="0.25">
      <c r="A868" s="90" t="s">
        <v>38</v>
      </c>
      <c r="B868" s="90" t="s">
        <v>39</v>
      </c>
      <c r="C868" s="90" t="s">
        <v>40</v>
      </c>
      <c r="D868" s="90" t="s">
        <v>4539</v>
      </c>
      <c r="E868" s="90" t="s">
        <v>4538</v>
      </c>
      <c r="F868" s="91"/>
      <c r="G868" s="92">
        <v>70015094</v>
      </c>
      <c r="H868" s="91" t="s">
        <v>4370</v>
      </c>
      <c r="I868" s="93" t="s">
        <v>41</v>
      </c>
      <c r="J868" s="102" t="s">
        <v>4006</v>
      </c>
      <c r="K868" s="94" t="s">
        <v>4013</v>
      </c>
      <c r="L868" s="94" t="s">
        <v>4014</v>
      </c>
      <c r="M868" s="95">
        <v>203900</v>
      </c>
      <c r="N868" s="95">
        <v>4000</v>
      </c>
      <c r="O868" s="95">
        <v>6000</v>
      </c>
      <c r="P868" s="96">
        <v>249990</v>
      </c>
      <c r="Q868" s="152"/>
      <c r="R868" s="95">
        <v>203900</v>
      </c>
      <c r="S868" s="95">
        <v>10416.25</v>
      </c>
      <c r="T868" s="95">
        <v>203900</v>
      </c>
      <c r="U868" s="95">
        <v>9162.5</v>
      </c>
      <c r="V868" s="95">
        <v>203900</v>
      </c>
      <c r="W868" s="95">
        <v>9162.5</v>
      </c>
      <c r="X868" s="128"/>
      <c r="Y868" s="95">
        <v>0</v>
      </c>
      <c r="Z868" s="97">
        <v>13000</v>
      </c>
      <c r="AA868" s="95">
        <f>IFERROR(IF(D868="Premium",0.4*Y868,0),"No Disp")</f>
        <v>0</v>
      </c>
      <c r="AB868" s="95">
        <f>IFERROR(IF(4*Y868&gt;AC868,1.5*Y868,4*Y868),"No Disp")</f>
        <v>0</v>
      </c>
      <c r="AC868" s="95">
        <f>IF(Z868="No Disp","No Disp",(Z868*18)+Y868)</f>
        <v>234000</v>
      </c>
      <c r="AD868" s="95">
        <f>IF($H868="EMP",18*Z868-100,18*Z868-100+Y868)</f>
        <v>233900</v>
      </c>
      <c r="AE868" s="95">
        <v>0</v>
      </c>
      <c r="AF868" s="95">
        <v>13000</v>
      </c>
      <c r="AG868" s="95">
        <f>IF(AF868="No Disp","No Disp",(AF868*18)+AE868)</f>
        <v>234000</v>
      </c>
      <c r="AH868" s="98">
        <f>IF($H868="EMP",18*AF868-100,18*AF868-100+AE868)</f>
        <v>233900</v>
      </c>
      <c r="AI868" s="95">
        <v>13000</v>
      </c>
      <c r="AJ868" s="99"/>
      <c r="AK868" s="100" t="s">
        <v>43</v>
      </c>
      <c r="AL868" s="100" t="s">
        <v>43</v>
      </c>
      <c r="AM868" s="100" t="s">
        <v>43</v>
      </c>
      <c r="AN868" s="100" t="s">
        <v>43</v>
      </c>
      <c r="AO868" s="100" t="s">
        <v>43</v>
      </c>
      <c r="AP868" s="100" t="s">
        <v>43</v>
      </c>
      <c r="AQ868" s="100" t="s">
        <v>43</v>
      </c>
      <c r="AR868" s="100" t="s">
        <v>43</v>
      </c>
      <c r="AS868" s="100" t="s">
        <v>43</v>
      </c>
    </row>
    <row r="869" spans="1:45" s="101" customFormat="1" x14ac:dyDescent="0.25">
      <c r="A869" s="90" t="s">
        <v>38</v>
      </c>
      <c r="B869" s="90" t="s">
        <v>40</v>
      </c>
      <c r="C869" s="90" t="s">
        <v>39</v>
      </c>
      <c r="D869" s="90" t="s">
        <v>4540</v>
      </c>
      <c r="E869" s="90" t="s">
        <v>4538</v>
      </c>
      <c r="F869" s="91"/>
      <c r="G869" s="92">
        <v>70015922</v>
      </c>
      <c r="H869" s="91" t="s">
        <v>4370</v>
      </c>
      <c r="I869" s="93" t="s">
        <v>87</v>
      </c>
      <c r="J869" s="94" t="s">
        <v>4477</v>
      </c>
      <c r="K869" s="94" t="s">
        <v>4625</v>
      </c>
      <c r="L869" s="94" t="s">
        <v>4632</v>
      </c>
      <c r="M869" s="95">
        <v>528900</v>
      </c>
      <c r="N869" s="95">
        <v>6000</v>
      </c>
      <c r="O869" s="95">
        <v>8500</v>
      </c>
      <c r="P869" s="96">
        <v>599990</v>
      </c>
      <c r="Q869" s="152"/>
      <c r="R869" s="95">
        <v>528900</v>
      </c>
      <c r="S869" s="95">
        <v>22082.916666666668</v>
      </c>
      <c r="T869" s="95">
        <v>528900</v>
      </c>
      <c r="U869" s="95">
        <v>20790</v>
      </c>
      <c r="V869" s="95">
        <v>528900</v>
      </c>
      <c r="W869" s="95">
        <v>20790</v>
      </c>
      <c r="X869" s="128"/>
      <c r="Y869" s="95">
        <v>121900</v>
      </c>
      <c r="Z869" s="95">
        <v>28000</v>
      </c>
      <c r="AA869" s="95">
        <f>IFERROR(IF(D869="Premium",0.4*Y869,0),"No Disp")</f>
        <v>48760</v>
      </c>
      <c r="AB869" s="95">
        <f>IFERROR(IF(4*Y869&gt;AC869,1.5*Y869,4*Y869),"No Disp")</f>
        <v>487600</v>
      </c>
      <c r="AC869" s="95">
        <f>IF(Z869="No Disp","No Disp",(Z869*18)+Y869)</f>
        <v>625900</v>
      </c>
      <c r="AD869" s="95">
        <f>IF($H869="EMP",18*Z869-100,18*Z869-100+Y869)</f>
        <v>503900</v>
      </c>
      <c r="AE869" s="95">
        <v>121900</v>
      </c>
      <c r="AF869" s="95">
        <v>28000</v>
      </c>
      <c r="AG869" s="95">
        <f>IF(AF869="No Disp","No Disp",(AF869*18)+AE869)</f>
        <v>625900</v>
      </c>
      <c r="AH869" s="98">
        <f>IF($H869="EMP",18*AF869-100,18*AF869-100+AE869)</f>
        <v>503900</v>
      </c>
      <c r="AI869" s="95">
        <v>34000</v>
      </c>
      <c r="AJ869" s="99"/>
      <c r="AK869" s="100" t="s">
        <v>43</v>
      </c>
      <c r="AL869" s="100" t="s">
        <v>43</v>
      </c>
      <c r="AM869" s="100" t="s">
        <v>43</v>
      </c>
      <c r="AN869" s="100" t="s">
        <v>43</v>
      </c>
      <c r="AO869" s="100" t="s">
        <v>43</v>
      </c>
      <c r="AP869" s="100" t="s">
        <v>43</v>
      </c>
      <c r="AQ869" s="100" t="s">
        <v>43</v>
      </c>
      <c r="AR869" s="100" t="s">
        <v>43</v>
      </c>
      <c r="AS869" s="100" t="s">
        <v>43</v>
      </c>
    </row>
    <row r="870" spans="1:45" s="101" customFormat="1" x14ac:dyDescent="0.25">
      <c r="A870" s="90" t="s">
        <v>38</v>
      </c>
      <c r="B870" s="90" t="s">
        <v>40</v>
      </c>
      <c r="C870" s="90" t="s">
        <v>39</v>
      </c>
      <c r="D870" s="90" t="s">
        <v>4540</v>
      </c>
      <c r="E870" s="90" t="s">
        <v>4538</v>
      </c>
      <c r="F870" s="91"/>
      <c r="G870" s="92">
        <v>70015926</v>
      </c>
      <c r="H870" s="91" t="s">
        <v>4370</v>
      </c>
      <c r="I870" s="93" t="s">
        <v>87</v>
      </c>
      <c r="J870" s="94" t="s">
        <v>4477</v>
      </c>
      <c r="K870" s="94" t="s">
        <v>4626</v>
      </c>
      <c r="L870" s="94" t="s">
        <v>4633</v>
      </c>
      <c r="M870" s="95">
        <v>528900</v>
      </c>
      <c r="N870" s="95">
        <v>6000</v>
      </c>
      <c r="O870" s="95">
        <v>8500</v>
      </c>
      <c r="P870" s="96">
        <v>599990</v>
      </c>
      <c r="Q870" s="152"/>
      <c r="R870" s="95">
        <v>528900</v>
      </c>
      <c r="S870" s="95">
        <v>22082.916666666668</v>
      </c>
      <c r="T870" s="95">
        <v>528900</v>
      </c>
      <c r="U870" s="95">
        <v>20790</v>
      </c>
      <c r="V870" s="95">
        <v>528900</v>
      </c>
      <c r="W870" s="95">
        <v>20790</v>
      </c>
      <c r="X870" s="128"/>
      <c r="Y870" s="95">
        <v>121900</v>
      </c>
      <c r="Z870" s="95">
        <v>28000</v>
      </c>
      <c r="AA870" s="95">
        <f>IFERROR(IF(D870="Premium",0.4*Y870,0),"No Disp")</f>
        <v>48760</v>
      </c>
      <c r="AB870" s="95">
        <f>IFERROR(IF(4*Y870&gt;AC870,1.5*Y870,4*Y870),"No Disp")</f>
        <v>487600</v>
      </c>
      <c r="AC870" s="95">
        <f>IF(Z870="No Disp","No Disp",(Z870*18)+Y870)</f>
        <v>625900</v>
      </c>
      <c r="AD870" s="95">
        <f>IF($H870="EMP",18*Z870-100,18*Z870-100+Y870)</f>
        <v>503900</v>
      </c>
      <c r="AE870" s="95">
        <v>121900</v>
      </c>
      <c r="AF870" s="95">
        <v>28000</v>
      </c>
      <c r="AG870" s="95">
        <f>IF(AF870="No Disp","No Disp",(AF870*18)+AE870)</f>
        <v>625900</v>
      </c>
      <c r="AH870" s="98">
        <f>IF($H870="EMP",18*AF870-100,18*AF870-100+AE870)</f>
        <v>503900</v>
      </c>
      <c r="AI870" s="95">
        <v>34000</v>
      </c>
      <c r="AJ870" s="99"/>
      <c r="AK870" s="100" t="s">
        <v>43</v>
      </c>
      <c r="AL870" s="100" t="s">
        <v>43</v>
      </c>
      <c r="AM870" s="100" t="s">
        <v>43</v>
      </c>
      <c r="AN870" s="100" t="s">
        <v>43</v>
      </c>
      <c r="AO870" s="100" t="s">
        <v>43</v>
      </c>
      <c r="AP870" s="100" t="s">
        <v>43</v>
      </c>
      <c r="AQ870" s="100" t="s">
        <v>43</v>
      </c>
      <c r="AR870" s="100" t="s">
        <v>43</v>
      </c>
      <c r="AS870" s="100" t="s">
        <v>43</v>
      </c>
    </row>
    <row r="871" spans="1:45" s="101" customFormat="1" x14ac:dyDescent="0.25">
      <c r="A871" s="90" t="s">
        <v>38</v>
      </c>
      <c r="B871" s="90" t="s">
        <v>40</v>
      </c>
      <c r="C871" s="90" t="s">
        <v>39</v>
      </c>
      <c r="D871" s="90" t="s">
        <v>4540</v>
      </c>
      <c r="E871" s="90" t="s">
        <v>4538</v>
      </c>
      <c r="F871" s="91"/>
      <c r="G871" s="92">
        <v>70015930</v>
      </c>
      <c r="H871" s="91" t="s">
        <v>4370</v>
      </c>
      <c r="I871" s="93" t="s">
        <v>87</v>
      </c>
      <c r="J871" s="94" t="s">
        <v>4477</v>
      </c>
      <c r="K871" s="94" t="s">
        <v>4627</v>
      </c>
      <c r="L871" s="94" t="s">
        <v>4634</v>
      </c>
      <c r="M871" s="95">
        <v>528900</v>
      </c>
      <c r="N871" s="95">
        <v>6000</v>
      </c>
      <c r="O871" s="95">
        <v>8500</v>
      </c>
      <c r="P871" s="96">
        <v>599990</v>
      </c>
      <c r="Q871" s="152"/>
      <c r="R871" s="95">
        <v>528900</v>
      </c>
      <c r="S871" s="95">
        <v>22082.916666666668</v>
      </c>
      <c r="T871" s="95">
        <v>528900</v>
      </c>
      <c r="U871" s="95">
        <v>20790</v>
      </c>
      <c r="V871" s="95">
        <v>528900</v>
      </c>
      <c r="W871" s="95">
        <v>20790</v>
      </c>
      <c r="X871" s="128"/>
      <c r="Y871" s="95">
        <v>121900</v>
      </c>
      <c r="Z871" s="95">
        <v>28000</v>
      </c>
      <c r="AA871" s="95">
        <f>IFERROR(IF(D871="Premium",0.4*Y871,0),"No Disp")</f>
        <v>48760</v>
      </c>
      <c r="AB871" s="95">
        <f>IFERROR(IF(4*Y871&gt;AC871,1.5*Y871,4*Y871),"No Disp")</f>
        <v>487600</v>
      </c>
      <c r="AC871" s="95">
        <f>IF(Z871="No Disp","No Disp",(Z871*18)+Y871)</f>
        <v>625900</v>
      </c>
      <c r="AD871" s="95">
        <f>IF($H871="EMP",18*Z871-100,18*Z871-100+Y871)</f>
        <v>503900</v>
      </c>
      <c r="AE871" s="95">
        <v>121900</v>
      </c>
      <c r="AF871" s="95">
        <v>28000</v>
      </c>
      <c r="AG871" s="95">
        <f>IF(AF871="No Disp","No Disp",(AF871*18)+AE871)</f>
        <v>625900</v>
      </c>
      <c r="AH871" s="98">
        <f>IF($H871="EMP",18*AF871-100,18*AF871-100+AE871)</f>
        <v>503900</v>
      </c>
      <c r="AI871" s="95">
        <v>34000</v>
      </c>
      <c r="AJ871" s="99"/>
      <c r="AK871" s="100" t="s">
        <v>43</v>
      </c>
      <c r="AL871" s="100" t="s">
        <v>43</v>
      </c>
      <c r="AM871" s="100" t="s">
        <v>43</v>
      </c>
      <c r="AN871" s="100" t="s">
        <v>43</v>
      </c>
      <c r="AO871" s="100" t="s">
        <v>43</v>
      </c>
      <c r="AP871" s="100" t="s">
        <v>43</v>
      </c>
      <c r="AQ871" s="100" t="s">
        <v>43</v>
      </c>
      <c r="AR871" s="100" t="s">
        <v>43</v>
      </c>
      <c r="AS871" s="100" t="s">
        <v>43</v>
      </c>
    </row>
    <row r="872" spans="1:45" s="101" customFormat="1" x14ac:dyDescent="0.25">
      <c r="A872" s="90" t="s">
        <v>38</v>
      </c>
      <c r="B872" s="90" t="s">
        <v>40</v>
      </c>
      <c r="C872" s="90" t="s">
        <v>39</v>
      </c>
      <c r="D872" s="90" t="s">
        <v>4540</v>
      </c>
      <c r="E872" s="90" t="s">
        <v>4538</v>
      </c>
      <c r="F872" s="91"/>
      <c r="G872" s="92">
        <v>70015934</v>
      </c>
      <c r="H872" s="91" t="s">
        <v>4370</v>
      </c>
      <c r="I872" s="93" t="s">
        <v>87</v>
      </c>
      <c r="J872" s="94" t="s">
        <v>4477</v>
      </c>
      <c r="K872" s="94" t="s">
        <v>4628</v>
      </c>
      <c r="L872" s="94" t="s">
        <v>4635</v>
      </c>
      <c r="M872" s="95">
        <v>528900</v>
      </c>
      <c r="N872" s="95">
        <v>6000</v>
      </c>
      <c r="O872" s="95">
        <v>8500</v>
      </c>
      <c r="P872" s="96">
        <v>599990</v>
      </c>
      <c r="Q872" s="152"/>
      <c r="R872" s="95">
        <v>528900</v>
      </c>
      <c r="S872" s="95">
        <v>22082.916666666668</v>
      </c>
      <c r="T872" s="95">
        <v>528900</v>
      </c>
      <c r="U872" s="95">
        <v>20790</v>
      </c>
      <c r="V872" s="95">
        <v>528900</v>
      </c>
      <c r="W872" s="95">
        <v>20790</v>
      </c>
      <c r="X872" s="128"/>
      <c r="Y872" s="95">
        <v>121900</v>
      </c>
      <c r="Z872" s="95">
        <v>28000</v>
      </c>
      <c r="AA872" s="95">
        <f>IFERROR(IF(D872="Premium",0.4*Y872,0),"No Disp")</f>
        <v>48760</v>
      </c>
      <c r="AB872" s="95">
        <f>IFERROR(IF(4*Y872&gt;AC872,1.5*Y872,4*Y872),"No Disp")</f>
        <v>487600</v>
      </c>
      <c r="AC872" s="95">
        <f>IF(Z872="No Disp","No Disp",(Z872*18)+Y872)</f>
        <v>625900</v>
      </c>
      <c r="AD872" s="95">
        <f>IF($H872="EMP",18*Z872-100,18*Z872-100+Y872)</f>
        <v>503900</v>
      </c>
      <c r="AE872" s="95">
        <v>121900</v>
      </c>
      <c r="AF872" s="95">
        <v>28000</v>
      </c>
      <c r="AG872" s="95">
        <f>IF(AF872="No Disp","No Disp",(AF872*18)+AE872)</f>
        <v>625900</v>
      </c>
      <c r="AH872" s="98">
        <f>IF($H872="EMP",18*AF872-100,18*AF872-100+AE872)</f>
        <v>503900</v>
      </c>
      <c r="AI872" s="95">
        <v>34000</v>
      </c>
      <c r="AJ872" s="99"/>
      <c r="AK872" s="100" t="s">
        <v>43</v>
      </c>
      <c r="AL872" s="100" t="s">
        <v>43</v>
      </c>
      <c r="AM872" s="100" t="s">
        <v>43</v>
      </c>
      <c r="AN872" s="100" t="s">
        <v>43</v>
      </c>
      <c r="AO872" s="100" t="s">
        <v>43</v>
      </c>
      <c r="AP872" s="100" t="s">
        <v>43</v>
      </c>
      <c r="AQ872" s="100" t="s">
        <v>43</v>
      </c>
      <c r="AR872" s="100" t="s">
        <v>43</v>
      </c>
      <c r="AS872" s="100" t="s">
        <v>43</v>
      </c>
    </row>
    <row r="873" spans="1:45" s="101" customFormat="1" x14ac:dyDescent="0.25">
      <c r="A873" s="90" t="s">
        <v>38</v>
      </c>
      <c r="B873" s="90" t="s">
        <v>40</v>
      </c>
      <c r="C873" s="90" t="s">
        <v>39</v>
      </c>
      <c r="D873" s="90" t="s">
        <v>4540</v>
      </c>
      <c r="E873" s="90" t="s">
        <v>4538</v>
      </c>
      <c r="F873" s="91"/>
      <c r="G873" s="92">
        <v>70014708</v>
      </c>
      <c r="H873" s="91" t="s">
        <v>4370</v>
      </c>
      <c r="I873" s="93" t="s">
        <v>87</v>
      </c>
      <c r="J873" s="94" t="s">
        <v>4188</v>
      </c>
      <c r="K873" s="94" t="s">
        <v>4629</v>
      </c>
      <c r="L873" s="94" t="s">
        <v>4636</v>
      </c>
      <c r="M873" s="95">
        <v>513900</v>
      </c>
      <c r="N873" s="95">
        <v>6000</v>
      </c>
      <c r="O873" s="95">
        <v>8500</v>
      </c>
      <c r="P873" s="96">
        <v>599990</v>
      </c>
      <c r="Q873" s="152"/>
      <c r="R873" s="95">
        <v>513900</v>
      </c>
      <c r="S873" s="95">
        <v>22082.916666666668</v>
      </c>
      <c r="T873" s="95">
        <v>513900</v>
      </c>
      <c r="U873" s="95">
        <v>20790</v>
      </c>
      <c r="V873" s="95">
        <v>513900</v>
      </c>
      <c r="W873" s="95">
        <v>20790</v>
      </c>
      <c r="X873" s="128"/>
      <c r="Y873" s="95">
        <v>118900</v>
      </c>
      <c r="Z873" s="95">
        <v>27000</v>
      </c>
      <c r="AA873" s="95">
        <f>IFERROR(IF(D873="Premium",0.4*Y873,0),"No Disp")</f>
        <v>47560</v>
      </c>
      <c r="AB873" s="95">
        <f>IFERROR(IF(4*Y873&gt;AC873,1.5*Y873,4*Y873),"No Disp")</f>
        <v>475600</v>
      </c>
      <c r="AC873" s="95">
        <f>IF(Z873="No Disp","No Disp",(Z873*18)+Y873)</f>
        <v>604900</v>
      </c>
      <c r="AD873" s="95">
        <f>IF($H873="EMP",18*Z873-100,18*Z873-100+Y873)</f>
        <v>485900</v>
      </c>
      <c r="AE873" s="95">
        <v>118900</v>
      </c>
      <c r="AF873" s="95">
        <v>27000</v>
      </c>
      <c r="AG873" s="95">
        <f>IF(AF873="No Disp","No Disp",(AF873*18)+AE873)</f>
        <v>604900</v>
      </c>
      <c r="AH873" s="98">
        <f>IF($H873="EMP",18*AF873-100,18*AF873-100+AE873)</f>
        <v>485900</v>
      </c>
      <c r="AI873" s="95">
        <v>33000</v>
      </c>
      <c r="AJ873" s="99"/>
      <c r="AK873" s="100" t="s">
        <v>43</v>
      </c>
      <c r="AL873" s="100" t="s">
        <v>43</v>
      </c>
      <c r="AM873" s="100" t="s">
        <v>43</v>
      </c>
      <c r="AN873" s="100" t="s">
        <v>43</v>
      </c>
      <c r="AO873" s="100" t="s">
        <v>43</v>
      </c>
      <c r="AP873" s="100" t="s">
        <v>43</v>
      </c>
      <c r="AQ873" s="100" t="s">
        <v>43</v>
      </c>
      <c r="AR873" s="100" t="s">
        <v>43</v>
      </c>
      <c r="AS873" s="100" t="s">
        <v>43</v>
      </c>
    </row>
    <row r="874" spans="1:45" s="101" customFormat="1" x14ac:dyDescent="0.25">
      <c r="A874" s="90" t="s">
        <v>38</v>
      </c>
      <c r="B874" s="90" t="s">
        <v>40</v>
      </c>
      <c r="C874" s="90" t="s">
        <v>39</v>
      </c>
      <c r="D874" s="90" t="s">
        <v>4540</v>
      </c>
      <c r="E874" s="90" t="s">
        <v>4538</v>
      </c>
      <c r="F874" s="91"/>
      <c r="G874" s="92">
        <v>70014721</v>
      </c>
      <c r="H874" s="91" t="s">
        <v>4370</v>
      </c>
      <c r="I874" s="93" t="s">
        <v>87</v>
      </c>
      <c r="J874" s="94" t="s">
        <v>4188</v>
      </c>
      <c r="K874" s="94" t="s">
        <v>4630</v>
      </c>
      <c r="L874" s="94" t="s">
        <v>4637</v>
      </c>
      <c r="M874" s="95">
        <v>513900</v>
      </c>
      <c r="N874" s="95">
        <v>6000</v>
      </c>
      <c r="O874" s="95">
        <v>8500</v>
      </c>
      <c r="P874" s="96">
        <v>599990</v>
      </c>
      <c r="Q874" s="152"/>
      <c r="R874" s="95">
        <v>513900</v>
      </c>
      <c r="S874" s="95">
        <v>22082.916666666668</v>
      </c>
      <c r="T874" s="95">
        <v>513900</v>
      </c>
      <c r="U874" s="95">
        <v>20790</v>
      </c>
      <c r="V874" s="95">
        <v>513900</v>
      </c>
      <c r="W874" s="95">
        <v>20790</v>
      </c>
      <c r="X874" s="128"/>
      <c r="Y874" s="95">
        <v>118900</v>
      </c>
      <c r="Z874" s="95">
        <v>27000</v>
      </c>
      <c r="AA874" s="95">
        <f>IFERROR(IF(D874="Premium",0.4*Y874,0),"No Disp")</f>
        <v>47560</v>
      </c>
      <c r="AB874" s="95">
        <f>IFERROR(IF(4*Y874&gt;AC874,1.5*Y874,4*Y874),"No Disp")</f>
        <v>475600</v>
      </c>
      <c r="AC874" s="95">
        <f>IF(Z874="No Disp","No Disp",(Z874*18)+Y874)</f>
        <v>604900</v>
      </c>
      <c r="AD874" s="95">
        <f>IF($H874="EMP",18*Z874-100,18*Z874-100+Y874)</f>
        <v>485900</v>
      </c>
      <c r="AE874" s="95">
        <v>118900</v>
      </c>
      <c r="AF874" s="95">
        <v>27000</v>
      </c>
      <c r="AG874" s="95">
        <f>IF(AF874="No Disp","No Disp",(AF874*18)+AE874)</f>
        <v>604900</v>
      </c>
      <c r="AH874" s="98">
        <f>IF($H874="EMP",18*AF874-100,18*AF874-100+AE874)</f>
        <v>485900</v>
      </c>
      <c r="AI874" s="95">
        <v>33000</v>
      </c>
      <c r="AJ874" s="99"/>
      <c r="AK874" s="100" t="s">
        <v>43</v>
      </c>
      <c r="AL874" s="100" t="s">
        <v>43</v>
      </c>
      <c r="AM874" s="100" t="s">
        <v>43</v>
      </c>
      <c r="AN874" s="100" t="s">
        <v>43</v>
      </c>
      <c r="AO874" s="100" t="s">
        <v>43</v>
      </c>
      <c r="AP874" s="100" t="s">
        <v>43</v>
      </c>
      <c r="AQ874" s="100" t="s">
        <v>43</v>
      </c>
      <c r="AR874" s="100" t="s">
        <v>43</v>
      </c>
      <c r="AS874" s="100" t="s">
        <v>43</v>
      </c>
    </row>
    <row r="875" spans="1:45" s="101" customFormat="1" x14ac:dyDescent="0.25">
      <c r="A875" s="90" t="s">
        <v>38</v>
      </c>
      <c r="B875" s="90" t="s">
        <v>40</v>
      </c>
      <c r="C875" s="90" t="s">
        <v>39</v>
      </c>
      <c r="D875" s="90" t="s">
        <v>4540</v>
      </c>
      <c r="E875" s="90" t="s">
        <v>4538</v>
      </c>
      <c r="F875" s="91"/>
      <c r="G875" s="92">
        <v>70014727</v>
      </c>
      <c r="H875" s="91" t="s">
        <v>4370</v>
      </c>
      <c r="I875" s="93" t="s">
        <v>87</v>
      </c>
      <c r="J875" s="94" t="s">
        <v>4188</v>
      </c>
      <c r="K875" s="94" t="s">
        <v>4631</v>
      </c>
      <c r="L875" s="94" t="s">
        <v>4638</v>
      </c>
      <c r="M875" s="95">
        <v>513900</v>
      </c>
      <c r="N875" s="95">
        <v>6000</v>
      </c>
      <c r="O875" s="95">
        <v>8500</v>
      </c>
      <c r="P875" s="96">
        <v>599990</v>
      </c>
      <c r="Q875" s="152"/>
      <c r="R875" s="95">
        <v>513900</v>
      </c>
      <c r="S875" s="95">
        <v>22082.916666666668</v>
      </c>
      <c r="T875" s="95">
        <v>513900</v>
      </c>
      <c r="U875" s="95">
        <v>20790</v>
      </c>
      <c r="V875" s="95">
        <v>513900</v>
      </c>
      <c r="W875" s="95">
        <v>20790</v>
      </c>
      <c r="X875" s="128"/>
      <c r="Y875" s="95">
        <v>118900</v>
      </c>
      <c r="Z875" s="95">
        <v>27000</v>
      </c>
      <c r="AA875" s="95">
        <f>IFERROR(IF(D875="Premium",0.4*Y875,0),"No Disp")</f>
        <v>47560</v>
      </c>
      <c r="AB875" s="95">
        <f>IFERROR(IF(4*Y875&gt;AC875,1.5*Y875,4*Y875),"No Disp")</f>
        <v>475600</v>
      </c>
      <c r="AC875" s="95">
        <f>IF(Z875="No Disp","No Disp",(Z875*18)+Y875)</f>
        <v>604900</v>
      </c>
      <c r="AD875" s="95">
        <f>IF($H875="EMP",18*Z875-100,18*Z875-100+Y875)</f>
        <v>485900</v>
      </c>
      <c r="AE875" s="95">
        <v>118900</v>
      </c>
      <c r="AF875" s="95">
        <v>27000</v>
      </c>
      <c r="AG875" s="95">
        <f>IF(AF875="No Disp","No Disp",(AF875*18)+AE875)</f>
        <v>604900</v>
      </c>
      <c r="AH875" s="98">
        <f>IF($H875="EMP",18*AF875-100,18*AF875-100+AE875)</f>
        <v>485900</v>
      </c>
      <c r="AI875" s="95">
        <v>33000</v>
      </c>
      <c r="AJ875" s="99"/>
      <c r="AK875" s="100" t="s">
        <v>43</v>
      </c>
      <c r="AL875" s="100" t="s">
        <v>43</v>
      </c>
      <c r="AM875" s="100" t="s">
        <v>43</v>
      </c>
      <c r="AN875" s="100" t="s">
        <v>43</v>
      </c>
      <c r="AO875" s="100" t="s">
        <v>43</v>
      </c>
      <c r="AP875" s="100" t="s">
        <v>43</v>
      </c>
      <c r="AQ875" s="100" t="s">
        <v>43</v>
      </c>
      <c r="AR875" s="100" t="s">
        <v>43</v>
      </c>
      <c r="AS875" s="100" t="s">
        <v>43</v>
      </c>
    </row>
    <row r="876" spans="1:45" s="101" customFormat="1" x14ac:dyDescent="0.25">
      <c r="A876" s="90" t="s">
        <v>38</v>
      </c>
      <c r="B876" s="90" t="s">
        <v>40</v>
      </c>
      <c r="C876" s="90" t="s">
        <v>39</v>
      </c>
      <c r="D876" s="90" t="s">
        <v>4540</v>
      </c>
      <c r="E876" s="90" t="s">
        <v>4538</v>
      </c>
      <c r="F876" s="91">
        <v>96</v>
      </c>
      <c r="G876" s="92">
        <v>70015772</v>
      </c>
      <c r="H876" s="91" t="s">
        <v>4370</v>
      </c>
      <c r="I876" s="93" t="s">
        <v>63</v>
      </c>
      <c r="J876" s="94" t="s">
        <v>4261</v>
      </c>
      <c r="K876" s="94" t="s">
        <v>4405</v>
      </c>
      <c r="L876" s="94" t="s">
        <v>4406</v>
      </c>
      <c r="M876" s="95">
        <v>893900</v>
      </c>
      <c r="N876" s="95">
        <v>7000</v>
      </c>
      <c r="O876" s="95">
        <v>10000</v>
      </c>
      <c r="P876" s="96">
        <v>1214990</v>
      </c>
      <c r="Q876" s="152"/>
      <c r="R876" s="95">
        <v>893900</v>
      </c>
      <c r="S876" s="95">
        <v>34166.25</v>
      </c>
      <c r="T876" s="95">
        <v>893900</v>
      </c>
      <c r="U876" s="95">
        <v>30412.5</v>
      </c>
      <c r="V876" s="95">
        <v>893900</v>
      </c>
      <c r="W876" s="95">
        <v>30412.5</v>
      </c>
      <c r="X876" s="128"/>
      <c r="Y876" s="95">
        <v>256900</v>
      </c>
      <c r="Z876" s="95">
        <v>43000</v>
      </c>
      <c r="AA876" s="95">
        <f>IFERROR(IF(D876="Premium",0.4*Y876,0),"No Disp")</f>
        <v>102760</v>
      </c>
      <c r="AB876" s="95">
        <f>IFERROR(IF(4*Y876&gt;AC876,1.5*Y876,4*Y876),"No Disp")</f>
        <v>1027600</v>
      </c>
      <c r="AC876" s="95">
        <f>IF(Z876="No Disp","No Disp",(Z876*18)+Y876)</f>
        <v>1030900</v>
      </c>
      <c r="AD876" s="95">
        <f>IF($H876="EMP",18*Z876-100,18*Z876-100+Y876)</f>
        <v>773900</v>
      </c>
      <c r="AE876" s="95">
        <v>256900</v>
      </c>
      <c r="AF876" s="95">
        <v>43000</v>
      </c>
      <c r="AG876" s="95">
        <f>IF(AF876="No Disp","No Disp",(AF876*18)+AE876)</f>
        <v>1030900</v>
      </c>
      <c r="AH876" s="98">
        <f>IF($H876="EMP",18*AF876-100,18*AF876-100+AE876)</f>
        <v>773900</v>
      </c>
      <c r="AI876" s="95">
        <v>57000</v>
      </c>
      <c r="AJ876" s="99"/>
      <c r="AK876" s="100" t="s">
        <v>43</v>
      </c>
      <c r="AL876" s="100" t="s">
        <v>43</v>
      </c>
      <c r="AM876" s="100" t="s">
        <v>43</v>
      </c>
      <c r="AN876" s="100" t="s">
        <v>43</v>
      </c>
      <c r="AO876" s="100" t="s">
        <v>43</v>
      </c>
      <c r="AP876" s="100" t="s">
        <v>43</v>
      </c>
      <c r="AQ876" s="100" t="s">
        <v>43</v>
      </c>
      <c r="AR876" s="100" t="s">
        <v>43</v>
      </c>
      <c r="AS876" s="100" t="s">
        <v>43</v>
      </c>
    </row>
    <row r="877" spans="1:45" s="101" customFormat="1" x14ac:dyDescent="0.25">
      <c r="A877" s="90" t="s">
        <v>38</v>
      </c>
      <c r="B877" s="90" t="s">
        <v>40</v>
      </c>
      <c r="C877" s="90" t="s">
        <v>39</v>
      </c>
      <c r="D877" s="90" t="s">
        <v>4540</v>
      </c>
      <c r="E877" s="90" t="s">
        <v>4538</v>
      </c>
      <c r="F877" s="91">
        <v>94</v>
      </c>
      <c r="G877" s="92">
        <v>70015776</v>
      </c>
      <c r="H877" s="91" t="s">
        <v>4370</v>
      </c>
      <c r="I877" s="93" t="s">
        <v>63</v>
      </c>
      <c r="J877" s="94" t="s">
        <v>4261</v>
      </c>
      <c r="K877" s="94" t="s">
        <v>4407</v>
      </c>
      <c r="L877" s="94" t="s">
        <v>4408</v>
      </c>
      <c r="M877" s="95">
        <v>893900</v>
      </c>
      <c r="N877" s="95">
        <v>7000</v>
      </c>
      <c r="O877" s="95">
        <v>10000</v>
      </c>
      <c r="P877" s="96">
        <v>1214990</v>
      </c>
      <c r="Q877" s="152"/>
      <c r="R877" s="95">
        <v>893900</v>
      </c>
      <c r="S877" s="95">
        <v>34166.25</v>
      </c>
      <c r="T877" s="95">
        <v>893900</v>
      </c>
      <c r="U877" s="95">
        <v>30412.5</v>
      </c>
      <c r="V877" s="95">
        <v>893900</v>
      </c>
      <c r="W877" s="95">
        <v>30412.5</v>
      </c>
      <c r="X877" s="128"/>
      <c r="Y877" s="95">
        <v>256900</v>
      </c>
      <c r="Z877" s="95">
        <v>43000</v>
      </c>
      <c r="AA877" s="95">
        <f>IFERROR(IF(D877="Premium",0.4*Y877,0),"No Disp")</f>
        <v>102760</v>
      </c>
      <c r="AB877" s="95">
        <f>IFERROR(IF(4*Y877&gt;AC877,1.5*Y877,4*Y877),"No Disp")</f>
        <v>1027600</v>
      </c>
      <c r="AC877" s="95">
        <f>IF(Z877="No Disp","No Disp",(Z877*18)+Y877)</f>
        <v>1030900</v>
      </c>
      <c r="AD877" s="95">
        <f>IF($H877="EMP",18*Z877-100,18*Z877-100+Y877)</f>
        <v>773900</v>
      </c>
      <c r="AE877" s="95">
        <v>256900</v>
      </c>
      <c r="AF877" s="95">
        <v>43000</v>
      </c>
      <c r="AG877" s="95">
        <f>IF(AF877="No Disp","No Disp",(AF877*18)+AE877)</f>
        <v>1030900</v>
      </c>
      <c r="AH877" s="98">
        <f>IF($H877="EMP",18*AF877-100,18*AF877-100+AE877)</f>
        <v>773900</v>
      </c>
      <c r="AI877" s="95">
        <v>57000</v>
      </c>
      <c r="AJ877" s="99"/>
      <c r="AK877" s="100" t="s">
        <v>43</v>
      </c>
      <c r="AL877" s="100" t="s">
        <v>43</v>
      </c>
      <c r="AM877" s="100" t="s">
        <v>43</v>
      </c>
      <c r="AN877" s="100" t="s">
        <v>43</v>
      </c>
      <c r="AO877" s="100" t="s">
        <v>43</v>
      </c>
      <c r="AP877" s="100" t="s">
        <v>43</v>
      </c>
      <c r="AQ877" s="100" t="s">
        <v>43</v>
      </c>
      <c r="AR877" s="100" t="s">
        <v>43</v>
      </c>
      <c r="AS877" s="100" t="s">
        <v>43</v>
      </c>
    </row>
    <row r="878" spans="1:45" s="101" customFormat="1" x14ac:dyDescent="0.25">
      <c r="A878" s="90" t="s">
        <v>38</v>
      </c>
      <c r="B878" s="90" t="s">
        <v>40</v>
      </c>
      <c r="C878" s="90" t="s">
        <v>39</v>
      </c>
      <c r="D878" s="90" t="s">
        <v>4540</v>
      </c>
      <c r="E878" s="90" t="s">
        <v>4538</v>
      </c>
      <c r="F878" s="91">
        <v>96</v>
      </c>
      <c r="G878" s="92">
        <v>70015780</v>
      </c>
      <c r="H878" s="91" t="s">
        <v>4370</v>
      </c>
      <c r="I878" s="93" t="s">
        <v>63</v>
      </c>
      <c r="J878" s="94" t="s">
        <v>4261</v>
      </c>
      <c r="K878" s="94" t="s">
        <v>4409</v>
      </c>
      <c r="L878" s="94" t="s">
        <v>4410</v>
      </c>
      <c r="M878" s="95">
        <v>893900</v>
      </c>
      <c r="N878" s="95">
        <v>7000</v>
      </c>
      <c r="O878" s="95">
        <v>10000</v>
      </c>
      <c r="P878" s="96">
        <v>1214990</v>
      </c>
      <c r="Q878" s="152"/>
      <c r="R878" s="95">
        <v>893900</v>
      </c>
      <c r="S878" s="95">
        <v>34166.25</v>
      </c>
      <c r="T878" s="95">
        <v>893900</v>
      </c>
      <c r="U878" s="95">
        <v>30412.5</v>
      </c>
      <c r="V878" s="95">
        <v>893900</v>
      </c>
      <c r="W878" s="95">
        <v>30412.5</v>
      </c>
      <c r="X878" s="128"/>
      <c r="Y878" s="95">
        <v>256900</v>
      </c>
      <c r="Z878" s="95">
        <v>43000</v>
      </c>
      <c r="AA878" s="95">
        <f>IFERROR(IF(D878="Premium",0.4*Y878,0),"No Disp")</f>
        <v>102760</v>
      </c>
      <c r="AB878" s="95">
        <f>IFERROR(IF(4*Y878&gt;AC878,1.5*Y878,4*Y878),"No Disp")</f>
        <v>1027600</v>
      </c>
      <c r="AC878" s="95">
        <f>IF(Z878="No Disp","No Disp",(Z878*18)+Y878)</f>
        <v>1030900</v>
      </c>
      <c r="AD878" s="95">
        <f>IF($H878="EMP",18*Z878-100,18*Z878-100+Y878)</f>
        <v>773900</v>
      </c>
      <c r="AE878" s="95">
        <v>256900</v>
      </c>
      <c r="AF878" s="95">
        <v>43000</v>
      </c>
      <c r="AG878" s="95">
        <f>IF(AF878="No Disp","No Disp",(AF878*18)+AE878)</f>
        <v>1030900</v>
      </c>
      <c r="AH878" s="98">
        <f>IF($H878="EMP",18*AF878-100,18*AF878-100+AE878)</f>
        <v>773900</v>
      </c>
      <c r="AI878" s="95">
        <v>57000</v>
      </c>
      <c r="AJ878" s="99"/>
      <c r="AK878" s="100" t="s">
        <v>43</v>
      </c>
      <c r="AL878" s="100" t="s">
        <v>43</v>
      </c>
      <c r="AM878" s="100" t="s">
        <v>43</v>
      </c>
      <c r="AN878" s="100" t="s">
        <v>43</v>
      </c>
      <c r="AO878" s="100" t="s">
        <v>43</v>
      </c>
      <c r="AP878" s="100" t="s">
        <v>43</v>
      </c>
      <c r="AQ878" s="100" t="s">
        <v>43</v>
      </c>
      <c r="AR878" s="100" t="s">
        <v>43</v>
      </c>
      <c r="AS878" s="100" t="s">
        <v>43</v>
      </c>
    </row>
    <row r="879" spans="1:45" s="101" customFormat="1" x14ac:dyDescent="0.25">
      <c r="A879" s="90" t="s">
        <v>38</v>
      </c>
      <c r="B879" s="90" t="s">
        <v>40</v>
      </c>
      <c r="C879" s="90" t="s">
        <v>39</v>
      </c>
      <c r="D879" s="90" t="s">
        <v>4540</v>
      </c>
      <c r="E879" s="90" t="s">
        <v>4538</v>
      </c>
      <c r="F879" s="91">
        <v>94</v>
      </c>
      <c r="G879" s="92">
        <v>70015784</v>
      </c>
      <c r="H879" s="91" t="s">
        <v>4370</v>
      </c>
      <c r="I879" s="93" t="s">
        <v>63</v>
      </c>
      <c r="J879" s="94" t="s">
        <v>4261</v>
      </c>
      <c r="K879" s="94" t="s">
        <v>4411</v>
      </c>
      <c r="L879" s="94" t="s">
        <v>4412</v>
      </c>
      <c r="M879" s="95">
        <v>893900</v>
      </c>
      <c r="N879" s="95">
        <v>7000</v>
      </c>
      <c r="O879" s="95">
        <v>10000</v>
      </c>
      <c r="P879" s="96">
        <v>1214990</v>
      </c>
      <c r="Q879" s="152"/>
      <c r="R879" s="95">
        <v>893900</v>
      </c>
      <c r="S879" s="95">
        <v>34166.25</v>
      </c>
      <c r="T879" s="95">
        <v>893900</v>
      </c>
      <c r="U879" s="95">
        <v>30412.5</v>
      </c>
      <c r="V879" s="95">
        <v>893900</v>
      </c>
      <c r="W879" s="95">
        <v>30412.5</v>
      </c>
      <c r="X879" s="128"/>
      <c r="Y879" s="95">
        <v>256900</v>
      </c>
      <c r="Z879" s="95">
        <v>43000</v>
      </c>
      <c r="AA879" s="95">
        <f>IFERROR(IF(D879="Premium",0.4*Y879,0),"No Disp")</f>
        <v>102760</v>
      </c>
      <c r="AB879" s="95">
        <f>IFERROR(IF(4*Y879&gt;AC879,1.5*Y879,4*Y879),"No Disp")</f>
        <v>1027600</v>
      </c>
      <c r="AC879" s="95">
        <f>IF(Z879="No Disp","No Disp",(Z879*18)+Y879)</f>
        <v>1030900</v>
      </c>
      <c r="AD879" s="95">
        <f>IF($H879="EMP",18*Z879-100,18*Z879-100+Y879)</f>
        <v>773900</v>
      </c>
      <c r="AE879" s="95">
        <v>256900</v>
      </c>
      <c r="AF879" s="95">
        <v>43000</v>
      </c>
      <c r="AG879" s="95">
        <f>IF(AF879="No Disp","No Disp",(AF879*18)+AE879)</f>
        <v>1030900</v>
      </c>
      <c r="AH879" s="98">
        <f>IF($H879="EMP",18*AF879-100,18*AF879-100+AE879)</f>
        <v>773900</v>
      </c>
      <c r="AI879" s="95">
        <v>57000</v>
      </c>
      <c r="AJ879" s="99"/>
      <c r="AK879" s="100" t="s">
        <v>43</v>
      </c>
      <c r="AL879" s="100" t="s">
        <v>43</v>
      </c>
      <c r="AM879" s="100" t="s">
        <v>43</v>
      </c>
      <c r="AN879" s="100" t="s">
        <v>43</v>
      </c>
      <c r="AO879" s="100" t="s">
        <v>43</v>
      </c>
      <c r="AP879" s="100" t="s">
        <v>43</v>
      </c>
      <c r="AQ879" s="100" t="s">
        <v>43</v>
      </c>
      <c r="AR879" s="100" t="s">
        <v>43</v>
      </c>
      <c r="AS879" s="100" t="s">
        <v>43</v>
      </c>
    </row>
    <row r="880" spans="1:45" s="101" customFormat="1" x14ac:dyDescent="0.25">
      <c r="A880" s="90" t="s">
        <v>38</v>
      </c>
      <c r="B880" s="90" t="s">
        <v>40</v>
      </c>
      <c r="C880" s="90" t="s">
        <v>39</v>
      </c>
      <c r="D880" s="90" t="s">
        <v>4540</v>
      </c>
      <c r="E880" s="90" t="s">
        <v>4538</v>
      </c>
      <c r="F880" s="91">
        <v>96</v>
      </c>
      <c r="G880" s="92">
        <v>70015788</v>
      </c>
      <c r="H880" s="91" t="s">
        <v>4370</v>
      </c>
      <c r="I880" s="93" t="s">
        <v>63</v>
      </c>
      <c r="J880" s="94" t="s">
        <v>4261</v>
      </c>
      <c r="K880" s="94" t="s">
        <v>4413</v>
      </c>
      <c r="L880" s="94" t="s">
        <v>4414</v>
      </c>
      <c r="M880" s="95">
        <v>893900</v>
      </c>
      <c r="N880" s="95">
        <v>7000</v>
      </c>
      <c r="O880" s="95">
        <v>10000</v>
      </c>
      <c r="P880" s="96">
        <v>1214990</v>
      </c>
      <c r="Q880" s="152"/>
      <c r="R880" s="95">
        <v>893900</v>
      </c>
      <c r="S880" s="95">
        <v>34166.25</v>
      </c>
      <c r="T880" s="95">
        <v>893900</v>
      </c>
      <c r="U880" s="95">
        <v>30412.5</v>
      </c>
      <c r="V880" s="95">
        <v>893900</v>
      </c>
      <c r="W880" s="95">
        <v>30412.5</v>
      </c>
      <c r="X880" s="128"/>
      <c r="Y880" s="95">
        <v>256900</v>
      </c>
      <c r="Z880" s="95">
        <v>43000</v>
      </c>
      <c r="AA880" s="95">
        <f>IFERROR(IF(D880="Premium",0.4*Y880,0),"No Disp")</f>
        <v>102760</v>
      </c>
      <c r="AB880" s="95">
        <f>IFERROR(IF(4*Y880&gt;AC880,1.5*Y880,4*Y880),"No Disp")</f>
        <v>1027600</v>
      </c>
      <c r="AC880" s="95">
        <f>IF(Z880="No Disp","No Disp",(Z880*18)+Y880)</f>
        <v>1030900</v>
      </c>
      <c r="AD880" s="95">
        <f>IF($H880="EMP",18*Z880-100,18*Z880-100+Y880)</f>
        <v>773900</v>
      </c>
      <c r="AE880" s="95">
        <v>256900</v>
      </c>
      <c r="AF880" s="95">
        <v>43000</v>
      </c>
      <c r="AG880" s="95">
        <f>IF(AF880="No Disp","No Disp",(AF880*18)+AE880)</f>
        <v>1030900</v>
      </c>
      <c r="AH880" s="98">
        <f>IF($H880="EMP",18*AF880-100,18*AF880-100+AE880)</f>
        <v>773900</v>
      </c>
      <c r="AI880" s="95">
        <v>57000</v>
      </c>
      <c r="AJ880" s="99"/>
      <c r="AK880" s="100" t="s">
        <v>43</v>
      </c>
      <c r="AL880" s="100" t="s">
        <v>43</v>
      </c>
      <c r="AM880" s="100" t="s">
        <v>43</v>
      </c>
      <c r="AN880" s="100" t="s">
        <v>43</v>
      </c>
      <c r="AO880" s="100" t="s">
        <v>43</v>
      </c>
      <c r="AP880" s="100" t="s">
        <v>43</v>
      </c>
      <c r="AQ880" s="100" t="s">
        <v>43</v>
      </c>
      <c r="AR880" s="100" t="s">
        <v>43</v>
      </c>
      <c r="AS880" s="100" t="s">
        <v>43</v>
      </c>
    </row>
    <row r="881" spans="1:45" s="101" customFormat="1" x14ac:dyDescent="0.25">
      <c r="A881" s="90" t="s">
        <v>38</v>
      </c>
      <c r="B881" s="90" t="s">
        <v>39</v>
      </c>
      <c r="C881" s="90" t="s">
        <v>39</v>
      </c>
      <c r="D881" s="90" t="s">
        <v>4537</v>
      </c>
      <c r="E881" s="90" t="s">
        <v>4538</v>
      </c>
      <c r="F881" s="91"/>
      <c r="G881" s="92">
        <v>70014616</v>
      </c>
      <c r="H881" s="91" t="s">
        <v>4370</v>
      </c>
      <c r="I881" s="93" t="s">
        <v>41</v>
      </c>
      <c r="J881" s="94" t="s">
        <v>3458</v>
      </c>
      <c r="K881" s="94" t="s">
        <v>3435</v>
      </c>
      <c r="L881" s="94" t="s">
        <v>4419</v>
      </c>
      <c r="M881" s="95">
        <v>448900</v>
      </c>
      <c r="N881" s="95">
        <v>9500</v>
      </c>
      <c r="O881" s="95">
        <v>13500</v>
      </c>
      <c r="P881" s="96">
        <v>549990</v>
      </c>
      <c r="Q881" s="152"/>
      <c r="R881" s="95">
        <v>448900</v>
      </c>
      <c r="S881" s="95">
        <v>20829.166666666668</v>
      </c>
      <c r="T881" s="95">
        <v>448900</v>
      </c>
      <c r="U881" s="95">
        <v>20829.166666666668</v>
      </c>
      <c r="V881" s="95">
        <v>448900</v>
      </c>
      <c r="W881" s="95">
        <v>20829.166666666668</v>
      </c>
      <c r="X881" s="128"/>
      <c r="Y881" s="95">
        <v>103900</v>
      </c>
      <c r="Z881" s="95">
        <v>23000</v>
      </c>
      <c r="AA881" s="95">
        <f>IFERROR(IF(D881="Premium",0.4*Y881,0),"No Disp")</f>
        <v>0</v>
      </c>
      <c r="AB881" s="95">
        <f>IFERROR(IF(4*Y881&gt;AC881,1.5*Y881,4*Y881),"No Disp")</f>
        <v>415600</v>
      </c>
      <c r="AC881" s="95">
        <f>IF(Z881="No Disp","No Disp",(Z881*18)+Y881)</f>
        <v>517900</v>
      </c>
      <c r="AD881" s="95">
        <f>IF($H881="EMP",18*Z881-100,18*Z881-100+Y881)</f>
        <v>413900</v>
      </c>
      <c r="AE881" s="95">
        <v>103900</v>
      </c>
      <c r="AF881" s="95">
        <v>23000</v>
      </c>
      <c r="AG881" s="95">
        <f>IF(AF881="No Disp","No Disp",(AF881*18)+AE881)</f>
        <v>517900</v>
      </c>
      <c r="AH881" s="98">
        <f>IF($H881="EMP",18*AF881-100,18*AF881-100+AE881)</f>
        <v>413900</v>
      </c>
      <c r="AI881" s="95">
        <v>28000</v>
      </c>
      <c r="AJ881" s="99"/>
      <c r="AK881" s="100" t="s">
        <v>43</v>
      </c>
      <c r="AL881" s="100" t="s">
        <v>43</v>
      </c>
      <c r="AM881" s="100" t="s">
        <v>43</v>
      </c>
      <c r="AN881" s="100" t="s">
        <v>43</v>
      </c>
      <c r="AO881" s="100" t="s">
        <v>43</v>
      </c>
      <c r="AP881" s="100" t="s">
        <v>43</v>
      </c>
      <c r="AQ881" s="100" t="s">
        <v>43</v>
      </c>
      <c r="AR881" s="100" t="s">
        <v>43</v>
      </c>
      <c r="AS881" s="100" t="s">
        <v>43</v>
      </c>
    </row>
    <row r="882" spans="1:45" s="101" customFormat="1" x14ac:dyDescent="0.25">
      <c r="A882" s="90" t="s">
        <v>38</v>
      </c>
      <c r="B882" s="90" t="s">
        <v>39</v>
      </c>
      <c r="C882" s="90" t="s">
        <v>39</v>
      </c>
      <c r="D882" s="90" t="s">
        <v>4537</v>
      </c>
      <c r="E882" s="90" t="s">
        <v>4538</v>
      </c>
      <c r="F882" s="91"/>
      <c r="G882" s="92">
        <v>70014622</v>
      </c>
      <c r="H882" s="91" t="s">
        <v>4370</v>
      </c>
      <c r="I882" s="93" t="s">
        <v>41</v>
      </c>
      <c r="J882" s="94" t="s">
        <v>4603</v>
      </c>
      <c r="K882" s="94" t="s">
        <v>3436</v>
      </c>
      <c r="L882" s="94" t="s">
        <v>4420</v>
      </c>
      <c r="M882" s="95">
        <v>471900</v>
      </c>
      <c r="N882" s="95">
        <v>9500</v>
      </c>
      <c r="O882" s="95">
        <v>13500</v>
      </c>
      <c r="P882" s="96">
        <v>549990</v>
      </c>
      <c r="Q882" s="152"/>
      <c r="R882" s="95">
        <v>471900</v>
      </c>
      <c r="S882" s="95">
        <v>20829.166666666668</v>
      </c>
      <c r="T882" s="95">
        <v>471900</v>
      </c>
      <c r="U882" s="95">
        <v>20829.166666666668</v>
      </c>
      <c r="V882" s="95">
        <v>471900</v>
      </c>
      <c r="W882" s="95">
        <v>20829.166666666668</v>
      </c>
      <c r="X882" s="128"/>
      <c r="Y882" s="95">
        <v>108900</v>
      </c>
      <c r="Z882" s="95">
        <v>25000</v>
      </c>
      <c r="AA882" s="95">
        <f>IFERROR(IF(D882="Premium",0.4*Y882,0),"No Disp")</f>
        <v>0</v>
      </c>
      <c r="AB882" s="95">
        <f>IFERROR(IF(4*Y882&gt;AC882,1.5*Y882,4*Y882),"No Disp")</f>
        <v>435600</v>
      </c>
      <c r="AC882" s="95">
        <f>IF(Z882="No Disp","No Disp",(Z882*18)+Y882)</f>
        <v>558900</v>
      </c>
      <c r="AD882" s="95">
        <f>IF($H882="EMP",18*Z882-100,18*Z882-100+Y882)</f>
        <v>449900</v>
      </c>
      <c r="AE882" s="95">
        <v>108900</v>
      </c>
      <c r="AF882" s="95">
        <v>25000</v>
      </c>
      <c r="AG882" s="95">
        <f>IF(AF882="No Disp","No Disp",(AF882*18)+AE882)</f>
        <v>558900</v>
      </c>
      <c r="AH882" s="98">
        <f>IF($H882="EMP",18*AF882-100,18*AF882-100+AE882)</f>
        <v>449900</v>
      </c>
      <c r="AI882" s="95">
        <v>31000</v>
      </c>
      <c r="AJ882" s="99"/>
      <c r="AK882" s="100" t="s">
        <v>43</v>
      </c>
      <c r="AL882" s="100" t="s">
        <v>43</v>
      </c>
      <c r="AM882" s="100" t="s">
        <v>43</v>
      </c>
      <c r="AN882" s="100" t="s">
        <v>43</v>
      </c>
      <c r="AO882" s="100" t="s">
        <v>43</v>
      </c>
      <c r="AP882" s="100" t="s">
        <v>43</v>
      </c>
      <c r="AQ882" s="100" t="s">
        <v>43</v>
      </c>
      <c r="AR882" s="100" t="s">
        <v>43</v>
      </c>
      <c r="AS882" s="100" t="s">
        <v>43</v>
      </c>
    </row>
    <row r="883" spans="1:45" s="101" customFormat="1" x14ac:dyDescent="0.25">
      <c r="A883" s="90" t="s">
        <v>38</v>
      </c>
      <c r="B883" s="90" t="s">
        <v>39</v>
      </c>
      <c r="C883" s="90" t="s">
        <v>39</v>
      </c>
      <c r="D883" s="90" t="s">
        <v>4537</v>
      </c>
      <c r="E883" s="90" t="s">
        <v>4538</v>
      </c>
      <c r="F883" s="91"/>
      <c r="G883" s="92">
        <v>70014627</v>
      </c>
      <c r="H883" s="91" t="s">
        <v>4370</v>
      </c>
      <c r="I883" s="93" t="s">
        <v>41</v>
      </c>
      <c r="J883" s="94" t="s">
        <v>3458</v>
      </c>
      <c r="K883" s="94" t="s">
        <v>3437</v>
      </c>
      <c r="L883" s="94" t="s">
        <v>4421</v>
      </c>
      <c r="M883" s="95">
        <v>448900</v>
      </c>
      <c r="N883" s="95">
        <v>9500</v>
      </c>
      <c r="O883" s="95">
        <v>13500</v>
      </c>
      <c r="P883" s="96">
        <v>549990</v>
      </c>
      <c r="Q883" s="152"/>
      <c r="R883" s="95">
        <v>448900</v>
      </c>
      <c r="S883" s="95">
        <v>20829.166666666668</v>
      </c>
      <c r="T883" s="95">
        <v>448900</v>
      </c>
      <c r="U883" s="95">
        <v>20829.166666666668</v>
      </c>
      <c r="V883" s="95">
        <v>448900</v>
      </c>
      <c r="W883" s="95">
        <v>20829.166666666668</v>
      </c>
      <c r="X883" s="128"/>
      <c r="Y883" s="95">
        <v>103900</v>
      </c>
      <c r="Z883" s="95">
        <v>23000</v>
      </c>
      <c r="AA883" s="95">
        <f>IFERROR(IF(D883="Premium",0.4*Y883,0),"No Disp")</f>
        <v>0</v>
      </c>
      <c r="AB883" s="95">
        <f>IFERROR(IF(4*Y883&gt;AC883,1.5*Y883,4*Y883),"No Disp")</f>
        <v>415600</v>
      </c>
      <c r="AC883" s="95">
        <f>IF(Z883="No Disp","No Disp",(Z883*18)+Y883)</f>
        <v>517900</v>
      </c>
      <c r="AD883" s="95">
        <f>IF($H883="EMP",18*Z883-100,18*Z883-100+Y883)</f>
        <v>413900</v>
      </c>
      <c r="AE883" s="95">
        <v>103900</v>
      </c>
      <c r="AF883" s="95">
        <v>23000</v>
      </c>
      <c r="AG883" s="95">
        <f>IF(AF883="No Disp","No Disp",(AF883*18)+AE883)</f>
        <v>517900</v>
      </c>
      <c r="AH883" s="98">
        <f>IF($H883="EMP",18*AF883-100,18*AF883-100+AE883)</f>
        <v>413900</v>
      </c>
      <c r="AI883" s="95">
        <v>28000</v>
      </c>
      <c r="AJ883" s="99"/>
      <c r="AK883" s="100" t="s">
        <v>43</v>
      </c>
      <c r="AL883" s="100" t="s">
        <v>43</v>
      </c>
      <c r="AM883" s="100" t="s">
        <v>43</v>
      </c>
      <c r="AN883" s="100" t="s">
        <v>43</v>
      </c>
      <c r="AO883" s="100" t="s">
        <v>43</v>
      </c>
      <c r="AP883" s="100" t="s">
        <v>43</v>
      </c>
      <c r="AQ883" s="100" t="s">
        <v>43</v>
      </c>
      <c r="AR883" s="100" t="s">
        <v>43</v>
      </c>
      <c r="AS883" s="100" t="s">
        <v>43</v>
      </c>
    </row>
    <row r="884" spans="1:45" s="101" customFormat="1" x14ac:dyDescent="0.25">
      <c r="A884" s="90" t="s">
        <v>38</v>
      </c>
      <c r="B884" s="90" t="s">
        <v>39</v>
      </c>
      <c r="C884" s="90" t="s">
        <v>39</v>
      </c>
      <c r="D884" s="90" t="s">
        <v>4537</v>
      </c>
      <c r="E884" s="90" t="s">
        <v>4538</v>
      </c>
      <c r="F884" s="91"/>
      <c r="G884" s="92">
        <v>70014633</v>
      </c>
      <c r="H884" s="91" t="s">
        <v>4370</v>
      </c>
      <c r="I884" s="93" t="s">
        <v>41</v>
      </c>
      <c r="J884" s="94" t="s">
        <v>4603</v>
      </c>
      <c r="K884" s="94" t="s">
        <v>3438</v>
      </c>
      <c r="L884" s="94" t="s">
        <v>4422</v>
      </c>
      <c r="M884" s="95">
        <v>471900</v>
      </c>
      <c r="N884" s="95">
        <v>9500</v>
      </c>
      <c r="O884" s="95">
        <v>13500</v>
      </c>
      <c r="P884" s="96">
        <v>549990</v>
      </c>
      <c r="Q884" s="152"/>
      <c r="R884" s="95">
        <v>471900</v>
      </c>
      <c r="S884" s="95">
        <v>20829.166666666668</v>
      </c>
      <c r="T884" s="95">
        <v>471900</v>
      </c>
      <c r="U884" s="95">
        <v>20829.166666666668</v>
      </c>
      <c r="V884" s="95">
        <v>471900</v>
      </c>
      <c r="W884" s="95">
        <v>20829.166666666668</v>
      </c>
      <c r="X884" s="128"/>
      <c r="Y884" s="95">
        <v>108900</v>
      </c>
      <c r="Z884" s="95">
        <v>25000</v>
      </c>
      <c r="AA884" s="95">
        <f>IFERROR(IF(D884="Premium",0.4*Y884,0),"No Disp")</f>
        <v>0</v>
      </c>
      <c r="AB884" s="95">
        <f>IFERROR(IF(4*Y884&gt;AC884,1.5*Y884,4*Y884),"No Disp")</f>
        <v>435600</v>
      </c>
      <c r="AC884" s="95">
        <f>IF(Z884="No Disp","No Disp",(Z884*18)+Y884)</f>
        <v>558900</v>
      </c>
      <c r="AD884" s="95">
        <f>IF($H884="EMP",18*Z884-100,18*Z884-100+Y884)</f>
        <v>449900</v>
      </c>
      <c r="AE884" s="95">
        <v>108900</v>
      </c>
      <c r="AF884" s="95">
        <v>25000</v>
      </c>
      <c r="AG884" s="95">
        <f>IF(AF884="No Disp","No Disp",(AF884*18)+AE884)</f>
        <v>558900</v>
      </c>
      <c r="AH884" s="98">
        <f>IF($H884="EMP",18*AF884-100,18*AF884-100+AE884)</f>
        <v>449900</v>
      </c>
      <c r="AI884" s="95">
        <v>31000</v>
      </c>
      <c r="AJ884" s="99"/>
      <c r="AK884" s="100" t="s">
        <v>43</v>
      </c>
      <c r="AL884" s="100" t="s">
        <v>43</v>
      </c>
      <c r="AM884" s="100" t="s">
        <v>43</v>
      </c>
      <c r="AN884" s="100" t="s">
        <v>43</v>
      </c>
      <c r="AO884" s="100" t="s">
        <v>43</v>
      </c>
      <c r="AP884" s="100" t="s">
        <v>43</v>
      </c>
      <c r="AQ884" s="100" t="s">
        <v>43</v>
      </c>
      <c r="AR884" s="100" t="s">
        <v>43</v>
      </c>
      <c r="AS884" s="100" t="s">
        <v>43</v>
      </c>
    </row>
    <row r="885" spans="1:45" s="101" customFormat="1" x14ac:dyDescent="0.25">
      <c r="A885" s="90" t="s">
        <v>38</v>
      </c>
      <c r="B885" s="90" t="s">
        <v>40</v>
      </c>
      <c r="C885" s="90" t="s">
        <v>39</v>
      </c>
      <c r="D885" s="90" t="s">
        <v>4540</v>
      </c>
      <c r="E885" s="90" t="s">
        <v>4538</v>
      </c>
      <c r="F885" s="91"/>
      <c r="G885" s="92">
        <v>70014231</v>
      </c>
      <c r="H885" s="91" t="s">
        <v>4370</v>
      </c>
      <c r="I885" s="93" t="s">
        <v>46</v>
      </c>
      <c r="J885" s="94" t="s">
        <v>123</v>
      </c>
      <c r="K885" s="94" t="s">
        <v>3429</v>
      </c>
      <c r="L885" s="94" t="s">
        <v>3430</v>
      </c>
      <c r="M885" s="95">
        <v>823900</v>
      </c>
      <c r="N885" s="95">
        <v>7000</v>
      </c>
      <c r="O885" s="95">
        <v>10000</v>
      </c>
      <c r="P885" s="96">
        <v>1069990</v>
      </c>
      <c r="Q885" s="152"/>
      <c r="R885" s="95">
        <v>823900</v>
      </c>
      <c r="S885" s="95">
        <v>32079.166666666668</v>
      </c>
      <c r="T885" s="95">
        <v>823900</v>
      </c>
      <c r="U885" s="95">
        <v>32079.166666666668</v>
      </c>
      <c r="V885" s="95">
        <v>823900</v>
      </c>
      <c r="W885" s="95">
        <v>32079.166666666668</v>
      </c>
      <c r="X885" s="128"/>
      <c r="Y885" s="95">
        <v>236900</v>
      </c>
      <c r="Z885" s="95">
        <v>40000</v>
      </c>
      <c r="AA885" s="95">
        <f>IFERROR(IF(D885="Premium",0.4*Y885,0),"No Disp")</f>
        <v>94760</v>
      </c>
      <c r="AB885" s="95">
        <f>IFERROR(IF(4*Y885&gt;AC885,1.5*Y885,4*Y885),"No Disp")</f>
        <v>947600</v>
      </c>
      <c r="AC885" s="95">
        <f>IF(Z885="No Disp","No Disp",(Z885*18)+Y885)</f>
        <v>956900</v>
      </c>
      <c r="AD885" s="95">
        <f>IF($H885="EMP",18*Z885-100,18*Z885-100+Y885)</f>
        <v>719900</v>
      </c>
      <c r="AE885" s="95">
        <v>236900</v>
      </c>
      <c r="AF885" s="95">
        <v>40000</v>
      </c>
      <c r="AG885" s="95">
        <f>IF(AF885="No Disp","No Disp",(AF885*18)+AE885)</f>
        <v>956900</v>
      </c>
      <c r="AH885" s="98">
        <f>IF($H885="EMP",18*AF885-100,18*AF885-100+AE885)</f>
        <v>719900</v>
      </c>
      <c r="AI885" s="95">
        <v>53000</v>
      </c>
      <c r="AJ885" s="99"/>
      <c r="AK885" s="100" t="s">
        <v>43</v>
      </c>
      <c r="AL885" s="100" t="s">
        <v>43</v>
      </c>
      <c r="AM885" s="100" t="s">
        <v>43</v>
      </c>
      <c r="AN885" s="100" t="s">
        <v>43</v>
      </c>
      <c r="AO885" s="100" t="s">
        <v>43</v>
      </c>
      <c r="AP885" s="100" t="s">
        <v>43</v>
      </c>
      <c r="AQ885" s="100" t="s">
        <v>43</v>
      </c>
      <c r="AR885" s="100" t="s">
        <v>43</v>
      </c>
      <c r="AS885" s="100" t="s">
        <v>43</v>
      </c>
    </row>
    <row r="886" spans="1:45" s="101" customFormat="1" x14ac:dyDescent="0.25">
      <c r="A886" s="90" t="s">
        <v>38</v>
      </c>
      <c r="B886" s="90" t="s">
        <v>39</v>
      </c>
      <c r="C886" s="90" t="s">
        <v>40</v>
      </c>
      <c r="D886" s="90" t="s">
        <v>4539</v>
      </c>
      <c r="E886" s="90" t="s">
        <v>4538</v>
      </c>
      <c r="F886" s="91"/>
      <c r="G886" s="92">
        <v>70015215</v>
      </c>
      <c r="H886" s="91" t="s">
        <v>4370</v>
      </c>
      <c r="I886" s="93" t="s">
        <v>112</v>
      </c>
      <c r="J886" s="102" t="s">
        <v>4020</v>
      </c>
      <c r="K886" s="94" t="s">
        <v>4023</v>
      </c>
      <c r="L886" s="94" t="s">
        <v>4024</v>
      </c>
      <c r="M886" s="95">
        <v>285900</v>
      </c>
      <c r="N886" s="95">
        <v>6000</v>
      </c>
      <c r="O886" s="95">
        <v>8500</v>
      </c>
      <c r="P886" s="96">
        <v>459990</v>
      </c>
      <c r="Q886" s="152"/>
      <c r="R886" s="95">
        <v>285900</v>
      </c>
      <c r="S886" s="95">
        <v>19166.25</v>
      </c>
      <c r="T886" s="95">
        <v>285900</v>
      </c>
      <c r="U886" s="95">
        <v>14162.5</v>
      </c>
      <c r="V886" s="95">
        <v>285900</v>
      </c>
      <c r="W886" s="95">
        <v>14162.5</v>
      </c>
      <c r="X886" s="128"/>
      <c r="Y886" s="95">
        <v>49900</v>
      </c>
      <c r="Z886" s="95">
        <v>16000</v>
      </c>
      <c r="AA886" s="95">
        <f>IFERROR(IF(D886="Premium",0.4*Y886,0),"No Disp")</f>
        <v>0</v>
      </c>
      <c r="AB886" s="95">
        <f>IFERROR(IF(4*Y886&gt;AC886,1.5*Y886,4*Y886),"No Disp")</f>
        <v>199600</v>
      </c>
      <c r="AC886" s="95">
        <f>IF(Z886="No Disp","No Disp",(Z886*18)+Y886)</f>
        <v>337900</v>
      </c>
      <c r="AD886" s="95">
        <f>IF($H886="EMP",18*Z886-100,18*Z886-100+Y886)</f>
        <v>287900</v>
      </c>
      <c r="AE886" s="95">
        <v>49900</v>
      </c>
      <c r="AF886" s="95">
        <v>16000</v>
      </c>
      <c r="AG886" s="95">
        <f>IF(AF886="No Disp","No Disp",(AF886*18)+AE886)</f>
        <v>337900</v>
      </c>
      <c r="AH886" s="98">
        <f>IF($H886="EMP",18*AF886-100,18*AF886-100+AE886)</f>
        <v>287900</v>
      </c>
      <c r="AI886" s="95">
        <v>18000</v>
      </c>
      <c r="AJ886" s="99"/>
      <c r="AK886" s="100" t="s">
        <v>43</v>
      </c>
      <c r="AL886" s="100" t="s">
        <v>43</v>
      </c>
      <c r="AM886" s="100" t="s">
        <v>43</v>
      </c>
      <c r="AN886" s="100" t="s">
        <v>43</v>
      </c>
      <c r="AO886" s="100" t="s">
        <v>43</v>
      </c>
      <c r="AP886" s="100" t="s">
        <v>43</v>
      </c>
      <c r="AQ886" s="100" t="s">
        <v>43</v>
      </c>
      <c r="AR886" s="100" t="s">
        <v>43</v>
      </c>
      <c r="AS886" s="100" t="s">
        <v>43</v>
      </c>
    </row>
    <row r="887" spans="1:45" s="101" customFormat="1" x14ac:dyDescent="0.25">
      <c r="A887" s="90" t="s">
        <v>38</v>
      </c>
      <c r="B887" s="90" t="s">
        <v>40</v>
      </c>
      <c r="C887" s="90" t="s">
        <v>39</v>
      </c>
      <c r="D887" s="90" t="s">
        <v>4539</v>
      </c>
      <c r="E887" s="90" t="s">
        <v>4538</v>
      </c>
      <c r="F887" s="91"/>
      <c r="G887" s="92">
        <v>70014259</v>
      </c>
      <c r="H887" s="91" t="s">
        <v>4370</v>
      </c>
      <c r="I887" s="93" t="s">
        <v>87</v>
      </c>
      <c r="J887" s="94" t="s">
        <v>158</v>
      </c>
      <c r="K887" s="94" t="s">
        <v>3428</v>
      </c>
      <c r="L887" s="94" t="s">
        <v>3427</v>
      </c>
      <c r="M887" s="95">
        <v>234900</v>
      </c>
      <c r="N887" s="95">
        <v>4000</v>
      </c>
      <c r="O887" s="95">
        <v>6000</v>
      </c>
      <c r="P887" s="96">
        <v>299990</v>
      </c>
      <c r="Q887" s="152"/>
      <c r="R887" s="95">
        <v>234900</v>
      </c>
      <c r="S887" s="95">
        <v>10120.833333333334</v>
      </c>
      <c r="T887" s="95">
        <v>234900</v>
      </c>
      <c r="U887" s="95">
        <v>10120.833333333334</v>
      </c>
      <c r="V887" s="95">
        <v>234900</v>
      </c>
      <c r="W887" s="95">
        <v>10120.833333333334</v>
      </c>
      <c r="X887" s="128"/>
      <c r="Y887" s="95">
        <v>40900</v>
      </c>
      <c r="Z887" s="95">
        <v>13000</v>
      </c>
      <c r="AA887" s="95">
        <f>IFERROR(IF(D887="Premium",0.4*Y887,0),"No Disp")</f>
        <v>0</v>
      </c>
      <c r="AB887" s="95">
        <f>IFERROR(IF(4*Y887&gt;AC887,1.5*Y887,4*Y887),"No Disp")</f>
        <v>163600</v>
      </c>
      <c r="AC887" s="95">
        <f>IF(Z887="No Disp","No Disp",(Z887*18)+Y887)</f>
        <v>274900</v>
      </c>
      <c r="AD887" s="95">
        <f>IF($H887="EMP",18*Z887-100,18*Z887-100+Y887)</f>
        <v>233900</v>
      </c>
      <c r="AE887" s="95">
        <v>40900</v>
      </c>
      <c r="AF887" s="95">
        <v>13000</v>
      </c>
      <c r="AG887" s="95">
        <f>IF(AF887="No Disp","No Disp",(AF887*18)+AE887)</f>
        <v>274900</v>
      </c>
      <c r="AH887" s="98">
        <f>IF($H887="EMP",18*AF887-100,18*AF887-100+AE887)</f>
        <v>233900</v>
      </c>
      <c r="AI887" s="95">
        <v>15000</v>
      </c>
      <c r="AJ887" s="99"/>
      <c r="AK887" s="100" t="s">
        <v>43</v>
      </c>
      <c r="AL887" s="100" t="s">
        <v>43</v>
      </c>
      <c r="AM887" s="100" t="s">
        <v>43</v>
      </c>
      <c r="AN887" s="100" t="s">
        <v>43</v>
      </c>
      <c r="AO887" s="100" t="s">
        <v>43</v>
      </c>
      <c r="AP887" s="100" t="s">
        <v>43</v>
      </c>
      <c r="AQ887" s="100" t="s">
        <v>43</v>
      </c>
      <c r="AR887" s="100" t="s">
        <v>43</v>
      </c>
      <c r="AS887" s="100" t="s">
        <v>43</v>
      </c>
    </row>
    <row r="888" spans="1:45" s="101" customFormat="1" x14ac:dyDescent="0.25">
      <c r="A888" s="90" t="s">
        <v>38</v>
      </c>
      <c r="B888" s="90" t="s">
        <v>40</v>
      </c>
      <c r="C888" s="90" t="s">
        <v>39</v>
      </c>
      <c r="D888" s="90" t="s">
        <v>4540</v>
      </c>
      <c r="E888" s="90" t="s">
        <v>4538</v>
      </c>
      <c r="F888" s="91"/>
      <c r="G888" s="92">
        <v>70015292</v>
      </c>
      <c r="H888" s="91" t="s">
        <v>4370</v>
      </c>
      <c r="I888" s="93" t="s">
        <v>46</v>
      </c>
      <c r="J888" s="94" t="s">
        <v>4223</v>
      </c>
      <c r="K888" s="94" t="s">
        <v>4212</v>
      </c>
      <c r="L888" s="94" t="s">
        <v>4243</v>
      </c>
      <c r="M888" s="95">
        <v>647900</v>
      </c>
      <c r="N888" s="95">
        <v>6000</v>
      </c>
      <c r="O888" s="95">
        <v>8500</v>
      </c>
      <c r="P888" s="96">
        <v>799990</v>
      </c>
      <c r="Q888" s="152"/>
      <c r="R888" s="95">
        <v>647900</v>
      </c>
      <c r="S888" s="95">
        <v>32082.916666666668</v>
      </c>
      <c r="T888" s="95">
        <v>647900</v>
      </c>
      <c r="U888" s="95">
        <v>29162.5</v>
      </c>
      <c r="V888" s="95">
        <v>647900</v>
      </c>
      <c r="W888" s="95">
        <v>29162.5</v>
      </c>
      <c r="X888" s="128"/>
      <c r="Y888" s="95">
        <v>186900</v>
      </c>
      <c r="Z888" s="95">
        <v>32000</v>
      </c>
      <c r="AA888" s="95">
        <f>IFERROR(IF(D888="Premium",0.4*Y888,0),"No Disp")</f>
        <v>74760</v>
      </c>
      <c r="AB888" s="95">
        <f>IFERROR(IF(4*Y888&gt;AC888,1.5*Y888,4*Y888),"No Disp")</f>
        <v>747600</v>
      </c>
      <c r="AC888" s="95">
        <f>IF(Z888="No Disp","No Disp",(Z888*18)+Y888)</f>
        <v>762900</v>
      </c>
      <c r="AD888" s="95">
        <f>IF($H888="EMP",18*Z888-100,18*Z888-100+Y888)</f>
        <v>575900</v>
      </c>
      <c r="AE888" s="95">
        <v>186900</v>
      </c>
      <c r="AF888" s="95">
        <v>32000</v>
      </c>
      <c r="AG888" s="95">
        <f>IF(AF888="No Disp","No Disp",(AF888*18)+AE888)</f>
        <v>762900</v>
      </c>
      <c r="AH888" s="98">
        <f>IF($H888="EMP",18*AF888-100,18*AF888-100+AE888)</f>
        <v>575900</v>
      </c>
      <c r="AI888" s="95">
        <v>42000</v>
      </c>
      <c r="AJ888" s="99"/>
      <c r="AK888" s="100" t="s">
        <v>43</v>
      </c>
      <c r="AL888" s="100" t="s">
        <v>43</v>
      </c>
      <c r="AM888" s="100" t="s">
        <v>43</v>
      </c>
      <c r="AN888" s="100" t="s">
        <v>43</v>
      </c>
      <c r="AO888" s="100" t="s">
        <v>43</v>
      </c>
      <c r="AP888" s="100" t="s">
        <v>43</v>
      </c>
      <c r="AQ888" s="100" t="s">
        <v>43</v>
      </c>
      <c r="AR888" s="100" t="s">
        <v>43</v>
      </c>
      <c r="AS888" s="100" t="s">
        <v>43</v>
      </c>
    </row>
    <row r="889" spans="1:45" s="101" customFormat="1" x14ac:dyDescent="0.25">
      <c r="A889" s="90" t="s">
        <v>38</v>
      </c>
      <c r="B889" s="90" t="s">
        <v>40</v>
      </c>
      <c r="C889" s="90" t="s">
        <v>39</v>
      </c>
      <c r="D889" s="90" t="s">
        <v>4540</v>
      </c>
      <c r="E889" s="90" t="s">
        <v>4538</v>
      </c>
      <c r="F889" s="91"/>
      <c r="G889" s="92">
        <v>70015296</v>
      </c>
      <c r="H889" s="91" t="s">
        <v>4370</v>
      </c>
      <c r="I889" s="93" t="s">
        <v>46</v>
      </c>
      <c r="J889" s="94" t="s">
        <v>4223</v>
      </c>
      <c r="K889" s="94" t="s">
        <v>4214</v>
      </c>
      <c r="L889" s="94" t="s">
        <v>4245</v>
      </c>
      <c r="M889" s="95">
        <v>647900</v>
      </c>
      <c r="N889" s="95">
        <v>6000</v>
      </c>
      <c r="O889" s="95">
        <v>8500</v>
      </c>
      <c r="P889" s="96">
        <v>799990</v>
      </c>
      <c r="Q889" s="152"/>
      <c r="R889" s="95">
        <v>647900</v>
      </c>
      <c r="S889" s="95">
        <v>32082.916666666668</v>
      </c>
      <c r="T889" s="95">
        <v>647900</v>
      </c>
      <c r="U889" s="95">
        <v>29162.5</v>
      </c>
      <c r="V889" s="95">
        <v>647900</v>
      </c>
      <c r="W889" s="95">
        <v>29162.5</v>
      </c>
      <c r="X889" s="128"/>
      <c r="Y889" s="95">
        <v>186900</v>
      </c>
      <c r="Z889" s="95">
        <v>32000</v>
      </c>
      <c r="AA889" s="95">
        <f>IFERROR(IF(D889="Premium",0.4*Y889,0),"No Disp")</f>
        <v>74760</v>
      </c>
      <c r="AB889" s="95">
        <f>IFERROR(IF(4*Y889&gt;AC889,1.5*Y889,4*Y889),"No Disp")</f>
        <v>747600</v>
      </c>
      <c r="AC889" s="95">
        <f>IF(Z889="No Disp","No Disp",(Z889*18)+Y889)</f>
        <v>762900</v>
      </c>
      <c r="AD889" s="95">
        <f>IF($H889="EMP",18*Z889-100,18*Z889-100+Y889)</f>
        <v>575900</v>
      </c>
      <c r="AE889" s="95">
        <v>186900</v>
      </c>
      <c r="AF889" s="95">
        <v>32000</v>
      </c>
      <c r="AG889" s="95">
        <f>IF(AF889="No Disp","No Disp",(AF889*18)+AE889)</f>
        <v>762900</v>
      </c>
      <c r="AH889" s="98">
        <f>IF($H889="EMP",18*AF889-100,18*AF889-100+AE889)</f>
        <v>575900</v>
      </c>
      <c r="AI889" s="95">
        <v>42000</v>
      </c>
      <c r="AJ889" s="99"/>
      <c r="AK889" s="100" t="s">
        <v>43</v>
      </c>
      <c r="AL889" s="100" t="s">
        <v>43</v>
      </c>
      <c r="AM889" s="100" t="s">
        <v>43</v>
      </c>
      <c r="AN889" s="100" t="s">
        <v>43</v>
      </c>
      <c r="AO889" s="100" t="s">
        <v>43</v>
      </c>
      <c r="AP889" s="100" t="s">
        <v>43</v>
      </c>
      <c r="AQ889" s="100" t="s">
        <v>43</v>
      </c>
      <c r="AR889" s="100" t="s">
        <v>43</v>
      </c>
      <c r="AS889" s="100" t="s">
        <v>43</v>
      </c>
    </row>
    <row r="890" spans="1:45" s="101" customFormat="1" x14ac:dyDescent="0.25">
      <c r="A890" s="90" t="s">
        <v>38</v>
      </c>
      <c r="B890" s="90" t="s">
        <v>40</v>
      </c>
      <c r="C890" s="90" t="s">
        <v>39</v>
      </c>
      <c r="D890" s="90" t="s">
        <v>4540</v>
      </c>
      <c r="E890" s="90" t="s">
        <v>4538</v>
      </c>
      <c r="F890" s="91"/>
      <c r="G890" s="92">
        <v>70015304</v>
      </c>
      <c r="H890" s="91" t="s">
        <v>4370</v>
      </c>
      <c r="I890" s="93" t="s">
        <v>46</v>
      </c>
      <c r="J890" s="94" t="s">
        <v>4223</v>
      </c>
      <c r="K890" s="94" t="s">
        <v>4216</v>
      </c>
      <c r="L890" s="94" t="s">
        <v>4247</v>
      </c>
      <c r="M890" s="95">
        <v>647900</v>
      </c>
      <c r="N890" s="95">
        <v>6000</v>
      </c>
      <c r="O890" s="95">
        <v>8500</v>
      </c>
      <c r="P890" s="96">
        <v>799990</v>
      </c>
      <c r="Q890" s="152"/>
      <c r="R890" s="95">
        <v>647900</v>
      </c>
      <c r="S890" s="95">
        <v>32082.916666666668</v>
      </c>
      <c r="T890" s="95">
        <v>647900</v>
      </c>
      <c r="U890" s="95">
        <v>29162.5</v>
      </c>
      <c r="V890" s="95">
        <v>647900</v>
      </c>
      <c r="W890" s="95">
        <v>29162.5</v>
      </c>
      <c r="X890" s="128"/>
      <c r="Y890" s="95">
        <v>186900</v>
      </c>
      <c r="Z890" s="95">
        <v>32000</v>
      </c>
      <c r="AA890" s="95">
        <f>IFERROR(IF(D890="Premium",0.4*Y890,0),"No Disp")</f>
        <v>74760</v>
      </c>
      <c r="AB890" s="95">
        <f>IFERROR(IF(4*Y890&gt;AC890,1.5*Y890,4*Y890),"No Disp")</f>
        <v>747600</v>
      </c>
      <c r="AC890" s="95">
        <f>IF(Z890="No Disp","No Disp",(Z890*18)+Y890)</f>
        <v>762900</v>
      </c>
      <c r="AD890" s="95">
        <f>IF($H890="EMP",18*Z890-100,18*Z890-100+Y890)</f>
        <v>575900</v>
      </c>
      <c r="AE890" s="95">
        <v>186900</v>
      </c>
      <c r="AF890" s="95">
        <v>32000</v>
      </c>
      <c r="AG890" s="95">
        <f>IF(AF890="No Disp","No Disp",(AF890*18)+AE890)</f>
        <v>762900</v>
      </c>
      <c r="AH890" s="98">
        <f>IF($H890="EMP",18*AF890-100,18*AF890-100+AE890)</f>
        <v>575900</v>
      </c>
      <c r="AI890" s="95">
        <v>42000</v>
      </c>
      <c r="AJ890" s="99"/>
      <c r="AK890" s="100" t="s">
        <v>43</v>
      </c>
      <c r="AL890" s="100" t="s">
        <v>43</v>
      </c>
      <c r="AM890" s="100" t="s">
        <v>43</v>
      </c>
      <c r="AN890" s="100" t="s">
        <v>43</v>
      </c>
      <c r="AO890" s="100" t="s">
        <v>43</v>
      </c>
      <c r="AP890" s="100" t="s">
        <v>43</v>
      </c>
      <c r="AQ890" s="100" t="s">
        <v>43</v>
      </c>
      <c r="AR890" s="100" t="s">
        <v>43</v>
      </c>
      <c r="AS890" s="100" t="s">
        <v>43</v>
      </c>
    </row>
    <row r="891" spans="1:45" s="101" customFormat="1" x14ac:dyDescent="0.25">
      <c r="A891" s="90" t="s">
        <v>38</v>
      </c>
      <c r="B891" s="90" t="s">
        <v>40</v>
      </c>
      <c r="C891" s="90" t="s">
        <v>39</v>
      </c>
      <c r="D891" s="90" t="s">
        <v>4540</v>
      </c>
      <c r="E891" s="90" t="s">
        <v>4538</v>
      </c>
      <c r="F891" s="91"/>
      <c r="G891" s="92">
        <v>70015300</v>
      </c>
      <c r="H891" s="91" t="s">
        <v>4370</v>
      </c>
      <c r="I891" s="93" t="s">
        <v>46</v>
      </c>
      <c r="J891" s="94" t="s">
        <v>4223</v>
      </c>
      <c r="K891" s="94" t="s">
        <v>4218</v>
      </c>
      <c r="L891" s="94" t="s">
        <v>4249</v>
      </c>
      <c r="M891" s="95">
        <v>647900</v>
      </c>
      <c r="N891" s="95">
        <v>6000</v>
      </c>
      <c r="O891" s="95">
        <v>8500</v>
      </c>
      <c r="P891" s="96">
        <v>799990</v>
      </c>
      <c r="Q891" s="152"/>
      <c r="R891" s="95">
        <v>647900</v>
      </c>
      <c r="S891" s="95">
        <v>32082.916666666668</v>
      </c>
      <c r="T891" s="95">
        <v>647900</v>
      </c>
      <c r="U891" s="95">
        <v>29162.5</v>
      </c>
      <c r="V891" s="95">
        <v>647900</v>
      </c>
      <c r="W891" s="95">
        <v>29162.5</v>
      </c>
      <c r="X891" s="128"/>
      <c r="Y891" s="95">
        <v>186900</v>
      </c>
      <c r="Z891" s="95">
        <v>32000</v>
      </c>
      <c r="AA891" s="95">
        <f>IFERROR(IF(D891="Premium",0.4*Y891,0),"No Disp")</f>
        <v>74760</v>
      </c>
      <c r="AB891" s="95">
        <f>IFERROR(IF(4*Y891&gt;AC891,1.5*Y891,4*Y891),"No Disp")</f>
        <v>747600</v>
      </c>
      <c r="AC891" s="95">
        <f>IF(Z891="No Disp","No Disp",(Z891*18)+Y891)</f>
        <v>762900</v>
      </c>
      <c r="AD891" s="95">
        <f>IF($H891="EMP",18*Z891-100,18*Z891-100+Y891)</f>
        <v>575900</v>
      </c>
      <c r="AE891" s="95">
        <v>186900</v>
      </c>
      <c r="AF891" s="95">
        <v>32000</v>
      </c>
      <c r="AG891" s="95">
        <f>IF(AF891="No Disp","No Disp",(AF891*18)+AE891)</f>
        <v>762900</v>
      </c>
      <c r="AH891" s="98">
        <f>IF($H891="EMP",18*AF891-100,18*AF891-100+AE891)</f>
        <v>575900</v>
      </c>
      <c r="AI891" s="95">
        <v>42000</v>
      </c>
      <c r="AJ891" s="99"/>
      <c r="AK891" s="100" t="s">
        <v>43</v>
      </c>
      <c r="AL891" s="100" t="s">
        <v>43</v>
      </c>
      <c r="AM891" s="100" t="s">
        <v>43</v>
      </c>
      <c r="AN891" s="100" t="s">
        <v>43</v>
      </c>
      <c r="AO891" s="100" t="s">
        <v>43</v>
      </c>
      <c r="AP891" s="100" t="s">
        <v>43</v>
      </c>
      <c r="AQ891" s="100" t="s">
        <v>43</v>
      </c>
      <c r="AR891" s="100" t="s">
        <v>43</v>
      </c>
      <c r="AS891" s="100" t="s">
        <v>43</v>
      </c>
    </row>
    <row r="892" spans="1:45" s="101" customFormat="1" x14ac:dyDescent="0.25">
      <c r="A892" s="90" t="s">
        <v>38</v>
      </c>
      <c r="B892" s="90" t="s">
        <v>40</v>
      </c>
      <c r="C892" s="90" t="s">
        <v>39</v>
      </c>
      <c r="D892" s="90" t="s">
        <v>4540</v>
      </c>
      <c r="E892" s="90" t="s">
        <v>4538</v>
      </c>
      <c r="F892" s="91"/>
      <c r="G892" s="92">
        <v>70015309</v>
      </c>
      <c r="H892" s="91" t="s">
        <v>4370</v>
      </c>
      <c r="I892" s="93" t="s">
        <v>46</v>
      </c>
      <c r="J892" s="94" t="s">
        <v>4223</v>
      </c>
      <c r="K892" s="94" t="s">
        <v>4220</v>
      </c>
      <c r="L892" s="94" t="s">
        <v>4251</v>
      </c>
      <c r="M892" s="95">
        <v>647900</v>
      </c>
      <c r="N892" s="95">
        <v>6000</v>
      </c>
      <c r="O892" s="95">
        <v>8500</v>
      </c>
      <c r="P892" s="96">
        <v>799990</v>
      </c>
      <c r="Q892" s="152"/>
      <c r="R892" s="95">
        <v>647900</v>
      </c>
      <c r="S892" s="95">
        <v>32082.916666666668</v>
      </c>
      <c r="T892" s="95">
        <v>647900</v>
      </c>
      <c r="U892" s="95">
        <v>29162.5</v>
      </c>
      <c r="V892" s="95">
        <v>647900</v>
      </c>
      <c r="W892" s="95">
        <v>29162.5</v>
      </c>
      <c r="X892" s="128"/>
      <c r="Y892" s="95">
        <v>186900</v>
      </c>
      <c r="Z892" s="95">
        <v>32000</v>
      </c>
      <c r="AA892" s="95">
        <f>IFERROR(IF(D892="Premium",0.4*Y892,0),"No Disp")</f>
        <v>74760</v>
      </c>
      <c r="AB892" s="95">
        <f>IFERROR(IF(4*Y892&gt;AC892,1.5*Y892,4*Y892),"No Disp")</f>
        <v>747600</v>
      </c>
      <c r="AC892" s="95">
        <f>IF(Z892="No Disp","No Disp",(Z892*18)+Y892)</f>
        <v>762900</v>
      </c>
      <c r="AD892" s="95">
        <f>IF($H892="EMP",18*Z892-100,18*Z892-100+Y892)</f>
        <v>575900</v>
      </c>
      <c r="AE892" s="95">
        <v>186900</v>
      </c>
      <c r="AF892" s="95">
        <v>32000</v>
      </c>
      <c r="AG892" s="95">
        <f>IF(AF892="No Disp","No Disp",(AF892*18)+AE892)</f>
        <v>762900</v>
      </c>
      <c r="AH892" s="98">
        <f>IF($H892="EMP",18*AF892-100,18*AF892-100+AE892)</f>
        <v>575900</v>
      </c>
      <c r="AI892" s="95">
        <v>42000</v>
      </c>
      <c r="AJ892" s="99"/>
      <c r="AK892" s="100" t="s">
        <v>43</v>
      </c>
      <c r="AL892" s="100" t="s">
        <v>43</v>
      </c>
      <c r="AM892" s="100" t="s">
        <v>43</v>
      </c>
      <c r="AN892" s="100" t="s">
        <v>43</v>
      </c>
      <c r="AO892" s="100" t="s">
        <v>43</v>
      </c>
      <c r="AP892" s="100" t="s">
        <v>43</v>
      </c>
      <c r="AQ892" s="100" t="s">
        <v>43</v>
      </c>
      <c r="AR892" s="100" t="s">
        <v>43</v>
      </c>
      <c r="AS892" s="100" t="s">
        <v>43</v>
      </c>
    </row>
    <row r="893" spans="1:45" s="101" customFormat="1" x14ac:dyDescent="0.25">
      <c r="A893" s="90" t="s">
        <v>38</v>
      </c>
      <c r="B893" s="90" t="s">
        <v>40</v>
      </c>
      <c r="C893" s="90" t="s">
        <v>39</v>
      </c>
      <c r="D893" s="90" t="s">
        <v>4540</v>
      </c>
      <c r="E893" s="90" t="s">
        <v>4538</v>
      </c>
      <c r="F893" s="91"/>
      <c r="G893" s="92">
        <v>70013971</v>
      </c>
      <c r="H893" s="91" t="s">
        <v>4370</v>
      </c>
      <c r="I893" s="93" t="s">
        <v>63</v>
      </c>
      <c r="J893" s="94" t="s">
        <v>182</v>
      </c>
      <c r="K893" s="94" t="s">
        <v>3134</v>
      </c>
      <c r="L893" s="94" t="s">
        <v>3282</v>
      </c>
      <c r="M893" s="95">
        <v>1426900</v>
      </c>
      <c r="N893" s="95">
        <v>9500</v>
      </c>
      <c r="O893" s="95">
        <v>13500</v>
      </c>
      <c r="P893" s="96">
        <v>1744900</v>
      </c>
      <c r="Q893" s="152"/>
      <c r="R893" s="95">
        <v>1426900</v>
      </c>
      <c r="S893" s="95">
        <v>57579.166666666664</v>
      </c>
      <c r="T893" s="95">
        <v>1426900</v>
      </c>
      <c r="U893" s="95">
        <v>57579.166666666664</v>
      </c>
      <c r="V893" s="95">
        <v>1426900</v>
      </c>
      <c r="W893" s="95">
        <v>57579.166666666664</v>
      </c>
      <c r="X893" s="128"/>
      <c r="Y893" s="95">
        <v>492900</v>
      </c>
      <c r="Z893" s="95">
        <v>64000</v>
      </c>
      <c r="AA893" s="95">
        <f>IFERROR(IF(D893="Premium",0.4*Y893,0),"No Disp")</f>
        <v>197160</v>
      </c>
      <c r="AB893" s="95">
        <f>IFERROR(IF(4*Y893&gt;AC893,1.5*Y893,4*Y893),"No Disp")</f>
        <v>739350</v>
      </c>
      <c r="AC893" s="95">
        <f>IF(Z893="No Disp","No Disp",(Z893*18)+Y893)</f>
        <v>1644900</v>
      </c>
      <c r="AD893" s="95">
        <f>IF($H893="EMP",18*Z893-100,18*Z893-100+Y893)</f>
        <v>1151900</v>
      </c>
      <c r="AE893" s="95">
        <v>492900</v>
      </c>
      <c r="AF893" s="95">
        <v>64000</v>
      </c>
      <c r="AG893" s="95">
        <f>IF(AF893="No Disp","No Disp",(AF893*18)+AE893)</f>
        <v>1644900</v>
      </c>
      <c r="AH893" s="98">
        <f>IF($H893="EMP",18*AF893-100,18*AF893-100+AE893)</f>
        <v>1151900</v>
      </c>
      <c r="AI893" s="95">
        <v>91000</v>
      </c>
      <c r="AJ893" s="99"/>
      <c r="AK893" s="100" t="s">
        <v>43</v>
      </c>
      <c r="AL893" s="100" t="s">
        <v>43</v>
      </c>
      <c r="AM893" s="100" t="s">
        <v>43</v>
      </c>
      <c r="AN893" s="100" t="s">
        <v>43</v>
      </c>
      <c r="AO893" s="100" t="s">
        <v>43</v>
      </c>
      <c r="AP893" s="100" t="s">
        <v>43</v>
      </c>
      <c r="AQ893" s="100" t="s">
        <v>43</v>
      </c>
      <c r="AR893" s="100" t="s">
        <v>43</v>
      </c>
      <c r="AS893" s="100" t="s">
        <v>43</v>
      </c>
    </row>
    <row r="894" spans="1:45" s="101" customFormat="1" x14ac:dyDescent="0.25">
      <c r="A894" s="90" t="s">
        <v>38</v>
      </c>
      <c r="B894" s="90" t="s">
        <v>40</v>
      </c>
      <c r="C894" s="90" t="s">
        <v>39</v>
      </c>
      <c r="D894" s="90" t="s">
        <v>4540</v>
      </c>
      <c r="E894" s="90" t="s">
        <v>4538</v>
      </c>
      <c r="F894" s="91"/>
      <c r="G894" s="92">
        <v>70013972</v>
      </c>
      <c r="H894" s="91" t="s">
        <v>4370</v>
      </c>
      <c r="I894" s="93" t="s">
        <v>63</v>
      </c>
      <c r="J894" s="94" t="s">
        <v>182</v>
      </c>
      <c r="K894" s="94" t="s">
        <v>3135</v>
      </c>
      <c r="L894" s="94" t="s">
        <v>3283</v>
      </c>
      <c r="M894" s="95">
        <v>1426900</v>
      </c>
      <c r="N894" s="95">
        <v>9500</v>
      </c>
      <c r="O894" s="95">
        <v>13500</v>
      </c>
      <c r="P894" s="96">
        <v>1744900</v>
      </c>
      <c r="Q894" s="152"/>
      <c r="R894" s="95">
        <v>1426900</v>
      </c>
      <c r="S894" s="95">
        <v>57579.166666666664</v>
      </c>
      <c r="T894" s="95">
        <v>1426900</v>
      </c>
      <c r="U894" s="95">
        <v>57579.166666666664</v>
      </c>
      <c r="V894" s="95">
        <v>1426900</v>
      </c>
      <c r="W894" s="95">
        <v>57579.166666666664</v>
      </c>
      <c r="X894" s="128"/>
      <c r="Y894" s="95">
        <v>492900</v>
      </c>
      <c r="Z894" s="95">
        <v>64000</v>
      </c>
      <c r="AA894" s="95">
        <f>IFERROR(IF(D894="Premium",0.4*Y894,0),"No Disp")</f>
        <v>197160</v>
      </c>
      <c r="AB894" s="95">
        <f>IFERROR(IF(4*Y894&gt;AC894,1.5*Y894,4*Y894),"No Disp")</f>
        <v>739350</v>
      </c>
      <c r="AC894" s="95">
        <f>IF(Z894="No Disp","No Disp",(Z894*18)+Y894)</f>
        <v>1644900</v>
      </c>
      <c r="AD894" s="95">
        <f>IF($H894="EMP",18*Z894-100,18*Z894-100+Y894)</f>
        <v>1151900</v>
      </c>
      <c r="AE894" s="95">
        <v>492900</v>
      </c>
      <c r="AF894" s="95">
        <v>64000</v>
      </c>
      <c r="AG894" s="95">
        <f>IF(AF894="No Disp","No Disp",(AF894*18)+AE894)</f>
        <v>1644900</v>
      </c>
      <c r="AH894" s="98">
        <f>IF($H894="EMP",18*AF894-100,18*AF894-100+AE894)</f>
        <v>1151900</v>
      </c>
      <c r="AI894" s="95">
        <v>91000</v>
      </c>
      <c r="AJ894" s="99"/>
      <c r="AK894" s="100" t="s">
        <v>43</v>
      </c>
      <c r="AL894" s="100" t="s">
        <v>43</v>
      </c>
      <c r="AM894" s="100" t="s">
        <v>43</v>
      </c>
      <c r="AN894" s="100" t="s">
        <v>43</v>
      </c>
      <c r="AO894" s="100" t="s">
        <v>43</v>
      </c>
      <c r="AP894" s="100" t="s">
        <v>43</v>
      </c>
      <c r="AQ894" s="100" t="s">
        <v>43</v>
      </c>
      <c r="AR894" s="100" t="s">
        <v>43</v>
      </c>
      <c r="AS894" s="100" t="s">
        <v>43</v>
      </c>
    </row>
    <row r="895" spans="1:45" s="101" customFormat="1" x14ac:dyDescent="0.25">
      <c r="A895" s="90" t="s">
        <v>38</v>
      </c>
      <c r="B895" s="90" t="s">
        <v>39</v>
      </c>
      <c r="C895" s="90" t="s">
        <v>40</v>
      </c>
      <c r="D895" s="90" t="s">
        <v>4540</v>
      </c>
      <c r="E895" s="90" t="s">
        <v>4538</v>
      </c>
      <c r="F895" s="91"/>
      <c r="G895" s="92">
        <v>70015156</v>
      </c>
      <c r="H895" s="91" t="s">
        <v>4370</v>
      </c>
      <c r="I895" s="93" t="s">
        <v>46</v>
      </c>
      <c r="J895" s="102" t="s">
        <v>4035</v>
      </c>
      <c r="K895" s="94" t="s">
        <v>4036</v>
      </c>
      <c r="L895" s="94" t="s">
        <v>4037</v>
      </c>
      <c r="M895" s="95">
        <v>1777900</v>
      </c>
      <c r="N895" s="95">
        <v>12000</v>
      </c>
      <c r="O895" s="95">
        <v>15500</v>
      </c>
      <c r="P895" s="96">
        <v>2199990</v>
      </c>
      <c r="Q895" s="152"/>
      <c r="R895" s="95">
        <v>1777900</v>
      </c>
      <c r="S895" s="95">
        <v>79162.5</v>
      </c>
      <c r="T895" s="95">
        <v>1777900</v>
      </c>
      <c r="U895" s="95">
        <v>79162.5</v>
      </c>
      <c r="V895" s="95">
        <v>1777900</v>
      </c>
      <c r="W895" s="95">
        <v>79162.5</v>
      </c>
      <c r="X895" s="128"/>
      <c r="Y895" s="95">
        <v>613900</v>
      </c>
      <c r="Z895" s="97">
        <v>80000</v>
      </c>
      <c r="AA895" s="95">
        <f>IFERROR(IF(D895="Premium",0.4*Y895,0),"No Disp")</f>
        <v>245560</v>
      </c>
      <c r="AB895" s="95">
        <f>IFERROR(IF(4*Y895&gt;AC895,1.5*Y895,4*Y895),"No Disp")</f>
        <v>920850</v>
      </c>
      <c r="AC895" s="95">
        <f>IF(Z895="No Disp","No Disp",(Z895*18)+Y895)</f>
        <v>2053900</v>
      </c>
      <c r="AD895" s="95">
        <f>IF($H895="EMP",18*Z895-100,18*Z895-100+Y895)</f>
        <v>1439900</v>
      </c>
      <c r="AE895" s="95">
        <v>613900</v>
      </c>
      <c r="AF895" s="97">
        <v>80000</v>
      </c>
      <c r="AG895" s="95">
        <f>IF(AF895="No Disp","No Disp",(AF895*18)+AE895)</f>
        <v>2053900</v>
      </c>
      <c r="AH895" s="98">
        <f>IF($H895="EMP",18*AF895-100,18*AF895-100+AE895)</f>
        <v>1439900</v>
      </c>
      <c r="AI895" s="95">
        <v>114000</v>
      </c>
      <c r="AJ895" s="99"/>
      <c r="AK895" s="100" t="s">
        <v>43</v>
      </c>
      <c r="AL895" s="100" t="s">
        <v>43</v>
      </c>
      <c r="AM895" s="100" t="s">
        <v>43</v>
      </c>
      <c r="AN895" s="100" t="s">
        <v>43</v>
      </c>
      <c r="AO895" s="100" t="s">
        <v>43</v>
      </c>
      <c r="AP895" s="100" t="s">
        <v>43</v>
      </c>
      <c r="AQ895" s="100" t="s">
        <v>43</v>
      </c>
      <c r="AR895" s="100" t="s">
        <v>43</v>
      </c>
      <c r="AS895" s="100" t="s">
        <v>43</v>
      </c>
    </row>
    <row r="896" spans="1:45" s="101" customFormat="1" x14ac:dyDescent="0.25">
      <c r="A896" s="90" t="s">
        <v>38</v>
      </c>
      <c r="B896" s="90" t="s">
        <v>39</v>
      </c>
      <c r="C896" s="90" t="s">
        <v>40</v>
      </c>
      <c r="D896" s="90" t="s">
        <v>4540</v>
      </c>
      <c r="E896" s="90" t="s">
        <v>4538</v>
      </c>
      <c r="F896" s="91"/>
      <c r="G896" s="92">
        <v>70015152</v>
      </c>
      <c r="H896" s="91" t="s">
        <v>4370</v>
      </c>
      <c r="I896" s="93" t="s">
        <v>46</v>
      </c>
      <c r="J896" s="102" t="s">
        <v>4035</v>
      </c>
      <c r="K896" s="94" t="s">
        <v>4038</v>
      </c>
      <c r="L896" s="94" t="s">
        <v>4039</v>
      </c>
      <c r="M896" s="95">
        <v>1777900</v>
      </c>
      <c r="N896" s="95">
        <v>12000</v>
      </c>
      <c r="O896" s="95">
        <v>15500</v>
      </c>
      <c r="P896" s="96">
        <v>2199990</v>
      </c>
      <c r="Q896" s="152"/>
      <c r="R896" s="95">
        <v>1777900</v>
      </c>
      <c r="S896" s="95">
        <v>79162.5</v>
      </c>
      <c r="T896" s="95">
        <v>1777900</v>
      </c>
      <c r="U896" s="95">
        <v>79162.5</v>
      </c>
      <c r="V896" s="95">
        <v>1777900</v>
      </c>
      <c r="W896" s="95">
        <v>79162.5</v>
      </c>
      <c r="X896" s="128"/>
      <c r="Y896" s="95">
        <v>613900</v>
      </c>
      <c r="Z896" s="97">
        <v>80000</v>
      </c>
      <c r="AA896" s="95">
        <f>IFERROR(IF(D896="Premium",0.4*Y896,0),"No Disp")</f>
        <v>245560</v>
      </c>
      <c r="AB896" s="95">
        <f>IFERROR(IF(4*Y896&gt;AC896,1.5*Y896,4*Y896),"No Disp")</f>
        <v>920850</v>
      </c>
      <c r="AC896" s="95">
        <f>IF(Z896="No Disp","No Disp",(Z896*18)+Y896)</f>
        <v>2053900</v>
      </c>
      <c r="AD896" s="95">
        <f>IF($H896="EMP",18*Z896-100,18*Z896-100+Y896)</f>
        <v>1439900</v>
      </c>
      <c r="AE896" s="95">
        <v>613900</v>
      </c>
      <c r="AF896" s="97">
        <v>80000</v>
      </c>
      <c r="AG896" s="95">
        <f>IF(AF896="No Disp","No Disp",(AF896*18)+AE896)</f>
        <v>2053900</v>
      </c>
      <c r="AH896" s="98">
        <f>IF($H896="EMP",18*AF896-100,18*AF896-100+AE896)</f>
        <v>1439900</v>
      </c>
      <c r="AI896" s="95">
        <v>114000</v>
      </c>
      <c r="AJ896" s="99"/>
      <c r="AK896" s="100" t="s">
        <v>43</v>
      </c>
      <c r="AL896" s="100" t="s">
        <v>43</v>
      </c>
      <c r="AM896" s="100" t="s">
        <v>43</v>
      </c>
      <c r="AN896" s="100" t="s">
        <v>43</v>
      </c>
      <c r="AO896" s="100" t="s">
        <v>43</v>
      </c>
      <c r="AP896" s="100" t="s">
        <v>43</v>
      </c>
      <c r="AQ896" s="100" t="s">
        <v>43</v>
      </c>
      <c r="AR896" s="100" t="s">
        <v>43</v>
      </c>
      <c r="AS896" s="100" t="s">
        <v>43</v>
      </c>
    </row>
    <row r="897" spans="1:45" s="101" customFormat="1" x14ac:dyDescent="0.25">
      <c r="A897" s="90" t="s">
        <v>38</v>
      </c>
      <c r="B897" s="90" t="s">
        <v>39</v>
      </c>
      <c r="C897" s="90" t="s">
        <v>40</v>
      </c>
      <c r="D897" s="90" t="s">
        <v>4540</v>
      </c>
      <c r="E897" s="90" t="s">
        <v>4538</v>
      </c>
      <c r="F897" s="91"/>
      <c r="G897" s="92">
        <v>70015220</v>
      </c>
      <c r="H897" s="91" t="s">
        <v>4370</v>
      </c>
      <c r="I897" s="93" t="s">
        <v>46</v>
      </c>
      <c r="J897" s="102" t="s">
        <v>4035</v>
      </c>
      <c r="K897" s="94" t="s">
        <v>4058</v>
      </c>
      <c r="L897" s="94" t="s">
        <v>4059</v>
      </c>
      <c r="M897" s="95">
        <v>1777900</v>
      </c>
      <c r="N897" s="95">
        <v>12000</v>
      </c>
      <c r="O897" s="95">
        <v>15500</v>
      </c>
      <c r="P897" s="96">
        <v>2199990</v>
      </c>
      <c r="Q897" s="152"/>
      <c r="R897" s="95">
        <v>1777900</v>
      </c>
      <c r="S897" s="95">
        <v>79162.5</v>
      </c>
      <c r="T897" s="95">
        <v>1777900</v>
      </c>
      <c r="U897" s="95">
        <v>79162.5</v>
      </c>
      <c r="V897" s="95">
        <v>1777900</v>
      </c>
      <c r="W897" s="95">
        <v>79162.5</v>
      </c>
      <c r="X897" s="128"/>
      <c r="Y897" s="95">
        <v>613900</v>
      </c>
      <c r="Z897" s="97">
        <v>80000</v>
      </c>
      <c r="AA897" s="95">
        <f>IFERROR(IF(D897="Premium",0.4*Y897,0),"No Disp")</f>
        <v>245560</v>
      </c>
      <c r="AB897" s="95">
        <f>IFERROR(IF(4*Y897&gt;AC897,1.5*Y897,4*Y897),"No Disp")</f>
        <v>920850</v>
      </c>
      <c r="AC897" s="95">
        <f>IF(Z897="No Disp","No Disp",(Z897*18)+Y897)</f>
        <v>2053900</v>
      </c>
      <c r="AD897" s="95">
        <f>IF($H897="EMP",18*Z897-100,18*Z897-100+Y897)</f>
        <v>1439900</v>
      </c>
      <c r="AE897" s="95">
        <v>613900</v>
      </c>
      <c r="AF897" s="97">
        <v>80000</v>
      </c>
      <c r="AG897" s="95">
        <f>IF(AF897="No Disp","No Disp",(AF897*18)+AE897)</f>
        <v>2053900</v>
      </c>
      <c r="AH897" s="98">
        <f>IF($H897="EMP",18*AF897-100,18*AF897-100+AE897)</f>
        <v>1439900</v>
      </c>
      <c r="AI897" s="95">
        <v>114000</v>
      </c>
      <c r="AJ897" s="99"/>
      <c r="AK897" s="100" t="s">
        <v>43</v>
      </c>
      <c r="AL897" s="100" t="s">
        <v>43</v>
      </c>
      <c r="AM897" s="100" t="s">
        <v>43</v>
      </c>
      <c r="AN897" s="100" t="s">
        <v>43</v>
      </c>
      <c r="AO897" s="100" t="s">
        <v>43</v>
      </c>
      <c r="AP897" s="100" t="s">
        <v>43</v>
      </c>
      <c r="AQ897" s="100" t="s">
        <v>43</v>
      </c>
      <c r="AR897" s="100" t="s">
        <v>43</v>
      </c>
      <c r="AS897" s="100" t="s">
        <v>43</v>
      </c>
    </row>
    <row r="898" spans="1:45" s="101" customFormat="1" x14ac:dyDescent="0.25">
      <c r="A898" s="90" t="s">
        <v>38</v>
      </c>
      <c r="B898" s="90" t="s">
        <v>39</v>
      </c>
      <c r="C898" s="90" t="s">
        <v>40</v>
      </c>
      <c r="D898" s="90" t="s">
        <v>4537</v>
      </c>
      <c r="E898" s="90" t="s">
        <v>4538</v>
      </c>
      <c r="F898" s="91"/>
      <c r="G898" s="92">
        <v>70015132</v>
      </c>
      <c r="H898" s="91" t="s">
        <v>4370</v>
      </c>
      <c r="I898" s="93" t="s">
        <v>46</v>
      </c>
      <c r="J898" s="102" t="s">
        <v>4015</v>
      </c>
      <c r="K898" s="94" t="s">
        <v>4018</v>
      </c>
      <c r="L898" s="94" t="s">
        <v>4019</v>
      </c>
      <c r="M898" s="95">
        <v>343900</v>
      </c>
      <c r="N898" s="95">
        <v>6000</v>
      </c>
      <c r="O898" s="95">
        <v>8500</v>
      </c>
      <c r="P898" s="96">
        <v>499990</v>
      </c>
      <c r="Q898" s="152"/>
      <c r="R898" s="95">
        <v>343900</v>
      </c>
      <c r="S898" s="95">
        <v>14995.833333333334</v>
      </c>
      <c r="T898" s="95">
        <v>343900</v>
      </c>
      <c r="U898" s="95">
        <v>14995.833333333334</v>
      </c>
      <c r="V898" s="95">
        <v>343900</v>
      </c>
      <c r="W898" s="95">
        <v>14995.833333333334</v>
      </c>
      <c r="X898" s="128"/>
      <c r="Y898" s="95">
        <v>78900</v>
      </c>
      <c r="Z898" s="97">
        <v>18000</v>
      </c>
      <c r="AA898" s="95">
        <f>IFERROR(IF(D898="Premium",0.4*Y898,0),"No Disp")</f>
        <v>0</v>
      </c>
      <c r="AB898" s="95">
        <f>IFERROR(IF(4*Y898&gt;AC898,1.5*Y898,4*Y898),"No Disp")</f>
        <v>315600</v>
      </c>
      <c r="AC898" s="95">
        <f>IF(Z898="No Disp","No Disp",(Z898*18)+Y898)</f>
        <v>402900</v>
      </c>
      <c r="AD898" s="95">
        <f>IF($H898="EMP",18*Z898-100,18*Z898-100+Y898)</f>
        <v>323900</v>
      </c>
      <c r="AE898" s="95">
        <v>78900</v>
      </c>
      <c r="AF898" s="97">
        <v>18000</v>
      </c>
      <c r="AG898" s="95">
        <f>IF(AF898="No Disp","No Disp",(AF898*18)+AE898)</f>
        <v>402900</v>
      </c>
      <c r="AH898" s="98">
        <f>IF($H898="EMP",18*AF898-100,18*AF898-100+AE898)</f>
        <v>323900</v>
      </c>
      <c r="AI898" s="95">
        <v>22000</v>
      </c>
      <c r="AJ898" s="99"/>
      <c r="AK898" s="100" t="s">
        <v>43</v>
      </c>
      <c r="AL898" s="100" t="s">
        <v>43</v>
      </c>
      <c r="AM898" s="100" t="s">
        <v>43</v>
      </c>
      <c r="AN898" s="100" t="s">
        <v>43</v>
      </c>
      <c r="AO898" s="100" t="s">
        <v>43</v>
      </c>
      <c r="AP898" s="100" t="s">
        <v>43</v>
      </c>
      <c r="AQ898" s="100" t="s">
        <v>43</v>
      </c>
      <c r="AR898" s="100" t="s">
        <v>43</v>
      </c>
      <c r="AS898" s="100" t="s">
        <v>43</v>
      </c>
    </row>
    <row r="899" spans="1:45" s="101" customFormat="1" x14ac:dyDescent="0.25">
      <c r="A899" s="90" t="s">
        <v>38</v>
      </c>
      <c r="B899" s="90" t="s">
        <v>40</v>
      </c>
      <c r="C899" s="90" t="s">
        <v>39</v>
      </c>
      <c r="D899" s="90" t="s">
        <v>4537</v>
      </c>
      <c r="E899" s="90" t="s">
        <v>4538</v>
      </c>
      <c r="F899" s="91"/>
      <c r="G899" s="92">
        <v>70014061</v>
      </c>
      <c r="H899" s="91" t="s">
        <v>4370</v>
      </c>
      <c r="I899" s="93" t="s">
        <v>46</v>
      </c>
      <c r="J899" s="94" t="s">
        <v>2805</v>
      </c>
      <c r="K899" s="94" t="s">
        <v>3091</v>
      </c>
      <c r="L899" s="94" t="s">
        <v>3239</v>
      </c>
      <c r="M899" s="95">
        <v>390900</v>
      </c>
      <c r="N899" s="95">
        <v>6000</v>
      </c>
      <c r="O899" s="95">
        <v>8500</v>
      </c>
      <c r="P899" s="96">
        <v>549990</v>
      </c>
      <c r="Q899" s="152"/>
      <c r="R899" s="95">
        <v>390900</v>
      </c>
      <c r="S899" s="95">
        <v>17662.5</v>
      </c>
      <c r="T899" s="95">
        <v>390900</v>
      </c>
      <c r="U899" s="95">
        <v>17662.5</v>
      </c>
      <c r="V899" s="95">
        <v>390900</v>
      </c>
      <c r="W899" s="95">
        <v>17662.5</v>
      </c>
      <c r="X899" s="128"/>
      <c r="Y899" s="95">
        <v>89900</v>
      </c>
      <c r="Z899" s="95">
        <v>20000</v>
      </c>
      <c r="AA899" s="95">
        <f>IFERROR(IF(D899="Premium",0.4*Y899,0),"No Disp")</f>
        <v>0</v>
      </c>
      <c r="AB899" s="95">
        <f>IFERROR(IF(4*Y899&gt;AC899,1.5*Y899,4*Y899),"No Disp")</f>
        <v>359600</v>
      </c>
      <c r="AC899" s="95">
        <f>IF(Z899="No Disp","No Disp",(Z899*18)+Y899)</f>
        <v>449900</v>
      </c>
      <c r="AD899" s="95">
        <f>IF($H899="EMP",18*Z899-100,18*Z899-100+Y899)</f>
        <v>359900</v>
      </c>
      <c r="AE899" s="95">
        <v>89900</v>
      </c>
      <c r="AF899" s="95">
        <v>20000</v>
      </c>
      <c r="AG899" s="95">
        <f>IF(AF899="No Disp","No Disp",(AF899*18)+AE899)</f>
        <v>449900</v>
      </c>
      <c r="AH899" s="98">
        <f>IF($H899="EMP",18*AF899-100,18*AF899-100+AE899)</f>
        <v>359900</v>
      </c>
      <c r="AI899" s="95">
        <v>24000</v>
      </c>
      <c r="AJ899" s="99"/>
      <c r="AK899" s="100" t="s">
        <v>43</v>
      </c>
      <c r="AL899" s="100" t="s">
        <v>43</v>
      </c>
      <c r="AM899" s="100" t="s">
        <v>43</v>
      </c>
      <c r="AN899" s="100" t="s">
        <v>43</v>
      </c>
      <c r="AO899" s="100" t="s">
        <v>43</v>
      </c>
      <c r="AP899" s="100" t="s">
        <v>43</v>
      </c>
      <c r="AQ899" s="100" t="s">
        <v>43</v>
      </c>
      <c r="AR899" s="100" t="s">
        <v>43</v>
      </c>
      <c r="AS899" s="100" t="s">
        <v>43</v>
      </c>
    </row>
    <row r="900" spans="1:45" s="101" customFormat="1" x14ac:dyDescent="0.25">
      <c r="A900" s="90" t="s">
        <v>38</v>
      </c>
      <c r="B900" s="90" t="s">
        <v>40</v>
      </c>
      <c r="C900" s="90" t="s">
        <v>39</v>
      </c>
      <c r="D900" s="90" t="s">
        <v>4537</v>
      </c>
      <c r="E900" s="90" t="s">
        <v>4538</v>
      </c>
      <c r="F900" s="91"/>
      <c r="G900" s="92">
        <v>70014062</v>
      </c>
      <c r="H900" s="91" t="s">
        <v>4370</v>
      </c>
      <c r="I900" s="93" t="s">
        <v>46</v>
      </c>
      <c r="J900" s="94" t="s">
        <v>2805</v>
      </c>
      <c r="K900" s="94" t="s">
        <v>3092</v>
      </c>
      <c r="L900" s="94" t="s">
        <v>3240</v>
      </c>
      <c r="M900" s="95">
        <v>390900</v>
      </c>
      <c r="N900" s="95">
        <v>6000</v>
      </c>
      <c r="O900" s="95">
        <v>8500</v>
      </c>
      <c r="P900" s="96">
        <v>549990</v>
      </c>
      <c r="Q900" s="152"/>
      <c r="R900" s="95">
        <v>390900</v>
      </c>
      <c r="S900" s="95">
        <v>17662.5</v>
      </c>
      <c r="T900" s="95">
        <v>390900</v>
      </c>
      <c r="U900" s="95">
        <v>17662.5</v>
      </c>
      <c r="V900" s="95">
        <v>390900</v>
      </c>
      <c r="W900" s="95">
        <v>17662.5</v>
      </c>
      <c r="X900" s="128"/>
      <c r="Y900" s="95">
        <v>89900</v>
      </c>
      <c r="Z900" s="95">
        <v>20000</v>
      </c>
      <c r="AA900" s="95">
        <f>IFERROR(IF(D900="Premium",0.4*Y900,0),"No Disp")</f>
        <v>0</v>
      </c>
      <c r="AB900" s="95">
        <f>IFERROR(IF(4*Y900&gt;AC900,1.5*Y900,4*Y900),"No Disp")</f>
        <v>359600</v>
      </c>
      <c r="AC900" s="95">
        <f>IF(Z900="No Disp","No Disp",(Z900*18)+Y900)</f>
        <v>449900</v>
      </c>
      <c r="AD900" s="95">
        <f>IF($H900="EMP",18*Z900-100,18*Z900-100+Y900)</f>
        <v>359900</v>
      </c>
      <c r="AE900" s="95">
        <v>89900</v>
      </c>
      <c r="AF900" s="95">
        <v>20000</v>
      </c>
      <c r="AG900" s="95">
        <f>IF(AF900="No Disp","No Disp",(AF900*18)+AE900)</f>
        <v>449900</v>
      </c>
      <c r="AH900" s="98">
        <f>IF($H900="EMP",18*AF900-100,18*AF900-100+AE900)</f>
        <v>359900</v>
      </c>
      <c r="AI900" s="95">
        <v>24000</v>
      </c>
      <c r="AJ900" s="99"/>
      <c r="AK900" s="100" t="s">
        <v>43</v>
      </c>
      <c r="AL900" s="100" t="s">
        <v>43</v>
      </c>
      <c r="AM900" s="100" t="s">
        <v>43</v>
      </c>
      <c r="AN900" s="100" t="s">
        <v>43</v>
      </c>
      <c r="AO900" s="100" t="s">
        <v>43</v>
      </c>
      <c r="AP900" s="100" t="s">
        <v>43</v>
      </c>
      <c r="AQ900" s="100" t="s">
        <v>43</v>
      </c>
      <c r="AR900" s="100" t="s">
        <v>43</v>
      </c>
      <c r="AS900" s="100" t="s">
        <v>43</v>
      </c>
    </row>
    <row r="901" spans="1:45" s="101" customFormat="1" x14ac:dyDescent="0.25">
      <c r="A901" s="90" t="s">
        <v>38</v>
      </c>
      <c r="B901" s="90" t="s">
        <v>40</v>
      </c>
      <c r="C901" s="90" t="s">
        <v>39</v>
      </c>
      <c r="D901" s="90" t="s">
        <v>4537</v>
      </c>
      <c r="E901" s="90" t="s">
        <v>4538</v>
      </c>
      <c r="F901" s="91"/>
      <c r="G901" s="92">
        <v>70014063</v>
      </c>
      <c r="H901" s="91" t="s">
        <v>4370</v>
      </c>
      <c r="I901" s="93" t="s">
        <v>46</v>
      </c>
      <c r="J901" s="94" t="s">
        <v>2805</v>
      </c>
      <c r="K901" s="94" t="s">
        <v>3093</v>
      </c>
      <c r="L901" s="94" t="s">
        <v>3241</v>
      </c>
      <c r="M901" s="95">
        <v>390900</v>
      </c>
      <c r="N901" s="95">
        <v>6000</v>
      </c>
      <c r="O901" s="95">
        <v>8500</v>
      </c>
      <c r="P901" s="96">
        <v>549990</v>
      </c>
      <c r="Q901" s="152"/>
      <c r="R901" s="95">
        <v>390900</v>
      </c>
      <c r="S901" s="95">
        <v>17662.5</v>
      </c>
      <c r="T901" s="95">
        <v>390900</v>
      </c>
      <c r="U901" s="95">
        <v>17662.5</v>
      </c>
      <c r="V901" s="95">
        <v>390900</v>
      </c>
      <c r="W901" s="95">
        <v>17662.5</v>
      </c>
      <c r="X901" s="128"/>
      <c r="Y901" s="95">
        <v>89900</v>
      </c>
      <c r="Z901" s="95">
        <v>20000</v>
      </c>
      <c r="AA901" s="95">
        <f>IFERROR(IF(D901="Premium",0.4*Y901,0),"No Disp")</f>
        <v>0</v>
      </c>
      <c r="AB901" s="95">
        <f>IFERROR(IF(4*Y901&gt;AC901,1.5*Y901,4*Y901),"No Disp")</f>
        <v>359600</v>
      </c>
      <c r="AC901" s="95">
        <f>IF(Z901="No Disp","No Disp",(Z901*18)+Y901)</f>
        <v>449900</v>
      </c>
      <c r="AD901" s="95">
        <f>IF($H901="EMP",18*Z901-100,18*Z901-100+Y901)</f>
        <v>359900</v>
      </c>
      <c r="AE901" s="95">
        <v>89900</v>
      </c>
      <c r="AF901" s="95">
        <v>20000</v>
      </c>
      <c r="AG901" s="95">
        <f>IF(AF901="No Disp","No Disp",(AF901*18)+AE901)</f>
        <v>449900</v>
      </c>
      <c r="AH901" s="98">
        <f>IF($H901="EMP",18*AF901-100,18*AF901-100+AE901)</f>
        <v>359900</v>
      </c>
      <c r="AI901" s="95">
        <v>24000</v>
      </c>
      <c r="AJ901" s="99"/>
      <c r="AK901" s="100" t="s">
        <v>43</v>
      </c>
      <c r="AL901" s="100" t="s">
        <v>43</v>
      </c>
      <c r="AM901" s="100" t="s">
        <v>43</v>
      </c>
      <c r="AN901" s="100" t="s">
        <v>43</v>
      </c>
      <c r="AO901" s="100" t="s">
        <v>43</v>
      </c>
      <c r="AP901" s="100" t="s">
        <v>43</v>
      </c>
      <c r="AQ901" s="100" t="s">
        <v>43</v>
      </c>
      <c r="AR901" s="100" t="s">
        <v>43</v>
      </c>
      <c r="AS901" s="100" t="s">
        <v>43</v>
      </c>
    </row>
    <row r="902" spans="1:45" s="101" customFormat="1" x14ac:dyDescent="0.25">
      <c r="A902" s="90" t="s">
        <v>38</v>
      </c>
      <c r="B902" s="90" t="s">
        <v>40</v>
      </c>
      <c r="C902" s="90" t="s">
        <v>39</v>
      </c>
      <c r="D902" s="90" t="s">
        <v>4537</v>
      </c>
      <c r="E902" s="90" t="s">
        <v>4538</v>
      </c>
      <c r="F902" s="91"/>
      <c r="G902" s="92">
        <v>70014102</v>
      </c>
      <c r="H902" s="91" t="s">
        <v>4370</v>
      </c>
      <c r="I902" s="93" t="s">
        <v>46</v>
      </c>
      <c r="J902" s="94" t="s">
        <v>2805</v>
      </c>
      <c r="K902" s="94" t="s">
        <v>3090</v>
      </c>
      <c r="L902" s="94" t="s">
        <v>3238</v>
      </c>
      <c r="M902" s="95">
        <v>390900</v>
      </c>
      <c r="N902" s="95">
        <v>6000</v>
      </c>
      <c r="O902" s="95">
        <v>8500</v>
      </c>
      <c r="P902" s="96">
        <v>549990</v>
      </c>
      <c r="Q902" s="152"/>
      <c r="R902" s="95">
        <v>390900</v>
      </c>
      <c r="S902" s="95">
        <v>17662.5</v>
      </c>
      <c r="T902" s="95">
        <v>390900</v>
      </c>
      <c r="U902" s="95">
        <v>17662.5</v>
      </c>
      <c r="V902" s="95">
        <v>390900</v>
      </c>
      <c r="W902" s="95">
        <v>17662.5</v>
      </c>
      <c r="X902" s="128"/>
      <c r="Y902" s="95">
        <v>89900</v>
      </c>
      <c r="Z902" s="95">
        <v>20000</v>
      </c>
      <c r="AA902" s="95">
        <f>IFERROR(IF(D902="Premium",0.4*Y902,0),"No Disp")</f>
        <v>0</v>
      </c>
      <c r="AB902" s="95">
        <f>IFERROR(IF(4*Y902&gt;AC902,1.5*Y902,4*Y902),"No Disp")</f>
        <v>359600</v>
      </c>
      <c r="AC902" s="95">
        <f>IF(Z902="No Disp","No Disp",(Z902*18)+Y902)</f>
        <v>449900</v>
      </c>
      <c r="AD902" s="95">
        <f>IF($H902="EMP",18*Z902-100,18*Z902-100+Y902)</f>
        <v>359900</v>
      </c>
      <c r="AE902" s="95">
        <v>89900</v>
      </c>
      <c r="AF902" s="95">
        <v>20000</v>
      </c>
      <c r="AG902" s="95">
        <f>IF(AF902="No Disp","No Disp",(AF902*18)+AE902)</f>
        <v>449900</v>
      </c>
      <c r="AH902" s="98">
        <f>IF($H902="EMP",18*AF902-100,18*AF902-100+AE902)</f>
        <v>359900</v>
      </c>
      <c r="AI902" s="95">
        <v>24000</v>
      </c>
      <c r="AJ902" s="99"/>
      <c r="AK902" s="100" t="s">
        <v>43</v>
      </c>
      <c r="AL902" s="100" t="s">
        <v>43</v>
      </c>
      <c r="AM902" s="100" t="s">
        <v>43</v>
      </c>
      <c r="AN902" s="100" t="s">
        <v>43</v>
      </c>
      <c r="AO902" s="100" t="s">
        <v>43</v>
      </c>
      <c r="AP902" s="100" t="s">
        <v>43</v>
      </c>
      <c r="AQ902" s="100" t="s">
        <v>43</v>
      </c>
      <c r="AR902" s="100" t="s">
        <v>43</v>
      </c>
      <c r="AS902" s="100" t="s">
        <v>43</v>
      </c>
    </row>
    <row r="903" spans="1:45" s="101" customFormat="1" x14ac:dyDescent="0.25">
      <c r="A903" s="90" t="s">
        <v>38</v>
      </c>
      <c r="B903" s="90" t="s">
        <v>40</v>
      </c>
      <c r="C903" s="90" t="s">
        <v>39</v>
      </c>
      <c r="D903" s="90" t="s">
        <v>4537</v>
      </c>
      <c r="E903" s="90" t="s">
        <v>4538</v>
      </c>
      <c r="F903" s="91"/>
      <c r="G903" s="92">
        <v>70014119</v>
      </c>
      <c r="H903" s="91" t="s">
        <v>4370</v>
      </c>
      <c r="I903" s="93" t="s">
        <v>46</v>
      </c>
      <c r="J903" s="94" t="s">
        <v>2805</v>
      </c>
      <c r="K903" s="94" t="s">
        <v>3322</v>
      </c>
      <c r="L903" s="94" t="s">
        <v>3323</v>
      </c>
      <c r="M903" s="95">
        <v>390900</v>
      </c>
      <c r="N903" s="95">
        <v>6000</v>
      </c>
      <c r="O903" s="95">
        <v>8500</v>
      </c>
      <c r="P903" s="96">
        <v>549990</v>
      </c>
      <c r="Q903" s="152"/>
      <c r="R903" s="95">
        <v>390900</v>
      </c>
      <c r="S903" s="95">
        <v>17662.5</v>
      </c>
      <c r="T903" s="95">
        <v>390900</v>
      </c>
      <c r="U903" s="95">
        <v>17662.5</v>
      </c>
      <c r="V903" s="95">
        <v>390900</v>
      </c>
      <c r="W903" s="95">
        <v>17662.5</v>
      </c>
      <c r="X903" s="128"/>
      <c r="Y903" s="95">
        <v>89900</v>
      </c>
      <c r="Z903" s="95">
        <v>20000</v>
      </c>
      <c r="AA903" s="95">
        <f>IFERROR(IF(D903="Premium",0.4*Y903,0),"No Disp")</f>
        <v>0</v>
      </c>
      <c r="AB903" s="95">
        <f>IFERROR(IF(4*Y903&gt;AC903,1.5*Y903,4*Y903),"No Disp")</f>
        <v>359600</v>
      </c>
      <c r="AC903" s="95">
        <f>IF(Z903="No Disp","No Disp",(Z903*18)+Y903)</f>
        <v>449900</v>
      </c>
      <c r="AD903" s="95">
        <f>IF($H903="EMP",18*Z903-100,18*Z903-100+Y903)</f>
        <v>359900</v>
      </c>
      <c r="AE903" s="95">
        <v>89900</v>
      </c>
      <c r="AF903" s="95">
        <v>20000</v>
      </c>
      <c r="AG903" s="95">
        <f>IF(AF903="No Disp","No Disp",(AF903*18)+AE903)</f>
        <v>449900</v>
      </c>
      <c r="AH903" s="98">
        <f>IF($H903="EMP",18*AF903-100,18*AF903-100+AE903)</f>
        <v>359900</v>
      </c>
      <c r="AI903" s="95">
        <v>24000</v>
      </c>
      <c r="AJ903" s="99"/>
      <c r="AK903" s="100" t="s">
        <v>43</v>
      </c>
      <c r="AL903" s="100" t="s">
        <v>43</v>
      </c>
      <c r="AM903" s="100" t="s">
        <v>43</v>
      </c>
      <c r="AN903" s="100" t="s">
        <v>43</v>
      </c>
      <c r="AO903" s="100" t="s">
        <v>43</v>
      </c>
      <c r="AP903" s="100" t="s">
        <v>43</v>
      </c>
      <c r="AQ903" s="100" t="s">
        <v>43</v>
      </c>
      <c r="AR903" s="100" t="s">
        <v>43</v>
      </c>
      <c r="AS903" s="100" t="s">
        <v>43</v>
      </c>
    </row>
    <row r="904" spans="1:45" s="101" customFormat="1" x14ac:dyDescent="0.25">
      <c r="A904" s="90" t="s">
        <v>38</v>
      </c>
      <c r="B904" s="90" t="s">
        <v>39</v>
      </c>
      <c r="C904" s="90" t="s">
        <v>40</v>
      </c>
      <c r="D904" s="90" t="s">
        <v>4540</v>
      </c>
      <c r="E904" s="90" t="s">
        <v>4538</v>
      </c>
      <c r="F904" s="91"/>
      <c r="G904" s="92">
        <v>70015144</v>
      </c>
      <c r="H904" s="91" t="s">
        <v>4370</v>
      </c>
      <c r="I904" s="93" t="s">
        <v>46</v>
      </c>
      <c r="J904" s="102" t="s">
        <v>4025</v>
      </c>
      <c r="K904" s="94" t="s">
        <v>4026</v>
      </c>
      <c r="L904" s="94" t="s">
        <v>4027</v>
      </c>
      <c r="M904" s="95">
        <v>1022900</v>
      </c>
      <c r="N904" s="95">
        <v>9500</v>
      </c>
      <c r="O904" s="95">
        <v>13500</v>
      </c>
      <c r="P904" s="96">
        <v>1269990</v>
      </c>
      <c r="Q904" s="152"/>
      <c r="R904" s="95">
        <v>1022900</v>
      </c>
      <c r="S904" s="95">
        <v>43745.833333333336</v>
      </c>
      <c r="T904" s="95">
        <v>1022900</v>
      </c>
      <c r="U904" s="95">
        <v>43745.833333333336</v>
      </c>
      <c r="V904" s="95">
        <v>1022900</v>
      </c>
      <c r="W904" s="95">
        <v>43745.833333333336</v>
      </c>
      <c r="X904" s="128"/>
      <c r="Y904" s="95">
        <v>352900</v>
      </c>
      <c r="Z904" s="97">
        <v>46000</v>
      </c>
      <c r="AA904" s="95">
        <f>IFERROR(IF(D904="Premium",0.4*Y904,0),"No Disp")</f>
        <v>141160</v>
      </c>
      <c r="AB904" s="95">
        <f>IFERROR(IF(4*Y904&gt;AC904,1.5*Y904,4*Y904),"No Disp")</f>
        <v>529350</v>
      </c>
      <c r="AC904" s="95">
        <f>IF(Z904="No Disp","No Disp",(Z904*18)+Y904)</f>
        <v>1180900</v>
      </c>
      <c r="AD904" s="95">
        <f>IF($H904="EMP",18*Z904-100,18*Z904-100+Y904)</f>
        <v>827900</v>
      </c>
      <c r="AE904" s="95">
        <v>352900</v>
      </c>
      <c r="AF904" s="97">
        <v>46000</v>
      </c>
      <c r="AG904" s="95">
        <f>IF(AF904="No Disp","No Disp",(AF904*18)+AE904)</f>
        <v>1180900</v>
      </c>
      <c r="AH904" s="98">
        <f>IF($H904="EMP",18*AF904-100,18*AF904-100+AE904)</f>
        <v>827900</v>
      </c>
      <c r="AI904" s="95">
        <v>65000</v>
      </c>
      <c r="AJ904" s="99"/>
      <c r="AK904" s="100" t="s">
        <v>43</v>
      </c>
      <c r="AL904" s="100" t="s">
        <v>43</v>
      </c>
      <c r="AM904" s="100" t="s">
        <v>43</v>
      </c>
      <c r="AN904" s="100" t="s">
        <v>43</v>
      </c>
      <c r="AO904" s="100" t="s">
        <v>43</v>
      </c>
      <c r="AP904" s="100" t="s">
        <v>43</v>
      </c>
      <c r="AQ904" s="100" t="s">
        <v>43</v>
      </c>
      <c r="AR904" s="100" t="s">
        <v>43</v>
      </c>
      <c r="AS904" s="100" t="s">
        <v>43</v>
      </c>
    </row>
    <row r="905" spans="1:45" s="101" customFormat="1" x14ac:dyDescent="0.25">
      <c r="A905" s="90" t="s">
        <v>38</v>
      </c>
      <c r="B905" s="90" t="s">
        <v>39</v>
      </c>
      <c r="C905" s="90" t="s">
        <v>40</v>
      </c>
      <c r="D905" s="90" t="s">
        <v>4540</v>
      </c>
      <c r="E905" s="90" t="s">
        <v>4538</v>
      </c>
      <c r="F905" s="91"/>
      <c r="G905" s="92">
        <v>70015171</v>
      </c>
      <c r="H905" s="91" t="s">
        <v>4370</v>
      </c>
      <c r="I905" s="93" t="s">
        <v>46</v>
      </c>
      <c r="J905" s="102" t="s">
        <v>4025</v>
      </c>
      <c r="K905" s="94" t="s">
        <v>4028</v>
      </c>
      <c r="L905" s="94" t="s">
        <v>4029</v>
      </c>
      <c r="M905" s="95">
        <v>1022900</v>
      </c>
      <c r="N905" s="95">
        <v>9500</v>
      </c>
      <c r="O905" s="95">
        <v>13500</v>
      </c>
      <c r="P905" s="96">
        <v>1269990</v>
      </c>
      <c r="Q905" s="152"/>
      <c r="R905" s="95">
        <v>1022900</v>
      </c>
      <c r="S905" s="95">
        <v>43745.833333333336</v>
      </c>
      <c r="T905" s="95">
        <v>1022900</v>
      </c>
      <c r="U905" s="95">
        <v>43745.833333333336</v>
      </c>
      <c r="V905" s="95">
        <v>1022900</v>
      </c>
      <c r="W905" s="95">
        <v>43745.833333333336</v>
      </c>
      <c r="X905" s="128"/>
      <c r="Y905" s="95">
        <v>352900</v>
      </c>
      <c r="Z905" s="97">
        <v>46000</v>
      </c>
      <c r="AA905" s="95">
        <f>IFERROR(IF(D905="Premium",0.4*Y905,0),"No Disp")</f>
        <v>141160</v>
      </c>
      <c r="AB905" s="95">
        <f>IFERROR(IF(4*Y905&gt;AC905,1.5*Y905,4*Y905),"No Disp")</f>
        <v>529350</v>
      </c>
      <c r="AC905" s="95">
        <f>IF(Z905="No Disp","No Disp",(Z905*18)+Y905)</f>
        <v>1180900</v>
      </c>
      <c r="AD905" s="95">
        <f>IF($H905="EMP",18*Z905-100,18*Z905-100+Y905)</f>
        <v>827900</v>
      </c>
      <c r="AE905" s="95">
        <v>352900</v>
      </c>
      <c r="AF905" s="97">
        <v>46000</v>
      </c>
      <c r="AG905" s="95">
        <f>IF(AF905="No Disp","No Disp",(AF905*18)+AE905)</f>
        <v>1180900</v>
      </c>
      <c r="AH905" s="98">
        <f>IF($H905="EMP",18*AF905-100,18*AF905-100+AE905)</f>
        <v>827900</v>
      </c>
      <c r="AI905" s="95">
        <v>65000</v>
      </c>
      <c r="AJ905" s="99"/>
      <c r="AK905" s="100" t="s">
        <v>43</v>
      </c>
      <c r="AL905" s="100" t="s">
        <v>43</v>
      </c>
      <c r="AM905" s="100" t="s">
        <v>43</v>
      </c>
      <c r="AN905" s="100" t="s">
        <v>43</v>
      </c>
      <c r="AO905" s="100" t="s">
        <v>43</v>
      </c>
      <c r="AP905" s="100" t="s">
        <v>43</v>
      </c>
      <c r="AQ905" s="100" t="s">
        <v>43</v>
      </c>
      <c r="AR905" s="100" t="s">
        <v>43</v>
      </c>
      <c r="AS905" s="100" t="s">
        <v>43</v>
      </c>
    </row>
    <row r="906" spans="1:45" s="101" customFormat="1" x14ac:dyDescent="0.25">
      <c r="A906" s="90" t="s">
        <v>38</v>
      </c>
      <c r="B906" s="90" t="s">
        <v>39</v>
      </c>
      <c r="C906" s="90" t="s">
        <v>40</v>
      </c>
      <c r="D906" s="90" t="s">
        <v>4540</v>
      </c>
      <c r="E906" s="90" t="s">
        <v>4538</v>
      </c>
      <c r="F906" s="91"/>
      <c r="G906" s="92">
        <v>70015178</v>
      </c>
      <c r="H906" s="91" t="s">
        <v>4370</v>
      </c>
      <c r="I906" s="93" t="s">
        <v>46</v>
      </c>
      <c r="J906" s="102" t="s">
        <v>4025</v>
      </c>
      <c r="K906" s="94" t="s">
        <v>4054</v>
      </c>
      <c r="L906" s="94" t="s">
        <v>4055</v>
      </c>
      <c r="M906" s="95">
        <v>1022900</v>
      </c>
      <c r="N906" s="95">
        <v>9500</v>
      </c>
      <c r="O906" s="95">
        <v>13500</v>
      </c>
      <c r="P906" s="96">
        <v>1269990</v>
      </c>
      <c r="Q906" s="152"/>
      <c r="R906" s="95">
        <v>1022900</v>
      </c>
      <c r="S906" s="95">
        <v>43745.833333333336</v>
      </c>
      <c r="T906" s="95">
        <v>1022900</v>
      </c>
      <c r="U906" s="95">
        <v>43745.833333333336</v>
      </c>
      <c r="V906" s="95">
        <v>1022900</v>
      </c>
      <c r="W906" s="95">
        <v>43745.833333333336</v>
      </c>
      <c r="X906" s="128"/>
      <c r="Y906" s="95">
        <v>352900</v>
      </c>
      <c r="Z906" s="97">
        <v>46000</v>
      </c>
      <c r="AA906" s="95">
        <f>IFERROR(IF(D906="Premium",0.4*Y906,0),"No Disp")</f>
        <v>141160</v>
      </c>
      <c r="AB906" s="95">
        <f>IFERROR(IF(4*Y906&gt;AC906,1.5*Y906,4*Y906),"No Disp")</f>
        <v>529350</v>
      </c>
      <c r="AC906" s="95">
        <f>IF(Z906="No Disp","No Disp",(Z906*18)+Y906)</f>
        <v>1180900</v>
      </c>
      <c r="AD906" s="95">
        <f>IF($H906="EMP",18*Z906-100,18*Z906-100+Y906)</f>
        <v>827900</v>
      </c>
      <c r="AE906" s="95">
        <v>352900</v>
      </c>
      <c r="AF906" s="97">
        <v>46000</v>
      </c>
      <c r="AG906" s="95">
        <f>IF(AF906="No Disp","No Disp",(AF906*18)+AE906)</f>
        <v>1180900</v>
      </c>
      <c r="AH906" s="98">
        <f>IF($H906="EMP",18*AF906-100,18*AF906-100+AE906)</f>
        <v>827900</v>
      </c>
      <c r="AI906" s="95">
        <v>65000</v>
      </c>
      <c r="AJ906" s="99"/>
      <c r="AK906" s="100" t="s">
        <v>43</v>
      </c>
      <c r="AL906" s="100" t="s">
        <v>43</v>
      </c>
      <c r="AM906" s="100" t="s">
        <v>43</v>
      </c>
      <c r="AN906" s="100" t="s">
        <v>43</v>
      </c>
      <c r="AO906" s="100" t="s">
        <v>43</v>
      </c>
      <c r="AP906" s="100" t="s">
        <v>43</v>
      </c>
      <c r="AQ906" s="100" t="s">
        <v>43</v>
      </c>
      <c r="AR906" s="100" t="s">
        <v>43</v>
      </c>
      <c r="AS906" s="100" t="s">
        <v>43</v>
      </c>
    </row>
    <row r="907" spans="1:45" s="101" customFormat="1" x14ac:dyDescent="0.25">
      <c r="A907" s="90" t="s">
        <v>38</v>
      </c>
      <c r="B907" s="90" t="s">
        <v>39</v>
      </c>
      <c r="C907" s="90" t="s">
        <v>40</v>
      </c>
      <c r="D907" s="90" t="s">
        <v>4540</v>
      </c>
      <c r="E907" s="90" t="s">
        <v>4538</v>
      </c>
      <c r="F907" s="91"/>
      <c r="G907" s="92">
        <v>70015192</v>
      </c>
      <c r="H907" s="91" t="s">
        <v>4370</v>
      </c>
      <c r="I907" s="93" t="s">
        <v>46</v>
      </c>
      <c r="J907" s="102" t="s">
        <v>4030</v>
      </c>
      <c r="K907" s="94" t="s">
        <v>4031</v>
      </c>
      <c r="L907" s="94" t="s">
        <v>4032</v>
      </c>
      <c r="M907" s="95">
        <v>831900</v>
      </c>
      <c r="N907" s="95">
        <v>7000</v>
      </c>
      <c r="O907" s="95">
        <v>10000</v>
      </c>
      <c r="P907" s="96">
        <v>999990</v>
      </c>
      <c r="Q907" s="152"/>
      <c r="R907" s="95">
        <v>831900</v>
      </c>
      <c r="S907" s="95">
        <v>32912.5</v>
      </c>
      <c r="T907" s="95">
        <v>831900</v>
      </c>
      <c r="U907" s="95">
        <v>32912.5</v>
      </c>
      <c r="V907" s="95">
        <v>831900</v>
      </c>
      <c r="W907" s="95">
        <v>32912.5</v>
      </c>
      <c r="X907" s="128"/>
      <c r="Y907" s="95">
        <v>239900</v>
      </c>
      <c r="Z907" s="97">
        <v>40000</v>
      </c>
      <c r="AA907" s="95">
        <f>IFERROR(IF(D907="Premium",0.4*Y907,0),"No Disp")</f>
        <v>95960</v>
      </c>
      <c r="AB907" s="95">
        <f>IFERROR(IF(4*Y907&gt;AC907,1.5*Y907,4*Y907),"No Disp")</f>
        <v>959600</v>
      </c>
      <c r="AC907" s="95">
        <f>IF(Z907="No Disp","No Disp",(Z907*18)+Y907)</f>
        <v>959900</v>
      </c>
      <c r="AD907" s="95">
        <f>IF($H907="EMP",18*Z907-100,18*Z907-100+Y907)</f>
        <v>719900</v>
      </c>
      <c r="AE907" s="95">
        <v>239900</v>
      </c>
      <c r="AF907" s="97">
        <v>40000</v>
      </c>
      <c r="AG907" s="95">
        <f>IF(AF907="No Disp","No Disp",(AF907*18)+AE907)</f>
        <v>959900</v>
      </c>
      <c r="AH907" s="98">
        <f>IF($H907="EMP",18*AF907-100,18*AF907-100+AE907)</f>
        <v>719900</v>
      </c>
      <c r="AI907" s="95">
        <v>53000</v>
      </c>
      <c r="AJ907" s="99"/>
      <c r="AK907" s="100" t="s">
        <v>43</v>
      </c>
      <c r="AL907" s="100" t="s">
        <v>43</v>
      </c>
      <c r="AM907" s="100" t="s">
        <v>43</v>
      </c>
      <c r="AN907" s="100" t="s">
        <v>43</v>
      </c>
      <c r="AO907" s="100" t="s">
        <v>43</v>
      </c>
      <c r="AP907" s="100" t="s">
        <v>43</v>
      </c>
      <c r="AQ907" s="100" t="s">
        <v>43</v>
      </c>
      <c r="AR907" s="100" t="s">
        <v>43</v>
      </c>
      <c r="AS907" s="100" t="s">
        <v>43</v>
      </c>
    </row>
    <row r="908" spans="1:45" s="101" customFormat="1" x14ac:dyDescent="0.25">
      <c r="A908" s="90" t="s">
        <v>38</v>
      </c>
      <c r="B908" s="90" t="s">
        <v>39</v>
      </c>
      <c r="C908" s="90" t="s">
        <v>40</v>
      </c>
      <c r="D908" s="90" t="s">
        <v>4540</v>
      </c>
      <c r="E908" s="90" t="s">
        <v>4538</v>
      </c>
      <c r="F908" s="91"/>
      <c r="G908" s="92">
        <v>70015188</v>
      </c>
      <c r="H908" s="91" t="s">
        <v>4370</v>
      </c>
      <c r="I908" s="93" t="s">
        <v>46</v>
      </c>
      <c r="J908" s="102" t="s">
        <v>4030</v>
      </c>
      <c r="K908" s="94" t="s">
        <v>4033</v>
      </c>
      <c r="L908" s="94" t="s">
        <v>4034</v>
      </c>
      <c r="M908" s="95">
        <v>831900</v>
      </c>
      <c r="N908" s="95">
        <v>7000</v>
      </c>
      <c r="O908" s="95">
        <v>10000</v>
      </c>
      <c r="P908" s="96">
        <v>999990</v>
      </c>
      <c r="Q908" s="152"/>
      <c r="R908" s="95">
        <v>831900</v>
      </c>
      <c r="S908" s="95">
        <v>32912.5</v>
      </c>
      <c r="T908" s="95">
        <v>831900</v>
      </c>
      <c r="U908" s="95">
        <v>32912.5</v>
      </c>
      <c r="V908" s="95">
        <v>831900</v>
      </c>
      <c r="W908" s="95">
        <v>32912.5</v>
      </c>
      <c r="X908" s="128"/>
      <c r="Y908" s="95">
        <v>239900</v>
      </c>
      <c r="Z908" s="97">
        <v>40000</v>
      </c>
      <c r="AA908" s="95">
        <f>IFERROR(IF(D908="Premium",0.4*Y908,0),"No Disp")</f>
        <v>95960</v>
      </c>
      <c r="AB908" s="95">
        <f>IFERROR(IF(4*Y908&gt;AC908,1.5*Y908,4*Y908),"No Disp")</f>
        <v>959600</v>
      </c>
      <c r="AC908" s="95">
        <f>IF(Z908="No Disp","No Disp",(Z908*18)+Y908)</f>
        <v>959900</v>
      </c>
      <c r="AD908" s="95">
        <f>IF($H908="EMP",18*Z908-100,18*Z908-100+Y908)</f>
        <v>719900</v>
      </c>
      <c r="AE908" s="95">
        <v>239900</v>
      </c>
      <c r="AF908" s="97">
        <v>40000</v>
      </c>
      <c r="AG908" s="95">
        <f>IF(AF908="No Disp","No Disp",(AF908*18)+AE908)</f>
        <v>959900</v>
      </c>
      <c r="AH908" s="98">
        <f>IF($H908="EMP",18*AF908-100,18*AF908-100+AE908)</f>
        <v>719900</v>
      </c>
      <c r="AI908" s="95">
        <v>53000</v>
      </c>
      <c r="AJ908" s="99"/>
      <c r="AK908" s="100" t="s">
        <v>43</v>
      </c>
      <c r="AL908" s="100" t="s">
        <v>43</v>
      </c>
      <c r="AM908" s="100" t="s">
        <v>43</v>
      </c>
      <c r="AN908" s="100" t="s">
        <v>43</v>
      </c>
      <c r="AO908" s="100" t="s">
        <v>43</v>
      </c>
      <c r="AP908" s="100" t="s">
        <v>43</v>
      </c>
      <c r="AQ908" s="100" t="s">
        <v>43</v>
      </c>
      <c r="AR908" s="100" t="s">
        <v>43</v>
      </c>
      <c r="AS908" s="100" t="s">
        <v>43</v>
      </c>
    </row>
    <row r="909" spans="1:45" s="101" customFormat="1" x14ac:dyDescent="0.25">
      <c r="A909" s="90" t="s">
        <v>38</v>
      </c>
      <c r="B909" s="90" t="s">
        <v>40</v>
      </c>
      <c r="C909" s="90" t="s">
        <v>39</v>
      </c>
      <c r="D909" s="90" t="s">
        <v>4540</v>
      </c>
      <c r="E909" s="90" t="s">
        <v>4538</v>
      </c>
      <c r="F909" s="91"/>
      <c r="G909" s="170">
        <v>70014388</v>
      </c>
      <c r="H909" s="91" t="s">
        <v>4370</v>
      </c>
      <c r="I909" s="93" t="s">
        <v>87</v>
      </c>
      <c r="J909" s="94" t="s">
        <v>2783</v>
      </c>
      <c r="K909" s="102" t="s">
        <v>4614</v>
      </c>
      <c r="L909" s="94" t="s">
        <v>4615</v>
      </c>
      <c r="M909" s="95">
        <v>1271900</v>
      </c>
      <c r="N909" s="95">
        <v>9500</v>
      </c>
      <c r="O909" s="95">
        <v>13500</v>
      </c>
      <c r="P909" s="96">
        <v>1499990</v>
      </c>
      <c r="Q909" s="152"/>
      <c r="R909" s="95">
        <v>1271900</v>
      </c>
      <c r="S909" s="95">
        <v>51704.166666666664</v>
      </c>
      <c r="T909" s="95">
        <v>1271900</v>
      </c>
      <c r="U909" s="95">
        <v>51704.166666666664</v>
      </c>
      <c r="V909" s="95">
        <v>1271900</v>
      </c>
      <c r="W909" s="95">
        <v>51704.166666666664</v>
      </c>
      <c r="X909" s="128"/>
      <c r="Y909" s="95">
        <v>438900</v>
      </c>
      <c r="Z909" s="95">
        <v>57000</v>
      </c>
      <c r="AA909" s="95">
        <f>IFERROR(IF(D909="Premium",0.4*Y909,0),"No Disp")</f>
        <v>175560</v>
      </c>
      <c r="AB909" s="95">
        <f>IFERROR(IF(4*Y909&gt;AC909,1.5*Y909,4*Y909),"No Disp")</f>
        <v>658350</v>
      </c>
      <c r="AC909" s="95">
        <f>IF(Z909="No Disp","No Disp",(Z909*18)+Y909)</f>
        <v>1464900</v>
      </c>
      <c r="AD909" s="95">
        <f>IF($H909="EMP",18*Z909-100,18*Z909-100+Y909)</f>
        <v>1025900</v>
      </c>
      <c r="AE909" s="95">
        <v>438900</v>
      </c>
      <c r="AF909" s="95">
        <v>57000</v>
      </c>
      <c r="AG909" s="95">
        <f>IF(AF909="No Disp","No Disp",(AF909*18)+AE909)</f>
        <v>1464900</v>
      </c>
      <c r="AH909" s="98">
        <f>IF($H909="EMP",18*AF909-100,18*AF909-100+AE909)</f>
        <v>1025900</v>
      </c>
      <c r="AI909" s="95">
        <v>81000</v>
      </c>
      <c r="AJ909" s="99"/>
      <c r="AK909" s="100" t="s">
        <v>43</v>
      </c>
      <c r="AL909" s="100" t="s">
        <v>43</v>
      </c>
      <c r="AM909" s="100" t="s">
        <v>43</v>
      </c>
      <c r="AN909" s="100" t="s">
        <v>43</v>
      </c>
      <c r="AO909" s="100" t="s">
        <v>43</v>
      </c>
      <c r="AP909" s="100" t="s">
        <v>43</v>
      </c>
      <c r="AQ909" s="100" t="s">
        <v>43</v>
      </c>
      <c r="AR909" s="100" t="s">
        <v>43</v>
      </c>
      <c r="AS909" s="100" t="s">
        <v>43</v>
      </c>
    </row>
    <row r="910" spans="1:45" s="101" customFormat="1" x14ac:dyDescent="0.25">
      <c r="A910" s="90" t="s">
        <v>38</v>
      </c>
      <c r="B910" s="90" t="s">
        <v>40</v>
      </c>
      <c r="C910" s="90" t="s">
        <v>39</v>
      </c>
      <c r="D910" s="90" t="s">
        <v>4540</v>
      </c>
      <c r="E910" s="90" t="s">
        <v>4542</v>
      </c>
      <c r="F910" s="91"/>
      <c r="G910" s="92">
        <v>70014012</v>
      </c>
      <c r="H910" s="91" t="s">
        <v>4370</v>
      </c>
      <c r="I910" s="93" t="s">
        <v>46</v>
      </c>
      <c r="J910" s="94" t="s">
        <v>370</v>
      </c>
      <c r="K910" s="94" t="s">
        <v>3111</v>
      </c>
      <c r="L910" s="94" t="s">
        <v>3259</v>
      </c>
      <c r="M910" s="95">
        <v>847900</v>
      </c>
      <c r="N910" s="95">
        <v>7000</v>
      </c>
      <c r="O910" s="95">
        <v>10000</v>
      </c>
      <c r="P910" s="96">
        <v>1229990</v>
      </c>
      <c r="Q910" s="152"/>
      <c r="R910" s="95">
        <v>847900</v>
      </c>
      <c r="S910" s="95">
        <v>39037.5</v>
      </c>
      <c r="T910" s="95">
        <v>847900</v>
      </c>
      <c r="U910" s="95">
        <v>39037.5</v>
      </c>
      <c r="V910" s="95">
        <v>847900</v>
      </c>
      <c r="W910" s="95">
        <v>39037.5</v>
      </c>
      <c r="X910" s="128"/>
      <c r="Y910" s="95">
        <v>243900</v>
      </c>
      <c r="Z910" s="95">
        <v>41000</v>
      </c>
      <c r="AA910" s="95">
        <f>IFERROR(IF(D910="Premium",0.4*Y910,0),"No Disp")</f>
        <v>97560</v>
      </c>
      <c r="AB910" s="95">
        <f>IFERROR(IF(4*Y910&gt;AC910,1.5*Y910,4*Y910),"No Disp")</f>
        <v>975600</v>
      </c>
      <c r="AC910" s="95">
        <f>IF(Z910="No Disp","No Disp",(Z910*18)+Y910)</f>
        <v>981900</v>
      </c>
      <c r="AD910" s="95">
        <f>IF($H910="EMP",18*Z910-100,18*Z910-100+Y910)</f>
        <v>737900</v>
      </c>
      <c r="AE910" s="95">
        <v>243900</v>
      </c>
      <c r="AF910" s="95">
        <v>41000</v>
      </c>
      <c r="AG910" s="95">
        <f>IF(AF910="No Disp","No Disp",(AF910*18)+AE910)</f>
        <v>981900</v>
      </c>
      <c r="AH910" s="98">
        <f>IF($H910="EMP",18*AF910-100,18*AF910-100+AE910)</f>
        <v>737900</v>
      </c>
      <c r="AI910" s="95">
        <v>54000</v>
      </c>
      <c r="AJ910" s="99"/>
      <c r="AK910" s="100" t="s">
        <v>43</v>
      </c>
      <c r="AL910" s="100" t="s">
        <v>43</v>
      </c>
      <c r="AM910" s="100" t="s">
        <v>43</v>
      </c>
      <c r="AN910" s="100" t="s">
        <v>43</v>
      </c>
      <c r="AO910" s="100" t="s">
        <v>43</v>
      </c>
      <c r="AP910" s="100" t="s">
        <v>43</v>
      </c>
      <c r="AQ910" s="100" t="s">
        <v>43</v>
      </c>
      <c r="AR910" s="100" t="s">
        <v>43</v>
      </c>
      <c r="AS910" s="100" t="s">
        <v>43</v>
      </c>
    </row>
    <row r="911" spans="1:45" s="101" customFormat="1" x14ac:dyDescent="0.25">
      <c r="A911" s="90" t="s">
        <v>38</v>
      </c>
      <c r="B911" s="90" t="s">
        <v>40</v>
      </c>
      <c r="C911" s="90" t="s">
        <v>39</v>
      </c>
      <c r="D911" s="90" t="s">
        <v>4540</v>
      </c>
      <c r="E911" s="90" t="s">
        <v>4542</v>
      </c>
      <c r="F911" s="91"/>
      <c r="G911" s="92">
        <v>70014013</v>
      </c>
      <c r="H911" s="91" t="s">
        <v>4370</v>
      </c>
      <c r="I911" s="93" t="s">
        <v>46</v>
      </c>
      <c r="J911" s="94" t="s">
        <v>370</v>
      </c>
      <c r="K911" s="94" t="s">
        <v>3112</v>
      </c>
      <c r="L911" s="94" t="s">
        <v>3260</v>
      </c>
      <c r="M911" s="95">
        <v>847900</v>
      </c>
      <c r="N911" s="95">
        <v>7000</v>
      </c>
      <c r="O911" s="95">
        <v>10000</v>
      </c>
      <c r="P911" s="96">
        <v>1229990</v>
      </c>
      <c r="Q911" s="152"/>
      <c r="R911" s="95">
        <v>847900</v>
      </c>
      <c r="S911" s="95">
        <v>39037.5</v>
      </c>
      <c r="T911" s="95">
        <v>847900</v>
      </c>
      <c r="U911" s="95">
        <v>39037.5</v>
      </c>
      <c r="V911" s="95">
        <v>847900</v>
      </c>
      <c r="W911" s="95">
        <v>39037.5</v>
      </c>
      <c r="X911" s="128"/>
      <c r="Y911" s="95">
        <v>243900</v>
      </c>
      <c r="Z911" s="95">
        <v>41000</v>
      </c>
      <c r="AA911" s="95">
        <f>IFERROR(IF(D911="Premium",0.4*Y911,0),"No Disp")</f>
        <v>97560</v>
      </c>
      <c r="AB911" s="95">
        <f>IFERROR(IF(4*Y911&gt;AC911,1.5*Y911,4*Y911),"No Disp")</f>
        <v>975600</v>
      </c>
      <c r="AC911" s="95">
        <f>IF(Z911="No Disp","No Disp",(Z911*18)+Y911)</f>
        <v>981900</v>
      </c>
      <c r="AD911" s="95">
        <f>IF($H911="EMP",18*Z911-100,18*Z911-100+Y911)</f>
        <v>737900</v>
      </c>
      <c r="AE911" s="95">
        <v>243900</v>
      </c>
      <c r="AF911" s="95">
        <v>41000</v>
      </c>
      <c r="AG911" s="95">
        <f>IF(AF911="No Disp","No Disp",(AF911*18)+AE911)</f>
        <v>981900</v>
      </c>
      <c r="AH911" s="98">
        <f>IF($H911="EMP",18*AF911-100,18*AF911-100+AE911)</f>
        <v>737900</v>
      </c>
      <c r="AI911" s="95">
        <v>54000</v>
      </c>
      <c r="AJ911" s="99"/>
      <c r="AK911" s="100" t="s">
        <v>43</v>
      </c>
      <c r="AL911" s="100" t="s">
        <v>43</v>
      </c>
      <c r="AM911" s="100" t="s">
        <v>43</v>
      </c>
      <c r="AN911" s="100" t="s">
        <v>43</v>
      </c>
      <c r="AO911" s="100" t="s">
        <v>43</v>
      </c>
      <c r="AP911" s="100" t="s">
        <v>43</v>
      </c>
      <c r="AQ911" s="100" t="s">
        <v>43</v>
      </c>
      <c r="AR911" s="100" t="s">
        <v>43</v>
      </c>
      <c r="AS911" s="100" t="s">
        <v>43</v>
      </c>
    </row>
    <row r="912" spans="1:45" s="101" customFormat="1" x14ac:dyDescent="0.25">
      <c r="A912" s="90" t="s">
        <v>38</v>
      </c>
      <c r="B912" s="90" t="s">
        <v>40</v>
      </c>
      <c r="C912" s="90" t="s">
        <v>39</v>
      </c>
      <c r="D912" s="90" t="s">
        <v>4540</v>
      </c>
      <c r="E912" s="90" t="s">
        <v>4542</v>
      </c>
      <c r="F912" s="91"/>
      <c r="G912" s="92">
        <v>70014038</v>
      </c>
      <c r="H912" s="91" t="s">
        <v>4370</v>
      </c>
      <c r="I912" s="93" t="s">
        <v>46</v>
      </c>
      <c r="J912" s="94" t="s">
        <v>401</v>
      </c>
      <c r="K912" s="94" t="s">
        <v>3131</v>
      </c>
      <c r="L912" s="94" t="s">
        <v>3279</v>
      </c>
      <c r="M912" s="95">
        <v>1573900</v>
      </c>
      <c r="N912" s="95">
        <v>9500</v>
      </c>
      <c r="O912" s="95">
        <v>13500</v>
      </c>
      <c r="P912" s="96">
        <v>1799990</v>
      </c>
      <c r="Q912" s="152"/>
      <c r="R912" s="95">
        <v>1573900</v>
      </c>
      <c r="S912" s="95">
        <v>56954.166666666664</v>
      </c>
      <c r="T912" s="95">
        <v>1573900</v>
      </c>
      <c r="U912" s="95">
        <v>56954.166666666664</v>
      </c>
      <c r="V912" s="95">
        <v>1573900</v>
      </c>
      <c r="W912" s="95">
        <v>56954.166666666664</v>
      </c>
      <c r="X912" s="128"/>
      <c r="Y912" s="95">
        <v>542900</v>
      </c>
      <c r="Z912" s="95">
        <v>71000</v>
      </c>
      <c r="AA912" s="95">
        <f>IFERROR(IF(D912="Premium",0.4*Y912,0),"No Disp")</f>
        <v>217160</v>
      </c>
      <c r="AB912" s="95">
        <f>IFERROR(IF(4*Y912&gt;AC912,1.5*Y912,4*Y912),"No Disp")</f>
        <v>814350</v>
      </c>
      <c r="AC912" s="95">
        <f>IF(Z912="No Disp","No Disp",(Z912*18)+Y912)</f>
        <v>1820900</v>
      </c>
      <c r="AD912" s="95">
        <f>IF($H912="EMP",18*Z912-100,18*Z912-100+Y912)</f>
        <v>1277900</v>
      </c>
      <c r="AE912" s="95">
        <v>542900</v>
      </c>
      <c r="AF912" s="95">
        <v>71000</v>
      </c>
      <c r="AG912" s="95">
        <f>IF(AF912="No Disp","No Disp",(AF912*18)+AE912)</f>
        <v>1820900</v>
      </c>
      <c r="AH912" s="98">
        <f>IF($H912="EMP",18*AF912-100,18*AF912-100+AE912)</f>
        <v>1277900</v>
      </c>
      <c r="AI912" s="95">
        <v>101000</v>
      </c>
      <c r="AJ912" s="99"/>
      <c r="AK912" s="100" t="s">
        <v>43</v>
      </c>
      <c r="AL912" s="100" t="s">
        <v>43</v>
      </c>
      <c r="AM912" s="100" t="s">
        <v>43</v>
      </c>
      <c r="AN912" s="100" t="s">
        <v>43</v>
      </c>
      <c r="AO912" s="100" t="s">
        <v>43</v>
      </c>
      <c r="AP912" s="100" t="s">
        <v>43</v>
      </c>
      <c r="AQ912" s="100" t="s">
        <v>43</v>
      </c>
      <c r="AR912" s="100" t="s">
        <v>43</v>
      </c>
      <c r="AS912" s="100" t="s">
        <v>43</v>
      </c>
    </row>
    <row r="913" spans="1:45" s="101" customFormat="1" x14ac:dyDescent="0.25">
      <c r="A913" s="90" t="s">
        <v>38</v>
      </c>
      <c r="B913" s="90" t="s">
        <v>40</v>
      </c>
      <c r="C913" s="90" t="s">
        <v>39</v>
      </c>
      <c r="D913" s="90" t="s">
        <v>4540</v>
      </c>
      <c r="E913" s="90" t="s">
        <v>4542</v>
      </c>
      <c r="F913" s="91"/>
      <c r="G913" s="92">
        <v>70014039</v>
      </c>
      <c r="H913" s="91" t="s">
        <v>4370</v>
      </c>
      <c r="I913" s="93" t="s">
        <v>46</v>
      </c>
      <c r="J913" s="94" t="s">
        <v>401</v>
      </c>
      <c r="K913" s="94" t="s">
        <v>3130</v>
      </c>
      <c r="L913" s="94" t="s">
        <v>3278</v>
      </c>
      <c r="M913" s="95">
        <v>1573900</v>
      </c>
      <c r="N913" s="95">
        <v>9500</v>
      </c>
      <c r="O913" s="95">
        <v>13500</v>
      </c>
      <c r="P913" s="96">
        <v>1799990</v>
      </c>
      <c r="Q913" s="152"/>
      <c r="R913" s="95">
        <v>1573900</v>
      </c>
      <c r="S913" s="95">
        <v>56954.166666666664</v>
      </c>
      <c r="T913" s="95">
        <v>1573900</v>
      </c>
      <c r="U913" s="95">
        <v>56954.166666666664</v>
      </c>
      <c r="V913" s="95">
        <v>1573900</v>
      </c>
      <c r="W913" s="95">
        <v>56954.166666666664</v>
      </c>
      <c r="X913" s="128"/>
      <c r="Y913" s="95">
        <v>542900</v>
      </c>
      <c r="Z913" s="95">
        <v>71000</v>
      </c>
      <c r="AA913" s="95">
        <f>IFERROR(IF(D913="Premium",0.4*Y913,0),"No Disp")</f>
        <v>217160</v>
      </c>
      <c r="AB913" s="95">
        <f>IFERROR(IF(4*Y913&gt;AC913,1.5*Y913,4*Y913),"No Disp")</f>
        <v>814350</v>
      </c>
      <c r="AC913" s="95">
        <f>IF(Z913="No Disp","No Disp",(Z913*18)+Y913)</f>
        <v>1820900</v>
      </c>
      <c r="AD913" s="95">
        <f>IF($H913="EMP",18*Z913-100,18*Z913-100+Y913)</f>
        <v>1277900</v>
      </c>
      <c r="AE913" s="95">
        <v>542900</v>
      </c>
      <c r="AF913" s="95">
        <v>71000</v>
      </c>
      <c r="AG913" s="95">
        <f>IF(AF913="No Disp","No Disp",(AF913*18)+AE913)</f>
        <v>1820900</v>
      </c>
      <c r="AH913" s="98">
        <f>IF($H913="EMP",18*AF913-100,18*AF913-100+AE913)</f>
        <v>1277900</v>
      </c>
      <c r="AI913" s="95">
        <v>101000</v>
      </c>
      <c r="AJ913" s="99"/>
      <c r="AK913" s="100" t="s">
        <v>43</v>
      </c>
      <c r="AL913" s="100" t="s">
        <v>43</v>
      </c>
      <c r="AM913" s="100" t="s">
        <v>43</v>
      </c>
      <c r="AN913" s="100" t="s">
        <v>43</v>
      </c>
      <c r="AO913" s="100" t="s">
        <v>43</v>
      </c>
      <c r="AP913" s="100" t="s">
        <v>43</v>
      </c>
      <c r="AQ913" s="100" t="s">
        <v>43</v>
      </c>
      <c r="AR913" s="100" t="s">
        <v>43</v>
      </c>
      <c r="AS913" s="100" t="s">
        <v>43</v>
      </c>
    </row>
    <row r="914" spans="1:45" s="101" customFormat="1" x14ac:dyDescent="0.25">
      <c r="A914" s="90" t="s">
        <v>38</v>
      </c>
      <c r="B914" s="90" t="s">
        <v>40</v>
      </c>
      <c r="C914" s="90" t="s">
        <v>39</v>
      </c>
      <c r="D914" s="90" t="s">
        <v>4540</v>
      </c>
      <c r="E914" s="90" t="s">
        <v>4538</v>
      </c>
      <c r="F914" s="91"/>
      <c r="G914" s="102">
        <v>70014229</v>
      </c>
      <c r="H914" s="91" t="s">
        <v>4370</v>
      </c>
      <c r="I914" s="93" t="s">
        <v>46</v>
      </c>
      <c r="J914" s="94" t="s">
        <v>123</v>
      </c>
      <c r="K914" s="94" t="s">
        <v>4417</v>
      </c>
      <c r="L914" s="94" t="s">
        <v>3983</v>
      </c>
      <c r="M914" s="95">
        <v>823900</v>
      </c>
      <c r="N914" s="95">
        <v>7000</v>
      </c>
      <c r="O914" s="95">
        <v>10000</v>
      </c>
      <c r="P914" s="96">
        <v>1069990</v>
      </c>
      <c r="Q914" s="152"/>
      <c r="R914" s="95">
        <v>823900</v>
      </c>
      <c r="S914" s="95">
        <v>32079.166666666668</v>
      </c>
      <c r="T914" s="95">
        <v>823900</v>
      </c>
      <c r="U914" s="95">
        <v>32079.166666666668</v>
      </c>
      <c r="V914" s="95">
        <v>823900</v>
      </c>
      <c r="W914" s="95">
        <v>32079.166666666668</v>
      </c>
      <c r="X914" s="128"/>
      <c r="Y914" s="95">
        <v>236900</v>
      </c>
      <c r="Z914" s="95">
        <v>40000</v>
      </c>
      <c r="AA914" s="95">
        <f>IFERROR(IF(D914="Premium",0.4*Y914,0),"No Disp")</f>
        <v>94760</v>
      </c>
      <c r="AB914" s="95">
        <f>IFERROR(IF(4*Y914&gt;AC914,1.5*Y914,4*Y914),"No Disp")</f>
        <v>947600</v>
      </c>
      <c r="AC914" s="95">
        <f>IF(Z914="No Disp","No Disp",(Z914*18)+Y914)</f>
        <v>956900</v>
      </c>
      <c r="AD914" s="95">
        <f>IF($H914="EMP",18*Z914-100,18*Z914-100+Y914)</f>
        <v>719900</v>
      </c>
      <c r="AE914" s="95">
        <v>236900</v>
      </c>
      <c r="AF914" s="95">
        <v>40000</v>
      </c>
      <c r="AG914" s="95">
        <f>IF(AF914="No Disp","No Disp",(AF914*18)+AE914)</f>
        <v>956900</v>
      </c>
      <c r="AH914" s="98">
        <f>IF($H914="EMP",18*AF914-100,18*AF914-100+AE914)</f>
        <v>719900</v>
      </c>
      <c r="AI914" s="95">
        <v>53000</v>
      </c>
      <c r="AJ914" s="99"/>
      <c r="AK914" s="100" t="s">
        <v>43</v>
      </c>
      <c r="AL914" s="100" t="s">
        <v>43</v>
      </c>
      <c r="AM914" s="100" t="s">
        <v>43</v>
      </c>
      <c r="AN914" s="100" t="s">
        <v>43</v>
      </c>
      <c r="AO914" s="100" t="s">
        <v>43</v>
      </c>
      <c r="AP914" s="100" t="s">
        <v>43</v>
      </c>
      <c r="AQ914" s="100" t="s">
        <v>43</v>
      </c>
      <c r="AR914" s="100" t="s">
        <v>43</v>
      </c>
      <c r="AS914" s="100" t="s">
        <v>43</v>
      </c>
    </row>
    <row r="915" spans="1:45" s="101" customFormat="1" x14ac:dyDescent="0.25">
      <c r="A915" s="90" t="s">
        <v>38</v>
      </c>
      <c r="B915" s="90" t="s">
        <v>40</v>
      </c>
      <c r="C915" s="90" t="s">
        <v>39</v>
      </c>
      <c r="D915" s="90" t="s">
        <v>4540</v>
      </c>
      <c r="E915" s="90" t="s">
        <v>4538</v>
      </c>
      <c r="F915" s="91"/>
      <c r="G915" s="92">
        <v>70014017</v>
      </c>
      <c r="H915" s="91" t="s">
        <v>4370</v>
      </c>
      <c r="I915" s="93" t="s">
        <v>46</v>
      </c>
      <c r="J915" s="94" t="s">
        <v>123</v>
      </c>
      <c r="K915" s="94" t="s">
        <v>3114</v>
      </c>
      <c r="L915" s="94" t="s">
        <v>3262</v>
      </c>
      <c r="M915" s="95">
        <v>823900</v>
      </c>
      <c r="N915" s="95">
        <v>7000</v>
      </c>
      <c r="O915" s="95">
        <v>10000</v>
      </c>
      <c r="P915" s="96">
        <v>1069990</v>
      </c>
      <c r="Q915" s="152"/>
      <c r="R915" s="95">
        <v>823900</v>
      </c>
      <c r="S915" s="95">
        <v>32079.166666666668</v>
      </c>
      <c r="T915" s="95">
        <v>823900</v>
      </c>
      <c r="U915" s="95">
        <v>32079.166666666668</v>
      </c>
      <c r="V915" s="95">
        <v>823900</v>
      </c>
      <c r="W915" s="95">
        <v>32079.166666666668</v>
      </c>
      <c r="X915" s="128"/>
      <c r="Y915" s="95">
        <v>236900</v>
      </c>
      <c r="Z915" s="95">
        <v>40000</v>
      </c>
      <c r="AA915" s="95">
        <f>IFERROR(IF(D915="Premium",0.4*Y915,0),"No Disp")</f>
        <v>94760</v>
      </c>
      <c r="AB915" s="95">
        <f>IFERROR(IF(4*Y915&gt;AC915,1.5*Y915,4*Y915),"No Disp")</f>
        <v>947600</v>
      </c>
      <c r="AC915" s="95">
        <f>IF(Z915="No Disp","No Disp",(Z915*18)+Y915)</f>
        <v>956900</v>
      </c>
      <c r="AD915" s="95">
        <f>IF($H915="EMP",18*Z915-100,18*Z915-100+Y915)</f>
        <v>719900</v>
      </c>
      <c r="AE915" s="95">
        <v>236900</v>
      </c>
      <c r="AF915" s="95">
        <v>40000</v>
      </c>
      <c r="AG915" s="95">
        <f>IF(AF915="No Disp","No Disp",(AF915*18)+AE915)</f>
        <v>956900</v>
      </c>
      <c r="AH915" s="98">
        <f>IF($H915="EMP",18*AF915-100,18*AF915-100+AE915)</f>
        <v>719900</v>
      </c>
      <c r="AI915" s="95">
        <v>53000</v>
      </c>
      <c r="AJ915" s="99"/>
      <c r="AK915" s="100" t="s">
        <v>43</v>
      </c>
      <c r="AL915" s="100" t="s">
        <v>43</v>
      </c>
      <c r="AM915" s="100" t="s">
        <v>43</v>
      </c>
      <c r="AN915" s="100" t="s">
        <v>43</v>
      </c>
      <c r="AO915" s="100" t="s">
        <v>43</v>
      </c>
      <c r="AP915" s="100" t="s">
        <v>43</v>
      </c>
      <c r="AQ915" s="100" t="s">
        <v>43</v>
      </c>
      <c r="AR915" s="100" t="s">
        <v>43</v>
      </c>
      <c r="AS915" s="100" t="s">
        <v>43</v>
      </c>
    </row>
    <row r="916" spans="1:45" s="101" customFormat="1" x14ac:dyDescent="0.25">
      <c r="A916" s="90" t="s">
        <v>38</v>
      </c>
      <c r="B916" s="90" t="s">
        <v>40</v>
      </c>
      <c r="C916" s="90" t="s">
        <v>39</v>
      </c>
      <c r="D916" s="90" t="s">
        <v>4540</v>
      </c>
      <c r="E916" s="90" t="s">
        <v>4538</v>
      </c>
      <c r="F916" s="91"/>
      <c r="G916" s="92">
        <v>70014028</v>
      </c>
      <c r="H916" s="91" t="s">
        <v>4370</v>
      </c>
      <c r="I916" s="93" t="s">
        <v>46</v>
      </c>
      <c r="J916" s="94" t="s">
        <v>123</v>
      </c>
      <c r="K916" s="94" t="s">
        <v>3113</v>
      </c>
      <c r="L916" s="94" t="s">
        <v>3261</v>
      </c>
      <c r="M916" s="95">
        <v>823900</v>
      </c>
      <c r="N916" s="95">
        <v>7000</v>
      </c>
      <c r="O916" s="95">
        <v>10000</v>
      </c>
      <c r="P916" s="96">
        <v>1069990</v>
      </c>
      <c r="Q916" s="152"/>
      <c r="R916" s="95">
        <v>823900</v>
      </c>
      <c r="S916" s="95">
        <v>32079.166666666668</v>
      </c>
      <c r="T916" s="95">
        <v>823900</v>
      </c>
      <c r="U916" s="95">
        <v>32079.166666666668</v>
      </c>
      <c r="V916" s="95">
        <v>823900</v>
      </c>
      <c r="W916" s="95">
        <v>32079.166666666668</v>
      </c>
      <c r="X916" s="128"/>
      <c r="Y916" s="95">
        <v>236900</v>
      </c>
      <c r="Z916" s="95">
        <v>40000</v>
      </c>
      <c r="AA916" s="95">
        <f>IFERROR(IF(D916="Premium",0.4*Y916,0),"No Disp")</f>
        <v>94760</v>
      </c>
      <c r="AB916" s="95">
        <f>IFERROR(IF(4*Y916&gt;AC916,1.5*Y916,4*Y916),"No Disp")</f>
        <v>947600</v>
      </c>
      <c r="AC916" s="95">
        <f>IF(Z916="No Disp","No Disp",(Z916*18)+Y916)</f>
        <v>956900</v>
      </c>
      <c r="AD916" s="95">
        <f>IF($H916="EMP",18*Z916-100,18*Z916-100+Y916)</f>
        <v>719900</v>
      </c>
      <c r="AE916" s="95">
        <v>236900</v>
      </c>
      <c r="AF916" s="95">
        <v>40000</v>
      </c>
      <c r="AG916" s="95">
        <f>IF(AF916="No Disp","No Disp",(AF916*18)+AE916)</f>
        <v>956900</v>
      </c>
      <c r="AH916" s="98">
        <f>IF($H916="EMP",18*AF916-100,18*AF916-100+AE916)</f>
        <v>719900</v>
      </c>
      <c r="AI916" s="95">
        <v>53000</v>
      </c>
      <c r="AJ916" s="99"/>
      <c r="AK916" s="100" t="s">
        <v>43</v>
      </c>
      <c r="AL916" s="100" t="s">
        <v>43</v>
      </c>
      <c r="AM916" s="100" t="s">
        <v>43</v>
      </c>
      <c r="AN916" s="100" t="s">
        <v>43</v>
      </c>
      <c r="AO916" s="100" t="s">
        <v>43</v>
      </c>
      <c r="AP916" s="100" t="s">
        <v>43</v>
      </c>
      <c r="AQ916" s="100" t="s">
        <v>43</v>
      </c>
      <c r="AR916" s="100" t="s">
        <v>43</v>
      </c>
      <c r="AS916" s="100" t="s">
        <v>43</v>
      </c>
    </row>
    <row r="917" spans="1:45" s="101" customFormat="1" x14ac:dyDescent="0.25">
      <c r="A917" s="90" t="s">
        <v>38</v>
      </c>
      <c r="B917" s="90" t="s">
        <v>40</v>
      </c>
      <c r="C917" s="90" t="s">
        <v>39</v>
      </c>
      <c r="D917" s="90" t="s">
        <v>4540</v>
      </c>
      <c r="E917" s="90" t="s">
        <v>4538</v>
      </c>
      <c r="F917" s="91"/>
      <c r="G917" s="92">
        <v>70014221</v>
      </c>
      <c r="H917" s="91" t="s">
        <v>4370</v>
      </c>
      <c r="I917" s="93" t="s">
        <v>46</v>
      </c>
      <c r="J917" s="94" t="s">
        <v>151</v>
      </c>
      <c r="K917" s="94" t="s">
        <v>4415</v>
      </c>
      <c r="L917" s="94" t="s">
        <v>4160</v>
      </c>
      <c r="M917" s="95">
        <v>1001900</v>
      </c>
      <c r="N917" s="95">
        <v>7000</v>
      </c>
      <c r="O917" s="95">
        <v>10000</v>
      </c>
      <c r="P917" s="96">
        <v>1229990</v>
      </c>
      <c r="Q917" s="152"/>
      <c r="R917" s="95">
        <v>1001900</v>
      </c>
      <c r="S917" s="95">
        <v>41787.5</v>
      </c>
      <c r="T917" s="95">
        <v>1001900</v>
      </c>
      <c r="U917" s="95">
        <v>41787.5</v>
      </c>
      <c r="V917" s="95">
        <v>1001900</v>
      </c>
      <c r="W917" s="95">
        <v>41787.5</v>
      </c>
      <c r="X917" s="128"/>
      <c r="Y917" s="95">
        <v>345900</v>
      </c>
      <c r="Z917" s="95">
        <v>45000</v>
      </c>
      <c r="AA917" s="95">
        <f>IFERROR(IF(D917="Premium",0.4*Y917,0),"No Disp")</f>
        <v>138360</v>
      </c>
      <c r="AB917" s="95">
        <f>IFERROR(IF(4*Y917&gt;AC917,1.5*Y917,4*Y917),"No Disp")</f>
        <v>518850</v>
      </c>
      <c r="AC917" s="95">
        <f>IF(Z917="No Disp","No Disp",(Z917*18)+Y917)</f>
        <v>1155900</v>
      </c>
      <c r="AD917" s="95">
        <f>IF($H917="EMP",18*Z917-100,18*Z917-100+Y917)</f>
        <v>809900</v>
      </c>
      <c r="AE917" s="95">
        <v>345900</v>
      </c>
      <c r="AF917" s="95">
        <v>45000</v>
      </c>
      <c r="AG917" s="95">
        <f>IF(AF917="No Disp","No Disp",(AF917*18)+AE917)</f>
        <v>1155900</v>
      </c>
      <c r="AH917" s="98">
        <f>IF($H917="EMP",18*AF917-100,18*AF917-100+AE917)</f>
        <v>809900</v>
      </c>
      <c r="AI917" s="95">
        <v>64000</v>
      </c>
      <c r="AJ917" s="99"/>
      <c r="AK917" s="100" t="s">
        <v>43</v>
      </c>
      <c r="AL917" s="100" t="s">
        <v>43</v>
      </c>
      <c r="AM917" s="100" t="s">
        <v>43</v>
      </c>
      <c r="AN917" s="100" t="s">
        <v>43</v>
      </c>
      <c r="AO917" s="100" t="s">
        <v>43</v>
      </c>
      <c r="AP917" s="100" t="s">
        <v>43</v>
      </c>
      <c r="AQ917" s="100" t="s">
        <v>43</v>
      </c>
      <c r="AR917" s="100" t="s">
        <v>43</v>
      </c>
      <c r="AS917" s="100" t="s">
        <v>43</v>
      </c>
    </row>
    <row r="918" spans="1:45" s="101" customFormat="1" x14ac:dyDescent="0.25">
      <c r="A918" s="90" t="s">
        <v>38</v>
      </c>
      <c r="B918" s="90" t="s">
        <v>40</v>
      </c>
      <c r="C918" s="90" t="s">
        <v>39</v>
      </c>
      <c r="D918" s="90" t="s">
        <v>4540</v>
      </c>
      <c r="E918" s="90" t="s">
        <v>4538</v>
      </c>
      <c r="F918" s="91"/>
      <c r="G918" s="92">
        <v>70014244</v>
      </c>
      <c r="H918" s="91" t="s">
        <v>4370</v>
      </c>
      <c r="I918" s="93" t="s">
        <v>46</v>
      </c>
      <c r="J918" s="94" t="s">
        <v>151</v>
      </c>
      <c r="K918" s="94" t="s">
        <v>4416</v>
      </c>
      <c r="L918" s="94" t="s">
        <v>4161</v>
      </c>
      <c r="M918" s="95">
        <v>1001900</v>
      </c>
      <c r="N918" s="95">
        <v>7000</v>
      </c>
      <c r="O918" s="95">
        <v>10000</v>
      </c>
      <c r="P918" s="96">
        <v>1229990</v>
      </c>
      <c r="Q918" s="152"/>
      <c r="R918" s="95">
        <v>1001900</v>
      </c>
      <c r="S918" s="95">
        <v>41787.5</v>
      </c>
      <c r="T918" s="95">
        <v>1001900</v>
      </c>
      <c r="U918" s="95">
        <v>41787.5</v>
      </c>
      <c r="V918" s="95">
        <v>1001900</v>
      </c>
      <c r="W918" s="95">
        <v>41787.5</v>
      </c>
      <c r="X918" s="128"/>
      <c r="Y918" s="95">
        <v>345900</v>
      </c>
      <c r="Z918" s="95">
        <v>45000</v>
      </c>
      <c r="AA918" s="95">
        <f>IFERROR(IF(D918="Premium",0.4*Y918,0),"No Disp")</f>
        <v>138360</v>
      </c>
      <c r="AB918" s="95">
        <f>IFERROR(IF(4*Y918&gt;AC918,1.5*Y918,4*Y918),"No Disp")</f>
        <v>518850</v>
      </c>
      <c r="AC918" s="95">
        <f>IF(Z918="No Disp","No Disp",(Z918*18)+Y918)</f>
        <v>1155900</v>
      </c>
      <c r="AD918" s="95">
        <f>IF($H918="EMP",18*Z918-100,18*Z918-100+Y918)</f>
        <v>809900</v>
      </c>
      <c r="AE918" s="95">
        <v>345900</v>
      </c>
      <c r="AF918" s="95">
        <v>45000</v>
      </c>
      <c r="AG918" s="95">
        <f>IF(AF918="No Disp","No Disp",(AF918*18)+AE918)</f>
        <v>1155900</v>
      </c>
      <c r="AH918" s="98">
        <f>IF($H918="EMP",18*AF918-100,18*AF918-100+AE918)</f>
        <v>809900</v>
      </c>
      <c r="AI918" s="95">
        <v>64000</v>
      </c>
      <c r="AJ918" s="99"/>
      <c r="AK918" s="100" t="s">
        <v>43</v>
      </c>
      <c r="AL918" s="100" t="s">
        <v>43</v>
      </c>
      <c r="AM918" s="100" t="s">
        <v>43</v>
      </c>
      <c r="AN918" s="100" t="s">
        <v>43</v>
      </c>
      <c r="AO918" s="100" t="s">
        <v>43</v>
      </c>
      <c r="AP918" s="100" t="s">
        <v>43</v>
      </c>
      <c r="AQ918" s="100" t="s">
        <v>43</v>
      </c>
      <c r="AR918" s="100" t="s">
        <v>43</v>
      </c>
      <c r="AS918" s="100" t="s">
        <v>43</v>
      </c>
    </row>
    <row r="919" spans="1:45" s="101" customFormat="1" x14ac:dyDescent="0.25">
      <c r="A919" s="90" t="s">
        <v>38</v>
      </c>
      <c r="B919" s="90" t="s">
        <v>40</v>
      </c>
      <c r="C919" s="90" t="s">
        <v>39</v>
      </c>
      <c r="D919" s="90" t="s">
        <v>4540</v>
      </c>
      <c r="E919" s="90" t="s">
        <v>4538</v>
      </c>
      <c r="F919" s="91"/>
      <c r="G919" s="102">
        <v>70014234</v>
      </c>
      <c r="H919" s="91" t="s">
        <v>4370</v>
      </c>
      <c r="I919" s="93" t="s">
        <v>46</v>
      </c>
      <c r="J919" s="94" t="s">
        <v>151</v>
      </c>
      <c r="K919" s="94" t="s">
        <v>4418</v>
      </c>
      <c r="L919" s="94" t="s">
        <v>3981</v>
      </c>
      <c r="M919" s="95">
        <v>1001900</v>
      </c>
      <c r="N919" s="95">
        <v>7000</v>
      </c>
      <c r="O919" s="95">
        <v>10000</v>
      </c>
      <c r="P919" s="96">
        <v>1229990</v>
      </c>
      <c r="Q919" s="152"/>
      <c r="R919" s="95">
        <v>1001900</v>
      </c>
      <c r="S919" s="95">
        <v>41787.5</v>
      </c>
      <c r="T919" s="95">
        <v>1001900</v>
      </c>
      <c r="U919" s="95">
        <v>41787.5</v>
      </c>
      <c r="V919" s="95">
        <v>1001900</v>
      </c>
      <c r="W919" s="95">
        <v>41787.5</v>
      </c>
      <c r="X919" s="128"/>
      <c r="Y919" s="95">
        <v>345900</v>
      </c>
      <c r="Z919" s="95">
        <v>45000</v>
      </c>
      <c r="AA919" s="95">
        <f>IFERROR(IF(D919="Premium",0.4*Y919,0),"No Disp")</f>
        <v>138360</v>
      </c>
      <c r="AB919" s="95">
        <f>IFERROR(IF(4*Y919&gt;AC919,1.5*Y919,4*Y919),"No Disp")</f>
        <v>518850</v>
      </c>
      <c r="AC919" s="95">
        <f>IF(Z919="No Disp","No Disp",(Z919*18)+Y919)</f>
        <v>1155900</v>
      </c>
      <c r="AD919" s="95">
        <f>IF($H919="EMP",18*Z919-100,18*Z919-100+Y919)</f>
        <v>809900</v>
      </c>
      <c r="AE919" s="95">
        <v>345900</v>
      </c>
      <c r="AF919" s="95">
        <v>45000</v>
      </c>
      <c r="AG919" s="95">
        <f>IF(AF919="No Disp","No Disp",(AF919*18)+AE919)</f>
        <v>1155900</v>
      </c>
      <c r="AH919" s="98">
        <f>IF($H919="EMP",18*AF919-100,18*AF919-100+AE919)</f>
        <v>809900</v>
      </c>
      <c r="AI919" s="95">
        <v>64000</v>
      </c>
      <c r="AJ919" s="99"/>
      <c r="AK919" s="100" t="s">
        <v>43</v>
      </c>
      <c r="AL919" s="100" t="s">
        <v>43</v>
      </c>
      <c r="AM919" s="100" t="s">
        <v>43</v>
      </c>
      <c r="AN919" s="100" t="s">
        <v>43</v>
      </c>
      <c r="AO919" s="100" t="s">
        <v>43</v>
      </c>
      <c r="AP919" s="100" t="s">
        <v>43</v>
      </c>
      <c r="AQ919" s="100" t="s">
        <v>43</v>
      </c>
      <c r="AR919" s="100" t="s">
        <v>43</v>
      </c>
      <c r="AS919" s="100" t="s">
        <v>43</v>
      </c>
    </row>
    <row r="920" spans="1:45" s="101" customFormat="1" x14ac:dyDescent="0.25">
      <c r="A920" s="90" t="s">
        <v>38</v>
      </c>
      <c r="B920" s="90" t="s">
        <v>40</v>
      </c>
      <c r="C920" s="90" t="s">
        <v>39</v>
      </c>
      <c r="D920" s="90" t="s">
        <v>4540</v>
      </c>
      <c r="E920" s="90" t="s">
        <v>4538</v>
      </c>
      <c r="F920" s="91"/>
      <c r="G920" s="92">
        <v>70014029</v>
      </c>
      <c r="H920" s="91" t="s">
        <v>4370</v>
      </c>
      <c r="I920" s="93" t="s">
        <v>46</v>
      </c>
      <c r="J920" s="94" t="s">
        <v>151</v>
      </c>
      <c r="K920" s="94" t="s">
        <v>3119</v>
      </c>
      <c r="L920" s="94" t="s">
        <v>3267</v>
      </c>
      <c r="M920" s="95">
        <v>1001900</v>
      </c>
      <c r="N920" s="95">
        <v>7000</v>
      </c>
      <c r="O920" s="95">
        <v>10000</v>
      </c>
      <c r="P920" s="96">
        <v>1229990</v>
      </c>
      <c r="Q920" s="152"/>
      <c r="R920" s="95">
        <v>1001900</v>
      </c>
      <c r="S920" s="95">
        <v>41787.5</v>
      </c>
      <c r="T920" s="95">
        <v>1001900</v>
      </c>
      <c r="U920" s="95">
        <v>41787.5</v>
      </c>
      <c r="V920" s="95">
        <v>1001900</v>
      </c>
      <c r="W920" s="95">
        <v>41787.5</v>
      </c>
      <c r="X920" s="128"/>
      <c r="Y920" s="95">
        <v>345900</v>
      </c>
      <c r="Z920" s="95">
        <v>45000</v>
      </c>
      <c r="AA920" s="95">
        <f>IFERROR(IF(D920="Premium",0.4*Y920,0),"No Disp")</f>
        <v>138360</v>
      </c>
      <c r="AB920" s="95">
        <f>IFERROR(IF(4*Y920&gt;AC920,1.5*Y920,4*Y920),"No Disp")</f>
        <v>518850</v>
      </c>
      <c r="AC920" s="95">
        <f>IF(Z920="No Disp","No Disp",(Z920*18)+Y920)</f>
        <v>1155900</v>
      </c>
      <c r="AD920" s="95">
        <f>IF($H920="EMP",18*Z920-100,18*Z920-100+Y920)</f>
        <v>809900</v>
      </c>
      <c r="AE920" s="95">
        <v>345900</v>
      </c>
      <c r="AF920" s="95">
        <v>45000</v>
      </c>
      <c r="AG920" s="95">
        <f>IF(AF920="No Disp","No Disp",(AF920*18)+AE920)</f>
        <v>1155900</v>
      </c>
      <c r="AH920" s="98">
        <f>IF($H920="EMP",18*AF920-100,18*AF920-100+AE920)</f>
        <v>809900</v>
      </c>
      <c r="AI920" s="95">
        <v>64000</v>
      </c>
      <c r="AJ920" s="99"/>
      <c r="AK920" s="100" t="s">
        <v>43</v>
      </c>
      <c r="AL920" s="100" t="s">
        <v>43</v>
      </c>
      <c r="AM920" s="100" t="s">
        <v>43</v>
      </c>
      <c r="AN920" s="100" t="s">
        <v>43</v>
      </c>
      <c r="AO920" s="100" t="s">
        <v>43</v>
      </c>
      <c r="AP920" s="100" t="s">
        <v>43</v>
      </c>
      <c r="AQ920" s="100" t="s">
        <v>43</v>
      </c>
      <c r="AR920" s="100" t="s">
        <v>43</v>
      </c>
      <c r="AS920" s="100" t="s">
        <v>43</v>
      </c>
    </row>
    <row r="921" spans="1:45" s="101" customFormat="1" x14ac:dyDescent="0.25">
      <c r="A921" s="90" t="s">
        <v>38</v>
      </c>
      <c r="B921" s="90" t="s">
        <v>40</v>
      </c>
      <c r="C921" s="90" t="s">
        <v>39</v>
      </c>
      <c r="D921" s="90" t="s">
        <v>4539</v>
      </c>
      <c r="E921" s="90" t="s">
        <v>4542</v>
      </c>
      <c r="F921" s="91"/>
      <c r="G921" s="92">
        <v>70014007</v>
      </c>
      <c r="H921" s="91" t="s">
        <v>4370</v>
      </c>
      <c r="I921" s="93" t="s">
        <v>46</v>
      </c>
      <c r="J921" s="94" t="s">
        <v>284</v>
      </c>
      <c r="K921" s="94" t="s">
        <v>3059</v>
      </c>
      <c r="L921" s="94" t="s">
        <v>3206</v>
      </c>
      <c r="M921" s="95">
        <v>298900</v>
      </c>
      <c r="N921" s="95">
        <v>4000</v>
      </c>
      <c r="O921" s="95">
        <v>6000</v>
      </c>
      <c r="P921" s="96">
        <v>419990</v>
      </c>
      <c r="Q921" s="152"/>
      <c r="R921" s="95">
        <v>298900</v>
      </c>
      <c r="S921" s="95">
        <v>11204.166666666666</v>
      </c>
      <c r="T921" s="95">
        <v>298900</v>
      </c>
      <c r="U921" s="95">
        <v>11204.166666666666</v>
      </c>
      <c r="V921" s="95">
        <v>298900</v>
      </c>
      <c r="W921" s="95">
        <v>11204.166666666666</v>
      </c>
      <c r="X921" s="128"/>
      <c r="Y921" s="95">
        <v>51900</v>
      </c>
      <c r="Z921" s="95">
        <v>17000</v>
      </c>
      <c r="AA921" s="95">
        <f>IFERROR(IF(D921="Premium",0.4*Y921,0),"No Disp")</f>
        <v>0</v>
      </c>
      <c r="AB921" s="95">
        <f>IFERROR(IF(4*Y921&gt;AC921,1.5*Y921,4*Y921),"No Disp")</f>
        <v>207600</v>
      </c>
      <c r="AC921" s="95">
        <f>IF(Z921="No Disp","No Disp",(Z921*18)+Y921)</f>
        <v>357900</v>
      </c>
      <c r="AD921" s="95">
        <f>IF($H921="EMP",18*Z921-100,18*Z921-100+Y921)</f>
        <v>305900</v>
      </c>
      <c r="AE921" s="95">
        <v>51900</v>
      </c>
      <c r="AF921" s="95">
        <v>17000</v>
      </c>
      <c r="AG921" s="95">
        <f>IF(AF921="No Disp","No Disp",(AF921*18)+AE921)</f>
        <v>357900</v>
      </c>
      <c r="AH921" s="98">
        <f>IF($H921="EMP",18*AF921-100,18*AF921-100+AE921)</f>
        <v>305900</v>
      </c>
      <c r="AI921" s="95">
        <v>19000</v>
      </c>
      <c r="AJ921" s="99"/>
      <c r="AK921" s="100" t="s">
        <v>43</v>
      </c>
      <c r="AL921" s="100" t="s">
        <v>43</v>
      </c>
      <c r="AM921" s="100" t="s">
        <v>43</v>
      </c>
      <c r="AN921" s="100" t="s">
        <v>43</v>
      </c>
      <c r="AO921" s="100" t="s">
        <v>43</v>
      </c>
      <c r="AP921" s="100" t="s">
        <v>43</v>
      </c>
      <c r="AQ921" s="100" t="s">
        <v>43</v>
      </c>
      <c r="AR921" s="100" t="s">
        <v>43</v>
      </c>
      <c r="AS921" s="100" t="s">
        <v>43</v>
      </c>
    </row>
    <row r="922" spans="1:45" s="101" customFormat="1" x14ac:dyDescent="0.25">
      <c r="A922" s="90" t="s">
        <v>38</v>
      </c>
      <c r="B922" s="90" t="s">
        <v>40</v>
      </c>
      <c r="C922" s="90" t="s">
        <v>39</v>
      </c>
      <c r="D922" s="90" t="s">
        <v>4539</v>
      </c>
      <c r="E922" s="90" t="s">
        <v>4542</v>
      </c>
      <c r="F922" s="91"/>
      <c r="G922" s="92">
        <v>70013994</v>
      </c>
      <c r="H922" s="91" t="s">
        <v>4370</v>
      </c>
      <c r="I922" s="93" t="s">
        <v>46</v>
      </c>
      <c r="J922" s="94" t="s">
        <v>275</v>
      </c>
      <c r="K922" s="94" t="s">
        <v>3067</v>
      </c>
      <c r="L922" s="94" t="s">
        <v>3214</v>
      </c>
      <c r="M922" s="95">
        <v>333900</v>
      </c>
      <c r="N922" s="95">
        <v>6000</v>
      </c>
      <c r="O922" s="95">
        <v>8500</v>
      </c>
      <c r="P922" s="96">
        <v>419990</v>
      </c>
      <c r="Q922" s="152"/>
      <c r="R922" s="95">
        <v>333900</v>
      </c>
      <c r="S922" s="95">
        <v>12579.166666666666</v>
      </c>
      <c r="T922" s="95">
        <v>333900</v>
      </c>
      <c r="U922" s="95">
        <v>12579.166666666666</v>
      </c>
      <c r="V922" s="95">
        <v>333900</v>
      </c>
      <c r="W922" s="95">
        <v>12579.166666666666</v>
      </c>
      <c r="X922" s="128"/>
      <c r="Y922" s="95">
        <v>76900</v>
      </c>
      <c r="Z922" s="95">
        <v>18000</v>
      </c>
      <c r="AA922" s="95">
        <f>IFERROR(IF(D922="Premium",0.4*Y922,0),"No Disp")</f>
        <v>0</v>
      </c>
      <c r="AB922" s="95">
        <f>IFERROR(IF(4*Y922&gt;AC922,1.5*Y922,4*Y922),"No Disp")</f>
        <v>307600</v>
      </c>
      <c r="AC922" s="95">
        <f>IF(Z922="No Disp","No Disp",(Z922*18)+Y922)</f>
        <v>400900</v>
      </c>
      <c r="AD922" s="95">
        <f>IF($H922="EMP",18*Z922-100,18*Z922-100+Y922)</f>
        <v>323900</v>
      </c>
      <c r="AE922" s="95">
        <v>76900</v>
      </c>
      <c r="AF922" s="95">
        <v>18000</v>
      </c>
      <c r="AG922" s="95">
        <f>IF(AF922="No Disp","No Disp",(AF922*18)+AE922)</f>
        <v>400900</v>
      </c>
      <c r="AH922" s="98">
        <f>IF($H922="EMP",18*AF922-100,18*AF922-100+AE922)</f>
        <v>323900</v>
      </c>
      <c r="AI922" s="95">
        <v>22000</v>
      </c>
      <c r="AJ922" s="99"/>
      <c r="AK922" s="100" t="s">
        <v>43</v>
      </c>
      <c r="AL922" s="100" t="s">
        <v>43</v>
      </c>
      <c r="AM922" s="100" t="s">
        <v>43</v>
      </c>
      <c r="AN922" s="100" t="s">
        <v>43</v>
      </c>
      <c r="AO922" s="100" t="s">
        <v>43</v>
      </c>
      <c r="AP922" s="100" t="s">
        <v>43</v>
      </c>
      <c r="AQ922" s="100" t="s">
        <v>43</v>
      </c>
      <c r="AR922" s="100" t="s">
        <v>43</v>
      </c>
      <c r="AS922" s="100" t="s">
        <v>43</v>
      </c>
    </row>
    <row r="923" spans="1:45" s="101" customFormat="1" x14ac:dyDescent="0.25">
      <c r="A923" s="90" t="s">
        <v>38</v>
      </c>
      <c r="B923" s="90" t="s">
        <v>40</v>
      </c>
      <c r="C923" s="90" t="s">
        <v>39</v>
      </c>
      <c r="D923" s="90" t="s">
        <v>4539</v>
      </c>
      <c r="E923" s="90" t="s">
        <v>4542</v>
      </c>
      <c r="F923" s="91"/>
      <c r="G923" s="92">
        <v>70014008</v>
      </c>
      <c r="H923" s="91" t="s">
        <v>4370</v>
      </c>
      <c r="I923" s="93" t="s">
        <v>46</v>
      </c>
      <c r="J923" s="94" t="s">
        <v>275</v>
      </c>
      <c r="K923" s="94" t="s">
        <v>3068</v>
      </c>
      <c r="L923" s="94" t="s">
        <v>3215</v>
      </c>
      <c r="M923" s="95">
        <v>333900</v>
      </c>
      <c r="N923" s="95">
        <v>6000</v>
      </c>
      <c r="O923" s="95">
        <v>8500</v>
      </c>
      <c r="P923" s="96">
        <v>419990</v>
      </c>
      <c r="Q923" s="152"/>
      <c r="R923" s="95">
        <v>333900</v>
      </c>
      <c r="S923" s="95">
        <v>12579.166666666666</v>
      </c>
      <c r="T923" s="95">
        <v>333900</v>
      </c>
      <c r="U923" s="95">
        <v>12579.166666666666</v>
      </c>
      <c r="V923" s="95">
        <v>333900</v>
      </c>
      <c r="W923" s="95">
        <v>12579.166666666666</v>
      </c>
      <c r="X923" s="128"/>
      <c r="Y923" s="95">
        <v>76900</v>
      </c>
      <c r="Z923" s="95">
        <v>18000</v>
      </c>
      <c r="AA923" s="95">
        <f>IFERROR(IF(D923="Premium",0.4*Y923,0),"No Disp")</f>
        <v>0</v>
      </c>
      <c r="AB923" s="95">
        <f>IFERROR(IF(4*Y923&gt;AC923,1.5*Y923,4*Y923),"No Disp")</f>
        <v>307600</v>
      </c>
      <c r="AC923" s="95">
        <f>IF(Z923="No Disp","No Disp",(Z923*18)+Y923)</f>
        <v>400900</v>
      </c>
      <c r="AD923" s="95">
        <f>IF($H923="EMP",18*Z923-100,18*Z923-100+Y923)</f>
        <v>323900</v>
      </c>
      <c r="AE923" s="95">
        <v>76900</v>
      </c>
      <c r="AF923" s="95">
        <v>18000</v>
      </c>
      <c r="AG923" s="95">
        <f>IF(AF923="No Disp","No Disp",(AF923*18)+AE923)</f>
        <v>400900</v>
      </c>
      <c r="AH923" s="98">
        <f>IF($H923="EMP",18*AF923-100,18*AF923-100+AE923)</f>
        <v>323900</v>
      </c>
      <c r="AI923" s="95">
        <v>22000</v>
      </c>
      <c r="AJ923" s="99"/>
      <c r="AK923" s="100" t="s">
        <v>43</v>
      </c>
      <c r="AL923" s="100" t="s">
        <v>43</v>
      </c>
      <c r="AM923" s="100" t="s">
        <v>43</v>
      </c>
      <c r="AN923" s="100" t="s">
        <v>43</v>
      </c>
      <c r="AO923" s="100" t="s">
        <v>43</v>
      </c>
      <c r="AP923" s="100" t="s">
        <v>43</v>
      </c>
      <c r="AQ923" s="100" t="s">
        <v>43</v>
      </c>
      <c r="AR923" s="100" t="s">
        <v>43</v>
      </c>
      <c r="AS923" s="100" t="s">
        <v>43</v>
      </c>
    </row>
    <row r="924" spans="1:45" s="101" customFormat="1" x14ac:dyDescent="0.25">
      <c r="A924" s="90" t="s">
        <v>38</v>
      </c>
      <c r="B924" s="90" t="s">
        <v>40</v>
      </c>
      <c r="C924" s="90" t="s">
        <v>39</v>
      </c>
      <c r="D924" s="90" t="s">
        <v>4539</v>
      </c>
      <c r="E924" s="90" t="s">
        <v>4542</v>
      </c>
      <c r="F924" s="91"/>
      <c r="G924" s="92">
        <v>70013993</v>
      </c>
      <c r="H924" s="91" t="s">
        <v>4370</v>
      </c>
      <c r="I924" s="93" t="s">
        <v>46</v>
      </c>
      <c r="J924" s="94" t="s">
        <v>299</v>
      </c>
      <c r="K924" s="94" t="s">
        <v>3072</v>
      </c>
      <c r="L924" s="94" t="s">
        <v>3219</v>
      </c>
      <c r="M924" s="95">
        <v>363900</v>
      </c>
      <c r="N924" s="95">
        <v>6000</v>
      </c>
      <c r="O924" s="95">
        <v>8500</v>
      </c>
      <c r="P924" s="96">
        <v>419990</v>
      </c>
      <c r="Q924" s="152"/>
      <c r="R924" s="95">
        <v>363900</v>
      </c>
      <c r="S924" s="95">
        <v>14162.5</v>
      </c>
      <c r="T924" s="95">
        <v>363900</v>
      </c>
      <c r="U924" s="95">
        <v>14162.5</v>
      </c>
      <c r="V924" s="95">
        <v>363900</v>
      </c>
      <c r="W924" s="95">
        <v>14162.5</v>
      </c>
      <c r="X924" s="128"/>
      <c r="Y924" s="95">
        <v>83900</v>
      </c>
      <c r="Z924" s="95">
        <v>19000</v>
      </c>
      <c r="AA924" s="95">
        <f>IFERROR(IF(D924="Premium",0.4*Y924,0),"No Disp")</f>
        <v>0</v>
      </c>
      <c r="AB924" s="95">
        <f>IFERROR(IF(4*Y924&gt;AC924,1.5*Y924,4*Y924),"No Disp")</f>
        <v>335600</v>
      </c>
      <c r="AC924" s="95">
        <f>IF(Z924="No Disp","No Disp",(Z924*18)+Y924)</f>
        <v>425900</v>
      </c>
      <c r="AD924" s="95">
        <f>IF($H924="EMP",18*Z924-100,18*Z924-100+Y924)</f>
        <v>341900</v>
      </c>
      <c r="AE924" s="95">
        <v>83900</v>
      </c>
      <c r="AF924" s="95">
        <v>19000</v>
      </c>
      <c r="AG924" s="95">
        <f>IF(AF924="No Disp","No Disp",(AF924*18)+AE924)</f>
        <v>425900</v>
      </c>
      <c r="AH924" s="98">
        <f>IF($H924="EMP",18*AF924-100,18*AF924-100+AE924)</f>
        <v>341900</v>
      </c>
      <c r="AI924" s="95">
        <v>23000</v>
      </c>
      <c r="AJ924" s="99"/>
      <c r="AK924" s="100" t="s">
        <v>43</v>
      </c>
      <c r="AL924" s="100" t="s">
        <v>43</v>
      </c>
      <c r="AM924" s="100" t="s">
        <v>43</v>
      </c>
      <c r="AN924" s="100" t="s">
        <v>43</v>
      </c>
      <c r="AO924" s="100" t="s">
        <v>43</v>
      </c>
      <c r="AP924" s="100" t="s">
        <v>43</v>
      </c>
      <c r="AQ924" s="100" t="s">
        <v>43</v>
      </c>
      <c r="AR924" s="100" t="s">
        <v>43</v>
      </c>
      <c r="AS924" s="100" t="s">
        <v>43</v>
      </c>
    </row>
    <row r="925" spans="1:45" s="101" customFormat="1" x14ac:dyDescent="0.25">
      <c r="A925" s="90" t="s">
        <v>38</v>
      </c>
      <c r="B925" s="90" t="s">
        <v>40</v>
      </c>
      <c r="C925" s="90" t="s">
        <v>39</v>
      </c>
      <c r="D925" s="90" t="s">
        <v>4539</v>
      </c>
      <c r="E925" s="90" t="s">
        <v>4538</v>
      </c>
      <c r="F925" s="91"/>
      <c r="G925" s="92">
        <v>70014115</v>
      </c>
      <c r="H925" s="91" t="s">
        <v>4370</v>
      </c>
      <c r="I925" s="93" t="s">
        <v>171</v>
      </c>
      <c r="J925" s="94" t="s">
        <v>2969</v>
      </c>
      <c r="K925" s="94" t="s">
        <v>3054</v>
      </c>
      <c r="L925" s="94" t="s">
        <v>3201</v>
      </c>
      <c r="M925" s="95">
        <v>230900</v>
      </c>
      <c r="N925" s="95">
        <v>4000</v>
      </c>
      <c r="O925" s="95">
        <v>6000</v>
      </c>
      <c r="P925" s="96">
        <v>349990</v>
      </c>
      <c r="Q925" s="152"/>
      <c r="R925" s="95">
        <v>230900</v>
      </c>
      <c r="S925" s="95">
        <v>9954.1666666666661</v>
      </c>
      <c r="T925" s="95">
        <v>230900</v>
      </c>
      <c r="U925" s="95">
        <v>9954.1666666666661</v>
      </c>
      <c r="V925" s="95">
        <v>230900</v>
      </c>
      <c r="W925" s="95">
        <v>9954.1666666666661</v>
      </c>
      <c r="X925" s="128"/>
      <c r="Y925" s="95">
        <v>39900</v>
      </c>
      <c r="Z925" s="95">
        <v>13000</v>
      </c>
      <c r="AA925" s="95">
        <f>IFERROR(IF(D925="Premium",0.4*Y925,0),"No Disp")</f>
        <v>0</v>
      </c>
      <c r="AB925" s="95">
        <f>IFERROR(IF(4*Y925&gt;AC925,1.5*Y925,4*Y925),"No Disp")</f>
        <v>159600</v>
      </c>
      <c r="AC925" s="95">
        <f>IF(Z925="No Disp","No Disp",(Z925*18)+Y925)</f>
        <v>273900</v>
      </c>
      <c r="AD925" s="95">
        <f>IF($H925="EMP",18*Z925-100,18*Z925-100+Y925)</f>
        <v>233900</v>
      </c>
      <c r="AE925" s="95">
        <v>39900</v>
      </c>
      <c r="AF925" s="95">
        <v>13000</v>
      </c>
      <c r="AG925" s="95">
        <f>IF(AF925="No Disp","No Disp",(AF925*18)+AE925)</f>
        <v>273900</v>
      </c>
      <c r="AH925" s="98">
        <f>IF($H925="EMP",18*AF925-100,18*AF925-100+AE925)</f>
        <v>233900</v>
      </c>
      <c r="AI925" s="95">
        <v>15000</v>
      </c>
      <c r="AJ925" s="99"/>
      <c r="AK925" s="100" t="s">
        <v>43</v>
      </c>
      <c r="AL925" s="100" t="s">
        <v>43</v>
      </c>
      <c r="AM925" s="100" t="s">
        <v>43</v>
      </c>
      <c r="AN925" s="100" t="s">
        <v>43</v>
      </c>
      <c r="AO925" s="100" t="s">
        <v>43</v>
      </c>
      <c r="AP925" s="100" t="s">
        <v>43</v>
      </c>
      <c r="AQ925" s="100" t="s">
        <v>43</v>
      </c>
      <c r="AR925" s="100" t="s">
        <v>43</v>
      </c>
      <c r="AS925" s="100" t="s">
        <v>43</v>
      </c>
    </row>
    <row r="926" spans="1:45" s="101" customFormat="1" x14ac:dyDescent="0.25">
      <c r="A926" s="90" t="s">
        <v>38</v>
      </c>
      <c r="B926" s="90" t="s">
        <v>40</v>
      </c>
      <c r="C926" s="90" t="s">
        <v>39</v>
      </c>
      <c r="D926" s="90" t="s">
        <v>4539</v>
      </c>
      <c r="E926" s="90" t="s">
        <v>4538</v>
      </c>
      <c r="F926" s="91"/>
      <c r="G926" s="92">
        <v>70014117</v>
      </c>
      <c r="H926" s="91" t="s">
        <v>4370</v>
      </c>
      <c r="I926" s="93" t="s">
        <v>171</v>
      </c>
      <c r="J926" s="94" t="s">
        <v>2969</v>
      </c>
      <c r="K926" s="94" t="s">
        <v>3055</v>
      </c>
      <c r="L926" s="94" t="s">
        <v>3202</v>
      </c>
      <c r="M926" s="95">
        <v>230900</v>
      </c>
      <c r="N926" s="95">
        <v>4000</v>
      </c>
      <c r="O926" s="95">
        <v>6000</v>
      </c>
      <c r="P926" s="96">
        <v>349990</v>
      </c>
      <c r="Q926" s="152"/>
      <c r="R926" s="95">
        <v>230900</v>
      </c>
      <c r="S926" s="95">
        <v>9954.1666666666661</v>
      </c>
      <c r="T926" s="95">
        <v>230900</v>
      </c>
      <c r="U926" s="95">
        <v>9954.1666666666661</v>
      </c>
      <c r="V926" s="95">
        <v>230900</v>
      </c>
      <c r="W926" s="95">
        <v>9954.1666666666661</v>
      </c>
      <c r="X926" s="128"/>
      <c r="Y926" s="95">
        <v>39900</v>
      </c>
      <c r="Z926" s="95">
        <v>13000</v>
      </c>
      <c r="AA926" s="95">
        <f>IFERROR(IF(D926="Premium",0.4*Y926,0),"No Disp")</f>
        <v>0</v>
      </c>
      <c r="AB926" s="95">
        <f>IFERROR(IF(4*Y926&gt;AC926,1.5*Y926,4*Y926),"No Disp")</f>
        <v>159600</v>
      </c>
      <c r="AC926" s="95">
        <f>IF(Z926="No Disp","No Disp",(Z926*18)+Y926)</f>
        <v>273900</v>
      </c>
      <c r="AD926" s="95">
        <f>IF($H926="EMP",18*Z926-100,18*Z926-100+Y926)</f>
        <v>233900</v>
      </c>
      <c r="AE926" s="95">
        <v>39900</v>
      </c>
      <c r="AF926" s="95">
        <v>13000</v>
      </c>
      <c r="AG926" s="95">
        <f>IF(AF926="No Disp","No Disp",(AF926*18)+AE926)</f>
        <v>273900</v>
      </c>
      <c r="AH926" s="98">
        <f>IF($H926="EMP",18*AF926-100,18*AF926-100+AE926)</f>
        <v>233900</v>
      </c>
      <c r="AI926" s="95">
        <v>15000</v>
      </c>
      <c r="AJ926" s="99"/>
      <c r="AK926" s="100" t="s">
        <v>43</v>
      </c>
      <c r="AL926" s="100" t="s">
        <v>43</v>
      </c>
      <c r="AM926" s="100" t="s">
        <v>43</v>
      </c>
      <c r="AN926" s="100" t="s">
        <v>43</v>
      </c>
      <c r="AO926" s="100" t="s">
        <v>43</v>
      </c>
      <c r="AP926" s="100" t="s">
        <v>43</v>
      </c>
      <c r="AQ926" s="100" t="s">
        <v>43</v>
      </c>
      <c r="AR926" s="100" t="s">
        <v>43</v>
      </c>
      <c r="AS926" s="100" t="s">
        <v>43</v>
      </c>
    </row>
    <row r="927" spans="1:45" s="101" customFormat="1" x14ac:dyDescent="0.25">
      <c r="A927" s="90" t="s">
        <v>38</v>
      </c>
      <c r="B927" s="90" t="s">
        <v>40</v>
      </c>
      <c r="C927" s="90" t="s">
        <v>39</v>
      </c>
      <c r="D927" s="90" t="s">
        <v>4540</v>
      </c>
      <c r="E927" s="90" t="s">
        <v>4538</v>
      </c>
      <c r="F927" s="91">
        <v>742</v>
      </c>
      <c r="G927" s="92">
        <v>70014258</v>
      </c>
      <c r="H927" s="91" t="s">
        <v>4370</v>
      </c>
      <c r="I927" s="93" t="s">
        <v>63</v>
      </c>
      <c r="J927" s="94" t="s">
        <v>139</v>
      </c>
      <c r="K927" s="94" t="s">
        <v>4369</v>
      </c>
      <c r="L927" s="94" t="s">
        <v>4398</v>
      </c>
      <c r="M927" s="95">
        <v>921900</v>
      </c>
      <c r="N927" s="95">
        <v>7000</v>
      </c>
      <c r="O927" s="95">
        <v>10000</v>
      </c>
      <c r="P927" s="96">
        <v>1069990</v>
      </c>
      <c r="Q927" s="152"/>
      <c r="R927" s="95">
        <v>921900</v>
      </c>
      <c r="S927" s="95">
        <v>38412.5</v>
      </c>
      <c r="T927" s="95">
        <v>921900</v>
      </c>
      <c r="U927" s="95">
        <v>38412.5</v>
      </c>
      <c r="V927" s="95">
        <v>921900</v>
      </c>
      <c r="W927" s="95">
        <v>38412.5</v>
      </c>
      <c r="X927" s="128"/>
      <c r="Y927" s="95">
        <v>265900</v>
      </c>
      <c r="Z927" s="95">
        <v>45000</v>
      </c>
      <c r="AA927" s="95">
        <f>IFERROR(IF(D927="Premium",0.4*Y927,0),"No Disp")</f>
        <v>106360</v>
      </c>
      <c r="AB927" s="95">
        <f>IFERROR(IF(4*Y927&gt;AC927,1.5*Y927,4*Y927),"No Disp")</f>
        <v>1063600</v>
      </c>
      <c r="AC927" s="95">
        <f>IF(Z927="No Disp","No Disp",(Z927*18)+Y927)</f>
        <v>1075900</v>
      </c>
      <c r="AD927" s="95">
        <f>IF($H927="EMP",18*Z927-100,18*Z927-100+Y927)</f>
        <v>809900</v>
      </c>
      <c r="AE927" s="95">
        <v>265900</v>
      </c>
      <c r="AF927" s="95">
        <v>45000</v>
      </c>
      <c r="AG927" s="95">
        <f>IF(AF927="No Disp","No Disp",(AF927*18)+AE927)</f>
        <v>1075900</v>
      </c>
      <c r="AH927" s="98">
        <f>IF($H927="EMP",18*AF927-100,18*AF927-100+AE927)</f>
        <v>809900</v>
      </c>
      <c r="AI927" s="95">
        <v>59000</v>
      </c>
      <c r="AJ927" s="99"/>
      <c r="AK927" s="100" t="s">
        <v>43</v>
      </c>
      <c r="AL927" s="100" t="s">
        <v>43</v>
      </c>
      <c r="AM927" s="100" t="s">
        <v>43</v>
      </c>
      <c r="AN927" s="100" t="s">
        <v>43</v>
      </c>
      <c r="AO927" s="100" t="s">
        <v>43</v>
      </c>
      <c r="AP927" s="100" t="s">
        <v>43</v>
      </c>
      <c r="AQ927" s="100" t="s">
        <v>43</v>
      </c>
      <c r="AR927" s="100" t="s">
        <v>43</v>
      </c>
      <c r="AS927" s="100" t="s">
        <v>43</v>
      </c>
    </row>
    <row r="928" spans="1:45" s="101" customFormat="1" x14ac:dyDescent="0.25">
      <c r="A928" s="90" t="s">
        <v>38</v>
      </c>
      <c r="B928" s="90" t="s">
        <v>40</v>
      </c>
      <c r="C928" s="90" t="s">
        <v>39</v>
      </c>
      <c r="D928" s="90" t="s">
        <v>4539</v>
      </c>
      <c r="E928" s="90" t="s">
        <v>4538</v>
      </c>
      <c r="F928" s="91"/>
      <c r="G928" s="92">
        <v>70014053</v>
      </c>
      <c r="H928" s="91" t="s">
        <v>4370</v>
      </c>
      <c r="I928" s="93" t="s">
        <v>87</v>
      </c>
      <c r="J928" s="94" t="s">
        <v>158</v>
      </c>
      <c r="K928" s="94" t="s">
        <v>3035</v>
      </c>
      <c r="L928" s="94" t="s">
        <v>3182</v>
      </c>
      <c r="M928" s="95">
        <v>234900</v>
      </c>
      <c r="N928" s="95">
        <v>4000</v>
      </c>
      <c r="O928" s="95">
        <v>6000</v>
      </c>
      <c r="P928" s="96">
        <v>299990</v>
      </c>
      <c r="Q928" s="152"/>
      <c r="R928" s="95">
        <v>234900</v>
      </c>
      <c r="S928" s="95">
        <v>10120.833333333334</v>
      </c>
      <c r="T928" s="95">
        <v>234900</v>
      </c>
      <c r="U928" s="95">
        <v>10120.833333333334</v>
      </c>
      <c r="V928" s="95">
        <v>234900</v>
      </c>
      <c r="W928" s="95">
        <v>10120.833333333334</v>
      </c>
      <c r="X928" s="128"/>
      <c r="Y928" s="95">
        <v>40900</v>
      </c>
      <c r="Z928" s="95">
        <v>13000</v>
      </c>
      <c r="AA928" s="95">
        <f>IFERROR(IF(D928="Premium",0.4*Y928,0),"No Disp")</f>
        <v>0</v>
      </c>
      <c r="AB928" s="95">
        <f>IFERROR(IF(4*Y928&gt;AC928,1.5*Y928,4*Y928),"No Disp")</f>
        <v>163600</v>
      </c>
      <c r="AC928" s="95">
        <f>IF(Z928="No Disp","No Disp",(Z928*18)+Y928)</f>
        <v>274900</v>
      </c>
      <c r="AD928" s="95">
        <f>IF($H928="EMP",18*Z928-100,18*Z928-100+Y928)</f>
        <v>233900</v>
      </c>
      <c r="AE928" s="95">
        <v>40900</v>
      </c>
      <c r="AF928" s="95">
        <v>13000</v>
      </c>
      <c r="AG928" s="95">
        <f>IF(AF928="No Disp","No Disp",(AF928*18)+AE928)</f>
        <v>274900</v>
      </c>
      <c r="AH928" s="98">
        <f>IF($H928="EMP",18*AF928-100,18*AF928-100+AE928)</f>
        <v>233900</v>
      </c>
      <c r="AI928" s="95">
        <v>15000</v>
      </c>
      <c r="AJ928" s="99"/>
      <c r="AK928" s="100" t="s">
        <v>43</v>
      </c>
      <c r="AL928" s="100" t="s">
        <v>43</v>
      </c>
      <c r="AM928" s="100" t="s">
        <v>43</v>
      </c>
      <c r="AN928" s="100" t="s">
        <v>43</v>
      </c>
      <c r="AO928" s="100" t="s">
        <v>43</v>
      </c>
      <c r="AP928" s="100" t="s">
        <v>43</v>
      </c>
      <c r="AQ928" s="100" t="s">
        <v>43</v>
      </c>
      <c r="AR928" s="100" t="s">
        <v>43</v>
      </c>
      <c r="AS928" s="100" t="s">
        <v>43</v>
      </c>
    </row>
    <row r="929" spans="1:45" s="101" customFormat="1" x14ac:dyDescent="0.25">
      <c r="A929" s="90" t="s">
        <v>38</v>
      </c>
      <c r="B929" s="90" t="s">
        <v>40</v>
      </c>
      <c r="C929" s="90" t="s">
        <v>39</v>
      </c>
      <c r="D929" s="90" t="s">
        <v>4540</v>
      </c>
      <c r="E929" s="90" t="s">
        <v>4538</v>
      </c>
      <c r="F929" s="91"/>
      <c r="G929" s="92">
        <v>70013967</v>
      </c>
      <c r="H929" s="91" t="s">
        <v>4370</v>
      </c>
      <c r="I929" s="93" t="s">
        <v>63</v>
      </c>
      <c r="J929" s="94" t="s">
        <v>139</v>
      </c>
      <c r="K929" s="94" t="s">
        <v>3115</v>
      </c>
      <c r="L929" s="94" t="s">
        <v>3263</v>
      </c>
      <c r="M929" s="95">
        <v>921900</v>
      </c>
      <c r="N929" s="95">
        <v>7000</v>
      </c>
      <c r="O929" s="95">
        <v>10000</v>
      </c>
      <c r="P929" s="96">
        <v>1069990</v>
      </c>
      <c r="Q929" s="152"/>
      <c r="R929" s="95">
        <v>921900</v>
      </c>
      <c r="S929" s="95">
        <v>38412.5</v>
      </c>
      <c r="T929" s="95">
        <v>921900</v>
      </c>
      <c r="U929" s="95">
        <v>38412.5</v>
      </c>
      <c r="V929" s="95">
        <v>921900</v>
      </c>
      <c r="W929" s="95">
        <v>38412.5</v>
      </c>
      <c r="X929" s="128"/>
      <c r="Y929" s="95">
        <v>265900</v>
      </c>
      <c r="Z929" s="95">
        <v>45000</v>
      </c>
      <c r="AA929" s="95">
        <f>IFERROR(IF(D929="Premium",0.4*Y929,0),"No Disp")</f>
        <v>106360</v>
      </c>
      <c r="AB929" s="95">
        <f>IFERROR(IF(4*Y929&gt;AC929,1.5*Y929,4*Y929),"No Disp")</f>
        <v>1063600</v>
      </c>
      <c r="AC929" s="95">
        <f>IF(Z929="No Disp","No Disp",(Z929*18)+Y929)</f>
        <v>1075900</v>
      </c>
      <c r="AD929" s="95">
        <f>IF($H929="EMP",18*Z929-100,18*Z929-100+Y929)</f>
        <v>809900</v>
      </c>
      <c r="AE929" s="95">
        <v>265900</v>
      </c>
      <c r="AF929" s="95">
        <v>45000</v>
      </c>
      <c r="AG929" s="95">
        <f>IF(AF929="No Disp","No Disp",(AF929*18)+AE929)</f>
        <v>1075900</v>
      </c>
      <c r="AH929" s="98">
        <f>IF($H929="EMP",18*AF929-100,18*AF929-100+AE929)</f>
        <v>809900</v>
      </c>
      <c r="AI929" s="95">
        <v>59000</v>
      </c>
      <c r="AJ929" s="99"/>
      <c r="AK929" s="100" t="s">
        <v>43</v>
      </c>
      <c r="AL929" s="100" t="s">
        <v>43</v>
      </c>
      <c r="AM929" s="100" t="s">
        <v>43</v>
      </c>
      <c r="AN929" s="100" t="s">
        <v>43</v>
      </c>
      <c r="AO929" s="100" t="s">
        <v>43</v>
      </c>
      <c r="AP929" s="100" t="s">
        <v>43</v>
      </c>
      <c r="AQ929" s="100" t="s">
        <v>43</v>
      </c>
      <c r="AR929" s="100" t="s">
        <v>43</v>
      </c>
      <c r="AS929" s="100" t="s">
        <v>43</v>
      </c>
    </row>
    <row r="930" spans="1:45" s="101" customFormat="1" x14ac:dyDescent="0.25">
      <c r="A930" s="90" t="s">
        <v>38</v>
      </c>
      <c r="B930" s="90" t="s">
        <v>40</v>
      </c>
      <c r="C930" s="90" t="s">
        <v>39</v>
      </c>
      <c r="D930" s="90" t="s">
        <v>4540</v>
      </c>
      <c r="E930" s="90" t="s">
        <v>4538</v>
      </c>
      <c r="F930" s="91"/>
      <c r="G930" s="92">
        <v>70014372</v>
      </c>
      <c r="H930" s="91" t="s">
        <v>4370</v>
      </c>
      <c r="I930" s="93" t="s">
        <v>63</v>
      </c>
      <c r="J930" s="94" t="s">
        <v>139</v>
      </c>
      <c r="K930" s="94" t="s">
        <v>3318</v>
      </c>
      <c r="L930" s="94" t="s">
        <v>3320</v>
      </c>
      <c r="M930" s="95">
        <v>921900</v>
      </c>
      <c r="N930" s="95">
        <v>7000</v>
      </c>
      <c r="O930" s="95">
        <v>10000</v>
      </c>
      <c r="P930" s="96">
        <v>1069990</v>
      </c>
      <c r="Q930" s="152"/>
      <c r="R930" s="95">
        <v>921900</v>
      </c>
      <c r="S930" s="95">
        <v>38412.5</v>
      </c>
      <c r="T930" s="95">
        <v>921900</v>
      </c>
      <c r="U930" s="95">
        <v>38412.5</v>
      </c>
      <c r="V930" s="95">
        <v>921900</v>
      </c>
      <c r="W930" s="95">
        <v>38412.5</v>
      </c>
      <c r="X930" s="128"/>
      <c r="Y930" s="95">
        <v>265900</v>
      </c>
      <c r="Z930" s="95">
        <v>45000</v>
      </c>
      <c r="AA930" s="95">
        <f>IFERROR(IF(D930="Premium",0.4*Y930,0),"No Disp")</f>
        <v>106360</v>
      </c>
      <c r="AB930" s="95">
        <f>IFERROR(IF(4*Y930&gt;AC930,1.5*Y930,4*Y930),"No Disp")</f>
        <v>1063600</v>
      </c>
      <c r="AC930" s="95">
        <f>IF(Z930="No Disp","No Disp",(Z930*18)+Y930)</f>
        <v>1075900</v>
      </c>
      <c r="AD930" s="95">
        <f>IF($H930="EMP",18*Z930-100,18*Z930-100+Y930)</f>
        <v>809900</v>
      </c>
      <c r="AE930" s="95">
        <v>265900</v>
      </c>
      <c r="AF930" s="95">
        <v>45000</v>
      </c>
      <c r="AG930" s="95">
        <f>IF(AF930="No Disp","No Disp",(AF930*18)+AE930)</f>
        <v>1075900</v>
      </c>
      <c r="AH930" s="98">
        <f>IF($H930="EMP",18*AF930-100,18*AF930-100+AE930)</f>
        <v>809900</v>
      </c>
      <c r="AI930" s="95">
        <v>59000</v>
      </c>
      <c r="AJ930" s="99"/>
      <c r="AK930" s="100" t="s">
        <v>43</v>
      </c>
      <c r="AL930" s="100" t="s">
        <v>43</v>
      </c>
      <c r="AM930" s="100" t="s">
        <v>43</v>
      </c>
      <c r="AN930" s="100" t="s">
        <v>43</v>
      </c>
      <c r="AO930" s="100" t="s">
        <v>43</v>
      </c>
      <c r="AP930" s="100" t="s">
        <v>43</v>
      </c>
      <c r="AQ930" s="100" t="s">
        <v>43</v>
      </c>
      <c r="AR930" s="100" t="s">
        <v>43</v>
      </c>
      <c r="AS930" s="100" t="s">
        <v>43</v>
      </c>
    </row>
    <row r="931" spans="1:45" s="101" customFormat="1" x14ac:dyDescent="0.25">
      <c r="A931" s="90" t="s">
        <v>38</v>
      </c>
      <c r="B931" s="90" t="s">
        <v>40</v>
      </c>
      <c r="C931" s="90" t="s">
        <v>39</v>
      </c>
      <c r="D931" s="90" t="s">
        <v>4539</v>
      </c>
      <c r="E931" s="90" t="s">
        <v>4542</v>
      </c>
      <c r="F931" s="91"/>
      <c r="G931" s="92">
        <v>70013997</v>
      </c>
      <c r="H931" s="91" t="s">
        <v>4370</v>
      </c>
      <c r="I931" s="93" t="s">
        <v>46</v>
      </c>
      <c r="J931" s="94" t="s">
        <v>272</v>
      </c>
      <c r="K931" s="94" t="s">
        <v>3075</v>
      </c>
      <c r="L931" s="94" t="s">
        <v>3222</v>
      </c>
      <c r="M931" s="95">
        <v>372900</v>
      </c>
      <c r="N931" s="95">
        <v>6000</v>
      </c>
      <c r="O931" s="95">
        <v>8500</v>
      </c>
      <c r="P931" s="96">
        <v>449990</v>
      </c>
      <c r="Q931" s="152"/>
      <c r="R931" s="95">
        <v>372900</v>
      </c>
      <c r="S931" s="95">
        <v>14162.5</v>
      </c>
      <c r="T931" s="95">
        <v>372900</v>
      </c>
      <c r="U931" s="95">
        <v>14162.5</v>
      </c>
      <c r="V931" s="95">
        <v>372900</v>
      </c>
      <c r="W931" s="95">
        <v>14162.5</v>
      </c>
      <c r="X931" s="128"/>
      <c r="Y931" s="95">
        <v>85900</v>
      </c>
      <c r="Z931" s="95">
        <v>20000</v>
      </c>
      <c r="AA931" s="95">
        <f>IFERROR(IF(D931="Premium",0.4*Y931,0),"No Disp")</f>
        <v>0</v>
      </c>
      <c r="AB931" s="95">
        <f>IFERROR(IF(4*Y931&gt;AC931,1.5*Y931,4*Y931),"No Disp")</f>
        <v>343600</v>
      </c>
      <c r="AC931" s="95">
        <f>IF(Z931="No Disp","No Disp",(Z931*18)+Y931)</f>
        <v>445900</v>
      </c>
      <c r="AD931" s="95">
        <f>IF($H931="EMP",18*Z931-100,18*Z931-100+Y931)</f>
        <v>359900</v>
      </c>
      <c r="AE931" s="95">
        <v>85900</v>
      </c>
      <c r="AF931" s="95">
        <v>20000</v>
      </c>
      <c r="AG931" s="95">
        <f>IF(AF931="No Disp","No Disp",(AF931*18)+AE931)</f>
        <v>445900</v>
      </c>
      <c r="AH931" s="98">
        <f>IF($H931="EMP",18*AF931-100,18*AF931-100+AE931)</f>
        <v>359900</v>
      </c>
      <c r="AI931" s="95">
        <v>24000</v>
      </c>
      <c r="AJ931" s="99"/>
      <c r="AK931" s="100" t="s">
        <v>43</v>
      </c>
      <c r="AL931" s="100" t="s">
        <v>43</v>
      </c>
      <c r="AM931" s="100" t="s">
        <v>43</v>
      </c>
      <c r="AN931" s="100" t="s">
        <v>43</v>
      </c>
      <c r="AO931" s="100" t="s">
        <v>43</v>
      </c>
      <c r="AP931" s="100" t="s">
        <v>43</v>
      </c>
      <c r="AQ931" s="100" t="s">
        <v>43</v>
      </c>
      <c r="AR931" s="100" t="s">
        <v>43</v>
      </c>
      <c r="AS931" s="100" t="s">
        <v>43</v>
      </c>
    </row>
    <row r="932" spans="1:45" s="101" customFormat="1" x14ac:dyDescent="0.25">
      <c r="A932" s="90" t="s">
        <v>38</v>
      </c>
      <c r="B932" s="90" t="s">
        <v>40</v>
      </c>
      <c r="C932" s="90" t="s">
        <v>39</v>
      </c>
      <c r="D932" s="90" t="s">
        <v>4540</v>
      </c>
      <c r="E932" s="90" t="s">
        <v>4542</v>
      </c>
      <c r="F932" s="91"/>
      <c r="G932" s="92">
        <v>70014009</v>
      </c>
      <c r="H932" s="91" t="s">
        <v>4370</v>
      </c>
      <c r="I932" s="93" t="s">
        <v>46</v>
      </c>
      <c r="J932" s="94" t="s">
        <v>382</v>
      </c>
      <c r="K932" s="94" t="s">
        <v>3105</v>
      </c>
      <c r="L932" s="94" t="s">
        <v>3253</v>
      </c>
      <c r="M932" s="95">
        <v>736900</v>
      </c>
      <c r="N932" s="95">
        <v>7000</v>
      </c>
      <c r="O932" s="95">
        <v>10000</v>
      </c>
      <c r="P932" s="96">
        <v>1099990</v>
      </c>
      <c r="Q932" s="152"/>
      <c r="R932" s="95">
        <v>736900</v>
      </c>
      <c r="S932" s="95">
        <v>32412.5</v>
      </c>
      <c r="T932" s="95">
        <v>736900</v>
      </c>
      <c r="U932" s="95">
        <v>32412.5</v>
      </c>
      <c r="V932" s="95">
        <v>736900</v>
      </c>
      <c r="W932" s="95">
        <v>32412.5</v>
      </c>
      <c r="X932" s="128"/>
      <c r="Y932" s="95">
        <v>190900</v>
      </c>
      <c r="Z932" s="95">
        <v>32000</v>
      </c>
      <c r="AA932" s="95">
        <f>IFERROR(IF(D932="Premium",0.4*Y932,0),"No Disp")</f>
        <v>76360</v>
      </c>
      <c r="AB932" s="95">
        <f>IFERROR(IF(4*Y932&gt;AC932,1.5*Y932,4*Y932),"No Disp")</f>
        <v>763600</v>
      </c>
      <c r="AC932" s="95">
        <f>IF(Z932="No Disp","No Disp",(Z932*18)+Y932)</f>
        <v>766900</v>
      </c>
      <c r="AD932" s="95">
        <f>IF($H932="EMP",18*Z932-100,18*Z932-100+Y932)</f>
        <v>575900</v>
      </c>
      <c r="AE932" s="95">
        <v>190900</v>
      </c>
      <c r="AF932" s="95">
        <v>32000</v>
      </c>
      <c r="AG932" s="95">
        <f>IF(AF932="No Disp","No Disp",(AF932*18)+AE932)</f>
        <v>766900</v>
      </c>
      <c r="AH932" s="98">
        <f>IF($H932="EMP",18*AF932-100,18*AF932-100+AE932)</f>
        <v>575900</v>
      </c>
      <c r="AI932" s="95">
        <v>42000</v>
      </c>
      <c r="AJ932" s="99"/>
      <c r="AK932" s="100" t="s">
        <v>43</v>
      </c>
      <c r="AL932" s="100" t="s">
        <v>43</v>
      </c>
      <c r="AM932" s="100" t="s">
        <v>43</v>
      </c>
      <c r="AN932" s="100" t="s">
        <v>43</v>
      </c>
      <c r="AO932" s="100" t="s">
        <v>43</v>
      </c>
      <c r="AP932" s="100" t="s">
        <v>43</v>
      </c>
      <c r="AQ932" s="100" t="s">
        <v>43</v>
      </c>
      <c r="AR932" s="100" t="s">
        <v>43</v>
      </c>
      <c r="AS932" s="100" t="s">
        <v>43</v>
      </c>
    </row>
    <row r="933" spans="1:45" s="101" customFormat="1" x14ac:dyDescent="0.25">
      <c r="A933" s="90" t="s">
        <v>38</v>
      </c>
      <c r="B933" s="90" t="s">
        <v>40</v>
      </c>
      <c r="C933" s="90" t="s">
        <v>39</v>
      </c>
      <c r="D933" s="90" t="s">
        <v>4540</v>
      </c>
      <c r="E933" s="90" t="s">
        <v>4542</v>
      </c>
      <c r="F933" s="91"/>
      <c r="G933" s="92">
        <v>70014021</v>
      </c>
      <c r="H933" s="91" t="s">
        <v>4370</v>
      </c>
      <c r="I933" s="93" t="s">
        <v>46</v>
      </c>
      <c r="J933" s="94" t="s">
        <v>382</v>
      </c>
      <c r="K933" s="94" t="s">
        <v>3107</v>
      </c>
      <c r="L933" s="94" t="s">
        <v>3255</v>
      </c>
      <c r="M933" s="95">
        <v>736900</v>
      </c>
      <c r="N933" s="95">
        <v>7000</v>
      </c>
      <c r="O933" s="95">
        <v>10000</v>
      </c>
      <c r="P933" s="96">
        <v>1099990</v>
      </c>
      <c r="Q933" s="152"/>
      <c r="R933" s="95">
        <v>736900</v>
      </c>
      <c r="S933" s="95">
        <v>32412.5</v>
      </c>
      <c r="T933" s="95">
        <v>736900</v>
      </c>
      <c r="U933" s="95">
        <v>32412.5</v>
      </c>
      <c r="V933" s="95">
        <v>736900</v>
      </c>
      <c r="W933" s="95">
        <v>32412.5</v>
      </c>
      <c r="X933" s="128"/>
      <c r="Y933" s="95">
        <v>190900</v>
      </c>
      <c r="Z933" s="95">
        <v>32000</v>
      </c>
      <c r="AA933" s="95">
        <f>IFERROR(IF(D933="Premium",0.4*Y933,0),"No Disp")</f>
        <v>76360</v>
      </c>
      <c r="AB933" s="95">
        <f>IFERROR(IF(4*Y933&gt;AC933,1.5*Y933,4*Y933),"No Disp")</f>
        <v>763600</v>
      </c>
      <c r="AC933" s="95">
        <f>IF(Z933="No Disp","No Disp",(Z933*18)+Y933)</f>
        <v>766900</v>
      </c>
      <c r="AD933" s="95">
        <f>IF($H933="EMP",18*Z933-100,18*Z933-100+Y933)</f>
        <v>575900</v>
      </c>
      <c r="AE933" s="95">
        <v>190900</v>
      </c>
      <c r="AF933" s="95">
        <v>32000</v>
      </c>
      <c r="AG933" s="95">
        <f>IF(AF933="No Disp","No Disp",(AF933*18)+AE933)</f>
        <v>766900</v>
      </c>
      <c r="AH933" s="98">
        <f>IF($H933="EMP",18*AF933-100,18*AF933-100+AE933)</f>
        <v>575900</v>
      </c>
      <c r="AI933" s="95">
        <v>42000</v>
      </c>
      <c r="AJ933" s="99"/>
      <c r="AK933" s="100" t="s">
        <v>43</v>
      </c>
      <c r="AL933" s="100" t="s">
        <v>43</v>
      </c>
      <c r="AM933" s="100" t="s">
        <v>43</v>
      </c>
      <c r="AN933" s="100" t="s">
        <v>43</v>
      </c>
      <c r="AO933" s="100" t="s">
        <v>43</v>
      </c>
      <c r="AP933" s="100" t="s">
        <v>43</v>
      </c>
      <c r="AQ933" s="100" t="s">
        <v>43</v>
      </c>
      <c r="AR933" s="100" t="s">
        <v>43</v>
      </c>
      <c r="AS933" s="100" t="s">
        <v>43</v>
      </c>
    </row>
    <row r="934" spans="1:45" s="101" customFormat="1" x14ac:dyDescent="0.25">
      <c r="A934" s="90" t="s">
        <v>38</v>
      </c>
      <c r="B934" s="90" t="s">
        <v>40</v>
      </c>
      <c r="C934" s="90" t="s">
        <v>39</v>
      </c>
      <c r="D934" s="90" t="s">
        <v>4540</v>
      </c>
      <c r="E934" s="90" t="s">
        <v>4542</v>
      </c>
      <c r="F934" s="91"/>
      <c r="G934" s="92">
        <v>70014022</v>
      </c>
      <c r="H934" s="91" t="s">
        <v>4370</v>
      </c>
      <c r="I934" s="93" t="s">
        <v>46</v>
      </c>
      <c r="J934" s="94" t="s">
        <v>382</v>
      </c>
      <c r="K934" s="94" t="s">
        <v>3106</v>
      </c>
      <c r="L934" s="94" t="s">
        <v>3254</v>
      </c>
      <c r="M934" s="95">
        <v>736900</v>
      </c>
      <c r="N934" s="95">
        <v>7000</v>
      </c>
      <c r="O934" s="95">
        <v>10000</v>
      </c>
      <c r="P934" s="96">
        <v>1099990</v>
      </c>
      <c r="Q934" s="152"/>
      <c r="R934" s="95">
        <v>736900</v>
      </c>
      <c r="S934" s="95">
        <v>32412.5</v>
      </c>
      <c r="T934" s="95">
        <v>736900</v>
      </c>
      <c r="U934" s="95">
        <v>32412.5</v>
      </c>
      <c r="V934" s="95">
        <v>736900</v>
      </c>
      <c r="W934" s="95">
        <v>32412.5</v>
      </c>
      <c r="X934" s="128"/>
      <c r="Y934" s="95">
        <v>190900</v>
      </c>
      <c r="Z934" s="95">
        <v>32000</v>
      </c>
      <c r="AA934" s="95">
        <f>IFERROR(IF(D934="Premium",0.4*Y934,0),"No Disp")</f>
        <v>76360</v>
      </c>
      <c r="AB934" s="95">
        <f>IFERROR(IF(4*Y934&gt;AC934,1.5*Y934,4*Y934),"No Disp")</f>
        <v>763600</v>
      </c>
      <c r="AC934" s="95">
        <f>IF(Z934="No Disp","No Disp",(Z934*18)+Y934)</f>
        <v>766900</v>
      </c>
      <c r="AD934" s="95">
        <f>IF($H934="EMP",18*Z934-100,18*Z934-100+Y934)</f>
        <v>575900</v>
      </c>
      <c r="AE934" s="95">
        <v>190900</v>
      </c>
      <c r="AF934" s="95">
        <v>32000</v>
      </c>
      <c r="AG934" s="95">
        <f>IF(AF934="No Disp","No Disp",(AF934*18)+AE934)</f>
        <v>766900</v>
      </c>
      <c r="AH934" s="98">
        <f>IF($H934="EMP",18*AF934-100,18*AF934-100+AE934)</f>
        <v>575900</v>
      </c>
      <c r="AI934" s="95">
        <v>42000</v>
      </c>
      <c r="AJ934" s="99"/>
      <c r="AK934" s="100" t="s">
        <v>43</v>
      </c>
      <c r="AL934" s="100" t="s">
        <v>43</v>
      </c>
      <c r="AM934" s="100" t="s">
        <v>43</v>
      </c>
      <c r="AN934" s="100" t="s">
        <v>43</v>
      </c>
      <c r="AO934" s="100" t="s">
        <v>43</v>
      </c>
      <c r="AP934" s="100" t="s">
        <v>43</v>
      </c>
      <c r="AQ934" s="100" t="s">
        <v>43</v>
      </c>
      <c r="AR934" s="100" t="s">
        <v>43</v>
      </c>
      <c r="AS934" s="100" t="s">
        <v>43</v>
      </c>
    </row>
    <row r="935" spans="1:45" s="101" customFormat="1" x14ac:dyDescent="0.25">
      <c r="A935" s="90" t="s">
        <v>38</v>
      </c>
      <c r="B935" s="90" t="s">
        <v>40</v>
      </c>
      <c r="C935" s="90" t="s">
        <v>39</v>
      </c>
      <c r="D935" s="90" t="s">
        <v>4540</v>
      </c>
      <c r="E935" s="90" t="s">
        <v>4542</v>
      </c>
      <c r="F935" s="91"/>
      <c r="G935" s="92">
        <v>70014014</v>
      </c>
      <c r="H935" s="91" t="s">
        <v>4370</v>
      </c>
      <c r="I935" s="93" t="s">
        <v>46</v>
      </c>
      <c r="J935" s="94" t="s">
        <v>378</v>
      </c>
      <c r="K935" s="94" t="s">
        <v>3120</v>
      </c>
      <c r="L935" s="94" t="s">
        <v>3268</v>
      </c>
      <c r="M935" s="95">
        <v>1095900</v>
      </c>
      <c r="N935" s="95">
        <v>9500</v>
      </c>
      <c r="O935" s="95">
        <v>13500</v>
      </c>
      <c r="P935" s="96">
        <v>1469990</v>
      </c>
      <c r="Q935" s="152"/>
      <c r="R935" s="95">
        <v>1095900</v>
      </c>
      <c r="S935" s="95">
        <v>43704.166666666664</v>
      </c>
      <c r="T935" s="95">
        <v>1095900</v>
      </c>
      <c r="U935" s="95">
        <v>43704.166666666664</v>
      </c>
      <c r="V935" s="95">
        <v>1095900</v>
      </c>
      <c r="W935" s="95">
        <v>43704.166666666664</v>
      </c>
      <c r="X935" s="128"/>
      <c r="Y935" s="95">
        <v>377900</v>
      </c>
      <c r="Z935" s="95">
        <v>49000</v>
      </c>
      <c r="AA935" s="95">
        <f>IFERROR(IF(D935="Premium",0.4*Y935,0),"No Disp")</f>
        <v>151160</v>
      </c>
      <c r="AB935" s="95">
        <f>IFERROR(IF(4*Y935&gt;AC935,1.5*Y935,4*Y935),"No Disp")</f>
        <v>566850</v>
      </c>
      <c r="AC935" s="95">
        <f>IF(Z935="No Disp","No Disp",(Z935*18)+Y935)</f>
        <v>1259900</v>
      </c>
      <c r="AD935" s="95">
        <f>IF($H935="EMP",18*Z935-100,18*Z935-100+Y935)</f>
        <v>881900</v>
      </c>
      <c r="AE935" s="95">
        <v>377900</v>
      </c>
      <c r="AF935" s="95">
        <v>49000</v>
      </c>
      <c r="AG935" s="95">
        <f>IF(AF935="No Disp","No Disp",(AF935*18)+AE935)</f>
        <v>1259900</v>
      </c>
      <c r="AH935" s="98">
        <f>IF($H935="EMP",18*AF935-100,18*AF935-100+AE935)</f>
        <v>881900</v>
      </c>
      <c r="AI935" s="95">
        <v>69000</v>
      </c>
      <c r="AJ935" s="99"/>
      <c r="AK935" s="100" t="s">
        <v>43</v>
      </c>
      <c r="AL935" s="100" t="s">
        <v>43</v>
      </c>
      <c r="AM935" s="100" t="s">
        <v>43</v>
      </c>
      <c r="AN935" s="100" t="s">
        <v>43</v>
      </c>
      <c r="AO935" s="100" t="s">
        <v>43</v>
      </c>
      <c r="AP935" s="100" t="s">
        <v>43</v>
      </c>
      <c r="AQ935" s="100" t="s">
        <v>43</v>
      </c>
      <c r="AR935" s="100" t="s">
        <v>43</v>
      </c>
      <c r="AS935" s="100" t="s">
        <v>43</v>
      </c>
    </row>
    <row r="936" spans="1:45" s="101" customFormat="1" x14ac:dyDescent="0.25">
      <c r="A936" s="90" t="s">
        <v>38</v>
      </c>
      <c r="B936" s="90" t="s">
        <v>40</v>
      </c>
      <c r="C936" s="90" t="s">
        <v>39</v>
      </c>
      <c r="D936" s="90" t="s">
        <v>4539</v>
      </c>
      <c r="E936" s="90" t="s">
        <v>4542</v>
      </c>
      <c r="F936" s="91"/>
      <c r="G936" s="92">
        <v>70014018</v>
      </c>
      <c r="H936" s="91" t="s">
        <v>4370</v>
      </c>
      <c r="I936" s="93" t="s">
        <v>46</v>
      </c>
      <c r="J936" s="94" t="s">
        <v>269</v>
      </c>
      <c r="K936" s="94" t="s">
        <v>3083</v>
      </c>
      <c r="L936" s="94" t="s">
        <v>3230</v>
      </c>
      <c r="M936" s="95">
        <v>398900</v>
      </c>
      <c r="N936" s="95">
        <v>6000</v>
      </c>
      <c r="O936" s="95">
        <v>8500</v>
      </c>
      <c r="P936" s="96">
        <v>499990</v>
      </c>
      <c r="Q936" s="152"/>
      <c r="R936" s="95">
        <v>398900</v>
      </c>
      <c r="S936" s="95">
        <v>15412.5</v>
      </c>
      <c r="T936" s="95">
        <v>398900</v>
      </c>
      <c r="U936" s="95">
        <v>15412.5</v>
      </c>
      <c r="V936" s="95">
        <v>398900</v>
      </c>
      <c r="W936" s="95">
        <v>15412.5</v>
      </c>
      <c r="X936" s="128"/>
      <c r="Y936" s="95">
        <v>91900</v>
      </c>
      <c r="Z936" s="95">
        <v>21000</v>
      </c>
      <c r="AA936" s="95">
        <f>IFERROR(IF(D936="Premium",0.4*Y936,0),"No Disp")</f>
        <v>0</v>
      </c>
      <c r="AB936" s="95">
        <f>IFERROR(IF(4*Y936&gt;AC936,1.5*Y936,4*Y936),"No Disp")</f>
        <v>367600</v>
      </c>
      <c r="AC936" s="95">
        <f>IF(Z936="No Disp","No Disp",(Z936*18)+Y936)</f>
        <v>469900</v>
      </c>
      <c r="AD936" s="95">
        <f>IF($H936="EMP",18*Z936-100,18*Z936-100+Y936)</f>
        <v>377900</v>
      </c>
      <c r="AE936" s="95">
        <v>91900</v>
      </c>
      <c r="AF936" s="95">
        <v>21000</v>
      </c>
      <c r="AG936" s="95">
        <f>IF(AF936="No Disp","No Disp",(AF936*18)+AE936)</f>
        <v>469900</v>
      </c>
      <c r="AH936" s="98">
        <f>IF($H936="EMP",18*AF936-100,18*AF936-100+AE936)</f>
        <v>377900</v>
      </c>
      <c r="AI936" s="95">
        <v>26000</v>
      </c>
      <c r="AJ936" s="99"/>
      <c r="AK936" s="100" t="s">
        <v>43</v>
      </c>
      <c r="AL936" s="100" t="s">
        <v>43</v>
      </c>
      <c r="AM936" s="100" t="s">
        <v>43</v>
      </c>
      <c r="AN936" s="100" t="s">
        <v>43</v>
      </c>
      <c r="AO936" s="100" t="s">
        <v>43</v>
      </c>
      <c r="AP936" s="100" t="s">
        <v>43</v>
      </c>
      <c r="AQ936" s="100" t="s">
        <v>43</v>
      </c>
      <c r="AR936" s="100" t="s">
        <v>43</v>
      </c>
      <c r="AS936" s="100" t="s">
        <v>43</v>
      </c>
    </row>
    <row r="937" spans="1:45" s="101" customFormat="1" x14ac:dyDescent="0.25">
      <c r="A937" s="90" t="s">
        <v>38</v>
      </c>
      <c r="B937" s="90" t="s">
        <v>40</v>
      </c>
      <c r="C937" s="90" t="s">
        <v>39</v>
      </c>
      <c r="D937" s="90" t="s">
        <v>4540</v>
      </c>
      <c r="E937" s="90" t="s">
        <v>4538</v>
      </c>
      <c r="F937" s="91"/>
      <c r="G937" s="92">
        <v>70014010</v>
      </c>
      <c r="H937" s="91" t="s">
        <v>4370</v>
      </c>
      <c r="I937" s="93" t="s">
        <v>46</v>
      </c>
      <c r="J937" s="94" t="s">
        <v>80</v>
      </c>
      <c r="K937" s="94" t="s">
        <v>3096</v>
      </c>
      <c r="L937" s="94" t="s">
        <v>3244</v>
      </c>
      <c r="M937" s="95">
        <v>516900</v>
      </c>
      <c r="N937" s="95">
        <v>6000</v>
      </c>
      <c r="O937" s="95">
        <v>8500</v>
      </c>
      <c r="P937" s="96">
        <v>699990</v>
      </c>
      <c r="Q937" s="152"/>
      <c r="R937" s="95">
        <v>516900</v>
      </c>
      <c r="S937" s="95">
        <v>20037.5</v>
      </c>
      <c r="T937" s="95">
        <v>516900</v>
      </c>
      <c r="U937" s="95">
        <v>20037.5</v>
      </c>
      <c r="V937" s="95">
        <v>516900</v>
      </c>
      <c r="W937" s="95">
        <v>20037.5</v>
      </c>
      <c r="X937" s="128"/>
      <c r="Y937" s="95">
        <v>118900</v>
      </c>
      <c r="Z937" s="95">
        <v>27000</v>
      </c>
      <c r="AA937" s="95">
        <f>IFERROR(IF(D937="Premium",0.4*Y937,0),"No Disp")</f>
        <v>47560</v>
      </c>
      <c r="AB937" s="95">
        <f>IFERROR(IF(4*Y937&gt;AC937,1.5*Y937,4*Y937),"No Disp")</f>
        <v>475600</v>
      </c>
      <c r="AC937" s="95">
        <f>IF(Z937="No Disp","No Disp",(Z937*18)+Y937)</f>
        <v>604900</v>
      </c>
      <c r="AD937" s="95">
        <f>IF($H937="EMP",18*Z937-100,18*Z937-100+Y937)</f>
        <v>485900</v>
      </c>
      <c r="AE937" s="95">
        <v>118900</v>
      </c>
      <c r="AF937" s="95">
        <v>27000</v>
      </c>
      <c r="AG937" s="95">
        <f>IF(AF937="No Disp","No Disp",(AF937*18)+AE937)</f>
        <v>604900</v>
      </c>
      <c r="AH937" s="98">
        <f>IF($H937="EMP",18*AF937-100,18*AF937-100+AE937)</f>
        <v>485900</v>
      </c>
      <c r="AI937" s="95">
        <v>33000</v>
      </c>
      <c r="AJ937" s="99"/>
      <c r="AK937" s="100" t="s">
        <v>43</v>
      </c>
      <c r="AL937" s="100" t="s">
        <v>43</v>
      </c>
      <c r="AM937" s="100" t="s">
        <v>43</v>
      </c>
      <c r="AN937" s="100" t="s">
        <v>43</v>
      </c>
      <c r="AO937" s="100" t="s">
        <v>43</v>
      </c>
      <c r="AP937" s="100" t="s">
        <v>43</v>
      </c>
      <c r="AQ937" s="100" t="s">
        <v>43</v>
      </c>
      <c r="AR937" s="100" t="s">
        <v>43</v>
      </c>
      <c r="AS937" s="100" t="s">
        <v>43</v>
      </c>
    </row>
    <row r="938" spans="1:45" s="101" customFormat="1" x14ac:dyDescent="0.25">
      <c r="A938" s="90" t="s">
        <v>38</v>
      </c>
      <c r="B938" s="90" t="s">
        <v>40</v>
      </c>
      <c r="C938" s="90" t="s">
        <v>39</v>
      </c>
      <c r="D938" s="90" t="s">
        <v>4540</v>
      </c>
      <c r="E938" s="90" t="s">
        <v>4542</v>
      </c>
      <c r="F938" s="91"/>
      <c r="G938" s="92">
        <v>70014011</v>
      </c>
      <c r="H938" s="91" t="s">
        <v>4370</v>
      </c>
      <c r="I938" s="93" t="s">
        <v>46</v>
      </c>
      <c r="J938" s="94" t="s">
        <v>56</v>
      </c>
      <c r="K938" s="94" t="s">
        <v>3103</v>
      </c>
      <c r="L938" s="94" t="s">
        <v>3251</v>
      </c>
      <c r="M938" s="95">
        <v>578900</v>
      </c>
      <c r="N938" s="95">
        <v>6000</v>
      </c>
      <c r="O938" s="95">
        <v>8500</v>
      </c>
      <c r="P938" s="96">
        <v>799990</v>
      </c>
      <c r="Q938" s="152"/>
      <c r="R938" s="95">
        <v>578900</v>
      </c>
      <c r="S938" s="95">
        <v>23079.166666666668</v>
      </c>
      <c r="T938" s="95">
        <v>578900</v>
      </c>
      <c r="U938" s="95">
        <v>23079.166666666668</v>
      </c>
      <c r="V938" s="95">
        <v>578900</v>
      </c>
      <c r="W938" s="95">
        <v>23079.166666666668</v>
      </c>
      <c r="X938" s="128"/>
      <c r="Y938" s="95">
        <v>132900</v>
      </c>
      <c r="Z938" s="95">
        <v>30000</v>
      </c>
      <c r="AA938" s="95">
        <f>IFERROR(IF(D938="Premium",0.4*Y938,0),"No Disp")</f>
        <v>53160</v>
      </c>
      <c r="AB938" s="95">
        <f>IFERROR(IF(4*Y938&gt;AC938,1.5*Y938,4*Y938),"No Disp")</f>
        <v>531600</v>
      </c>
      <c r="AC938" s="95">
        <f>IF(Z938="No Disp","No Disp",(Z938*18)+Y938)</f>
        <v>672900</v>
      </c>
      <c r="AD938" s="95">
        <f>IF($H938="EMP",18*Z938-100,18*Z938-100+Y938)</f>
        <v>539900</v>
      </c>
      <c r="AE938" s="95">
        <v>132900</v>
      </c>
      <c r="AF938" s="95">
        <v>30000</v>
      </c>
      <c r="AG938" s="95">
        <f>IF(AF938="No Disp","No Disp",(AF938*18)+AE938)</f>
        <v>672900</v>
      </c>
      <c r="AH938" s="98">
        <f>IF($H938="EMP",18*AF938-100,18*AF938-100+AE938)</f>
        <v>539900</v>
      </c>
      <c r="AI938" s="95">
        <v>37000</v>
      </c>
      <c r="AJ938" s="99"/>
      <c r="AK938" s="100" t="s">
        <v>43</v>
      </c>
      <c r="AL938" s="100" t="s">
        <v>43</v>
      </c>
      <c r="AM938" s="100" t="s">
        <v>43</v>
      </c>
      <c r="AN938" s="100" t="s">
        <v>43</v>
      </c>
      <c r="AO938" s="100" t="s">
        <v>43</v>
      </c>
      <c r="AP938" s="100" t="s">
        <v>43</v>
      </c>
      <c r="AQ938" s="100" t="s">
        <v>43</v>
      </c>
      <c r="AR938" s="100" t="s">
        <v>43</v>
      </c>
      <c r="AS938" s="100" t="s">
        <v>43</v>
      </c>
    </row>
    <row r="939" spans="1:45" s="101" customFormat="1" x14ac:dyDescent="0.25">
      <c r="A939" s="90" t="s">
        <v>38</v>
      </c>
      <c r="B939" s="90" t="s">
        <v>40</v>
      </c>
      <c r="C939" s="90" t="s">
        <v>39</v>
      </c>
      <c r="D939" s="90" t="s">
        <v>4539</v>
      </c>
      <c r="E939" s="90" t="s">
        <v>4538</v>
      </c>
      <c r="F939" s="91"/>
      <c r="G939" s="92">
        <v>70014096</v>
      </c>
      <c r="H939" s="91" t="s">
        <v>4370</v>
      </c>
      <c r="I939" s="93" t="s">
        <v>46</v>
      </c>
      <c r="J939" s="94" t="s">
        <v>2812</v>
      </c>
      <c r="K939" s="94" t="s">
        <v>3049</v>
      </c>
      <c r="L939" s="94" t="s">
        <v>3196</v>
      </c>
      <c r="M939" s="95">
        <v>217900</v>
      </c>
      <c r="N939" s="95">
        <v>4000</v>
      </c>
      <c r="O939" s="95">
        <v>6000</v>
      </c>
      <c r="P939" s="96">
        <v>299990</v>
      </c>
      <c r="Q939" s="152"/>
      <c r="R939" s="95">
        <v>217900</v>
      </c>
      <c r="S939" s="95">
        <v>9412.5</v>
      </c>
      <c r="T939" s="95">
        <v>217900</v>
      </c>
      <c r="U939" s="95">
        <v>9412.5</v>
      </c>
      <c r="V939" s="95">
        <v>217900</v>
      </c>
      <c r="W939" s="95">
        <v>9412.5</v>
      </c>
      <c r="X939" s="128"/>
      <c r="Y939" s="95">
        <v>37900</v>
      </c>
      <c r="Z939" s="95">
        <v>12000</v>
      </c>
      <c r="AA939" s="95">
        <f>IFERROR(IF(D939="Premium",0.4*Y939,0),"No Disp")</f>
        <v>0</v>
      </c>
      <c r="AB939" s="95">
        <f>IFERROR(IF(4*Y939&gt;AC939,1.5*Y939,4*Y939),"No Disp")</f>
        <v>151600</v>
      </c>
      <c r="AC939" s="95">
        <f>IF(Z939="No Disp","No Disp",(Z939*18)+Y939)</f>
        <v>253900</v>
      </c>
      <c r="AD939" s="95">
        <f>IF($H939="EMP",18*Z939-100,18*Z939-100+Y939)</f>
        <v>215900</v>
      </c>
      <c r="AE939" s="95">
        <v>37900</v>
      </c>
      <c r="AF939" s="95">
        <v>12000</v>
      </c>
      <c r="AG939" s="95">
        <f>IF(AF939="No Disp","No Disp",(AF939*18)+AE939)</f>
        <v>253900</v>
      </c>
      <c r="AH939" s="98">
        <f>IF($H939="EMP",18*AF939-100,18*AF939-100+AE939)</f>
        <v>215900</v>
      </c>
      <c r="AI939" s="95">
        <v>14000</v>
      </c>
      <c r="AJ939" s="99"/>
      <c r="AK939" s="100" t="s">
        <v>43</v>
      </c>
      <c r="AL939" s="100" t="s">
        <v>43</v>
      </c>
      <c r="AM939" s="100" t="s">
        <v>43</v>
      </c>
      <c r="AN939" s="100" t="s">
        <v>43</v>
      </c>
      <c r="AO939" s="100" t="s">
        <v>43</v>
      </c>
      <c r="AP939" s="100" t="s">
        <v>43</v>
      </c>
      <c r="AQ939" s="100" t="s">
        <v>43</v>
      </c>
      <c r="AR939" s="100" t="s">
        <v>43</v>
      </c>
      <c r="AS939" s="100" t="s">
        <v>43</v>
      </c>
    </row>
    <row r="940" spans="1:45" s="101" customFormat="1" x14ac:dyDescent="0.25">
      <c r="A940" s="90" t="s">
        <v>38</v>
      </c>
      <c r="B940" s="90" t="s">
        <v>40</v>
      </c>
      <c r="C940" s="90" t="s">
        <v>39</v>
      </c>
      <c r="D940" s="90" t="s">
        <v>4539</v>
      </c>
      <c r="E940" s="90" t="s">
        <v>4538</v>
      </c>
      <c r="F940" s="91"/>
      <c r="G940" s="92">
        <v>70014097</v>
      </c>
      <c r="H940" s="91" t="s">
        <v>4370</v>
      </c>
      <c r="I940" s="93" t="s">
        <v>46</v>
      </c>
      <c r="J940" s="94" t="s">
        <v>2812</v>
      </c>
      <c r="K940" s="94" t="s">
        <v>3050</v>
      </c>
      <c r="L940" s="94" t="s">
        <v>3197</v>
      </c>
      <c r="M940" s="95">
        <v>217900</v>
      </c>
      <c r="N940" s="95">
        <v>4000</v>
      </c>
      <c r="O940" s="95">
        <v>6000</v>
      </c>
      <c r="P940" s="96">
        <v>299990</v>
      </c>
      <c r="Q940" s="152"/>
      <c r="R940" s="95">
        <v>217900</v>
      </c>
      <c r="S940" s="95">
        <v>9412.5</v>
      </c>
      <c r="T940" s="95">
        <v>217900</v>
      </c>
      <c r="U940" s="95">
        <v>9412.5</v>
      </c>
      <c r="V940" s="95">
        <v>217900</v>
      </c>
      <c r="W940" s="95">
        <v>9412.5</v>
      </c>
      <c r="X940" s="128"/>
      <c r="Y940" s="95">
        <v>37900</v>
      </c>
      <c r="Z940" s="95">
        <v>12000</v>
      </c>
      <c r="AA940" s="95">
        <f>IFERROR(IF(D940="Premium",0.4*Y940,0),"No Disp")</f>
        <v>0</v>
      </c>
      <c r="AB940" s="95">
        <f>IFERROR(IF(4*Y940&gt;AC940,1.5*Y940,4*Y940),"No Disp")</f>
        <v>151600</v>
      </c>
      <c r="AC940" s="95">
        <f>IF(Z940="No Disp","No Disp",(Z940*18)+Y940)</f>
        <v>253900</v>
      </c>
      <c r="AD940" s="95">
        <f>IF($H940="EMP",18*Z940-100,18*Z940-100+Y940)</f>
        <v>215900</v>
      </c>
      <c r="AE940" s="95">
        <v>37900</v>
      </c>
      <c r="AF940" s="95">
        <v>12000</v>
      </c>
      <c r="AG940" s="95">
        <f>IF(AF940="No Disp","No Disp",(AF940*18)+AE940)</f>
        <v>253900</v>
      </c>
      <c r="AH940" s="98">
        <f>IF($H940="EMP",18*AF940-100,18*AF940-100+AE940)</f>
        <v>215900</v>
      </c>
      <c r="AI940" s="95">
        <v>14000</v>
      </c>
      <c r="AJ940" s="99"/>
      <c r="AK940" s="100" t="s">
        <v>43</v>
      </c>
      <c r="AL940" s="100" t="s">
        <v>43</v>
      </c>
      <c r="AM940" s="100" t="s">
        <v>43</v>
      </c>
      <c r="AN940" s="100" t="s">
        <v>43</v>
      </c>
      <c r="AO940" s="100" t="s">
        <v>43</v>
      </c>
      <c r="AP940" s="100" t="s">
        <v>43</v>
      </c>
      <c r="AQ940" s="100" t="s">
        <v>43</v>
      </c>
      <c r="AR940" s="100" t="s">
        <v>43</v>
      </c>
      <c r="AS940" s="100" t="s">
        <v>43</v>
      </c>
    </row>
    <row r="941" spans="1:45" s="101" customFormat="1" x14ac:dyDescent="0.25">
      <c r="A941" s="90" t="s">
        <v>38</v>
      </c>
      <c r="B941" s="90" t="s">
        <v>40</v>
      </c>
      <c r="C941" s="90" t="s">
        <v>39</v>
      </c>
      <c r="D941" s="90" t="s">
        <v>4539</v>
      </c>
      <c r="E941" s="90" t="s">
        <v>4538</v>
      </c>
      <c r="F941" s="91"/>
      <c r="G941" s="92">
        <v>70014098</v>
      </c>
      <c r="H941" s="91" t="s">
        <v>4370</v>
      </c>
      <c r="I941" s="93" t="s">
        <v>46</v>
      </c>
      <c r="J941" s="94" t="s">
        <v>2812</v>
      </c>
      <c r="K941" s="94" t="s">
        <v>3051</v>
      </c>
      <c r="L941" s="94" t="s">
        <v>3198</v>
      </c>
      <c r="M941" s="95">
        <v>217900</v>
      </c>
      <c r="N941" s="95">
        <v>4000</v>
      </c>
      <c r="O941" s="95">
        <v>6000</v>
      </c>
      <c r="P941" s="96">
        <v>299990</v>
      </c>
      <c r="Q941" s="152"/>
      <c r="R941" s="95">
        <v>217900</v>
      </c>
      <c r="S941" s="95">
        <v>9412.5</v>
      </c>
      <c r="T941" s="95">
        <v>217900</v>
      </c>
      <c r="U941" s="95">
        <v>9412.5</v>
      </c>
      <c r="V941" s="95">
        <v>217900</v>
      </c>
      <c r="W941" s="95">
        <v>9412.5</v>
      </c>
      <c r="X941" s="128"/>
      <c r="Y941" s="95">
        <v>37900</v>
      </c>
      <c r="Z941" s="95">
        <v>12000</v>
      </c>
      <c r="AA941" s="95">
        <f>IFERROR(IF(D941="Premium",0.4*Y941,0),"No Disp")</f>
        <v>0</v>
      </c>
      <c r="AB941" s="95">
        <f>IFERROR(IF(4*Y941&gt;AC941,1.5*Y941,4*Y941),"No Disp")</f>
        <v>151600</v>
      </c>
      <c r="AC941" s="95">
        <f>IF(Z941="No Disp","No Disp",(Z941*18)+Y941)</f>
        <v>253900</v>
      </c>
      <c r="AD941" s="95">
        <f>IF($H941="EMP",18*Z941-100,18*Z941-100+Y941)</f>
        <v>215900</v>
      </c>
      <c r="AE941" s="95">
        <v>37900</v>
      </c>
      <c r="AF941" s="95">
        <v>12000</v>
      </c>
      <c r="AG941" s="95">
        <f>IF(AF941="No Disp","No Disp",(AF941*18)+AE941)</f>
        <v>253900</v>
      </c>
      <c r="AH941" s="98">
        <f>IF($H941="EMP",18*AF941-100,18*AF941-100+AE941)</f>
        <v>215900</v>
      </c>
      <c r="AI941" s="95">
        <v>14000</v>
      </c>
      <c r="AJ941" s="99"/>
      <c r="AK941" s="100" t="s">
        <v>43</v>
      </c>
      <c r="AL941" s="100" t="s">
        <v>43</v>
      </c>
      <c r="AM941" s="100" t="s">
        <v>43</v>
      </c>
      <c r="AN941" s="100" t="s">
        <v>43</v>
      </c>
      <c r="AO941" s="100" t="s">
        <v>43</v>
      </c>
      <c r="AP941" s="100" t="s">
        <v>43</v>
      </c>
      <c r="AQ941" s="100" t="s">
        <v>43</v>
      </c>
      <c r="AR941" s="100" t="s">
        <v>43</v>
      </c>
      <c r="AS941" s="100" t="s">
        <v>43</v>
      </c>
    </row>
    <row r="942" spans="1:45" s="101" customFormat="1" x14ac:dyDescent="0.25">
      <c r="A942" s="90" t="s">
        <v>38</v>
      </c>
      <c r="B942" s="90" t="s">
        <v>40</v>
      </c>
      <c r="C942" s="90" t="s">
        <v>39</v>
      </c>
      <c r="D942" s="90" t="s">
        <v>4540</v>
      </c>
      <c r="E942" s="90" t="s">
        <v>4538</v>
      </c>
      <c r="F942" s="91"/>
      <c r="G942" s="92">
        <v>70015107</v>
      </c>
      <c r="H942" s="91" t="s">
        <v>4370</v>
      </c>
      <c r="I942" s="93" t="s">
        <v>87</v>
      </c>
      <c r="J942" s="94" t="s">
        <v>2784</v>
      </c>
      <c r="K942" s="94" t="s">
        <v>3976</v>
      </c>
      <c r="L942" s="94" t="s">
        <v>3977</v>
      </c>
      <c r="M942" s="95">
        <v>903900</v>
      </c>
      <c r="N942" s="95">
        <v>7000</v>
      </c>
      <c r="O942" s="95">
        <v>10000</v>
      </c>
      <c r="P942" s="96">
        <v>1099990</v>
      </c>
      <c r="Q942" s="152"/>
      <c r="R942" s="95">
        <v>903900</v>
      </c>
      <c r="S942" s="95">
        <v>36579.166666666664</v>
      </c>
      <c r="T942" s="95">
        <v>903900</v>
      </c>
      <c r="U942" s="95">
        <v>36579.166666666664</v>
      </c>
      <c r="V942" s="95">
        <v>903900</v>
      </c>
      <c r="W942" s="95">
        <v>36579.166666666664</v>
      </c>
      <c r="X942" s="128"/>
      <c r="Y942" s="95">
        <v>259900</v>
      </c>
      <c r="Z942" s="95">
        <v>44000</v>
      </c>
      <c r="AA942" s="95">
        <f>IFERROR(IF(D942="Premium",0.4*Y942,0),"No Disp")</f>
        <v>103960</v>
      </c>
      <c r="AB942" s="95">
        <f>IFERROR(IF(4*Y942&gt;AC942,1.5*Y942,4*Y942),"No Disp")</f>
        <v>1039600</v>
      </c>
      <c r="AC942" s="95">
        <f>IF(Z942="No Disp","No Disp",(Z942*18)+Y942)</f>
        <v>1051900</v>
      </c>
      <c r="AD942" s="95">
        <f>IF($H942="EMP",18*Z942-100,18*Z942-100+Y942)</f>
        <v>791900</v>
      </c>
      <c r="AE942" s="95">
        <v>259900</v>
      </c>
      <c r="AF942" s="95">
        <v>44000</v>
      </c>
      <c r="AG942" s="95">
        <f>IF(AF942="No Disp","No Disp",(AF942*18)+AE942)</f>
        <v>1051900</v>
      </c>
      <c r="AH942" s="98">
        <f>IF($H942="EMP",18*AF942-100,18*AF942-100+AE942)</f>
        <v>791900</v>
      </c>
      <c r="AI942" s="95">
        <v>58000</v>
      </c>
      <c r="AJ942" s="99"/>
      <c r="AK942" s="100" t="s">
        <v>43</v>
      </c>
      <c r="AL942" s="100" t="s">
        <v>43</v>
      </c>
      <c r="AM942" s="100" t="s">
        <v>43</v>
      </c>
      <c r="AN942" s="100" t="s">
        <v>43</v>
      </c>
      <c r="AO942" s="100" t="s">
        <v>43</v>
      </c>
      <c r="AP942" s="100" t="s">
        <v>43</v>
      </c>
      <c r="AQ942" s="100" t="s">
        <v>43</v>
      </c>
      <c r="AR942" s="100" t="s">
        <v>43</v>
      </c>
      <c r="AS942" s="100" t="s">
        <v>43</v>
      </c>
    </row>
    <row r="943" spans="1:45" s="101" customFormat="1" x14ac:dyDescent="0.25">
      <c r="A943" s="90" t="s">
        <v>38</v>
      </c>
      <c r="B943" s="90" t="s">
        <v>40</v>
      </c>
      <c r="C943" s="90" t="s">
        <v>39</v>
      </c>
      <c r="D943" s="90" t="s">
        <v>4540</v>
      </c>
      <c r="E943" s="90" t="s">
        <v>4538</v>
      </c>
      <c r="F943" s="91"/>
      <c r="G943" s="92">
        <v>70014070</v>
      </c>
      <c r="H943" s="91" t="s">
        <v>4370</v>
      </c>
      <c r="I943" s="93" t="s">
        <v>87</v>
      </c>
      <c r="J943" s="94" t="s">
        <v>2784</v>
      </c>
      <c r="K943" s="94" t="s">
        <v>3117</v>
      </c>
      <c r="L943" s="94" t="s">
        <v>3265</v>
      </c>
      <c r="M943" s="95">
        <v>903900</v>
      </c>
      <c r="N943" s="95">
        <v>7000</v>
      </c>
      <c r="O943" s="95">
        <v>10000</v>
      </c>
      <c r="P943" s="96">
        <v>1099990</v>
      </c>
      <c r="Q943" s="152"/>
      <c r="R943" s="95">
        <v>903900</v>
      </c>
      <c r="S943" s="95">
        <v>36579.166666666664</v>
      </c>
      <c r="T943" s="95">
        <v>903900</v>
      </c>
      <c r="U943" s="95">
        <v>36579.166666666664</v>
      </c>
      <c r="V943" s="95">
        <v>903900</v>
      </c>
      <c r="W943" s="95">
        <v>36579.166666666664</v>
      </c>
      <c r="X943" s="128"/>
      <c r="Y943" s="95">
        <v>259900</v>
      </c>
      <c r="Z943" s="95">
        <v>44000</v>
      </c>
      <c r="AA943" s="95">
        <f>IFERROR(IF(D943="Premium",0.4*Y943,0),"No Disp")</f>
        <v>103960</v>
      </c>
      <c r="AB943" s="95">
        <f>IFERROR(IF(4*Y943&gt;AC943,1.5*Y943,4*Y943),"No Disp")</f>
        <v>1039600</v>
      </c>
      <c r="AC943" s="95">
        <f>IF(Z943="No Disp","No Disp",(Z943*18)+Y943)</f>
        <v>1051900</v>
      </c>
      <c r="AD943" s="95">
        <f>IF($H943="EMP",18*Z943-100,18*Z943-100+Y943)</f>
        <v>791900</v>
      </c>
      <c r="AE943" s="95">
        <v>259900</v>
      </c>
      <c r="AF943" s="95">
        <v>44000</v>
      </c>
      <c r="AG943" s="95">
        <f>IF(AF943="No Disp","No Disp",(AF943*18)+AE943)</f>
        <v>1051900</v>
      </c>
      <c r="AH943" s="98">
        <f>IF($H943="EMP",18*AF943-100,18*AF943-100+AE943)</f>
        <v>791900</v>
      </c>
      <c r="AI943" s="95">
        <v>58000</v>
      </c>
      <c r="AJ943" s="99"/>
      <c r="AK943" s="100" t="s">
        <v>43</v>
      </c>
      <c r="AL943" s="100" t="s">
        <v>43</v>
      </c>
      <c r="AM943" s="100" t="s">
        <v>43</v>
      </c>
      <c r="AN943" s="100" t="s">
        <v>43</v>
      </c>
      <c r="AO943" s="100" t="s">
        <v>43</v>
      </c>
      <c r="AP943" s="100" t="s">
        <v>43</v>
      </c>
      <c r="AQ943" s="100" t="s">
        <v>43</v>
      </c>
      <c r="AR943" s="100" t="s">
        <v>43</v>
      </c>
      <c r="AS943" s="100" t="s">
        <v>43</v>
      </c>
    </row>
    <row r="944" spans="1:45" s="101" customFormat="1" x14ac:dyDescent="0.25">
      <c r="A944" s="90" t="s">
        <v>38</v>
      </c>
      <c r="B944" s="90" t="s">
        <v>40</v>
      </c>
      <c r="C944" s="90" t="s">
        <v>39</v>
      </c>
      <c r="D944" s="90" t="s">
        <v>4540</v>
      </c>
      <c r="E944" s="90" t="s">
        <v>4538</v>
      </c>
      <c r="F944" s="91"/>
      <c r="G944" s="92">
        <v>70014072</v>
      </c>
      <c r="H944" s="91" t="s">
        <v>4370</v>
      </c>
      <c r="I944" s="93" t="s">
        <v>87</v>
      </c>
      <c r="J944" s="94" t="s">
        <v>2784</v>
      </c>
      <c r="K944" s="94" t="s">
        <v>3118</v>
      </c>
      <c r="L944" s="94" t="s">
        <v>3266</v>
      </c>
      <c r="M944" s="95">
        <v>903900</v>
      </c>
      <c r="N944" s="95">
        <v>7000</v>
      </c>
      <c r="O944" s="95">
        <v>10000</v>
      </c>
      <c r="P944" s="96">
        <v>1099990</v>
      </c>
      <c r="Q944" s="152"/>
      <c r="R944" s="95">
        <v>903900</v>
      </c>
      <c r="S944" s="95">
        <v>36579.166666666664</v>
      </c>
      <c r="T944" s="95">
        <v>903900</v>
      </c>
      <c r="U944" s="95">
        <v>36579.166666666664</v>
      </c>
      <c r="V944" s="95">
        <v>903900</v>
      </c>
      <c r="W944" s="95">
        <v>36579.166666666664</v>
      </c>
      <c r="X944" s="128"/>
      <c r="Y944" s="95">
        <v>259900</v>
      </c>
      <c r="Z944" s="95">
        <v>44000</v>
      </c>
      <c r="AA944" s="95">
        <f>IFERROR(IF(D944="Premium",0.4*Y944,0),"No Disp")</f>
        <v>103960</v>
      </c>
      <c r="AB944" s="95">
        <f>IFERROR(IF(4*Y944&gt;AC944,1.5*Y944,4*Y944),"No Disp")</f>
        <v>1039600</v>
      </c>
      <c r="AC944" s="95">
        <f>IF(Z944="No Disp","No Disp",(Z944*18)+Y944)</f>
        <v>1051900</v>
      </c>
      <c r="AD944" s="95">
        <f>IF($H944="EMP",18*Z944-100,18*Z944-100+Y944)</f>
        <v>791900</v>
      </c>
      <c r="AE944" s="95">
        <v>259900</v>
      </c>
      <c r="AF944" s="95">
        <v>44000</v>
      </c>
      <c r="AG944" s="95">
        <f>IF(AF944="No Disp","No Disp",(AF944*18)+AE944)</f>
        <v>1051900</v>
      </c>
      <c r="AH944" s="98">
        <f>IF($H944="EMP",18*AF944-100,18*AF944-100+AE944)</f>
        <v>791900</v>
      </c>
      <c r="AI944" s="95">
        <v>58000</v>
      </c>
      <c r="AJ944" s="99"/>
      <c r="AK944" s="100" t="s">
        <v>43</v>
      </c>
      <c r="AL944" s="100" t="s">
        <v>43</v>
      </c>
      <c r="AM944" s="100" t="s">
        <v>43</v>
      </c>
      <c r="AN944" s="100" t="s">
        <v>43</v>
      </c>
      <c r="AO944" s="100" t="s">
        <v>43</v>
      </c>
      <c r="AP944" s="100" t="s">
        <v>43</v>
      </c>
      <c r="AQ944" s="100" t="s">
        <v>43</v>
      </c>
      <c r="AR944" s="100" t="s">
        <v>43</v>
      </c>
      <c r="AS944" s="100" t="s">
        <v>43</v>
      </c>
    </row>
    <row r="945" spans="1:45" s="101" customFormat="1" x14ac:dyDescent="0.25">
      <c r="A945" s="90" t="s">
        <v>38</v>
      </c>
      <c r="B945" s="90" t="s">
        <v>40</v>
      </c>
      <c r="C945" s="90" t="s">
        <v>39</v>
      </c>
      <c r="D945" s="90" t="s">
        <v>4540</v>
      </c>
      <c r="E945" s="90" t="s">
        <v>4538</v>
      </c>
      <c r="F945" s="91"/>
      <c r="G945" s="92">
        <v>70014071</v>
      </c>
      <c r="H945" s="91" t="s">
        <v>4370</v>
      </c>
      <c r="I945" s="93" t="s">
        <v>87</v>
      </c>
      <c r="J945" s="94" t="s">
        <v>2783</v>
      </c>
      <c r="K945" s="94" t="s">
        <v>3128</v>
      </c>
      <c r="L945" s="94" t="s">
        <v>3276</v>
      </c>
      <c r="M945" s="95">
        <v>1271900</v>
      </c>
      <c r="N945" s="95">
        <v>9500</v>
      </c>
      <c r="O945" s="95">
        <v>13500</v>
      </c>
      <c r="P945" s="96">
        <v>1499990</v>
      </c>
      <c r="Q945" s="152"/>
      <c r="R945" s="95">
        <v>1271900</v>
      </c>
      <c r="S945" s="95">
        <v>51704.166666666664</v>
      </c>
      <c r="T945" s="95">
        <v>1271900</v>
      </c>
      <c r="U945" s="95">
        <v>51704.166666666664</v>
      </c>
      <c r="V945" s="95">
        <v>1271900</v>
      </c>
      <c r="W945" s="95">
        <v>51704.166666666664</v>
      </c>
      <c r="X945" s="128"/>
      <c r="Y945" s="95">
        <v>438900</v>
      </c>
      <c r="Z945" s="95">
        <v>57000</v>
      </c>
      <c r="AA945" s="95">
        <f>IFERROR(IF(D945="Premium",0.4*Y945,0),"No Disp")</f>
        <v>175560</v>
      </c>
      <c r="AB945" s="95">
        <f>IFERROR(IF(4*Y945&gt;AC945,1.5*Y945,4*Y945),"No Disp")</f>
        <v>658350</v>
      </c>
      <c r="AC945" s="95">
        <f>IF(Z945="No Disp","No Disp",(Z945*18)+Y945)</f>
        <v>1464900</v>
      </c>
      <c r="AD945" s="95">
        <f>IF($H945="EMP",18*Z945-100,18*Z945-100+Y945)</f>
        <v>1025900</v>
      </c>
      <c r="AE945" s="95">
        <v>438900</v>
      </c>
      <c r="AF945" s="95">
        <v>57000</v>
      </c>
      <c r="AG945" s="95">
        <f>IF(AF945="No Disp","No Disp",(AF945*18)+AE945)</f>
        <v>1464900</v>
      </c>
      <c r="AH945" s="98">
        <f>IF($H945="EMP",18*AF945-100,18*AF945-100+AE945)</f>
        <v>1025900</v>
      </c>
      <c r="AI945" s="95">
        <v>81000</v>
      </c>
      <c r="AJ945" s="99"/>
      <c r="AK945" s="100" t="s">
        <v>43</v>
      </c>
      <c r="AL945" s="100" t="s">
        <v>43</v>
      </c>
      <c r="AM945" s="100" t="s">
        <v>43</v>
      </c>
      <c r="AN945" s="100" t="s">
        <v>43</v>
      </c>
      <c r="AO945" s="100" t="s">
        <v>43</v>
      </c>
      <c r="AP945" s="100" t="s">
        <v>43</v>
      </c>
      <c r="AQ945" s="100" t="s">
        <v>43</v>
      </c>
      <c r="AR945" s="100" t="s">
        <v>43</v>
      </c>
      <c r="AS945" s="100" t="s">
        <v>43</v>
      </c>
    </row>
    <row r="946" spans="1:45" s="101" customFormat="1" x14ac:dyDescent="0.25">
      <c r="A946" s="90" t="s">
        <v>38</v>
      </c>
      <c r="B946" s="90" t="s">
        <v>40</v>
      </c>
      <c r="C946" s="90" t="s">
        <v>39</v>
      </c>
      <c r="D946" s="90" t="s">
        <v>4540</v>
      </c>
      <c r="E946" s="90" t="s">
        <v>4538</v>
      </c>
      <c r="F946" s="91"/>
      <c r="G946" s="92">
        <v>70014073</v>
      </c>
      <c r="H946" s="91" t="s">
        <v>4370</v>
      </c>
      <c r="I946" s="93" t="s">
        <v>87</v>
      </c>
      <c r="J946" s="94" t="s">
        <v>2783</v>
      </c>
      <c r="K946" s="94" t="s">
        <v>3129</v>
      </c>
      <c r="L946" s="94" t="s">
        <v>3277</v>
      </c>
      <c r="M946" s="95">
        <v>1271900</v>
      </c>
      <c r="N946" s="95">
        <v>9500</v>
      </c>
      <c r="O946" s="95">
        <v>13500</v>
      </c>
      <c r="P946" s="96">
        <v>1499990</v>
      </c>
      <c r="Q946" s="152"/>
      <c r="R946" s="95">
        <v>1271900</v>
      </c>
      <c r="S946" s="95">
        <v>51704.166666666664</v>
      </c>
      <c r="T946" s="95">
        <v>1271900</v>
      </c>
      <c r="U946" s="95">
        <v>51704.166666666664</v>
      </c>
      <c r="V946" s="95">
        <v>1271900</v>
      </c>
      <c r="W946" s="95">
        <v>51704.166666666664</v>
      </c>
      <c r="X946" s="128"/>
      <c r="Y946" s="95">
        <v>438900</v>
      </c>
      <c r="Z946" s="95">
        <v>57000</v>
      </c>
      <c r="AA946" s="95">
        <f>IFERROR(IF(D946="Premium",0.4*Y946,0),"No Disp")</f>
        <v>175560</v>
      </c>
      <c r="AB946" s="95">
        <f>IFERROR(IF(4*Y946&gt;AC946,1.5*Y946,4*Y946),"No Disp")</f>
        <v>658350</v>
      </c>
      <c r="AC946" s="95">
        <f>IF(Z946="No Disp","No Disp",(Z946*18)+Y946)</f>
        <v>1464900</v>
      </c>
      <c r="AD946" s="95">
        <f>IF($H946="EMP",18*Z946-100,18*Z946-100+Y946)</f>
        <v>1025900</v>
      </c>
      <c r="AE946" s="95">
        <v>438900</v>
      </c>
      <c r="AF946" s="95">
        <v>57000</v>
      </c>
      <c r="AG946" s="95">
        <f>IF(AF946="No Disp","No Disp",(AF946*18)+AE946)</f>
        <v>1464900</v>
      </c>
      <c r="AH946" s="98">
        <f>IF($H946="EMP",18*AF946-100,18*AF946-100+AE946)</f>
        <v>1025900</v>
      </c>
      <c r="AI946" s="95">
        <v>81000</v>
      </c>
      <c r="AJ946" s="99"/>
      <c r="AK946" s="100" t="s">
        <v>43</v>
      </c>
      <c r="AL946" s="100" t="s">
        <v>43</v>
      </c>
      <c r="AM946" s="100" t="s">
        <v>43</v>
      </c>
      <c r="AN946" s="100" t="s">
        <v>43</v>
      </c>
      <c r="AO946" s="100" t="s">
        <v>43</v>
      </c>
      <c r="AP946" s="100" t="s">
        <v>43</v>
      </c>
      <c r="AQ946" s="100" t="s">
        <v>43</v>
      </c>
      <c r="AR946" s="100" t="s">
        <v>43</v>
      </c>
      <c r="AS946" s="100" t="s">
        <v>43</v>
      </c>
    </row>
    <row r="947" spans="1:45" s="101" customFormat="1" x14ac:dyDescent="0.25">
      <c r="A947" s="90" t="s">
        <v>38</v>
      </c>
      <c r="B947" s="90" t="s">
        <v>40</v>
      </c>
      <c r="C947" s="90" t="s">
        <v>39</v>
      </c>
      <c r="D947" s="90" t="s">
        <v>4540</v>
      </c>
      <c r="E947" s="90" t="s">
        <v>4542</v>
      </c>
      <c r="F947" s="91"/>
      <c r="G947" s="92">
        <v>70013977</v>
      </c>
      <c r="H947" s="91" t="s">
        <v>4370</v>
      </c>
      <c r="I947" s="93" t="s">
        <v>46</v>
      </c>
      <c r="J947" s="94" t="s">
        <v>408</v>
      </c>
      <c r="K947" s="94" t="s">
        <v>3116</v>
      </c>
      <c r="L947" s="94" t="s">
        <v>3264</v>
      </c>
      <c r="M947" s="95">
        <v>997900</v>
      </c>
      <c r="N947" s="95">
        <v>7000</v>
      </c>
      <c r="O947" s="95">
        <v>10000</v>
      </c>
      <c r="P947" s="96"/>
      <c r="Q947" s="152"/>
      <c r="R947" s="95">
        <v>997900</v>
      </c>
      <c r="S947" s="95">
        <v>37204.166666666664</v>
      </c>
      <c r="T947" s="95">
        <v>997900</v>
      </c>
      <c r="U947" s="95">
        <v>37204.166666666664</v>
      </c>
      <c r="V947" s="95">
        <v>997900</v>
      </c>
      <c r="W947" s="95">
        <v>37204.166666666664</v>
      </c>
      <c r="X947" s="128"/>
      <c r="Y947" s="95">
        <v>344900</v>
      </c>
      <c r="Z947" s="95">
        <v>45000</v>
      </c>
      <c r="AA947" s="95">
        <f>IFERROR(IF(D947="Premium",0.4*Y947,0),"No Disp")</f>
        <v>137960</v>
      </c>
      <c r="AB947" s="95">
        <f>IFERROR(IF(4*Y947&gt;AC947,1.5*Y947,4*Y947),"No Disp")</f>
        <v>517350</v>
      </c>
      <c r="AC947" s="95">
        <f>IF(Z947="No Disp","No Disp",(Z947*18)+Y947)</f>
        <v>1154900</v>
      </c>
      <c r="AD947" s="95">
        <f>IF($H947="EMP",18*Z947-100,18*Z947-100+Y947)</f>
        <v>809900</v>
      </c>
      <c r="AE947" s="95">
        <v>344900</v>
      </c>
      <c r="AF947" s="95">
        <v>45000</v>
      </c>
      <c r="AG947" s="95">
        <f>IF(AF947="No Disp","No Disp",(AF947*18)+AE947)</f>
        <v>1154900</v>
      </c>
      <c r="AH947" s="98">
        <f>IF($H947="EMP",18*AF947-100,18*AF947-100+AE947)</f>
        <v>809900</v>
      </c>
      <c r="AI947" s="95">
        <v>64000</v>
      </c>
      <c r="AJ947" s="99"/>
      <c r="AK947" s="100" t="s">
        <v>43</v>
      </c>
      <c r="AL947" s="100" t="s">
        <v>43</v>
      </c>
      <c r="AM947" s="100" t="s">
        <v>43</v>
      </c>
      <c r="AN947" s="100" t="s">
        <v>43</v>
      </c>
      <c r="AO947" s="100" t="s">
        <v>43</v>
      </c>
      <c r="AP947" s="100" t="s">
        <v>43</v>
      </c>
      <c r="AQ947" s="100" t="s">
        <v>43</v>
      </c>
      <c r="AR947" s="100" t="s">
        <v>43</v>
      </c>
      <c r="AS947" s="100" t="s">
        <v>43</v>
      </c>
    </row>
    <row r="948" spans="1:45" s="101" customFormat="1" x14ac:dyDescent="0.25">
      <c r="A948" s="90" t="s">
        <v>38</v>
      </c>
      <c r="B948" s="90" t="s">
        <v>40</v>
      </c>
      <c r="C948" s="90" t="s">
        <v>39</v>
      </c>
      <c r="D948" s="90" t="s">
        <v>4539</v>
      </c>
      <c r="E948" s="90" t="s">
        <v>4542</v>
      </c>
      <c r="F948" s="91"/>
      <c r="G948" s="92">
        <v>70013996</v>
      </c>
      <c r="H948" s="91" t="s">
        <v>4370</v>
      </c>
      <c r="I948" s="93" t="s">
        <v>46</v>
      </c>
      <c r="J948" s="94" t="s">
        <v>272</v>
      </c>
      <c r="K948" s="94" t="s">
        <v>2985</v>
      </c>
      <c r="L948" s="94" t="s">
        <v>2988</v>
      </c>
      <c r="M948" s="95">
        <v>372900</v>
      </c>
      <c r="N948" s="95">
        <v>6000</v>
      </c>
      <c r="O948" s="95">
        <v>8500</v>
      </c>
      <c r="P948" s="96" t="e">
        <v>#REF!</v>
      </c>
      <c r="Q948" s="152"/>
      <c r="R948" s="95">
        <v>372900</v>
      </c>
      <c r="S948" s="95">
        <v>14162.5</v>
      </c>
      <c r="T948" s="95">
        <v>372900</v>
      </c>
      <c r="U948" s="95">
        <v>14162.5</v>
      </c>
      <c r="V948" s="95">
        <v>372900</v>
      </c>
      <c r="W948" s="95">
        <v>14162.5</v>
      </c>
      <c r="X948" s="128"/>
      <c r="Y948" s="95">
        <v>85900</v>
      </c>
      <c r="Z948" s="95">
        <v>20000</v>
      </c>
      <c r="AA948" s="95">
        <f>IFERROR(IF(D948="Premium",0.4*Y948,0),"No Disp")</f>
        <v>0</v>
      </c>
      <c r="AB948" s="95">
        <f>IFERROR(IF(4*Y948&gt;AC948,1.5*Y948,4*Y948),"No Disp")</f>
        <v>343600</v>
      </c>
      <c r="AC948" s="95">
        <f>IF(Z948="No Disp","No Disp",(Z948*18)+Y948)</f>
        <v>445900</v>
      </c>
      <c r="AD948" s="95">
        <f>IF($H948="EMP",18*Z948-100,18*Z948-100+Y948)</f>
        <v>359900</v>
      </c>
      <c r="AE948" s="95">
        <v>85900</v>
      </c>
      <c r="AF948" s="95">
        <v>20000</v>
      </c>
      <c r="AG948" s="95">
        <f>IF(AF948="No Disp","No Disp",(AF948*18)+AE948)</f>
        <v>445900</v>
      </c>
      <c r="AH948" s="98">
        <f>IF($H948="EMP",18*AF948-100,18*AF948-100+AE948)</f>
        <v>359900</v>
      </c>
      <c r="AI948" s="95">
        <v>24000</v>
      </c>
      <c r="AJ948" s="99"/>
      <c r="AK948" s="100" t="s">
        <v>43</v>
      </c>
      <c r="AL948" s="100" t="s">
        <v>43</v>
      </c>
      <c r="AM948" s="100" t="s">
        <v>43</v>
      </c>
      <c r="AN948" s="100" t="s">
        <v>43</v>
      </c>
      <c r="AO948" s="100" t="s">
        <v>43</v>
      </c>
      <c r="AP948" s="100" t="s">
        <v>43</v>
      </c>
      <c r="AQ948" s="100" t="s">
        <v>43</v>
      </c>
      <c r="AR948" s="100" t="s">
        <v>43</v>
      </c>
      <c r="AS948" s="100" t="s">
        <v>43</v>
      </c>
    </row>
    <row r="949" spans="1:45" s="101" customFormat="1" x14ac:dyDescent="0.25">
      <c r="A949" s="90" t="s">
        <v>38</v>
      </c>
      <c r="B949" s="90" t="s">
        <v>40</v>
      </c>
      <c r="C949" s="90" t="s">
        <v>39</v>
      </c>
      <c r="D949" s="90" t="s">
        <v>4539</v>
      </c>
      <c r="E949" s="90" t="s">
        <v>4538</v>
      </c>
      <c r="F949" s="91"/>
      <c r="G949" s="92">
        <v>70013984</v>
      </c>
      <c r="H949" s="91" t="s">
        <v>4370</v>
      </c>
      <c r="I949" s="93" t="s">
        <v>41</v>
      </c>
      <c r="J949" s="102" t="s">
        <v>3403</v>
      </c>
      <c r="K949" s="94" t="s">
        <v>3074</v>
      </c>
      <c r="L949" s="94" t="s">
        <v>3221</v>
      </c>
      <c r="M949" s="95">
        <v>301900</v>
      </c>
      <c r="N949" s="95">
        <v>6000</v>
      </c>
      <c r="O949" s="95">
        <v>8500</v>
      </c>
      <c r="P949" s="96">
        <v>564990</v>
      </c>
      <c r="Q949" s="152"/>
      <c r="R949" s="95">
        <v>301900</v>
      </c>
      <c r="S949" s="95">
        <v>15995.833333333334</v>
      </c>
      <c r="T949" s="95">
        <v>301900</v>
      </c>
      <c r="U949" s="95">
        <v>15995.833333333334</v>
      </c>
      <c r="V949" s="95">
        <v>301900</v>
      </c>
      <c r="W949" s="95">
        <v>15995.833333333334</v>
      </c>
      <c r="X949" s="128"/>
      <c r="Y949" s="95">
        <v>51900</v>
      </c>
      <c r="Z949" s="95">
        <v>17000</v>
      </c>
      <c r="AA949" s="95">
        <f>IFERROR(IF(D949="Premium",0.4*Y949,0),"No Disp")</f>
        <v>0</v>
      </c>
      <c r="AB949" s="95">
        <f>IFERROR(IF(4*Y949&gt;AC949,1.5*Y949,4*Y949),"No Disp")</f>
        <v>207600</v>
      </c>
      <c r="AC949" s="95">
        <f>IF(Z949="No Disp","No Disp",(Z949*18)+Y949)</f>
        <v>357900</v>
      </c>
      <c r="AD949" s="95">
        <f>IF($H949="EMP",18*Z949-100,18*Z949-100+Y949)</f>
        <v>305900</v>
      </c>
      <c r="AE949" s="95">
        <v>51900</v>
      </c>
      <c r="AF949" s="95">
        <v>17000</v>
      </c>
      <c r="AG949" s="95">
        <f>IF(AF949="No Disp","No Disp",(AF949*18)+AE949)</f>
        <v>357900</v>
      </c>
      <c r="AH949" s="98">
        <f>IF($H949="EMP",18*AF949-100,18*AF949-100+AE949)</f>
        <v>305900</v>
      </c>
      <c r="AI949" s="95">
        <v>19000</v>
      </c>
      <c r="AJ949" s="99"/>
      <c r="AK949" s="100" t="s">
        <v>43</v>
      </c>
      <c r="AL949" s="100" t="s">
        <v>43</v>
      </c>
      <c r="AM949" s="100" t="s">
        <v>43</v>
      </c>
      <c r="AN949" s="100" t="s">
        <v>43</v>
      </c>
      <c r="AO949" s="100" t="s">
        <v>43</v>
      </c>
      <c r="AP949" s="100" t="s">
        <v>43</v>
      </c>
      <c r="AQ949" s="100" t="s">
        <v>43</v>
      </c>
      <c r="AR949" s="100" t="s">
        <v>43</v>
      </c>
      <c r="AS949" s="100" t="s">
        <v>43</v>
      </c>
    </row>
    <row r="950" spans="1:45" s="101" customFormat="1" x14ac:dyDescent="0.25">
      <c r="A950" s="90" t="s">
        <v>38</v>
      </c>
      <c r="B950" s="90" t="s">
        <v>40</v>
      </c>
      <c r="C950" s="90" t="s">
        <v>39</v>
      </c>
      <c r="D950" s="90" t="s">
        <v>4539</v>
      </c>
      <c r="E950" s="90" t="s">
        <v>4538</v>
      </c>
      <c r="F950" s="91"/>
      <c r="G950" s="92">
        <v>70013942</v>
      </c>
      <c r="H950" s="91" t="s">
        <v>4370</v>
      </c>
      <c r="I950" s="93" t="s">
        <v>41</v>
      </c>
      <c r="J950" s="94" t="s">
        <v>2929</v>
      </c>
      <c r="K950" s="94" t="s">
        <v>3073</v>
      </c>
      <c r="L950" s="94" t="s">
        <v>4423</v>
      </c>
      <c r="M950" s="95">
        <v>301900</v>
      </c>
      <c r="N950" s="95">
        <v>6000</v>
      </c>
      <c r="O950" s="95">
        <v>8500</v>
      </c>
      <c r="P950" s="96">
        <v>564990</v>
      </c>
      <c r="Q950" s="152"/>
      <c r="R950" s="95">
        <v>301900</v>
      </c>
      <c r="S950" s="95">
        <v>14412.5</v>
      </c>
      <c r="T950" s="95">
        <v>301900</v>
      </c>
      <c r="U950" s="95">
        <v>14412.5</v>
      </c>
      <c r="V950" s="95">
        <v>301900</v>
      </c>
      <c r="W950" s="95">
        <v>14412.5</v>
      </c>
      <c r="X950" s="128"/>
      <c r="Y950" s="95">
        <v>51900</v>
      </c>
      <c r="Z950" s="95">
        <v>17000</v>
      </c>
      <c r="AA950" s="95">
        <f>IFERROR(IF(D950="Premium",0.4*Y950,0),"No Disp")</f>
        <v>0</v>
      </c>
      <c r="AB950" s="95">
        <f>IFERROR(IF(4*Y950&gt;AC950,1.5*Y950,4*Y950),"No Disp")</f>
        <v>207600</v>
      </c>
      <c r="AC950" s="95">
        <f>IF(Z950="No Disp","No Disp",(Z950*18)+Y950)</f>
        <v>357900</v>
      </c>
      <c r="AD950" s="95">
        <f>IF($H950="EMP",18*Z950-100,18*Z950-100+Y950)</f>
        <v>305900</v>
      </c>
      <c r="AE950" s="95">
        <v>51900</v>
      </c>
      <c r="AF950" s="95">
        <v>17000</v>
      </c>
      <c r="AG950" s="95">
        <f>IF(AF950="No Disp","No Disp",(AF950*18)+AE950)</f>
        <v>357900</v>
      </c>
      <c r="AH950" s="98">
        <f>IF($H950="EMP",18*AF950-100,18*AF950-100+AE950)</f>
        <v>305900</v>
      </c>
      <c r="AI950" s="95">
        <v>19000</v>
      </c>
      <c r="AJ950" s="99"/>
      <c r="AK950" s="100" t="s">
        <v>43</v>
      </c>
      <c r="AL950" s="100" t="s">
        <v>43</v>
      </c>
      <c r="AM950" s="100" t="s">
        <v>43</v>
      </c>
      <c r="AN950" s="100" t="s">
        <v>43</v>
      </c>
      <c r="AO950" s="100" t="s">
        <v>43</v>
      </c>
      <c r="AP950" s="100" t="s">
        <v>43</v>
      </c>
      <c r="AQ950" s="100" t="s">
        <v>43</v>
      </c>
      <c r="AR950" s="100" t="s">
        <v>43</v>
      </c>
      <c r="AS950" s="100" t="s">
        <v>43</v>
      </c>
    </row>
    <row r="951" spans="1:45" s="101" customFormat="1" x14ac:dyDescent="0.25">
      <c r="A951" s="90" t="s">
        <v>38</v>
      </c>
      <c r="B951" s="90" t="s">
        <v>40</v>
      </c>
      <c r="C951" s="90" t="s">
        <v>39</v>
      </c>
      <c r="D951" s="90" t="s">
        <v>4540</v>
      </c>
      <c r="E951" s="90" t="s">
        <v>4542</v>
      </c>
      <c r="F951" s="91"/>
      <c r="G951" s="92">
        <v>70013964</v>
      </c>
      <c r="H951" s="91" t="s">
        <v>4370</v>
      </c>
      <c r="I951" s="93" t="s">
        <v>63</v>
      </c>
      <c r="J951" s="94" t="s">
        <v>932</v>
      </c>
      <c r="K951" s="94" t="s">
        <v>3087</v>
      </c>
      <c r="L951" s="94" t="s">
        <v>3234</v>
      </c>
      <c r="M951" s="95">
        <v>499900</v>
      </c>
      <c r="N951" s="95">
        <v>6000</v>
      </c>
      <c r="O951" s="95">
        <v>8500</v>
      </c>
      <c r="P951" s="96"/>
      <c r="Q951" s="152"/>
      <c r="R951" s="95">
        <v>499900</v>
      </c>
      <c r="S951" s="95">
        <v>18787.5</v>
      </c>
      <c r="T951" s="95">
        <v>499900</v>
      </c>
      <c r="U951" s="95">
        <v>18787.5</v>
      </c>
      <c r="V951" s="95">
        <v>499900</v>
      </c>
      <c r="W951" s="95">
        <v>18787.5</v>
      </c>
      <c r="X951" s="128"/>
      <c r="Y951" s="95">
        <v>114900</v>
      </c>
      <c r="Z951" s="95">
        <v>26000</v>
      </c>
      <c r="AA951" s="95">
        <f>IFERROR(IF(D951="Premium",0.4*Y951,0),"No Disp")</f>
        <v>45960</v>
      </c>
      <c r="AB951" s="95">
        <f>IFERROR(IF(4*Y951&gt;AC951,1.5*Y951,4*Y951),"No Disp")</f>
        <v>459600</v>
      </c>
      <c r="AC951" s="95">
        <f>IF(Z951="No Disp","No Disp",(Z951*18)+Y951)</f>
        <v>582900</v>
      </c>
      <c r="AD951" s="95">
        <f>IF($H951="EMP",18*Z951-100,18*Z951-100+Y951)</f>
        <v>467900</v>
      </c>
      <c r="AE951" s="95">
        <v>114900</v>
      </c>
      <c r="AF951" s="95">
        <v>26000</v>
      </c>
      <c r="AG951" s="95">
        <f>IF(AF951="No Disp","No Disp",(AF951*18)+AE951)</f>
        <v>582900</v>
      </c>
      <c r="AH951" s="98">
        <f>IF($H951="EMP",18*AF951-100,18*AF951-100+AE951)</f>
        <v>467900</v>
      </c>
      <c r="AI951" s="95">
        <v>32000</v>
      </c>
      <c r="AJ951" s="99"/>
      <c r="AK951" s="100" t="s">
        <v>43</v>
      </c>
      <c r="AL951" s="100" t="s">
        <v>43</v>
      </c>
      <c r="AM951" s="100" t="s">
        <v>43</v>
      </c>
      <c r="AN951" s="100" t="s">
        <v>43</v>
      </c>
      <c r="AO951" s="100" t="s">
        <v>43</v>
      </c>
      <c r="AP951" s="100" t="s">
        <v>43</v>
      </c>
      <c r="AQ951" s="100" t="s">
        <v>43</v>
      </c>
      <c r="AR951" s="100" t="s">
        <v>43</v>
      </c>
      <c r="AS951" s="100" t="s">
        <v>43</v>
      </c>
    </row>
    <row r="952" spans="1:45" s="101" customFormat="1" x14ac:dyDescent="0.25">
      <c r="A952" s="90" t="s">
        <v>38</v>
      </c>
      <c r="B952" s="90" t="s">
        <v>40</v>
      </c>
      <c r="C952" s="90" t="s">
        <v>39</v>
      </c>
      <c r="D952" s="90" t="s">
        <v>4540</v>
      </c>
      <c r="E952" s="90" t="s">
        <v>4542</v>
      </c>
      <c r="F952" s="91"/>
      <c r="G952" s="92">
        <v>70014131</v>
      </c>
      <c r="H952" s="91" t="s">
        <v>4370</v>
      </c>
      <c r="I952" s="93" t="s">
        <v>63</v>
      </c>
      <c r="J952" s="94" t="s">
        <v>932</v>
      </c>
      <c r="K952" s="94" t="s">
        <v>3087</v>
      </c>
      <c r="L952" s="94" t="s">
        <v>3235</v>
      </c>
      <c r="M952" s="95">
        <v>499900</v>
      </c>
      <c r="N952" s="95">
        <v>6000</v>
      </c>
      <c r="O952" s="95">
        <v>8500</v>
      </c>
      <c r="P952" s="96"/>
      <c r="Q952" s="152"/>
      <c r="R952" s="95">
        <v>499900</v>
      </c>
      <c r="S952" s="95">
        <v>18787.5</v>
      </c>
      <c r="T952" s="95">
        <v>499900</v>
      </c>
      <c r="U952" s="95">
        <v>18787.5</v>
      </c>
      <c r="V952" s="95">
        <v>499900</v>
      </c>
      <c r="W952" s="95">
        <v>18787.5</v>
      </c>
      <c r="X952" s="128"/>
      <c r="Y952" s="95">
        <v>114900</v>
      </c>
      <c r="Z952" s="95">
        <v>26000</v>
      </c>
      <c r="AA952" s="95">
        <f>IFERROR(IF(D952="Premium",0.4*Y952,0),"No Disp")</f>
        <v>45960</v>
      </c>
      <c r="AB952" s="95">
        <f>IFERROR(IF(4*Y952&gt;AC952,1.5*Y952,4*Y952),"No Disp")</f>
        <v>459600</v>
      </c>
      <c r="AC952" s="95">
        <f>IF(Z952="No Disp","No Disp",(Z952*18)+Y952)</f>
        <v>582900</v>
      </c>
      <c r="AD952" s="95">
        <f>IF($H952="EMP",18*Z952-100,18*Z952-100+Y952)</f>
        <v>467900</v>
      </c>
      <c r="AE952" s="95">
        <v>114900</v>
      </c>
      <c r="AF952" s="95">
        <v>26000</v>
      </c>
      <c r="AG952" s="95">
        <f>IF(AF952="No Disp","No Disp",(AF952*18)+AE952)</f>
        <v>582900</v>
      </c>
      <c r="AH952" s="98">
        <f>IF($H952="EMP",18*AF952-100,18*AF952-100+AE952)</f>
        <v>467900</v>
      </c>
      <c r="AI952" s="95">
        <v>32000</v>
      </c>
      <c r="AJ952" s="99"/>
      <c r="AK952" s="100" t="s">
        <v>43</v>
      </c>
      <c r="AL952" s="100" t="s">
        <v>43</v>
      </c>
      <c r="AM952" s="100" t="s">
        <v>43</v>
      </c>
      <c r="AN952" s="100" t="s">
        <v>43</v>
      </c>
      <c r="AO952" s="100" t="s">
        <v>43</v>
      </c>
      <c r="AP952" s="100" t="s">
        <v>43</v>
      </c>
      <c r="AQ952" s="100" t="s">
        <v>43</v>
      </c>
      <c r="AR952" s="100" t="s">
        <v>43</v>
      </c>
      <c r="AS952" s="100" t="s">
        <v>43</v>
      </c>
    </row>
    <row r="953" spans="1:45" s="101" customFormat="1" x14ac:dyDescent="0.25">
      <c r="A953" s="90" t="s">
        <v>38</v>
      </c>
      <c r="B953" s="90" t="s">
        <v>40</v>
      </c>
      <c r="C953" s="90" t="s">
        <v>39</v>
      </c>
      <c r="D953" s="90" t="s">
        <v>4539</v>
      </c>
      <c r="E953" s="90" t="s">
        <v>4542</v>
      </c>
      <c r="F953" s="91"/>
      <c r="G953" s="92">
        <v>70014006</v>
      </c>
      <c r="H953" s="91" t="s">
        <v>4370</v>
      </c>
      <c r="I953" s="93" t="s">
        <v>46</v>
      </c>
      <c r="J953" s="94" t="s">
        <v>669</v>
      </c>
      <c r="K953" s="94" t="s">
        <v>3015</v>
      </c>
      <c r="L953" s="94" t="s">
        <v>3162</v>
      </c>
      <c r="M953" s="95">
        <v>337900</v>
      </c>
      <c r="N953" s="95">
        <v>6000</v>
      </c>
      <c r="O953" s="95">
        <v>8500</v>
      </c>
      <c r="P953" s="96"/>
      <c r="Q953" s="152"/>
      <c r="R953" s="95">
        <v>337900</v>
      </c>
      <c r="S953" s="95">
        <v>13912.5</v>
      </c>
      <c r="T953" s="95">
        <v>337900</v>
      </c>
      <c r="U953" s="95">
        <v>13912.5</v>
      </c>
      <c r="V953" s="95">
        <v>337900</v>
      </c>
      <c r="W953" s="95">
        <v>13912.5</v>
      </c>
      <c r="X953" s="128"/>
      <c r="Y953" s="95">
        <v>77900</v>
      </c>
      <c r="Z953" s="95">
        <v>18000</v>
      </c>
      <c r="AA953" s="95">
        <f>IFERROR(IF(D953="Premium",0.4*Y953,0),"No Disp")</f>
        <v>0</v>
      </c>
      <c r="AB953" s="95">
        <f>IFERROR(IF(4*Y953&gt;AC953,1.5*Y953,4*Y953),"No Disp")</f>
        <v>311600</v>
      </c>
      <c r="AC953" s="95">
        <f>IF(Z953="No Disp","No Disp",(Z953*18)+Y953)</f>
        <v>401900</v>
      </c>
      <c r="AD953" s="95">
        <f>IF($H953="EMP",18*Z953-100,18*Z953-100+Y953)</f>
        <v>323900</v>
      </c>
      <c r="AE953" s="95">
        <v>77900</v>
      </c>
      <c r="AF953" s="95">
        <v>18000</v>
      </c>
      <c r="AG953" s="95">
        <f>IF(AF953="No Disp","No Disp",(AF953*18)+AE953)</f>
        <v>401900</v>
      </c>
      <c r="AH953" s="98">
        <f>IF($H953="EMP",18*AF953-100,18*AF953-100+AE953)</f>
        <v>323900</v>
      </c>
      <c r="AI953" s="95">
        <v>22000</v>
      </c>
      <c r="AJ953" s="99"/>
      <c r="AK953" s="100" t="s">
        <v>43</v>
      </c>
      <c r="AL953" s="100" t="s">
        <v>43</v>
      </c>
      <c r="AM953" s="100" t="s">
        <v>43</v>
      </c>
      <c r="AN953" s="100" t="s">
        <v>43</v>
      </c>
      <c r="AO953" s="100" t="s">
        <v>43</v>
      </c>
      <c r="AP953" s="100" t="s">
        <v>43</v>
      </c>
      <c r="AQ953" s="100" t="s">
        <v>43</v>
      </c>
      <c r="AR953" s="100" t="s">
        <v>43</v>
      </c>
      <c r="AS953" s="100" t="s">
        <v>43</v>
      </c>
    </row>
    <row r="954" spans="1:45" s="101" customFormat="1" x14ac:dyDescent="0.25">
      <c r="A954" s="90" t="s">
        <v>38</v>
      </c>
      <c r="B954" s="90" t="s">
        <v>40</v>
      </c>
      <c r="C954" s="90" t="s">
        <v>39</v>
      </c>
      <c r="D954" s="90" t="s">
        <v>4539</v>
      </c>
      <c r="E954" s="90" t="s">
        <v>4542</v>
      </c>
      <c r="F954" s="91"/>
      <c r="G954" s="92">
        <v>70014184</v>
      </c>
      <c r="H954" s="91" t="s">
        <v>4370</v>
      </c>
      <c r="I954" s="93" t="s">
        <v>46</v>
      </c>
      <c r="J954" s="94" t="s">
        <v>669</v>
      </c>
      <c r="K954" s="94" t="s">
        <v>3016</v>
      </c>
      <c r="L954" s="94" t="s">
        <v>3163</v>
      </c>
      <c r="M954" s="95">
        <v>337900</v>
      </c>
      <c r="N954" s="95">
        <v>6000</v>
      </c>
      <c r="O954" s="95">
        <v>8500</v>
      </c>
      <c r="P954" s="96"/>
      <c r="Q954" s="152"/>
      <c r="R954" s="95">
        <v>337900</v>
      </c>
      <c r="S954" s="95">
        <v>13912.5</v>
      </c>
      <c r="T954" s="95">
        <v>337900</v>
      </c>
      <c r="U954" s="95">
        <v>13912.5</v>
      </c>
      <c r="V954" s="95">
        <v>337900</v>
      </c>
      <c r="W954" s="95">
        <v>13912.5</v>
      </c>
      <c r="X954" s="128"/>
      <c r="Y954" s="95">
        <v>77900</v>
      </c>
      <c r="Z954" s="95">
        <v>18000</v>
      </c>
      <c r="AA954" s="95">
        <f>IFERROR(IF(D954="Premium",0.4*Y954,0),"No Disp")</f>
        <v>0</v>
      </c>
      <c r="AB954" s="95">
        <f>IFERROR(IF(4*Y954&gt;AC954,1.5*Y954,4*Y954),"No Disp")</f>
        <v>311600</v>
      </c>
      <c r="AC954" s="95">
        <f>IF(Z954="No Disp","No Disp",(Z954*18)+Y954)</f>
        <v>401900</v>
      </c>
      <c r="AD954" s="95">
        <f>IF($H954="EMP",18*Z954-100,18*Z954-100+Y954)</f>
        <v>323900</v>
      </c>
      <c r="AE954" s="95">
        <v>77900</v>
      </c>
      <c r="AF954" s="95">
        <v>18000</v>
      </c>
      <c r="AG954" s="95">
        <f>IF(AF954="No Disp","No Disp",(AF954*18)+AE954)</f>
        <v>401900</v>
      </c>
      <c r="AH954" s="98">
        <f>IF($H954="EMP",18*AF954-100,18*AF954-100+AE954)</f>
        <v>323900</v>
      </c>
      <c r="AI954" s="95">
        <v>22000</v>
      </c>
      <c r="AJ954" s="99"/>
      <c r="AK954" s="100" t="s">
        <v>43</v>
      </c>
      <c r="AL954" s="100" t="s">
        <v>43</v>
      </c>
      <c r="AM954" s="100" t="s">
        <v>43</v>
      </c>
      <c r="AN954" s="100" t="s">
        <v>43</v>
      </c>
      <c r="AO954" s="100" t="s">
        <v>43</v>
      </c>
      <c r="AP954" s="100" t="s">
        <v>43</v>
      </c>
      <c r="AQ954" s="100" t="s">
        <v>43</v>
      </c>
      <c r="AR954" s="100" t="s">
        <v>43</v>
      </c>
      <c r="AS954" s="100" t="s">
        <v>43</v>
      </c>
    </row>
    <row r="955" spans="1:45" s="101" customFormat="1" x14ac:dyDescent="0.25">
      <c r="A955" s="90" t="s">
        <v>38</v>
      </c>
      <c r="B955" s="90" t="s">
        <v>40</v>
      </c>
      <c r="C955" s="90" t="s">
        <v>39</v>
      </c>
      <c r="D955" s="90" t="s">
        <v>4540</v>
      </c>
      <c r="E955" s="90" t="s">
        <v>4542</v>
      </c>
      <c r="F955" s="91"/>
      <c r="G955" s="92">
        <v>70013973</v>
      </c>
      <c r="H955" s="91" t="s">
        <v>4370</v>
      </c>
      <c r="I955" s="93" t="s">
        <v>63</v>
      </c>
      <c r="J955" s="94" t="s">
        <v>135</v>
      </c>
      <c r="K955" s="94" t="s">
        <v>3137</v>
      </c>
      <c r="L955" s="94" t="s">
        <v>3285</v>
      </c>
      <c r="M955" s="95">
        <v>1649900</v>
      </c>
      <c r="N955" s="95">
        <v>9500</v>
      </c>
      <c r="O955" s="95">
        <v>13500</v>
      </c>
      <c r="P955" s="96">
        <v>1899990</v>
      </c>
      <c r="Q955" s="152"/>
      <c r="R955" s="95">
        <v>1649900</v>
      </c>
      <c r="S955" s="95">
        <v>68745.833333333328</v>
      </c>
      <c r="T955" s="95">
        <v>1649900</v>
      </c>
      <c r="U955" s="95">
        <v>68745.833333333328</v>
      </c>
      <c r="V955" s="95">
        <v>1649900</v>
      </c>
      <c r="W955" s="95">
        <v>68745.833333333328</v>
      </c>
      <c r="X955" s="128"/>
      <c r="Y955" s="95">
        <v>569900</v>
      </c>
      <c r="Z955" s="95">
        <v>74000</v>
      </c>
      <c r="AA955" s="95">
        <f>IFERROR(IF(D955="Premium",0.4*Y955,0),"No Disp")</f>
        <v>227960</v>
      </c>
      <c r="AB955" s="95">
        <f>IFERROR(IF(4*Y955&gt;AC955,1.5*Y955,4*Y955),"No Disp")</f>
        <v>854850</v>
      </c>
      <c r="AC955" s="95">
        <f>IF(Z955="No Disp","No Disp",(Z955*18)+Y955)</f>
        <v>1901900</v>
      </c>
      <c r="AD955" s="95">
        <f>IF($H955="EMP",18*Z955-100,18*Z955-100+Y955)</f>
        <v>1331900</v>
      </c>
      <c r="AE955" s="95">
        <v>569900</v>
      </c>
      <c r="AF955" s="95">
        <v>74000</v>
      </c>
      <c r="AG955" s="95">
        <f>IF(AF955="No Disp","No Disp",(AF955*18)+AE955)</f>
        <v>1901900</v>
      </c>
      <c r="AH955" s="98">
        <f>IF($H955="EMP",18*AF955-100,18*AF955-100+AE955)</f>
        <v>1331900</v>
      </c>
      <c r="AI955" s="95">
        <v>105000</v>
      </c>
      <c r="AJ955" s="99"/>
      <c r="AK955" s="100" t="s">
        <v>43</v>
      </c>
      <c r="AL955" s="100" t="s">
        <v>43</v>
      </c>
      <c r="AM955" s="100" t="s">
        <v>43</v>
      </c>
      <c r="AN955" s="100" t="s">
        <v>43</v>
      </c>
      <c r="AO955" s="100" t="s">
        <v>43</v>
      </c>
      <c r="AP955" s="100" t="s">
        <v>43</v>
      </c>
      <c r="AQ955" s="100" t="s">
        <v>43</v>
      </c>
      <c r="AR955" s="100" t="s">
        <v>43</v>
      </c>
      <c r="AS955" s="100" t="s">
        <v>43</v>
      </c>
    </row>
    <row r="956" spans="1:45" s="101" customFormat="1" x14ac:dyDescent="0.25">
      <c r="A956" s="90" t="s">
        <v>38</v>
      </c>
      <c r="B956" s="90" t="s">
        <v>40</v>
      </c>
      <c r="C956" s="90" t="s">
        <v>39</v>
      </c>
      <c r="D956" s="90" t="s">
        <v>4537</v>
      </c>
      <c r="E956" s="90" t="s">
        <v>4542</v>
      </c>
      <c r="F956" s="91"/>
      <c r="G956" s="92">
        <v>70013960</v>
      </c>
      <c r="H956" s="91" t="s">
        <v>4370</v>
      </c>
      <c r="I956" s="93" t="s">
        <v>63</v>
      </c>
      <c r="J956" s="94" t="s">
        <v>966</v>
      </c>
      <c r="K956" s="94" t="s">
        <v>3098</v>
      </c>
      <c r="L956" s="94" t="s">
        <v>3246</v>
      </c>
      <c r="M956" s="95">
        <v>644900</v>
      </c>
      <c r="N956" s="95">
        <v>6000</v>
      </c>
      <c r="O956" s="95">
        <v>8500</v>
      </c>
      <c r="P956" s="96">
        <v>889990</v>
      </c>
      <c r="Q956" s="152"/>
      <c r="R956" s="95">
        <v>644900</v>
      </c>
      <c r="S956" s="95">
        <v>26037.5</v>
      </c>
      <c r="T956" s="95">
        <v>644900</v>
      </c>
      <c r="U956" s="95">
        <v>26037.5</v>
      </c>
      <c r="V956" s="95">
        <v>644900</v>
      </c>
      <c r="W956" s="95">
        <v>26037.5</v>
      </c>
      <c r="X956" s="128"/>
      <c r="Y956" s="95">
        <v>0</v>
      </c>
      <c r="Z956" s="95">
        <v>42000</v>
      </c>
      <c r="AA956" s="95">
        <f>IFERROR(IF(D956="Premium",0.4*Y956,0),"No Disp")</f>
        <v>0</v>
      </c>
      <c r="AB956" s="95">
        <f>IFERROR(IF(4*Y956&gt;AC956,1.5*Y956,4*Y956),"No Disp")</f>
        <v>0</v>
      </c>
      <c r="AC956" s="95">
        <f>IF(Z956="No Disp","No Disp",(Z956*18)+Y956)</f>
        <v>756000</v>
      </c>
      <c r="AD956" s="95">
        <f>IF($H956="EMP",18*Z956-100,18*Z956-100+Y956)</f>
        <v>755900</v>
      </c>
      <c r="AE956" s="95">
        <v>0</v>
      </c>
      <c r="AF956" s="95">
        <v>42000</v>
      </c>
      <c r="AG956" s="95">
        <f>IF(AF956="No Disp","No Disp",(AF956*18)+AE956)</f>
        <v>756000</v>
      </c>
      <c r="AH956" s="98">
        <f>IF($H956="EMP",18*AF956-100,18*AF956-100+AE956)</f>
        <v>755900</v>
      </c>
      <c r="AI956" s="95">
        <v>37000</v>
      </c>
      <c r="AJ956" s="99"/>
      <c r="AK956" s="100" t="s">
        <v>43</v>
      </c>
      <c r="AL956" s="100" t="s">
        <v>43</v>
      </c>
      <c r="AM956" s="100" t="s">
        <v>43</v>
      </c>
      <c r="AN956" s="100" t="s">
        <v>43</v>
      </c>
      <c r="AO956" s="100" t="s">
        <v>43</v>
      </c>
      <c r="AP956" s="100" t="s">
        <v>43</v>
      </c>
      <c r="AQ956" s="100" t="s">
        <v>43</v>
      </c>
      <c r="AR956" s="100" t="s">
        <v>43</v>
      </c>
      <c r="AS956" s="100" t="s">
        <v>43</v>
      </c>
    </row>
    <row r="957" spans="1:45" s="101" customFormat="1" x14ac:dyDescent="0.25">
      <c r="A957" s="90" t="s">
        <v>38</v>
      </c>
      <c r="B957" s="90" t="s">
        <v>40</v>
      </c>
      <c r="C957" s="90" t="s">
        <v>39</v>
      </c>
      <c r="D957" s="90" t="s">
        <v>4537</v>
      </c>
      <c r="E957" s="90" t="s">
        <v>4542</v>
      </c>
      <c r="F957" s="91"/>
      <c r="G957" s="92">
        <v>70014191</v>
      </c>
      <c r="H957" s="91" t="s">
        <v>4370</v>
      </c>
      <c r="I957" s="93" t="s">
        <v>63</v>
      </c>
      <c r="J957" s="94" t="s">
        <v>966</v>
      </c>
      <c r="K957" s="94" t="s">
        <v>3099</v>
      </c>
      <c r="L957" s="94" t="s">
        <v>3247</v>
      </c>
      <c r="M957" s="95">
        <v>644900</v>
      </c>
      <c r="N957" s="95">
        <v>6000</v>
      </c>
      <c r="O957" s="95">
        <v>8500</v>
      </c>
      <c r="P957" s="96">
        <v>889990</v>
      </c>
      <c r="Q957" s="152"/>
      <c r="R957" s="95">
        <v>644900</v>
      </c>
      <c r="S957" s="95">
        <v>26037.5</v>
      </c>
      <c r="T957" s="95">
        <v>644900</v>
      </c>
      <c r="U957" s="95">
        <v>26037.5</v>
      </c>
      <c r="V957" s="95">
        <v>644900</v>
      </c>
      <c r="W957" s="95">
        <v>26037.5</v>
      </c>
      <c r="X957" s="128"/>
      <c r="Y957" s="95">
        <v>0</v>
      </c>
      <c r="Z957" s="95">
        <v>42000</v>
      </c>
      <c r="AA957" s="95">
        <f>IFERROR(IF(D957="Premium",0.4*Y957,0),"No Disp")</f>
        <v>0</v>
      </c>
      <c r="AB957" s="95">
        <f>IFERROR(IF(4*Y957&gt;AC957,1.5*Y957,4*Y957),"No Disp")</f>
        <v>0</v>
      </c>
      <c r="AC957" s="95">
        <f>IF(Z957="No Disp","No Disp",(Z957*18)+Y957)</f>
        <v>756000</v>
      </c>
      <c r="AD957" s="95">
        <f>IF($H957="EMP",18*Z957-100,18*Z957-100+Y957)</f>
        <v>755900</v>
      </c>
      <c r="AE957" s="95">
        <v>0</v>
      </c>
      <c r="AF957" s="95">
        <v>42000</v>
      </c>
      <c r="AG957" s="95">
        <f>IF(AF957="No Disp","No Disp",(AF957*18)+AE957)</f>
        <v>756000</v>
      </c>
      <c r="AH957" s="98">
        <f>IF($H957="EMP",18*AF957-100,18*AF957-100+AE957)</f>
        <v>755900</v>
      </c>
      <c r="AI957" s="95">
        <v>37000</v>
      </c>
      <c r="AJ957" s="99"/>
      <c r="AK957" s="100" t="s">
        <v>43</v>
      </c>
      <c r="AL957" s="100" t="s">
        <v>43</v>
      </c>
      <c r="AM957" s="100" t="s">
        <v>43</v>
      </c>
      <c r="AN957" s="100" t="s">
        <v>43</v>
      </c>
      <c r="AO957" s="100" t="s">
        <v>43</v>
      </c>
      <c r="AP957" s="100" t="s">
        <v>43</v>
      </c>
      <c r="AQ957" s="100" t="s">
        <v>43</v>
      </c>
      <c r="AR957" s="100" t="s">
        <v>43</v>
      </c>
      <c r="AS957" s="100" t="s">
        <v>43</v>
      </c>
    </row>
    <row r="958" spans="1:45" s="101" customFormat="1" x14ac:dyDescent="0.25">
      <c r="A958" s="90" t="s">
        <v>38</v>
      </c>
      <c r="B958" s="90" t="s">
        <v>40</v>
      </c>
      <c r="C958" s="90" t="s">
        <v>39</v>
      </c>
      <c r="D958" s="90" t="s">
        <v>4539</v>
      </c>
      <c r="E958" s="90" t="s">
        <v>4538</v>
      </c>
      <c r="F958" s="91">
        <v>763</v>
      </c>
      <c r="G958" s="92">
        <v>70015353</v>
      </c>
      <c r="H958" s="91" t="s">
        <v>4370</v>
      </c>
      <c r="I958" s="93" t="s">
        <v>87</v>
      </c>
      <c r="J958" s="94" t="s">
        <v>4371</v>
      </c>
      <c r="K958" s="94" t="s">
        <v>4348</v>
      </c>
      <c r="L958" s="94" t="s">
        <v>4377</v>
      </c>
      <c r="M958" s="95">
        <v>205900</v>
      </c>
      <c r="N958" s="95">
        <v>4000</v>
      </c>
      <c r="O958" s="95">
        <v>6000</v>
      </c>
      <c r="P958" s="96">
        <v>229990</v>
      </c>
      <c r="Q958" s="152"/>
      <c r="R958" s="95">
        <v>205900</v>
      </c>
      <c r="S958" s="95">
        <f>R958/24</f>
        <v>8579.1666666666661</v>
      </c>
      <c r="T958" s="95">
        <v>205900</v>
      </c>
      <c r="U958" s="95">
        <f>T958/24</f>
        <v>8579.1666666666661</v>
      </c>
      <c r="V958" s="95">
        <v>205900</v>
      </c>
      <c r="W958" s="95">
        <f>V958/24</f>
        <v>8579.1666666666661</v>
      </c>
      <c r="X958" s="128"/>
      <c r="Y958" s="95">
        <v>0</v>
      </c>
      <c r="Z958" s="95">
        <v>14000</v>
      </c>
      <c r="AA958" s="95">
        <f>IFERROR(IF(D958="Premium",0.4*Y958,0),"No Disp")</f>
        <v>0</v>
      </c>
      <c r="AB958" s="95">
        <f>IFERROR(IF(4*Y958&gt;AC958,1.5*Y958,4*Y958),"No Disp")</f>
        <v>0</v>
      </c>
      <c r="AC958" s="95">
        <f>IF(Z958="No Disp","No Disp",(Z958*18)+Y958)</f>
        <v>252000</v>
      </c>
      <c r="AD958" s="95">
        <f>IF($H958="EMP",18*Z958-100,18*Z958-100+Y958)</f>
        <v>251900</v>
      </c>
      <c r="AE958" s="95">
        <v>0</v>
      </c>
      <c r="AF958" s="95">
        <v>14000</v>
      </c>
      <c r="AG958" s="95">
        <f>IF(AF958="No Disp","No Disp",(AF958*18)+AE958)</f>
        <v>252000</v>
      </c>
      <c r="AH958" s="98">
        <f>IF($H958="EMP",18*AF958-100,18*AF958-100+AE958)</f>
        <v>251900</v>
      </c>
      <c r="AI958" s="95">
        <v>13000</v>
      </c>
      <c r="AJ958" s="99"/>
      <c r="AK958" s="100" t="s">
        <v>43</v>
      </c>
      <c r="AL958" s="100" t="s">
        <v>43</v>
      </c>
      <c r="AM958" s="100" t="str">
        <f>IF(AL958&lt;&gt;"No Disp",AK958+12*AL958,"No Disp")</f>
        <v>No Disp</v>
      </c>
      <c r="AN958" s="100" t="s">
        <v>43</v>
      </c>
      <c r="AO958" s="100" t="s">
        <v>43</v>
      </c>
      <c r="AP958" s="100" t="str">
        <f>IF(AO958&lt;&gt;"No Disp",AN958+12*AO958,"No Disp")</f>
        <v>No Disp</v>
      </c>
      <c r="AQ958" s="100" t="s">
        <v>43</v>
      </c>
      <c r="AR958" s="100" t="s">
        <v>43</v>
      </c>
      <c r="AS958" s="100" t="str">
        <f>IF(AR958&lt;&gt;"No Disp",AQ958+12*AR958,"No Disp")</f>
        <v>No Disp</v>
      </c>
    </row>
    <row r="959" spans="1:45" s="101" customFormat="1" x14ac:dyDescent="0.25">
      <c r="A959" s="90" t="s">
        <v>38</v>
      </c>
      <c r="B959" s="90" t="s">
        <v>40</v>
      </c>
      <c r="C959" s="90" t="s">
        <v>39</v>
      </c>
      <c r="D959" s="90" t="s">
        <v>4541</v>
      </c>
      <c r="E959" s="90" t="s">
        <v>4538</v>
      </c>
      <c r="F959" s="91"/>
      <c r="G959" s="92">
        <v>70015276</v>
      </c>
      <c r="H959" s="91" t="s">
        <v>4370</v>
      </c>
      <c r="I959" s="93" t="s">
        <v>46</v>
      </c>
      <c r="J959" s="94" t="s">
        <v>4175</v>
      </c>
      <c r="K959" s="94" t="s">
        <v>4426</v>
      </c>
      <c r="L959" s="94" t="s">
        <v>4181</v>
      </c>
      <c r="M959" s="95">
        <v>163900</v>
      </c>
      <c r="N959" s="95">
        <v>2500</v>
      </c>
      <c r="O959" s="95">
        <v>4000</v>
      </c>
      <c r="P959" s="96">
        <v>229990</v>
      </c>
      <c r="Q959" s="152"/>
      <c r="R959" s="95">
        <v>163900</v>
      </c>
      <c r="S959" s="95">
        <v>7916.25</v>
      </c>
      <c r="T959" s="95">
        <v>163900</v>
      </c>
      <c r="U959" s="95">
        <v>7079.166666666667</v>
      </c>
      <c r="V959" s="95">
        <v>163900</v>
      </c>
      <c r="W959" s="95">
        <v>7079.166666666667</v>
      </c>
      <c r="X959" s="128"/>
      <c r="Y959" s="95">
        <v>0</v>
      </c>
      <c r="Z959" s="95">
        <v>11000</v>
      </c>
      <c r="AA959" s="95">
        <f>IFERROR(IF(D959="Premium",0.4*Y959,0),"No Disp")</f>
        <v>0</v>
      </c>
      <c r="AB959" s="95">
        <f>IFERROR(IF(4*Y959&gt;AC959,1.5*Y959,4*Y959),"No Disp")</f>
        <v>0</v>
      </c>
      <c r="AC959" s="95">
        <f>IF(Z959="No Disp","No Disp",(Z959*18)+Y959)</f>
        <v>198000</v>
      </c>
      <c r="AD959" s="95">
        <f>IF($H959="EMP",18*Z959-100,18*Z959-100+Y959)</f>
        <v>197900</v>
      </c>
      <c r="AE959" s="95">
        <v>0</v>
      </c>
      <c r="AF959" s="95">
        <v>11000</v>
      </c>
      <c r="AG959" s="95">
        <f>IF(AF959="No Disp","No Disp",(AF959*18)+AE959)</f>
        <v>198000</v>
      </c>
      <c r="AH959" s="98">
        <f>IF($H959="EMP",18*AF959-100,18*AF959-100+AE959)</f>
        <v>197900</v>
      </c>
      <c r="AI959" s="95">
        <v>10000</v>
      </c>
      <c r="AJ959" s="99"/>
      <c r="AK959" s="100" t="s">
        <v>43</v>
      </c>
      <c r="AL959" s="100" t="s">
        <v>43</v>
      </c>
      <c r="AM959" s="100" t="s">
        <v>43</v>
      </c>
      <c r="AN959" s="100" t="s">
        <v>43</v>
      </c>
      <c r="AO959" s="100" t="s">
        <v>43</v>
      </c>
      <c r="AP959" s="100" t="s">
        <v>43</v>
      </c>
      <c r="AQ959" s="100" t="s">
        <v>43</v>
      </c>
      <c r="AR959" s="100" t="s">
        <v>43</v>
      </c>
      <c r="AS959" s="100" t="s">
        <v>43</v>
      </c>
    </row>
    <row r="960" spans="1:45" s="101" customFormat="1" x14ac:dyDescent="0.25">
      <c r="A960" s="90" t="s">
        <v>38</v>
      </c>
      <c r="B960" s="90" t="s">
        <v>40</v>
      </c>
      <c r="C960" s="90" t="s">
        <v>39</v>
      </c>
      <c r="D960" s="90" t="s">
        <v>4541</v>
      </c>
      <c r="E960" s="90" t="s">
        <v>4538</v>
      </c>
      <c r="F960" s="91"/>
      <c r="G960" s="92">
        <v>70015280</v>
      </c>
      <c r="H960" s="91" t="s">
        <v>4370</v>
      </c>
      <c r="I960" s="93" t="s">
        <v>46</v>
      </c>
      <c r="J960" s="94" t="s">
        <v>4175</v>
      </c>
      <c r="K960" s="94" t="s">
        <v>4427</v>
      </c>
      <c r="L960" s="94" t="s">
        <v>4183</v>
      </c>
      <c r="M960" s="95">
        <v>163900</v>
      </c>
      <c r="N960" s="95">
        <v>2500</v>
      </c>
      <c r="O960" s="95">
        <v>4000</v>
      </c>
      <c r="P960" s="96">
        <v>229990</v>
      </c>
      <c r="Q960" s="152"/>
      <c r="R960" s="95">
        <v>163900</v>
      </c>
      <c r="S960" s="95">
        <v>7916.25</v>
      </c>
      <c r="T960" s="95">
        <v>163900</v>
      </c>
      <c r="U960" s="95">
        <v>7079.166666666667</v>
      </c>
      <c r="V960" s="95">
        <v>163900</v>
      </c>
      <c r="W960" s="95">
        <v>7079.166666666667</v>
      </c>
      <c r="X960" s="128"/>
      <c r="Y960" s="95">
        <v>0</v>
      </c>
      <c r="Z960" s="95">
        <v>11000</v>
      </c>
      <c r="AA960" s="95">
        <f>IFERROR(IF(D960="Premium",0.4*Y960,0),"No Disp")</f>
        <v>0</v>
      </c>
      <c r="AB960" s="95">
        <f>IFERROR(IF(4*Y960&gt;AC960,1.5*Y960,4*Y960),"No Disp")</f>
        <v>0</v>
      </c>
      <c r="AC960" s="95">
        <f>IF(Z960="No Disp","No Disp",(Z960*18)+Y960)</f>
        <v>198000</v>
      </c>
      <c r="AD960" s="95">
        <f>IF($H960="EMP",18*Z960-100,18*Z960-100+Y960)</f>
        <v>197900</v>
      </c>
      <c r="AE960" s="95">
        <v>0</v>
      </c>
      <c r="AF960" s="95">
        <v>11000</v>
      </c>
      <c r="AG960" s="95">
        <f>IF(AF960="No Disp","No Disp",(AF960*18)+AE960)</f>
        <v>198000</v>
      </c>
      <c r="AH960" s="98">
        <f>IF($H960="EMP",18*AF960-100,18*AF960-100+AE960)</f>
        <v>197900</v>
      </c>
      <c r="AI960" s="95">
        <v>10000</v>
      </c>
      <c r="AJ960" s="99"/>
      <c r="AK960" s="100" t="s">
        <v>43</v>
      </c>
      <c r="AL960" s="100" t="s">
        <v>43</v>
      </c>
      <c r="AM960" s="100" t="s">
        <v>43</v>
      </c>
      <c r="AN960" s="100" t="s">
        <v>43</v>
      </c>
      <c r="AO960" s="100" t="s">
        <v>43</v>
      </c>
      <c r="AP960" s="100" t="s">
        <v>43</v>
      </c>
      <c r="AQ960" s="100" t="s">
        <v>43</v>
      </c>
      <c r="AR960" s="100" t="s">
        <v>43</v>
      </c>
      <c r="AS960" s="100" t="s">
        <v>43</v>
      </c>
    </row>
    <row r="961" spans="1:45" s="101" customFormat="1" x14ac:dyDescent="0.25">
      <c r="A961" s="90" t="s">
        <v>38</v>
      </c>
      <c r="B961" s="90" t="s">
        <v>40</v>
      </c>
      <c r="C961" s="90" t="s">
        <v>39</v>
      </c>
      <c r="D961" s="90" t="s">
        <v>4541</v>
      </c>
      <c r="E961" s="90" t="s">
        <v>4538</v>
      </c>
      <c r="F961" s="91"/>
      <c r="G961" s="92">
        <v>70015284</v>
      </c>
      <c r="H961" s="91" t="s">
        <v>4370</v>
      </c>
      <c r="I961" s="93" t="s">
        <v>46</v>
      </c>
      <c r="J961" s="94" t="s">
        <v>4175</v>
      </c>
      <c r="K961" s="94" t="s">
        <v>4428</v>
      </c>
      <c r="L961" s="94" t="s">
        <v>4185</v>
      </c>
      <c r="M961" s="95">
        <v>163900</v>
      </c>
      <c r="N961" s="95">
        <v>2500</v>
      </c>
      <c r="O961" s="95">
        <v>4000</v>
      </c>
      <c r="P961" s="96">
        <v>229990</v>
      </c>
      <c r="Q961" s="152"/>
      <c r="R961" s="95">
        <v>163900</v>
      </c>
      <c r="S961" s="95">
        <v>7916.25</v>
      </c>
      <c r="T961" s="95">
        <v>163900</v>
      </c>
      <c r="U961" s="95">
        <v>7079.166666666667</v>
      </c>
      <c r="V961" s="95">
        <v>163900</v>
      </c>
      <c r="W961" s="95">
        <v>7079.166666666667</v>
      </c>
      <c r="X961" s="128"/>
      <c r="Y961" s="95">
        <v>0</v>
      </c>
      <c r="Z961" s="95">
        <v>11000</v>
      </c>
      <c r="AA961" s="95">
        <f>IFERROR(IF(D961="Premium",0.4*Y961,0),"No Disp")</f>
        <v>0</v>
      </c>
      <c r="AB961" s="95">
        <f>IFERROR(IF(4*Y961&gt;AC961,1.5*Y961,4*Y961),"No Disp")</f>
        <v>0</v>
      </c>
      <c r="AC961" s="95">
        <f>IF(Z961="No Disp","No Disp",(Z961*18)+Y961)</f>
        <v>198000</v>
      </c>
      <c r="AD961" s="95">
        <f>IF($H961="EMP",18*Z961-100,18*Z961-100+Y961)</f>
        <v>197900</v>
      </c>
      <c r="AE961" s="95">
        <v>0</v>
      </c>
      <c r="AF961" s="95">
        <v>11000</v>
      </c>
      <c r="AG961" s="95">
        <f>IF(AF961="No Disp","No Disp",(AF961*18)+AE961)</f>
        <v>198000</v>
      </c>
      <c r="AH961" s="98">
        <f>IF($H961="EMP",18*AF961-100,18*AF961-100+AE961)</f>
        <v>197900</v>
      </c>
      <c r="AI961" s="95">
        <v>10000</v>
      </c>
      <c r="AJ961" s="99"/>
      <c r="AK961" s="100" t="s">
        <v>43</v>
      </c>
      <c r="AL961" s="100" t="s">
        <v>43</v>
      </c>
      <c r="AM961" s="100" t="s">
        <v>43</v>
      </c>
      <c r="AN961" s="100" t="s">
        <v>43</v>
      </c>
      <c r="AO961" s="100" t="s">
        <v>43</v>
      </c>
      <c r="AP961" s="100" t="s">
        <v>43</v>
      </c>
      <c r="AQ961" s="100" t="s">
        <v>43</v>
      </c>
      <c r="AR961" s="100" t="s">
        <v>43</v>
      </c>
      <c r="AS961" s="100" t="s">
        <v>43</v>
      </c>
    </row>
    <row r="962" spans="1:45" s="101" customFormat="1" x14ac:dyDescent="0.25">
      <c r="A962" s="90" t="s">
        <v>38</v>
      </c>
      <c r="B962" s="90" t="s">
        <v>40</v>
      </c>
      <c r="C962" s="90" t="s">
        <v>39</v>
      </c>
      <c r="D962" s="90" t="s">
        <v>4541</v>
      </c>
      <c r="E962" s="90" t="s">
        <v>4538</v>
      </c>
      <c r="F962" s="91"/>
      <c r="G962" s="92">
        <v>70015288</v>
      </c>
      <c r="H962" s="91" t="s">
        <v>4370</v>
      </c>
      <c r="I962" s="93" t="s">
        <v>46</v>
      </c>
      <c r="J962" s="94" t="s">
        <v>4175</v>
      </c>
      <c r="K962" s="94" t="s">
        <v>4429</v>
      </c>
      <c r="L962" s="94" t="s">
        <v>4187</v>
      </c>
      <c r="M962" s="95">
        <v>163900</v>
      </c>
      <c r="N962" s="95">
        <v>2500</v>
      </c>
      <c r="O962" s="95">
        <v>4000</v>
      </c>
      <c r="P962" s="96">
        <v>229990</v>
      </c>
      <c r="Q962" s="152"/>
      <c r="R962" s="95">
        <v>163900</v>
      </c>
      <c r="S962" s="95">
        <v>7916.25</v>
      </c>
      <c r="T962" s="95">
        <v>163900</v>
      </c>
      <c r="U962" s="95">
        <v>7079.166666666667</v>
      </c>
      <c r="V962" s="95">
        <v>163900</v>
      </c>
      <c r="W962" s="95">
        <v>7079.166666666667</v>
      </c>
      <c r="X962" s="128"/>
      <c r="Y962" s="95">
        <v>0</v>
      </c>
      <c r="Z962" s="95">
        <v>11000</v>
      </c>
      <c r="AA962" s="95">
        <f>IFERROR(IF(D962="Premium",0.4*Y962,0),"No Disp")</f>
        <v>0</v>
      </c>
      <c r="AB962" s="95">
        <f>IFERROR(IF(4*Y962&gt;AC962,1.5*Y962,4*Y962),"No Disp")</f>
        <v>0</v>
      </c>
      <c r="AC962" s="95">
        <f>IF(Z962="No Disp","No Disp",(Z962*18)+Y962)</f>
        <v>198000</v>
      </c>
      <c r="AD962" s="95">
        <f>IF($H962="EMP",18*Z962-100,18*Z962-100+Y962)</f>
        <v>197900</v>
      </c>
      <c r="AE962" s="95">
        <v>0</v>
      </c>
      <c r="AF962" s="95">
        <v>11000</v>
      </c>
      <c r="AG962" s="95">
        <f>IF(AF962="No Disp","No Disp",(AF962*18)+AE962)</f>
        <v>198000</v>
      </c>
      <c r="AH962" s="98">
        <f>IF($H962="EMP",18*AF962-100,18*AF962-100+AE962)</f>
        <v>197900</v>
      </c>
      <c r="AI962" s="95">
        <v>10000</v>
      </c>
      <c r="AJ962" s="99"/>
      <c r="AK962" s="100" t="s">
        <v>43</v>
      </c>
      <c r="AL962" s="100" t="s">
        <v>43</v>
      </c>
      <c r="AM962" s="100" t="s">
        <v>43</v>
      </c>
      <c r="AN962" s="100" t="s">
        <v>43</v>
      </c>
      <c r="AO962" s="100" t="s">
        <v>43</v>
      </c>
      <c r="AP962" s="100" t="s">
        <v>43</v>
      </c>
      <c r="AQ962" s="100" t="s">
        <v>43</v>
      </c>
      <c r="AR962" s="100" t="s">
        <v>43</v>
      </c>
      <c r="AS962" s="100" t="s">
        <v>43</v>
      </c>
    </row>
    <row r="963" spans="1:45" s="101" customFormat="1" x14ac:dyDescent="0.25">
      <c r="A963" s="90" t="s">
        <v>38</v>
      </c>
      <c r="B963" s="90" t="s">
        <v>40</v>
      </c>
      <c r="C963" s="90" t="s">
        <v>39</v>
      </c>
      <c r="D963" s="90" t="s">
        <v>4541</v>
      </c>
      <c r="E963" s="90" t="s">
        <v>4538</v>
      </c>
      <c r="F963" s="91"/>
      <c r="G963" s="92">
        <v>70013944</v>
      </c>
      <c r="H963" s="91" t="s">
        <v>4370</v>
      </c>
      <c r="I963" s="93" t="s">
        <v>131</v>
      </c>
      <c r="J963" s="94" t="s">
        <v>132</v>
      </c>
      <c r="K963" s="94" t="s">
        <v>3025</v>
      </c>
      <c r="L963" s="94" t="s">
        <v>3172</v>
      </c>
      <c r="M963" s="95">
        <v>132900</v>
      </c>
      <c r="N963" s="95">
        <v>2500</v>
      </c>
      <c r="O963" s="95">
        <v>4000</v>
      </c>
      <c r="P963" s="96">
        <v>169990</v>
      </c>
      <c r="Q963" s="152"/>
      <c r="R963" s="95">
        <v>132900</v>
      </c>
      <c r="S963" s="95">
        <v>5745.833333333333</v>
      </c>
      <c r="T963" s="95">
        <v>132900</v>
      </c>
      <c r="U963" s="95">
        <v>5745.833333333333</v>
      </c>
      <c r="V963" s="95">
        <v>132900</v>
      </c>
      <c r="W963" s="95">
        <v>5745.833333333333</v>
      </c>
      <c r="X963" s="128"/>
      <c r="Y963" s="95">
        <v>0</v>
      </c>
      <c r="Z963" s="95">
        <v>8000</v>
      </c>
      <c r="AA963" s="95">
        <f>IFERROR(IF(D963="Premium",0.4*Y963,0),"No Disp")</f>
        <v>0</v>
      </c>
      <c r="AB963" s="95">
        <f>IFERROR(IF(4*Y963&gt;AC963,1.5*Y963,4*Y963),"No Disp")</f>
        <v>0</v>
      </c>
      <c r="AC963" s="95">
        <f>IF(Z963="No Disp","No Disp",(Z963*18)+Y963)</f>
        <v>144000</v>
      </c>
      <c r="AD963" s="95">
        <f>IF($H963="EMP",18*Z963-100,18*Z963-100+Y963)</f>
        <v>143900</v>
      </c>
      <c r="AE963" s="95">
        <v>0</v>
      </c>
      <c r="AF963" s="95">
        <v>8000</v>
      </c>
      <c r="AG963" s="95">
        <f>IF(AF963="No Disp","No Disp",(AF963*18)+AE963)</f>
        <v>144000</v>
      </c>
      <c r="AH963" s="98">
        <f>IF($H963="EMP",18*AF963-100,18*AF963-100+AE963)</f>
        <v>143900</v>
      </c>
      <c r="AI963" s="95">
        <v>9000</v>
      </c>
      <c r="AJ963" s="99"/>
      <c r="AK963" s="100" t="s">
        <v>43</v>
      </c>
      <c r="AL963" s="100" t="s">
        <v>43</v>
      </c>
      <c r="AM963" s="100" t="s">
        <v>43</v>
      </c>
      <c r="AN963" s="100" t="s">
        <v>43</v>
      </c>
      <c r="AO963" s="100" t="s">
        <v>43</v>
      </c>
      <c r="AP963" s="100" t="s">
        <v>43</v>
      </c>
      <c r="AQ963" s="100" t="s">
        <v>43</v>
      </c>
      <c r="AR963" s="100" t="s">
        <v>43</v>
      </c>
      <c r="AS963" s="100" t="s">
        <v>43</v>
      </c>
    </row>
    <row r="964" spans="1:45" s="101" customFormat="1" x14ac:dyDescent="0.25">
      <c r="A964" s="90" t="s">
        <v>38</v>
      </c>
      <c r="B964" s="90" t="s">
        <v>40</v>
      </c>
      <c r="C964" s="90" t="s">
        <v>39</v>
      </c>
      <c r="D964" s="90" t="s">
        <v>4539</v>
      </c>
      <c r="E964" s="90" t="s">
        <v>4542</v>
      </c>
      <c r="F964" s="91"/>
      <c r="G964" s="92">
        <v>70013982</v>
      </c>
      <c r="H964" s="91" t="s">
        <v>4370</v>
      </c>
      <c r="I964" s="93" t="s">
        <v>41</v>
      </c>
      <c r="J964" s="94" t="s">
        <v>187</v>
      </c>
      <c r="K964" s="94" t="s">
        <v>3027</v>
      </c>
      <c r="L964" s="94" t="s">
        <v>3174</v>
      </c>
      <c r="M964" s="95">
        <v>142900</v>
      </c>
      <c r="N964" s="95">
        <v>2500</v>
      </c>
      <c r="O964" s="95">
        <v>4000</v>
      </c>
      <c r="P964" s="96">
        <v>299990</v>
      </c>
      <c r="Q964" s="152"/>
      <c r="R964" s="95">
        <v>142900</v>
      </c>
      <c r="S964" s="95">
        <v>6204.166666666667</v>
      </c>
      <c r="T964" s="95">
        <v>142900</v>
      </c>
      <c r="U964" s="95">
        <v>6204.166666666667</v>
      </c>
      <c r="V964" s="95">
        <v>142900</v>
      </c>
      <c r="W964" s="95">
        <v>6204.166666666667</v>
      </c>
      <c r="X964" s="128"/>
      <c r="Y964" s="95">
        <v>0</v>
      </c>
      <c r="Z964" s="95">
        <v>10000</v>
      </c>
      <c r="AA964" s="95">
        <f>IFERROR(IF(D964="Premium",0.4*Y964,0),"No Disp")</f>
        <v>0</v>
      </c>
      <c r="AB964" s="95">
        <f>IFERROR(IF(4*Y964&gt;AC964,1.5*Y964,4*Y964),"No Disp")</f>
        <v>0</v>
      </c>
      <c r="AC964" s="95">
        <f>IF(Z964="No Disp","No Disp",(Z964*18)+Y964)</f>
        <v>180000</v>
      </c>
      <c r="AD964" s="95">
        <f>IF($H964="EMP",18*Z964-100,18*Z964-100+Y964)</f>
        <v>179900</v>
      </c>
      <c r="AE964" s="95">
        <v>0</v>
      </c>
      <c r="AF964" s="95">
        <v>10000</v>
      </c>
      <c r="AG964" s="95">
        <f>IF(AF964="No Disp","No Disp",(AF964*18)+AE964)</f>
        <v>180000</v>
      </c>
      <c r="AH964" s="98">
        <f>IF($H964="EMP",18*AF964-100,18*AF964-100+AE964)</f>
        <v>179900</v>
      </c>
      <c r="AI964" s="95">
        <v>9000</v>
      </c>
      <c r="AJ964" s="99"/>
      <c r="AK964" s="100" t="s">
        <v>43</v>
      </c>
      <c r="AL964" s="100" t="s">
        <v>43</v>
      </c>
      <c r="AM964" s="100" t="s">
        <v>43</v>
      </c>
      <c r="AN964" s="100" t="s">
        <v>43</v>
      </c>
      <c r="AO964" s="100" t="s">
        <v>43</v>
      </c>
      <c r="AP964" s="100" t="s">
        <v>43</v>
      </c>
      <c r="AQ964" s="100" t="s">
        <v>43</v>
      </c>
      <c r="AR964" s="100" t="s">
        <v>43</v>
      </c>
      <c r="AS964" s="100" t="s">
        <v>43</v>
      </c>
    </row>
    <row r="965" spans="1:45" s="101" customFormat="1" x14ac:dyDescent="0.25">
      <c r="A965" s="90" t="s">
        <v>38</v>
      </c>
      <c r="B965" s="90" t="s">
        <v>40</v>
      </c>
      <c r="C965" s="90" t="s">
        <v>39</v>
      </c>
      <c r="D965" s="90" t="s">
        <v>4539</v>
      </c>
      <c r="E965" s="90" t="s">
        <v>4542</v>
      </c>
      <c r="F965" s="91"/>
      <c r="G965" s="92">
        <v>70013983</v>
      </c>
      <c r="H965" s="91" t="s">
        <v>4370</v>
      </c>
      <c r="I965" s="93" t="s">
        <v>41</v>
      </c>
      <c r="J965" s="94" t="s">
        <v>452</v>
      </c>
      <c r="K965" s="94" t="s">
        <v>3058</v>
      </c>
      <c r="L965" s="94" t="s">
        <v>3205</v>
      </c>
      <c r="M965" s="95">
        <v>260900</v>
      </c>
      <c r="N965" s="95">
        <v>4000</v>
      </c>
      <c r="O965" s="95">
        <v>6000</v>
      </c>
      <c r="P965" s="96">
        <v>319990</v>
      </c>
      <c r="Q965" s="152"/>
      <c r="R965" s="95">
        <v>260900</v>
      </c>
      <c r="S965" s="95">
        <v>10870.833333333334</v>
      </c>
      <c r="T965" s="95">
        <v>260900</v>
      </c>
      <c r="U965" s="95">
        <v>10870.833333333334</v>
      </c>
      <c r="V965" s="95">
        <v>260900</v>
      </c>
      <c r="W965" s="95">
        <v>10870.833333333334</v>
      </c>
      <c r="X965" s="128"/>
      <c r="Y965" s="95">
        <v>44900</v>
      </c>
      <c r="Z965" s="95">
        <v>15000</v>
      </c>
      <c r="AA965" s="95">
        <f>IFERROR(IF(D965="Premium",0.4*Y965,0),"No Disp")</f>
        <v>0</v>
      </c>
      <c r="AB965" s="95">
        <f>IFERROR(IF(4*Y965&gt;AC965,1.5*Y965,4*Y965),"No Disp")</f>
        <v>179600</v>
      </c>
      <c r="AC965" s="95">
        <f>IF(Z965="No Disp","No Disp",(Z965*18)+Y965)</f>
        <v>314900</v>
      </c>
      <c r="AD965" s="95">
        <f>IF($H965="EMP",18*Z965-100,18*Z965-100+Y965)</f>
        <v>269900</v>
      </c>
      <c r="AE965" s="95">
        <v>44900</v>
      </c>
      <c r="AF965" s="95">
        <v>15000</v>
      </c>
      <c r="AG965" s="95">
        <f>IF(AF965="No Disp","No Disp",(AF965*18)+AE965)</f>
        <v>314900</v>
      </c>
      <c r="AH965" s="98">
        <f>IF($H965="EMP",18*AF965-100,18*AF965-100+AE965)</f>
        <v>269900</v>
      </c>
      <c r="AI965" s="95">
        <v>17000</v>
      </c>
      <c r="AJ965" s="99"/>
      <c r="AK965" s="100" t="s">
        <v>43</v>
      </c>
      <c r="AL965" s="100" t="s">
        <v>43</v>
      </c>
      <c r="AM965" s="100" t="s">
        <v>43</v>
      </c>
      <c r="AN965" s="100" t="s">
        <v>43</v>
      </c>
      <c r="AO965" s="100" t="s">
        <v>43</v>
      </c>
      <c r="AP965" s="100" t="s">
        <v>43</v>
      </c>
      <c r="AQ965" s="100" t="s">
        <v>43</v>
      </c>
      <c r="AR965" s="100" t="s">
        <v>43</v>
      </c>
      <c r="AS965" s="100" t="s">
        <v>43</v>
      </c>
    </row>
    <row r="966" spans="1:45" s="101" customFormat="1" x14ac:dyDescent="0.25">
      <c r="A966" s="90" t="s">
        <v>38</v>
      </c>
      <c r="B966" s="90" t="s">
        <v>40</v>
      </c>
      <c r="C966" s="90" t="s">
        <v>39</v>
      </c>
      <c r="D966" s="90" t="s">
        <v>4541</v>
      </c>
      <c r="E966" s="90" t="s">
        <v>4538</v>
      </c>
      <c r="F966" s="91"/>
      <c r="G966" s="92">
        <v>70014064</v>
      </c>
      <c r="H966" s="91" t="s">
        <v>4370</v>
      </c>
      <c r="I966" s="93" t="s">
        <v>87</v>
      </c>
      <c r="J966" s="94" t="s">
        <v>3402</v>
      </c>
      <c r="K966" s="94" t="s">
        <v>3004</v>
      </c>
      <c r="L966" s="94" t="s">
        <v>3151</v>
      </c>
      <c r="M966" s="95">
        <v>72900</v>
      </c>
      <c r="N966" s="95">
        <v>2500</v>
      </c>
      <c r="O966" s="95">
        <v>4000</v>
      </c>
      <c r="P966" s="96">
        <v>99990</v>
      </c>
      <c r="Q966" s="152"/>
      <c r="R966" s="95">
        <v>72900</v>
      </c>
      <c r="S966" s="95">
        <v>3412.5</v>
      </c>
      <c r="T966" s="95">
        <v>72900</v>
      </c>
      <c r="U966" s="95">
        <v>3412.5</v>
      </c>
      <c r="V966" s="95">
        <v>72900</v>
      </c>
      <c r="W966" s="95">
        <v>3412.5</v>
      </c>
      <c r="X966" s="128"/>
      <c r="Y966" s="95">
        <v>0</v>
      </c>
      <c r="Z966" s="95">
        <v>5000</v>
      </c>
      <c r="AA966" s="95">
        <f>IFERROR(IF(D966="Premium",0.4*Y966,0),"No Disp")</f>
        <v>0</v>
      </c>
      <c r="AB966" s="95">
        <f>IFERROR(IF(4*Y966&gt;AC966,1.5*Y966,4*Y966),"No Disp")</f>
        <v>0</v>
      </c>
      <c r="AC966" s="95">
        <f>IF(Z966="No Disp","No Disp",(Z966*18)+Y966)</f>
        <v>90000</v>
      </c>
      <c r="AD966" s="95">
        <f>IF($H966="EMP",18*Z966-100,18*Z966-100+Y966)</f>
        <v>89900</v>
      </c>
      <c r="AE966" s="95">
        <v>0</v>
      </c>
      <c r="AF966" s="95">
        <v>5000</v>
      </c>
      <c r="AG966" s="95">
        <f>IF(AF966="No Disp","No Disp",(AF966*18)+AE966)</f>
        <v>90000</v>
      </c>
      <c r="AH966" s="98">
        <f>IF($H966="EMP",18*AF966-100,18*AF966-100+AE966)</f>
        <v>89900</v>
      </c>
      <c r="AI966" s="95">
        <v>6000</v>
      </c>
      <c r="AJ966" s="99"/>
      <c r="AK966" s="100" t="s">
        <v>43</v>
      </c>
      <c r="AL966" s="100" t="s">
        <v>43</v>
      </c>
      <c r="AM966" s="100" t="s">
        <v>43</v>
      </c>
      <c r="AN966" s="100" t="s">
        <v>43</v>
      </c>
      <c r="AO966" s="100" t="s">
        <v>43</v>
      </c>
      <c r="AP966" s="100" t="s">
        <v>43</v>
      </c>
      <c r="AQ966" s="100" t="s">
        <v>43</v>
      </c>
      <c r="AR966" s="100" t="s">
        <v>43</v>
      </c>
      <c r="AS966" s="100" t="s">
        <v>43</v>
      </c>
    </row>
    <row r="967" spans="1:45" s="101" customFormat="1" x14ac:dyDescent="0.25">
      <c r="A967" s="90" t="s">
        <v>38</v>
      </c>
      <c r="B967" s="90" t="s">
        <v>40</v>
      </c>
      <c r="C967" s="90" t="s">
        <v>39</v>
      </c>
      <c r="D967" s="90" t="s">
        <v>4541</v>
      </c>
      <c r="E967" s="90" t="s">
        <v>4538</v>
      </c>
      <c r="F967" s="91"/>
      <c r="G967" s="92">
        <v>70014065</v>
      </c>
      <c r="H967" s="91" t="s">
        <v>4370</v>
      </c>
      <c r="I967" s="93" t="s">
        <v>112</v>
      </c>
      <c r="J967" s="94" t="s">
        <v>2955</v>
      </c>
      <c r="K967" s="94" t="s">
        <v>3020</v>
      </c>
      <c r="L967" s="94" t="s">
        <v>3167</v>
      </c>
      <c r="M967" s="95">
        <v>110900</v>
      </c>
      <c r="N967" s="95">
        <v>2500</v>
      </c>
      <c r="O967" s="95">
        <v>4000</v>
      </c>
      <c r="P967" s="96">
        <v>199990</v>
      </c>
      <c r="Q967" s="152"/>
      <c r="R967" s="95">
        <v>110900</v>
      </c>
      <c r="S967" s="95">
        <v>5745.833333333333</v>
      </c>
      <c r="T967" s="95">
        <v>110900</v>
      </c>
      <c r="U967" s="95">
        <v>5745.833333333333</v>
      </c>
      <c r="V967" s="95">
        <v>110900</v>
      </c>
      <c r="W967" s="95">
        <v>5745.833333333333</v>
      </c>
      <c r="X967" s="128"/>
      <c r="Y967" s="95">
        <v>0</v>
      </c>
      <c r="Z967" s="95">
        <v>8000</v>
      </c>
      <c r="AA967" s="95">
        <f>IFERROR(IF(D967="Premium",0.4*Y967,0),"No Disp")</f>
        <v>0</v>
      </c>
      <c r="AB967" s="95">
        <f>IFERROR(IF(4*Y967&gt;AC967,1.5*Y967,4*Y967),"No Disp")</f>
        <v>0</v>
      </c>
      <c r="AC967" s="95">
        <f>IF(Z967="No Disp","No Disp",(Z967*18)+Y967)</f>
        <v>144000</v>
      </c>
      <c r="AD967" s="95">
        <f>IF($H967="EMP",18*Z967-100,18*Z967-100+Y967)</f>
        <v>143900</v>
      </c>
      <c r="AE967" s="95">
        <v>0</v>
      </c>
      <c r="AF967" s="95">
        <v>8000</v>
      </c>
      <c r="AG967" s="95">
        <f>IF(AF967="No Disp","No Disp",(AF967*18)+AE967)</f>
        <v>144000</v>
      </c>
      <c r="AH967" s="98">
        <f>IF($H967="EMP",18*AF967-100,18*AF967-100+AE967)</f>
        <v>143900</v>
      </c>
      <c r="AI967" s="95">
        <v>9000</v>
      </c>
      <c r="AJ967" s="99"/>
      <c r="AK967" s="100" t="s">
        <v>43</v>
      </c>
      <c r="AL967" s="100" t="s">
        <v>43</v>
      </c>
      <c r="AM967" s="100" t="s">
        <v>43</v>
      </c>
      <c r="AN967" s="100" t="s">
        <v>43</v>
      </c>
      <c r="AO967" s="100" t="s">
        <v>43</v>
      </c>
      <c r="AP967" s="100" t="s">
        <v>43</v>
      </c>
      <c r="AQ967" s="100" t="s">
        <v>43</v>
      </c>
      <c r="AR967" s="100" t="s">
        <v>43</v>
      </c>
      <c r="AS967" s="100" t="s">
        <v>43</v>
      </c>
    </row>
    <row r="968" spans="1:45" s="101" customFormat="1" x14ac:dyDescent="0.25">
      <c r="A968" s="90" t="s">
        <v>38</v>
      </c>
      <c r="B968" s="90" t="s">
        <v>40</v>
      </c>
      <c r="C968" s="90" t="s">
        <v>39</v>
      </c>
      <c r="D968" s="90" t="s">
        <v>4541</v>
      </c>
      <c r="E968" s="90" t="s">
        <v>4538</v>
      </c>
      <c r="F968" s="91"/>
      <c r="G968" s="92">
        <v>70014066</v>
      </c>
      <c r="H968" s="91" t="s">
        <v>4370</v>
      </c>
      <c r="I968" s="93" t="s">
        <v>112</v>
      </c>
      <c r="J968" s="94" t="s">
        <v>2955</v>
      </c>
      <c r="K968" s="94" t="s">
        <v>3021</v>
      </c>
      <c r="L968" s="94" t="s">
        <v>3168</v>
      </c>
      <c r="M968" s="95">
        <v>110900</v>
      </c>
      <c r="N968" s="95">
        <v>2500</v>
      </c>
      <c r="O968" s="95">
        <v>4000</v>
      </c>
      <c r="P968" s="96">
        <v>199990</v>
      </c>
      <c r="Q968" s="152"/>
      <c r="R968" s="95">
        <v>110900</v>
      </c>
      <c r="S968" s="95">
        <v>5745.833333333333</v>
      </c>
      <c r="T968" s="95">
        <v>110900</v>
      </c>
      <c r="U968" s="95">
        <v>5745.833333333333</v>
      </c>
      <c r="V968" s="95">
        <v>110900</v>
      </c>
      <c r="W968" s="95">
        <v>5745.833333333333</v>
      </c>
      <c r="X968" s="128"/>
      <c r="Y968" s="95">
        <v>0</v>
      </c>
      <c r="Z968" s="95">
        <v>8000</v>
      </c>
      <c r="AA968" s="95">
        <f>IFERROR(IF(D968="Premium",0.4*Y968,0),"No Disp")</f>
        <v>0</v>
      </c>
      <c r="AB968" s="95">
        <f>IFERROR(IF(4*Y968&gt;AC968,1.5*Y968,4*Y968),"No Disp")</f>
        <v>0</v>
      </c>
      <c r="AC968" s="95">
        <f>IF(Z968="No Disp","No Disp",(Z968*18)+Y968)</f>
        <v>144000</v>
      </c>
      <c r="AD968" s="95">
        <f>IF($H968="EMP",18*Z968-100,18*Z968-100+Y968)</f>
        <v>143900</v>
      </c>
      <c r="AE968" s="95">
        <v>0</v>
      </c>
      <c r="AF968" s="95">
        <v>8000</v>
      </c>
      <c r="AG968" s="95">
        <f>IF(AF968="No Disp","No Disp",(AF968*18)+AE968)</f>
        <v>144000</v>
      </c>
      <c r="AH968" s="98">
        <f>IF($H968="EMP",18*AF968-100,18*AF968-100+AE968)</f>
        <v>143900</v>
      </c>
      <c r="AI968" s="95">
        <v>9000</v>
      </c>
      <c r="AJ968" s="99"/>
      <c r="AK968" s="100" t="s">
        <v>43</v>
      </c>
      <c r="AL968" s="100" t="s">
        <v>43</v>
      </c>
      <c r="AM968" s="100" t="s">
        <v>43</v>
      </c>
      <c r="AN968" s="100" t="s">
        <v>43</v>
      </c>
      <c r="AO968" s="100" t="s">
        <v>43</v>
      </c>
      <c r="AP968" s="100" t="s">
        <v>43</v>
      </c>
      <c r="AQ968" s="100" t="s">
        <v>43</v>
      </c>
      <c r="AR968" s="100" t="s">
        <v>43</v>
      </c>
      <c r="AS968" s="100" t="s">
        <v>43</v>
      </c>
    </row>
    <row r="969" spans="1:45" s="101" customFormat="1" x14ac:dyDescent="0.25">
      <c r="A969" s="90" t="s">
        <v>38</v>
      </c>
      <c r="B969" s="90" t="s">
        <v>40</v>
      </c>
      <c r="C969" s="90" t="s">
        <v>39</v>
      </c>
      <c r="D969" s="90" t="s">
        <v>4537</v>
      </c>
      <c r="E969" s="90" t="s">
        <v>4538</v>
      </c>
      <c r="F969" s="91"/>
      <c r="G969" s="92">
        <v>70013965</v>
      </c>
      <c r="H969" s="91" t="s">
        <v>4370</v>
      </c>
      <c r="I969" s="93" t="s">
        <v>63</v>
      </c>
      <c r="J969" s="94" t="s">
        <v>91</v>
      </c>
      <c r="K969" s="94" t="s">
        <v>3100</v>
      </c>
      <c r="L969" s="94" t="s">
        <v>3248</v>
      </c>
      <c r="M969" s="95">
        <v>587900</v>
      </c>
      <c r="N969" s="95">
        <v>6000</v>
      </c>
      <c r="O969" s="95">
        <v>8500</v>
      </c>
      <c r="P969" s="96">
        <v>889990</v>
      </c>
      <c r="Q969" s="152"/>
      <c r="R969" s="95">
        <v>587900</v>
      </c>
      <c r="S969" s="95">
        <v>23745.833333333332</v>
      </c>
      <c r="T969" s="95">
        <v>587900</v>
      </c>
      <c r="U969" s="95">
        <v>23745.833333333332</v>
      </c>
      <c r="V969" s="95">
        <v>587900</v>
      </c>
      <c r="W969" s="95">
        <v>23745.833333333332</v>
      </c>
      <c r="X969" s="128"/>
      <c r="Y969" s="95">
        <v>0</v>
      </c>
      <c r="Z969" s="95">
        <v>38000</v>
      </c>
      <c r="AA969" s="95">
        <f>IFERROR(IF(D969="Premium",0.4*Y969,0),"No Disp")</f>
        <v>0</v>
      </c>
      <c r="AB969" s="95">
        <f>IFERROR(IF(4*Y969&gt;AC969,1.5*Y969,4*Y969),"No Disp")</f>
        <v>0</v>
      </c>
      <c r="AC969" s="95">
        <f>IF(Z969="No Disp","No Disp",(Z969*18)+Y969)</f>
        <v>684000</v>
      </c>
      <c r="AD969" s="95">
        <f>IF($H969="EMP",18*Z969-100,18*Z969-100+Y969)</f>
        <v>683900</v>
      </c>
      <c r="AE969" s="95">
        <v>0</v>
      </c>
      <c r="AF969" s="95">
        <v>38000</v>
      </c>
      <c r="AG969" s="95">
        <f>IF(AF969="No Disp","No Disp",(AF969*18)+AE969)</f>
        <v>684000</v>
      </c>
      <c r="AH969" s="98">
        <f>IF($H969="EMP",18*AF969-100,18*AF969-100+AE969)</f>
        <v>683900</v>
      </c>
      <c r="AI969" s="95">
        <v>36000</v>
      </c>
      <c r="AJ969" s="99"/>
      <c r="AK969" s="100" t="s">
        <v>43</v>
      </c>
      <c r="AL969" s="100" t="s">
        <v>43</v>
      </c>
      <c r="AM969" s="100" t="s">
        <v>43</v>
      </c>
      <c r="AN969" s="100" t="s">
        <v>43</v>
      </c>
      <c r="AO969" s="100" t="s">
        <v>43</v>
      </c>
      <c r="AP969" s="100" t="s">
        <v>43</v>
      </c>
      <c r="AQ969" s="100" t="s">
        <v>43</v>
      </c>
      <c r="AR969" s="100" t="s">
        <v>43</v>
      </c>
      <c r="AS969" s="100" t="s">
        <v>43</v>
      </c>
    </row>
    <row r="970" spans="1:45" s="101" customFormat="1" x14ac:dyDescent="0.25">
      <c r="A970" s="90" t="s">
        <v>38</v>
      </c>
      <c r="B970" s="90" t="s">
        <v>40</v>
      </c>
      <c r="C970" s="90" t="s">
        <v>39</v>
      </c>
      <c r="D970" s="90" t="s">
        <v>4539</v>
      </c>
      <c r="E970" s="90" t="s">
        <v>4542</v>
      </c>
      <c r="F970" s="91"/>
      <c r="G970" s="92">
        <v>70013980</v>
      </c>
      <c r="H970" s="91" t="s">
        <v>4370</v>
      </c>
      <c r="I970" s="93" t="s">
        <v>41</v>
      </c>
      <c r="J970" s="94" t="s">
        <v>562</v>
      </c>
      <c r="K970" s="94" t="s">
        <v>3046</v>
      </c>
      <c r="L970" s="94" t="s">
        <v>3193</v>
      </c>
      <c r="M970" s="95">
        <v>171900</v>
      </c>
      <c r="N970" s="95">
        <v>4000</v>
      </c>
      <c r="O970" s="95">
        <v>6000</v>
      </c>
      <c r="P970" s="96">
        <v>349990</v>
      </c>
      <c r="Q970" s="152"/>
      <c r="R970" s="95">
        <v>171900</v>
      </c>
      <c r="S970" s="95">
        <v>8745.8333333333339</v>
      </c>
      <c r="T970" s="95">
        <v>171900</v>
      </c>
      <c r="U970" s="95">
        <v>8745.8333333333339</v>
      </c>
      <c r="V970" s="95">
        <v>171900</v>
      </c>
      <c r="W970" s="95">
        <v>8745.8333333333339</v>
      </c>
      <c r="X970" s="128"/>
      <c r="Y970" s="95">
        <v>0</v>
      </c>
      <c r="Z970" s="95">
        <v>10000</v>
      </c>
      <c r="AA970" s="95">
        <f>IFERROR(IF(D970="Premium",0.4*Y970,0),"No Disp")</f>
        <v>0</v>
      </c>
      <c r="AB970" s="95">
        <f>IFERROR(IF(4*Y970&gt;AC970,1.5*Y970,4*Y970),"No Disp")</f>
        <v>0</v>
      </c>
      <c r="AC970" s="95">
        <f>IF(Z970="No Disp","No Disp",(Z970*18)+Y970)</f>
        <v>180000</v>
      </c>
      <c r="AD970" s="95">
        <f>IF($H970="EMP",18*Z970-100,18*Z970-100+Y970)</f>
        <v>179900</v>
      </c>
      <c r="AE970" s="95">
        <v>0</v>
      </c>
      <c r="AF970" s="95">
        <v>10000</v>
      </c>
      <c r="AG970" s="95">
        <f>IF(AF970="No Disp","No Disp",(AF970*18)+AE970)</f>
        <v>180000</v>
      </c>
      <c r="AH970" s="98">
        <f>IF($H970="EMP",18*AF970-100,18*AF970-100+AE970)</f>
        <v>179900</v>
      </c>
      <c r="AI970" s="95">
        <v>8000</v>
      </c>
      <c r="AJ970" s="99"/>
      <c r="AK970" s="100" t="s">
        <v>43</v>
      </c>
      <c r="AL970" s="100" t="s">
        <v>43</v>
      </c>
      <c r="AM970" s="100" t="s">
        <v>43</v>
      </c>
      <c r="AN970" s="100" t="s">
        <v>43</v>
      </c>
      <c r="AO970" s="100" t="s">
        <v>43</v>
      </c>
      <c r="AP970" s="100" t="s">
        <v>43</v>
      </c>
      <c r="AQ970" s="100" t="s">
        <v>43</v>
      </c>
      <c r="AR970" s="100" t="s">
        <v>43</v>
      </c>
      <c r="AS970" s="100" t="s">
        <v>43</v>
      </c>
    </row>
    <row r="971" spans="1:45" s="101" customFormat="1" x14ac:dyDescent="0.25">
      <c r="A971" s="90" t="s">
        <v>38</v>
      </c>
      <c r="B971" s="90" t="s">
        <v>40</v>
      </c>
      <c r="C971" s="90" t="s">
        <v>39</v>
      </c>
      <c r="D971" s="90" t="s">
        <v>4541</v>
      </c>
      <c r="E971" s="90" t="s">
        <v>4538</v>
      </c>
      <c r="F971" s="91"/>
      <c r="G971" s="92">
        <v>70014004</v>
      </c>
      <c r="H971" s="91" t="s">
        <v>4370</v>
      </c>
      <c r="I971" s="93" t="s">
        <v>46</v>
      </c>
      <c r="J971" s="94" t="s">
        <v>99</v>
      </c>
      <c r="K971" s="94" t="s">
        <v>3012</v>
      </c>
      <c r="L971" s="94" t="s">
        <v>3159</v>
      </c>
      <c r="M971" s="95">
        <v>144900</v>
      </c>
      <c r="N971" s="95">
        <v>2500</v>
      </c>
      <c r="O971" s="95">
        <v>4000</v>
      </c>
      <c r="P971" s="96">
        <v>229990</v>
      </c>
      <c r="Q971" s="152"/>
      <c r="R971" s="95">
        <v>144900</v>
      </c>
      <c r="S971" s="95">
        <v>5204.166666666667</v>
      </c>
      <c r="T971" s="95">
        <v>144900</v>
      </c>
      <c r="U971" s="95">
        <v>5204.166666666667</v>
      </c>
      <c r="V971" s="95">
        <v>144900</v>
      </c>
      <c r="W971" s="95">
        <v>5204.166666666667</v>
      </c>
      <c r="X971" s="128"/>
      <c r="Y971" s="95">
        <v>0</v>
      </c>
      <c r="Z971" s="95">
        <v>10000</v>
      </c>
      <c r="AA971" s="95">
        <f>IFERROR(IF(D971="Premium",0.4*Y971,0),"No Disp")</f>
        <v>0</v>
      </c>
      <c r="AB971" s="95">
        <f>IFERROR(IF(4*Y971&gt;AC971,1.5*Y971,4*Y971),"No Disp")</f>
        <v>0</v>
      </c>
      <c r="AC971" s="95">
        <f>IF(Z971="No Disp","No Disp",(Z971*18)+Y971)</f>
        <v>180000</v>
      </c>
      <c r="AD971" s="95">
        <f>IF($H971="EMP",18*Z971-100,18*Z971-100+Y971)</f>
        <v>179900</v>
      </c>
      <c r="AE971" s="95">
        <v>0</v>
      </c>
      <c r="AF971" s="95">
        <v>10000</v>
      </c>
      <c r="AG971" s="95">
        <f>IF(AF971="No Disp","No Disp",(AF971*18)+AE971)</f>
        <v>180000</v>
      </c>
      <c r="AH971" s="98">
        <f>IF($H971="EMP",18*AF971-100,18*AF971-100+AE971)</f>
        <v>179900</v>
      </c>
      <c r="AI971" s="95">
        <v>9000</v>
      </c>
      <c r="AJ971" s="99"/>
      <c r="AK971" s="100" t="s">
        <v>43</v>
      </c>
      <c r="AL971" s="100" t="s">
        <v>43</v>
      </c>
      <c r="AM971" s="100" t="s">
        <v>43</v>
      </c>
      <c r="AN971" s="100" t="s">
        <v>43</v>
      </c>
      <c r="AO971" s="100" t="s">
        <v>43</v>
      </c>
      <c r="AP971" s="100" t="s">
        <v>43</v>
      </c>
      <c r="AQ971" s="100" t="s">
        <v>43</v>
      </c>
      <c r="AR971" s="100" t="s">
        <v>43</v>
      </c>
      <c r="AS971" s="100" t="s">
        <v>43</v>
      </c>
    </row>
    <row r="972" spans="1:45" s="101" customFormat="1" x14ac:dyDescent="0.25">
      <c r="A972" s="90" t="s">
        <v>38</v>
      </c>
      <c r="B972" s="90" t="s">
        <v>40</v>
      </c>
      <c r="C972" s="90" t="s">
        <v>39</v>
      </c>
      <c r="D972" s="90" t="s">
        <v>4539</v>
      </c>
      <c r="E972" s="90" t="s">
        <v>4542</v>
      </c>
      <c r="F972" s="91"/>
      <c r="G972" s="92">
        <v>70014041</v>
      </c>
      <c r="H972" s="91" t="s">
        <v>4370</v>
      </c>
      <c r="I972" s="93" t="s">
        <v>171</v>
      </c>
      <c r="J972" s="94" t="s">
        <v>571</v>
      </c>
      <c r="K972" s="94" t="s">
        <v>3029</v>
      </c>
      <c r="L972" s="94" t="s">
        <v>3176</v>
      </c>
      <c r="M972" s="95">
        <v>183900</v>
      </c>
      <c r="N972" s="95">
        <v>4000</v>
      </c>
      <c r="O972" s="95">
        <v>6000</v>
      </c>
      <c r="P972" s="96">
        <v>299990</v>
      </c>
      <c r="Q972" s="152"/>
      <c r="R972" s="95">
        <v>183900</v>
      </c>
      <c r="S972" s="95">
        <v>8079.166666666667</v>
      </c>
      <c r="T972" s="95">
        <v>183900</v>
      </c>
      <c r="U972" s="95">
        <v>8079.166666666667</v>
      </c>
      <c r="V972" s="95">
        <v>183900</v>
      </c>
      <c r="W972" s="95">
        <v>8079.166666666667</v>
      </c>
      <c r="X972" s="128"/>
      <c r="Y972" s="95">
        <v>0</v>
      </c>
      <c r="Z972" s="95">
        <v>11000</v>
      </c>
      <c r="AA972" s="95">
        <f>IFERROR(IF(D972="Premium",0.4*Y972,0),"No Disp")</f>
        <v>0</v>
      </c>
      <c r="AB972" s="95">
        <f>IFERROR(IF(4*Y972&gt;AC972,1.5*Y972,4*Y972),"No Disp")</f>
        <v>0</v>
      </c>
      <c r="AC972" s="95">
        <f>IF(Z972="No Disp","No Disp",(Z972*18)+Y972)</f>
        <v>198000</v>
      </c>
      <c r="AD972" s="95">
        <f>IF($H972="EMP",18*Z972-100,18*Z972-100+Y972)</f>
        <v>197900</v>
      </c>
      <c r="AE972" s="95">
        <v>0</v>
      </c>
      <c r="AF972" s="95">
        <v>11000</v>
      </c>
      <c r="AG972" s="95">
        <f>IF(AF972="No Disp","No Disp",(AF972*18)+AE972)</f>
        <v>198000</v>
      </c>
      <c r="AH972" s="98">
        <f>IF($H972="EMP",18*AF972-100,18*AF972-100+AE972)</f>
        <v>197900</v>
      </c>
      <c r="AI972" s="95">
        <v>8000</v>
      </c>
      <c r="AJ972" s="99"/>
      <c r="AK972" s="100" t="s">
        <v>43</v>
      </c>
      <c r="AL972" s="100" t="s">
        <v>43</v>
      </c>
      <c r="AM972" s="100" t="s">
        <v>43</v>
      </c>
      <c r="AN972" s="100" t="s">
        <v>43</v>
      </c>
      <c r="AO972" s="100" t="s">
        <v>43</v>
      </c>
      <c r="AP972" s="100" t="s">
        <v>43</v>
      </c>
      <c r="AQ972" s="100" t="s">
        <v>43</v>
      </c>
      <c r="AR972" s="100" t="s">
        <v>43</v>
      </c>
      <c r="AS972" s="100" t="s">
        <v>43</v>
      </c>
    </row>
    <row r="973" spans="1:45" s="101" customFormat="1" x14ac:dyDescent="0.25">
      <c r="A973" s="90" t="s">
        <v>38</v>
      </c>
      <c r="B973" s="90" t="s">
        <v>40</v>
      </c>
      <c r="C973" s="90" t="s">
        <v>39</v>
      </c>
      <c r="D973" s="90" t="s">
        <v>4539</v>
      </c>
      <c r="E973" s="90" t="s">
        <v>4542</v>
      </c>
      <c r="F973" s="91"/>
      <c r="G973" s="92">
        <v>70013947</v>
      </c>
      <c r="H973" s="91" t="s">
        <v>4370</v>
      </c>
      <c r="I973" s="93" t="s">
        <v>229</v>
      </c>
      <c r="J973" s="94" t="s">
        <v>710</v>
      </c>
      <c r="K973" s="94" t="s">
        <v>2999</v>
      </c>
      <c r="L973" s="94" t="s">
        <v>3146</v>
      </c>
      <c r="M973" s="95">
        <v>83900</v>
      </c>
      <c r="N973" s="95">
        <v>2500</v>
      </c>
      <c r="O973" s="95">
        <v>4000</v>
      </c>
      <c r="P973" s="96">
        <v>279990</v>
      </c>
      <c r="Q973" s="152"/>
      <c r="R973" s="95">
        <v>83900</v>
      </c>
      <c r="S973" s="95">
        <v>3495.8333333333335</v>
      </c>
      <c r="T973" s="95">
        <v>83900</v>
      </c>
      <c r="U973" s="95">
        <v>3495.8333333333335</v>
      </c>
      <c r="V973" s="95">
        <v>83900</v>
      </c>
      <c r="W973" s="95">
        <v>3495.8333333333335</v>
      </c>
      <c r="X973" s="128"/>
      <c r="Y973" s="95">
        <v>0</v>
      </c>
      <c r="Z973" s="95">
        <v>6000</v>
      </c>
      <c r="AA973" s="95">
        <f>IFERROR(IF(D973="Premium",0.4*Y973,0),"No Disp")</f>
        <v>0</v>
      </c>
      <c r="AB973" s="95">
        <f>IFERROR(IF(4*Y973&gt;AC973,1.5*Y973,4*Y973),"No Disp")</f>
        <v>0</v>
      </c>
      <c r="AC973" s="95">
        <f>IF(Z973="No Disp","No Disp",(Z973*18)+Y973)</f>
        <v>108000</v>
      </c>
      <c r="AD973" s="95">
        <f>IF($H973="EMP",18*Z973-100,18*Z973-100+Y973)</f>
        <v>107900</v>
      </c>
      <c r="AE973" s="95">
        <v>0</v>
      </c>
      <c r="AF973" s="95">
        <v>6000</v>
      </c>
      <c r="AG973" s="95">
        <f>IF(AF973="No Disp","No Disp",(AF973*18)+AE973)</f>
        <v>108000</v>
      </c>
      <c r="AH973" s="98">
        <f>IF($H973="EMP",18*AF973-100,18*AF973-100+AE973)</f>
        <v>107900</v>
      </c>
      <c r="AI973" s="95">
        <v>5000</v>
      </c>
      <c r="AJ973" s="99"/>
      <c r="AK973" s="100" t="s">
        <v>43</v>
      </c>
      <c r="AL973" s="100" t="s">
        <v>43</v>
      </c>
      <c r="AM973" s="100" t="s">
        <v>43</v>
      </c>
      <c r="AN973" s="100" t="s">
        <v>43</v>
      </c>
      <c r="AO973" s="100" t="s">
        <v>43</v>
      </c>
      <c r="AP973" s="100" t="s">
        <v>43</v>
      </c>
      <c r="AQ973" s="100" t="s">
        <v>43</v>
      </c>
      <c r="AR973" s="100" t="s">
        <v>43</v>
      </c>
      <c r="AS973" s="100" t="s">
        <v>43</v>
      </c>
    </row>
    <row r="974" spans="1:45" s="101" customFormat="1" x14ac:dyDescent="0.25">
      <c r="A974" s="90" t="s">
        <v>38</v>
      </c>
      <c r="B974" s="90" t="s">
        <v>40</v>
      </c>
      <c r="C974" s="90" t="s">
        <v>39</v>
      </c>
      <c r="D974" s="90" t="s">
        <v>4541</v>
      </c>
      <c r="E974" s="90" t="s">
        <v>4538</v>
      </c>
      <c r="F974" s="91"/>
      <c r="G974" s="92">
        <v>70013986</v>
      </c>
      <c r="H974" s="91" t="s">
        <v>4370</v>
      </c>
      <c r="I974" s="93" t="s">
        <v>41</v>
      </c>
      <c r="J974" s="94" t="s">
        <v>96</v>
      </c>
      <c r="K974" s="94" t="s">
        <v>3017</v>
      </c>
      <c r="L974" s="94" t="s">
        <v>3164</v>
      </c>
      <c r="M974" s="95">
        <v>149900</v>
      </c>
      <c r="N974" s="95">
        <v>2500</v>
      </c>
      <c r="O974" s="95">
        <v>4000</v>
      </c>
      <c r="P974" s="96">
        <v>179990</v>
      </c>
      <c r="Q974" s="152"/>
      <c r="R974" s="95">
        <v>149900</v>
      </c>
      <c r="S974" s="95">
        <v>6079.166666666667</v>
      </c>
      <c r="T974" s="95">
        <v>149900</v>
      </c>
      <c r="U974" s="95">
        <v>6079.166666666667</v>
      </c>
      <c r="V974" s="95">
        <v>149900</v>
      </c>
      <c r="W974" s="95">
        <v>6079.166666666667</v>
      </c>
      <c r="X974" s="128"/>
      <c r="Y974" s="95">
        <v>0</v>
      </c>
      <c r="Z974" s="95">
        <v>10000</v>
      </c>
      <c r="AA974" s="95">
        <f>IFERROR(IF(D974="Premium",0.4*Y974,0),"No Disp")</f>
        <v>0</v>
      </c>
      <c r="AB974" s="95">
        <f>IFERROR(IF(4*Y974&gt;AC974,1.5*Y974,4*Y974),"No Disp")</f>
        <v>0</v>
      </c>
      <c r="AC974" s="95">
        <f>IF(Z974="No Disp","No Disp",(Z974*18)+Y974)</f>
        <v>180000</v>
      </c>
      <c r="AD974" s="95">
        <f>IF($H974="EMP",18*Z974-100,18*Z974-100+Y974)</f>
        <v>179900</v>
      </c>
      <c r="AE974" s="95">
        <v>0</v>
      </c>
      <c r="AF974" s="95">
        <v>10000</v>
      </c>
      <c r="AG974" s="95">
        <f>IF(AF974="No Disp","No Disp",(AF974*18)+AE974)</f>
        <v>180000</v>
      </c>
      <c r="AH974" s="98">
        <f>IF($H974="EMP",18*AF974-100,18*AF974-100+AE974)</f>
        <v>179900</v>
      </c>
      <c r="AI974" s="95">
        <v>9000</v>
      </c>
      <c r="AJ974" s="99"/>
      <c r="AK974" s="100" t="s">
        <v>43</v>
      </c>
      <c r="AL974" s="100" t="s">
        <v>43</v>
      </c>
      <c r="AM974" s="100" t="s">
        <v>43</v>
      </c>
      <c r="AN974" s="100" t="s">
        <v>43</v>
      </c>
      <c r="AO974" s="100" t="s">
        <v>43</v>
      </c>
      <c r="AP974" s="100" t="s">
        <v>43</v>
      </c>
      <c r="AQ974" s="100" t="s">
        <v>43</v>
      </c>
      <c r="AR974" s="100" t="s">
        <v>43</v>
      </c>
      <c r="AS974" s="100" t="s">
        <v>43</v>
      </c>
    </row>
    <row r="975" spans="1:45" s="101" customFormat="1" x14ac:dyDescent="0.25">
      <c r="A975" s="90" t="s">
        <v>38</v>
      </c>
      <c r="B975" s="90" t="s">
        <v>40</v>
      </c>
      <c r="C975" s="90" t="s">
        <v>39</v>
      </c>
      <c r="D975" s="90" t="s">
        <v>4541</v>
      </c>
      <c r="E975" s="90" t="s">
        <v>4542</v>
      </c>
      <c r="F975" s="91"/>
      <c r="G975" s="92">
        <v>70014046</v>
      </c>
      <c r="H975" s="91" t="s">
        <v>4370</v>
      </c>
      <c r="I975" s="93" t="s">
        <v>87</v>
      </c>
      <c r="J975" s="94" t="s">
        <v>264</v>
      </c>
      <c r="K975" s="94" t="s">
        <v>3033</v>
      </c>
      <c r="L975" s="94" t="s">
        <v>3180</v>
      </c>
      <c r="M975" s="95">
        <v>141900</v>
      </c>
      <c r="N975" s="95">
        <v>2500</v>
      </c>
      <c r="O975" s="95">
        <v>4000</v>
      </c>
      <c r="P975" s="96">
        <v>229990</v>
      </c>
      <c r="Q975" s="152"/>
      <c r="R975" s="95">
        <v>141900</v>
      </c>
      <c r="S975" s="95">
        <v>5412.5</v>
      </c>
      <c r="T975" s="95">
        <v>141900</v>
      </c>
      <c r="U975" s="95">
        <v>5412.5</v>
      </c>
      <c r="V975" s="95">
        <v>141900</v>
      </c>
      <c r="W975" s="95">
        <v>5412.5</v>
      </c>
      <c r="X975" s="128"/>
      <c r="Y975" s="95">
        <v>0</v>
      </c>
      <c r="Z975" s="95">
        <v>10000</v>
      </c>
      <c r="AA975" s="95">
        <f>IFERROR(IF(D975="Premium",0.4*Y975,0),"No Disp")</f>
        <v>0</v>
      </c>
      <c r="AB975" s="95">
        <f>IFERROR(IF(4*Y975&gt;AC975,1.5*Y975,4*Y975),"No Disp")</f>
        <v>0</v>
      </c>
      <c r="AC975" s="95">
        <f>IF(Z975="No Disp","No Disp",(Z975*18)+Y975)</f>
        <v>180000</v>
      </c>
      <c r="AD975" s="95">
        <f>IF($H975="EMP",18*Z975-100,18*Z975-100+Y975)</f>
        <v>179900</v>
      </c>
      <c r="AE975" s="95">
        <v>0</v>
      </c>
      <c r="AF975" s="95">
        <v>10000</v>
      </c>
      <c r="AG975" s="95">
        <f>IF(AF975="No Disp","No Disp",(AF975*18)+AE975)</f>
        <v>180000</v>
      </c>
      <c r="AH975" s="98">
        <f>IF($H975="EMP",18*AF975-100,18*AF975-100+AE975)</f>
        <v>179900</v>
      </c>
      <c r="AI975" s="95">
        <v>8000</v>
      </c>
      <c r="AJ975" s="99"/>
      <c r="AK975" s="100" t="s">
        <v>43</v>
      </c>
      <c r="AL975" s="100" t="s">
        <v>43</v>
      </c>
      <c r="AM975" s="100" t="s">
        <v>43</v>
      </c>
      <c r="AN975" s="100" t="s">
        <v>43</v>
      </c>
      <c r="AO975" s="100" t="s">
        <v>43</v>
      </c>
      <c r="AP975" s="100" t="s">
        <v>43</v>
      </c>
      <c r="AQ975" s="100" t="s">
        <v>43</v>
      </c>
      <c r="AR975" s="100" t="s">
        <v>43</v>
      </c>
      <c r="AS975" s="100" t="s">
        <v>43</v>
      </c>
    </row>
    <row r="976" spans="1:45" s="101" customFormat="1" x14ac:dyDescent="0.25">
      <c r="A976" s="90" t="s">
        <v>38</v>
      </c>
      <c r="B976" s="90" t="s">
        <v>40</v>
      </c>
      <c r="C976" s="90" t="s">
        <v>39</v>
      </c>
      <c r="D976" s="90" t="s">
        <v>4537</v>
      </c>
      <c r="E976" s="90" t="s">
        <v>4542</v>
      </c>
      <c r="F976" s="91"/>
      <c r="G976" s="92">
        <v>70014052</v>
      </c>
      <c r="H976" s="91" t="s">
        <v>4370</v>
      </c>
      <c r="I976" s="93" t="s">
        <v>87</v>
      </c>
      <c r="J976" s="94" t="s">
        <v>321</v>
      </c>
      <c r="K976" s="94" t="s">
        <v>3084</v>
      </c>
      <c r="L976" s="94" t="s">
        <v>3231</v>
      </c>
      <c r="M976" s="95">
        <v>355900</v>
      </c>
      <c r="N976" s="95">
        <v>6000</v>
      </c>
      <c r="O976" s="95">
        <v>8500</v>
      </c>
      <c r="P976" s="96">
        <v>559990</v>
      </c>
      <c r="Q976" s="152"/>
      <c r="R976" s="95">
        <v>355900</v>
      </c>
      <c r="S976" s="95">
        <v>13454.166666666666</v>
      </c>
      <c r="T976" s="95">
        <v>355900</v>
      </c>
      <c r="U976" s="95">
        <v>13454.166666666666</v>
      </c>
      <c r="V976" s="95">
        <v>355900</v>
      </c>
      <c r="W976" s="95">
        <v>13454.166666666666</v>
      </c>
      <c r="X976" s="128"/>
      <c r="Y976" s="95">
        <v>0</v>
      </c>
      <c r="Z976" s="95">
        <v>23000</v>
      </c>
      <c r="AA976" s="95">
        <f>IFERROR(IF(D976="Premium",0.4*Y976,0),"No Disp")</f>
        <v>0</v>
      </c>
      <c r="AB976" s="95">
        <f>IFERROR(IF(4*Y976&gt;AC976,1.5*Y976,4*Y976),"No Disp")</f>
        <v>0</v>
      </c>
      <c r="AC976" s="95">
        <f>IF(Z976="No Disp","No Disp",(Z976*18)+Y976)</f>
        <v>414000</v>
      </c>
      <c r="AD976" s="95">
        <f>IF($H976="EMP",18*Z976-100,18*Z976-100+Y976)</f>
        <v>413900</v>
      </c>
      <c r="AE976" s="95">
        <v>0</v>
      </c>
      <c r="AF976" s="95">
        <v>23000</v>
      </c>
      <c r="AG976" s="95">
        <f>IF(AF976="No Disp","No Disp",(AF976*18)+AE976)</f>
        <v>414000</v>
      </c>
      <c r="AH976" s="98">
        <f>IF($H976="EMP",18*AF976-100,18*AF976-100+AE976)</f>
        <v>413900</v>
      </c>
      <c r="AI976" s="95">
        <v>18000</v>
      </c>
      <c r="AJ976" s="99"/>
      <c r="AK976" s="100" t="s">
        <v>43</v>
      </c>
      <c r="AL976" s="100" t="s">
        <v>43</v>
      </c>
      <c r="AM976" s="100" t="s">
        <v>43</v>
      </c>
      <c r="AN976" s="100" t="s">
        <v>43</v>
      </c>
      <c r="AO976" s="100" t="s">
        <v>43</v>
      </c>
      <c r="AP976" s="100" t="s">
        <v>43</v>
      </c>
      <c r="AQ976" s="100" t="s">
        <v>43</v>
      </c>
      <c r="AR976" s="100" t="s">
        <v>43</v>
      </c>
      <c r="AS976" s="100" t="s">
        <v>43</v>
      </c>
    </row>
    <row r="977" spans="1:45" s="101" customFormat="1" x14ac:dyDescent="0.25">
      <c r="A977" s="90" t="s">
        <v>38</v>
      </c>
      <c r="B977" s="90" t="s">
        <v>40</v>
      </c>
      <c r="C977" s="90" t="s">
        <v>39</v>
      </c>
      <c r="D977" s="90" t="s">
        <v>4541</v>
      </c>
      <c r="E977" s="90" t="s">
        <v>4538</v>
      </c>
      <c r="F977" s="91"/>
      <c r="G977" s="92">
        <v>70014058</v>
      </c>
      <c r="H977" s="91" t="s">
        <v>4370</v>
      </c>
      <c r="I977" s="93" t="s">
        <v>112</v>
      </c>
      <c r="J977" s="94" t="s">
        <v>113</v>
      </c>
      <c r="K977" s="94" t="s">
        <v>3002</v>
      </c>
      <c r="L977" s="94" t="s">
        <v>3149</v>
      </c>
      <c r="M977" s="95">
        <v>90900</v>
      </c>
      <c r="N977" s="95">
        <v>2500</v>
      </c>
      <c r="O977" s="95">
        <v>4000</v>
      </c>
      <c r="P977" s="96">
        <v>199990</v>
      </c>
      <c r="Q977" s="152"/>
      <c r="R977" s="95">
        <v>90900</v>
      </c>
      <c r="S977" s="95">
        <v>3870.8333333333335</v>
      </c>
      <c r="T977" s="95">
        <v>90900</v>
      </c>
      <c r="U977" s="95">
        <v>3870.8333333333335</v>
      </c>
      <c r="V977" s="95">
        <v>90900</v>
      </c>
      <c r="W977" s="95">
        <v>3870.8333333333335</v>
      </c>
      <c r="X977" s="128"/>
      <c r="Y977" s="95">
        <v>0</v>
      </c>
      <c r="Z977" s="95">
        <v>6000</v>
      </c>
      <c r="AA977" s="95">
        <f>IFERROR(IF(D977="Premium",0.4*Y977,0),"No Disp")</f>
        <v>0</v>
      </c>
      <c r="AB977" s="95">
        <f>IFERROR(IF(4*Y977&gt;AC977,1.5*Y977,4*Y977),"No Disp")</f>
        <v>0</v>
      </c>
      <c r="AC977" s="95">
        <f>IF(Z977="No Disp","No Disp",(Z977*18)+Y977)</f>
        <v>108000</v>
      </c>
      <c r="AD977" s="95">
        <f>IF($H977="EMP",18*Z977-100,18*Z977-100+Y977)</f>
        <v>107900</v>
      </c>
      <c r="AE977" s="95">
        <v>0</v>
      </c>
      <c r="AF977" s="95">
        <v>6000</v>
      </c>
      <c r="AG977" s="95">
        <f>IF(AF977="No Disp","No Disp",(AF977*18)+AE977)</f>
        <v>108000</v>
      </c>
      <c r="AH977" s="98">
        <f>IF($H977="EMP",18*AF977-100,18*AF977-100+AE977)</f>
        <v>107900</v>
      </c>
      <c r="AI977" s="95">
        <v>7000</v>
      </c>
      <c r="AJ977" s="99"/>
      <c r="AK977" s="100" t="s">
        <v>43</v>
      </c>
      <c r="AL977" s="100" t="s">
        <v>43</v>
      </c>
      <c r="AM977" s="100" t="s">
        <v>43</v>
      </c>
      <c r="AN977" s="100" t="s">
        <v>43</v>
      </c>
      <c r="AO977" s="100" t="s">
        <v>43</v>
      </c>
      <c r="AP977" s="100" t="s">
        <v>43</v>
      </c>
      <c r="AQ977" s="100" t="s">
        <v>43</v>
      </c>
      <c r="AR977" s="100" t="s">
        <v>43</v>
      </c>
      <c r="AS977" s="100" t="s">
        <v>43</v>
      </c>
    </row>
    <row r="978" spans="1:45" s="101" customFormat="1" x14ac:dyDescent="0.25">
      <c r="A978" s="90" t="s">
        <v>38</v>
      </c>
      <c r="B978" s="90" t="s">
        <v>40</v>
      </c>
      <c r="C978" s="90" t="s">
        <v>39</v>
      </c>
      <c r="D978" s="90" t="s">
        <v>4539</v>
      </c>
      <c r="E978" s="90" t="s">
        <v>4542</v>
      </c>
      <c r="F978" s="91"/>
      <c r="G978" s="92">
        <v>70013981</v>
      </c>
      <c r="H978" s="91" t="s">
        <v>4370</v>
      </c>
      <c r="I978" s="93" t="s">
        <v>41</v>
      </c>
      <c r="J978" s="94" t="s">
        <v>187</v>
      </c>
      <c r="K978" s="94" t="s">
        <v>2984</v>
      </c>
      <c r="L978" s="94" t="s">
        <v>2989</v>
      </c>
      <c r="M978" s="95">
        <v>142900</v>
      </c>
      <c r="N978" s="95">
        <v>2500</v>
      </c>
      <c r="O978" s="95">
        <v>4000</v>
      </c>
      <c r="P978" s="96" t="e">
        <v>#REF!</v>
      </c>
      <c r="Q978" s="152"/>
      <c r="R978" s="95">
        <v>142900</v>
      </c>
      <c r="S978" s="95">
        <v>6204.166666666667</v>
      </c>
      <c r="T978" s="95">
        <v>142900</v>
      </c>
      <c r="U978" s="95">
        <v>6204.166666666667</v>
      </c>
      <c r="V978" s="95">
        <v>142900</v>
      </c>
      <c r="W978" s="95">
        <v>6204.166666666667</v>
      </c>
      <c r="X978" s="128"/>
      <c r="Y978" s="95">
        <v>0</v>
      </c>
      <c r="Z978" s="95">
        <v>10000</v>
      </c>
      <c r="AA978" s="95">
        <f>IFERROR(IF(D978="Premium",0.4*Y978,0),"No Disp")</f>
        <v>0</v>
      </c>
      <c r="AB978" s="95">
        <f>IFERROR(IF(4*Y978&gt;AC978,1.5*Y978,4*Y978),"No Disp")</f>
        <v>0</v>
      </c>
      <c r="AC978" s="95">
        <f>IF(Z978="No Disp","No Disp",(Z978*18)+Y978)</f>
        <v>180000</v>
      </c>
      <c r="AD978" s="95">
        <f>IF($H978="EMP",18*Z978-100,18*Z978-100+Y978)</f>
        <v>179900</v>
      </c>
      <c r="AE978" s="95">
        <v>0</v>
      </c>
      <c r="AF978" s="95">
        <v>10000</v>
      </c>
      <c r="AG978" s="95">
        <f>IF(AF978="No Disp","No Disp",(AF978*18)+AE978)</f>
        <v>180000</v>
      </c>
      <c r="AH978" s="98">
        <f>IF($H978="EMP",18*AF978-100,18*AF978-100+AE978)</f>
        <v>179900</v>
      </c>
      <c r="AI978" s="95">
        <v>9000</v>
      </c>
      <c r="AJ978" s="99"/>
      <c r="AK978" s="100" t="s">
        <v>43</v>
      </c>
      <c r="AL978" s="100" t="s">
        <v>43</v>
      </c>
      <c r="AM978" s="100" t="s">
        <v>43</v>
      </c>
      <c r="AN978" s="100" t="s">
        <v>43</v>
      </c>
      <c r="AO978" s="100" t="s">
        <v>43</v>
      </c>
      <c r="AP978" s="100" t="s">
        <v>43</v>
      </c>
      <c r="AQ978" s="100" t="s">
        <v>43</v>
      </c>
      <c r="AR978" s="100" t="s">
        <v>43</v>
      </c>
      <c r="AS978" s="100" t="s">
        <v>43</v>
      </c>
    </row>
    <row r="979" spans="1:45" s="101" customFormat="1" x14ac:dyDescent="0.25">
      <c r="A979" s="90" t="s">
        <v>38</v>
      </c>
      <c r="B979" s="90" t="s">
        <v>40</v>
      </c>
      <c r="C979" s="90" t="s">
        <v>39</v>
      </c>
      <c r="D979" s="90" t="s">
        <v>4541</v>
      </c>
      <c r="E979" s="90" t="s">
        <v>4538</v>
      </c>
      <c r="F979" s="91"/>
      <c r="G979" s="92">
        <v>70014003</v>
      </c>
      <c r="H979" s="91" t="s">
        <v>4370</v>
      </c>
      <c r="I979" s="93" t="s">
        <v>46</v>
      </c>
      <c r="J979" s="94" t="s">
        <v>103</v>
      </c>
      <c r="K979" s="94" t="s">
        <v>2986</v>
      </c>
      <c r="L979" s="94" t="s">
        <v>2987</v>
      </c>
      <c r="M979" s="95">
        <v>99900</v>
      </c>
      <c r="N979" s="95">
        <v>2500</v>
      </c>
      <c r="O979" s="95">
        <v>4000</v>
      </c>
      <c r="P979" s="96" t="e">
        <v>#REF!</v>
      </c>
      <c r="Q979" s="152"/>
      <c r="R979" s="95">
        <v>99900</v>
      </c>
      <c r="S979" s="95">
        <v>3704.1666666666665</v>
      </c>
      <c r="T979" s="95">
        <v>99900</v>
      </c>
      <c r="U979" s="95">
        <v>3704.1666666666665</v>
      </c>
      <c r="V979" s="95">
        <v>99900</v>
      </c>
      <c r="W979" s="95">
        <v>3704.1666666666665</v>
      </c>
      <c r="X979" s="128"/>
      <c r="Y979" s="95">
        <v>0</v>
      </c>
      <c r="Z979" s="95">
        <v>7000</v>
      </c>
      <c r="AA979" s="95">
        <f>IFERROR(IF(D979="Premium",0.4*Y979,0),"No Disp")</f>
        <v>0</v>
      </c>
      <c r="AB979" s="95">
        <f>IFERROR(IF(4*Y979&gt;AC979,1.5*Y979,4*Y979),"No Disp")</f>
        <v>0</v>
      </c>
      <c r="AC979" s="95">
        <f>IF(Z979="No Disp","No Disp",(Z979*18)+Y979)</f>
        <v>126000</v>
      </c>
      <c r="AD979" s="95">
        <f>IF($H979="EMP",18*Z979-100,18*Z979-100+Y979)</f>
        <v>125900</v>
      </c>
      <c r="AE979" s="95">
        <v>0</v>
      </c>
      <c r="AF979" s="95">
        <v>7000</v>
      </c>
      <c r="AG979" s="95">
        <f>IF(AF979="No Disp","No Disp",(AF979*18)+AE979)</f>
        <v>126000</v>
      </c>
      <c r="AH979" s="98">
        <f>IF($H979="EMP",18*AF979-100,18*AF979-100+AE979)</f>
        <v>125900</v>
      </c>
      <c r="AI979" s="95">
        <v>6000</v>
      </c>
      <c r="AJ979" s="99"/>
      <c r="AK979" s="100" t="s">
        <v>43</v>
      </c>
      <c r="AL979" s="100" t="s">
        <v>43</v>
      </c>
      <c r="AM979" s="100" t="s">
        <v>43</v>
      </c>
      <c r="AN979" s="100" t="s">
        <v>43</v>
      </c>
      <c r="AO979" s="100" t="s">
        <v>43</v>
      </c>
      <c r="AP979" s="100" t="s">
        <v>43</v>
      </c>
      <c r="AQ979" s="100" t="s">
        <v>43</v>
      </c>
      <c r="AR979" s="100" t="s">
        <v>43</v>
      </c>
      <c r="AS979" s="100" t="s">
        <v>43</v>
      </c>
    </row>
    <row r="980" spans="1:45" s="101" customFormat="1" x14ac:dyDescent="0.25">
      <c r="A980" s="90" t="s">
        <v>38</v>
      </c>
      <c r="B980" s="90" t="s">
        <v>40</v>
      </c>
      <c r="C980" s="90" t="s">
        <v>39</v>
      </c>
      <c r="D980" s="90" t="s">
        <v>4539</v>
      </c>
      <c r="E980" s="90" t="s">
        <v>4542</v>
      </c>
      <c r="F980" s="91"/>
      <c r="G980" s="92">
        <v>70014050</v>
      </c>
      <c r="H980" s="91" t="s">
        <v>4370</v>
      </c>
      <c r="I980" s="93" t="s">
        <v>87</v>
      </c>
      <c r="J980" s="94" t="s">
        <v>658</v>
      </c>
      <c r="K980" s="94" t="s">
        <v>3030</v>
      </c>
      <c r="L980" s="94" t="s">
        <v>3177</v>
      </c>
      <c r="M980" s="95">
        <v>103900</v>
      </c>
      <c r="N980" s="95">
        <v>4000</v>
      </c>
      <c r="O980" s="95">
        <v>6000</v>
      </c>
      <c r="P980" s="96"/>
      <c r="Q980" s="152"/>
      <c r="R980" s="95">
        <v>103900</v>
      </c>
      <c r="S980" s="95">
        <v>10829.166666666666</v>
      </c>
      <c r="T980" s="95">
        <v>103900</v>
      </c>
      <c r="U980" s="95">
        <v>10829.166666666666</v>
      </c>
      <c r="V980" s="95">
        <v>103900</v>
      </c>
      <c r="W980" s="95">
        <v>10829.166666666666</v>
      </c>
      <c r="X980" s="128"/>
      <c r="Y980" s="95">
        <v>0</v>
      </c>
      <c r="Z980" s="95">
        <v>7000</v>
      </c>
      <c r="AA980" s="95">
        <f>IFERROR(IF(D980="Premium",0.4*Y980,0),"No Disp")</f>
        <v>0</v>
      </c>
      <c r="AB980" s="95">
        <f>IFERROR(IF(4*Y980&gt;AC980,1.5*Y980,4*Y980),"No Disp")</f>
        <v>0</v>
      </c>
      <c r="AC980" s="95">
        <f>IF(Z980="No Disp","No Disp",(Z980*18)+Y980)</f>
        <v>126000</v>
      </c>
      <c r="AD980" s="95">
        <f>IF($H980="EMP",18*Z980-100,18*Z980-100+Y980)</f>
        <v>125900</v>
      </c>
      <c r="AE980" s="95">
        <v>0</v>
      </c>
      <c r="AF980" s="95">
        <v>7000</v>
      </c>
      <c r="AG980" s="95">
        <f>IF(AF980="No Disp","No Disp",(AF980*18)+AE980)</f>
        <v>126000</v>
      </c>
      <c r="AH980" s="98">
        <f>IF($H980="EMP",18*AF980-100,18*AF980-100+AE980)</f>
        <v>125900</v>
      </c>
      <c r="AI980" s="95">
        <v>6000</v>
      </c>
      <c r="AJ980" s="99"/>
      <c r="AK980" s="100" t="s">
        <v>43</v>
      </c>
      <c r="AL980" s="100" t="s">
        <v>43</v>
      </c>
      <c r="AM980" s="100" t="s">
        <v>43</v>
      </c>
      <c r="AN980" s="100" t="s">
        <v>43</v>
      </c>
      <c r="AO980" s="100" t="s">
        <v>43</v>
      </c>
      <c r="AP980" s="100" t="s">
        <v>43</v>
      </c>
      <c r="AQ980" s="100" t="s">
        <v>43</v>
      </c>
      <c r="AR980" s="100" t="s">
        <v>43</v>
      </c>
      <c r="AS980" s="100" t="s">
        <v>43</v>
      </c>
    </row>
    <row r="981" spans="1:45" s="101" customFormat="1" x14ac:dyDescent="0.25">
      <c r="A981" s="90" t="s">
        <v>38</v>
      </c>
      <c r="B981" s="90" t="s">
        <v>40</v>
      </c>
      <c r="C981" s="90" t="s">
        <v>39</v>
      </c>
      <c r="D981" s="90" t="s">
        <v>4541</v>
      </c>
      <c r="E981" s="90" t="s">
        <v>4542</v>
      </c>
      <c r="F981" s="91"/>
      <c r="G981" s="92">
        <v>70014048</v>
      </c>
      <c r="H981" s="91" t="s">
        <v>4370</v>
      </c>
      <c r="I981" s="93" t="s">
        <v>87</v>
      </c>
      <c r="J981" s="94" t="s">
        <v>844</v>
      </c>
      <c r="K981" s="94" t="s">
        <v>2996</v>
      </c>
      <c r="L981" s="94" t="s">
        <v>3143</v>
      </c>
      <c r="M981" s="95">
        <v>51900</v>
      </c>
      <c r="N981" s="95">
        <v>2500</v>
      </c>
      <c r="O981" s="95">
        <v>4000</v>
      </c>
      <c r="P981" s="96"/>
      <c r="Q981" s="152"/>
      <c r="R981" s="95">
        <v>51900</v>
      </c>
      <c r="S981" s="95">
        <v>4037.5</v>
      </c>
      <c r="T981" s="95">
        <v>51900</v>
      </c>
      <c r="U981" s="95">
        <v>4037.5</v>
      </c>
      <c r="V981" s="95">
        <v>51900</v>
      </c>
      <c r="W981" s="95">
        <v>4037.5</v>
      </c>
      <c r="X981" s="128"/>
      <c r="Y981" s="95">
        <v>0</v>
      </c>
      <c r="Z981" s="95">
        <v>4000</v>
      </c>
      <c r="AA981" s="95">
        <f>IFERROR(IF(D981="Premium",0.4*Y981,0),"No Disp")</f>
        <v>0</v>
      </c>
      <c r="AB981" s="95">
        <f>IFERROR(IF(4*Y981&gt;AC981,1.5*Y981,4*Y981),"No Disp")</f>
        <v>0</v>
      </c>
      <c r="AC981" s="95">
        <f>IF(Z981="No Disp","No Disp",(Z981*18)+Y981)</f>
        <v>72000</v>
      </c>
      <c r="AD981" s="95">
        <f>IF($H981="EMP",18*Z981-100,18*Z981-100+Y981)</f>
        <v>71900</v>
      </c>
      <c r="AE981" s="95">
        <v>0</v>
      </c>
      <c r="AF981" s="95">
        <v>4000</v>
      </c>
      <c r="AG981" s="95">
        <f>IF(AF981="No Disp","No Disp",(AF981*18)+AE981)</f>
        <v>72000</v>
      </c>
      <c r="AH981" s="98">
        <f>IF($H981="EMP",18*AF981-100,18*AF981-100+AE981)</f>
        <v>71900</v>
      </c>
      <c r="AI981" s="95">
        <v>3000</v>
      </c>
      <c r="AJ981" s="99"/>
      <c r="AK981" s="100" t="s">
        <v>43</v>
      </c>
      <c r="AL981" s="100" t="s">
        <v>43</v>
      </c>
      <c r="AM981" s="100" t="s">
        <v>43</v>
      </c>
      <c r="AN981" s="100" t="s">
        <v>43</v>
      </c>
      <c r="AO981" s="100" t="s">
        <v>43</v>
      </c>
      <c r="AP981" s="100" t="s">
        <v>43</v>
      </c>
      <c r="AQ981" s="100" t="s">
        <v>43</v>
      </c>
      <c r="AR981" s="100" t="s">
        <v>43</v>
      </c>
      <c r="AS981" s="100" t="s">
        <v>43</v>
      </c>
    </row>
    <row r="982" spans="1:45" s="101" customFormat="1" x14ac:dyDescent="0.25">
      <c r="A982" s="90" t="s">
        <v>38</v>
      </c>
      <c r="B982" s="90" t="s">
        <v>40</v>
      </c>
      <c r="C982" s="90" t="s">
        <v>39</v>
      </c>
      <c r="D982" s="90" t="s">
        <v>4541</v>
      </c>
      <c r="E982" s="90" t="s">
        <v>4542</v>
      </c>
      <c r="F982" s="91"/>
      <c r="G982" s="92">
        <v>70014138</v>
      </c>
      <c r="H982" s="91" t="s">
        <v>4370</v>
      </c>
      <c r="I982" s="93" t="s">
        <v>87</v>
      </c>
      <c r="J982" s="94" t="s">
        <v>844</v>
      </c>
      <c r="K982" s="94" t="s">
        <v>2997</v>
      </c>
      <c r="L982" s="94" t="s">
        <v>3144</v>
      </c>
      <c r="M982" s="95">
        <v>51900</v>
      </c>
      <c r="N982" s="95">
        <v>2500</v>
      </c>
      <c r="O982" s="95">
        <v>4000</v>
      </c>
      <c r="P982" s="96"/>
      <c r="Q982" s="152"/>
      <c r="R982" s="95">
        <v>51900</v>
      </c>
      <c r="S982" s="95">
        <v>4037.5</v>
      </c>
      <c r="T982" s="95">
        <v>51900</v>
      </c>
      <c r="U982" s="95">
        <v>4037.5</v>
      </c>
      <c r="V982" s="95">
        <v>51900</v>
      </c>
      <c r="W982" s="95">
        <v>4037.5</v>
      </c>
      <c r="X982" s="128"/>
      <c r="Y982" s="95">
        <v>0</v>
      </c>
      <c r="Z982" s="95">
        <v>4000</v>
      </c>
      <c r="AA982" s="95">
        <f>IFERROR(IF(D982="Premium",0.4*Y982,0),"No Disp")</f>
        <v>0</v>
      </c>
      <c r="AB982" s="95">
        <f>IFERROR(IF(4*Y982&gt;AC982,1.5*Y982,4*Y982),"No Disp")</f>
        <v>0</v>
      </c>
      <c r="AC982" s="95">
        <f>IF(Z982="No Disp","No Disp",(Z982*18)+Y982)</f>
        <v>72000</v>
      </c>
      <c r="AD982" s="95">
        <f>IF($H982="EMP",18*Z982-100,18*Z982-100+Y982)</f>
        <v>71900</v>
      </c>
      <c r="AE982" s="95">
        <v>0</v>
      </c>
      <c r="AF982" s="95">
        <v>4000</v>
      </c>
      <c r="AG982" s="95">
        <f>IF(AF982="No Disp","No Disp",(AF982*18)+AE982)</f>
        <v>72000</v>
      </c>
      <c r="AH982" s="98">
        <f>IF($H982="EMP",18*AF982-100,18*AF982-100+AE982)</f>
        <v>71900</v>
      </c>
      <c r="AI982" s="95">
        <v>3000</v>
      </c>
      <c r="AJ982" s="99"/>
      <c r="AK982" s="100" t="s">
        <v>43</v>
      </c>
      <c r="AL982" s="100" t="s">
        <v>43</v>
      </c>
      <c r="AM982" s="100" t="s">
        <v>43</v>
      </c>
      <c r="AN982" s="100" t="s">
        <v>43</v>
      </c>
      <c r="AO982" s="100" t="s">
        <v>43</v>
      </c>
      <c r="AP982" s="100" t="s">
        <v>43</v>
      </c>
      <c r="AQ982" s="100" t="s">
        <v>43</v>
      </c>
      <c r="AR982" s="100" t="s">
        <v>43</v>
      </c>
      <c r="AS982" s="100" t="s">
        <v>43</v>
      </c>
    </row>
    <row r="983" spans="1:45" s="101" customFormat="1" x14ac:dyDescent="0.25">
      <c r="A983" s="90" t="s">
        <v>38</v>
      </c>
      <c r="B983" s="90" t="s">
        <v>40</v>
      </c>
      <c r="C983" s="90" t="s">
        <v>39</v>
      </c>
      <c r="D983" s="90" t="s">
        <v>4541</v>
      </c>
      <c r="E983" s="90" t="s">
        <v>4542</v>
      </c>
      <c r="F983" s="91"/>
      <c r="G983" s="92">
        <v>70014047</v>
      </c>
      <c r="H983" s="91" t="s">
        <v>4370</v>
      </c>
      <c r="I983" s="93" t="s">
        <v>87</v>
      </c>
      <c r="J983" s="94" t="s">
        <v>978</v>
      </c>
      <c r="K983" s="94" t="s">
        <v>3022</v>
      </c>
      <c r="L983" s="94" t="s">
        <v>3169</v>
      </c>
      <c r="M983" s="95">
        <v>51900</v>
      </c>
      <c r="N983" s="95">
        <v>2500</v>
      </c>
      <c r="O983" s="95">
        <v>4000</v>
      </c>
      <c r="P983" s="96"/>
      <c r="Q983" s="152"/>
      <c r="R983" s="95">
        <v>51900</v>
      </c>
      <c r="S983" s="95">
        <v>6162.5</v>
      </c>
      <c r="T983" s="95">
        <v>51900</v>
      </c>
      <c r="U983" s="95">
        <v>6162.5</v>
      </c>
      <c r="V983" s="95">
        <v>51900</v>
      </c>
      <c r="W983" s="95">
        <v>6162.5</v>
      </c>
      <c r="X983" s="128"/>
      <c r="Y983" s="95">
        <v>0</v>
      </c>
      <c r="Z983" s="95">
        <v>4000</v>
      </c>
      <c r="AA983" s="95">
        <f>IFERROR(IF(D983="Premium",0.4*Y983,0),"No Disp")</f>
        <v>0</v>
      </c>
      <c r="AB983" s="95">
        <f>IFERROR(IF(4*Y983&gt;AC983,1.5*Y983,4*Y983),"No Disp")</f>
        <v>0</v>
      </c>
      <c r="AC983" s="95">
        <f>IF(Z983="No Disp","No Disp",(Z983*18)+Y983)</f>
        <v>72000</v>
      </c>
      <c r="AD983" s="95">
        <f>IF($H983="EMP",18*Z983-100,18*Z983-100+Y983)</f>
        <v>71900</v>
      </c>
      <c r="AE983" s="95">
        <v>0</v>
      </c>
      <c r="AF983" s="95">
        <v>4000</v>
      </c>
      <c r="AG983" s="95">
        <f>IF(AF983="No Disp","No Disp",(AF983*18)+AE983)</f>
        <v>72000</v>
      </c>
      <c r="AH983" s="98">
        <f>IF($H983="EMP",18*AF983-100,18*AF983-100+AE983)</f>
        <v>71900</v>
      </c>
      <c r="AI983" s="95">
        <v>6000</v>
      </c>
      <c r="AJ983" s="99"/>
      <c r="AK983" s="100" t="s">
        <v>43</v>
      </c>
      <c r="AL983" s="100" t="s">
        <v>43</v>
      </c>
      <c r="AM983" s="100" t="s">
        <v>43</v>
      </c>
      <c r="AN983" s="100" t="s">
        <v>43</v>
      </c>
      <c r="AO983" s="100" t="s">
        <v>43</v>
      </c>
      <c r="AP983" s="100" t="s">
        <v>43</v>
      </c>
      <c r="AQ983" s="100" t="s">
        <v>43</v>
      </c>
      <c r="AR983" s="100" t="s">
        <v>43</v>
      </c>
      <c r="AS983" s="100" t="s">
        <v>43</v>
      </c>
    </row>
    <row r="984" spans="1:45" s="101" customFormat="1" x14ac:dyDescent="0.25">
      <c r="A984" s="90" t="s">
        <v>38</v>
      </c>
      <c r="B984" s="90" t="s">
        <v>40</v>
      </c>
      <c r="C984" s="90" t="s">
        <v>39</v>
      </c>
      <c r="D984" s="90" t="s">
        <v>4541</v>
      </c>
      <c r="E984" s="90" t="s">
        <v>4542</v>
      </c>
      <c r="F984" s="91"/>
      <c r="G984" s="92">
        <v>70014157</v>
      </c>
      <c r="H984" s="91" t="s">
        <v>4370</v>
      </c>
      <c r="I984" s="93" t="s">
        <v>87</v>
      </c>
      <c r="J984" s="94" t="s">
        <v>978</v>
      </c>
      <c r="K984" s="94" t="s">
        <v>3024</v>
      </c>
      <c r="L984" s="94" t="s">
        <v>3171</v>
      </c>
      <c r="M984" s="95">
        <v>51900</v>
      </c>
      <c r="N984" s="95">
        <v>2500</v>
      </c>
      <c r="O984" s="95">
        <v>4000</v>
      </c>
      <c r="P984" s="96"/>
      <c r="Q984" s="152"/>
      <c r="R984" s="95">
        <v>51900</v>
      </c>
      <c r="S984" s="95">
        <v>6162.5</v>
      </c>
      <c r="T984" s="95">
        <v>51900</v>
      </c>
      <c r="U984" s="95">
        <v>6162.5</v>
      </c>
      <c r="V984" s="95">
        <v>51900</v>
      </c>
      <c r="W984" s="95">
        <v>6162.5</v>
      </c>
      <c r="X984" s="128"/>
      <c r="Y984" s="95">
        <v>0</v>
      </c>
      <c r="Z984" s="95">
        <v>4000</v>
      </c>
      <c r="AA984" s="95">
        <f>IFERROR(IF(D984="Premium",0.4*Y984,0),"No Disp")</f>
        <v>0</v>
      </c>
      <c r="AB984" s="95">
        <f>IFERROR(IF(4*Y984&gt;AC984,1.5*Y984,4*Y984),"No Disp")</f>
        <v>0</v>
      </c>
      <c r="AC984" s="95">
        <f>IF(Z984="No Disp","No Disp",(Z984*18)+Y984)</f>
        <v>72000</v>
      </c>
      <c r="AD984" s="95">
        <f>IF($H984="EMP",18*Z984-100,18*Z984-100+Y984)</f>
        <v>71900</v>
      </c>
      <c r="AE984" s="95">
        <v>0</v>
      </c>
      <c r="AF984" s="95">
        <v>4000</v>
      </c>
      <c r="AG984" s="95">
        <f>IF(AF984="No Disp","No Disp",(AF984*18)+AE984)</f>
        <v>72000</v>
      </c>
      <c r="AH984" s="98">
        <f>IF($H984="EMP",18*AF984-100,18*AF984-100+AE984)</f>
        <v>71900</v>
      </c>
      <c r="AI984" s="95">
        <v>6000</v>
      </c>
      <c r="AJ984" s="99"/>
      <c r="AK984" s="100" t="s">
        <v>43</v>
      </c>
      <c r="AL984" s="100" t="s">
        <v>43</v>
      </c>
      <c r="AM984" s="100" t="s">
        <v>43</v>
      </c>
      <c r="AN984" s="100" t="s">
        <v>43</v>
      </c>
      <c r="AO984" s="100" t="s">
        <v>43</v>
      </c>
      <c r="AP984" s="100" t="s">
        <v>43</v>
      </c>
      <c r="AQ984" s="100" t="s">
        <v>43</v>
      </c>
      <c r="AR984" s="100" t="s">
        <v>43</v>
      </c>
      <c r="AS984" s="100" t="s">
        <v>43</v>
      </c>
    </row>
    <row r="985" spans="1:45" s="101" customFormat="1" x14ac:dyDescent="0.25">
      <c r="A985" s="90" t="s">
        <v>38</v>
      </c>
      <c r="B985" s="90" t="s">
        <v>40</v>
      </c>
      <c r="C985" s="90" t="s">
        <v>39</v>
      </c>
      <c r="D985" s="90" t="s">
        <v>4541</v>
      </c>
      <c r="E985" s="90" t="s">
        <v>4542</v>
      </c>
      <c r="F985" s="91"/>
      <c r="G985" s="92">
        <v>70014049</v>
      </c>
      <c r="H985" s="91" t="s">
        <v>4370</v>
      </c>
      <c r="I985" s="93" t="s">
        <v>87</v>
      </c>
      <c r="J985" s="94" t="s">
        <v>692</v>
      </c>
      <c r="K985" s="94" t="s">
        <v>2994</v>
      </c>
      <c r="L985" s="94" t="s">
        <v>3141</v>
      </c>
      <c r="M985" s="95">
        <v>51900</v>
      </c>
      <c r="N985" s="95">
        <v>2500</v>
      </c>
      <c r="O985" s="95">
        <v>4000</v>
      </c>
      <c r="P985" s="96"/>
      <c r="Q985" s="152"/>
      <c r="R985" s="95">
        <v>51900</v>
      </c>
      <c r="S985" s="95">
        <v>4370.833333333333</v>
      </c>
      <c r="T985" s="95">
        <v>51900</v>
      </c>
      <c r="U985" s="95">
        <v>4370.833333333333</v>
      </c>
      <c r="V985" s="95">
        <v>51900</v>
      </c>
      <c r="W985" s="95">
        <v>4370.833333333333</v>
      </c>
      <c r="X985" s="128"/>
      <c r="Y985" s="95">
        <v>0</v>
      </c>
      <c r="Z985" s="95">
        <v>4000</v>
      </c>
      <c r="AA985" s="95">
        <f>IFERROR(IF(D985="Premium",0.4*Y985,0),"No Disp")</f>
        <v>0</v>
      </c>
      <c r="AB985" s="95">
        <f>IFERROR(IF(4*Y985&gt;AC985,1.5*Y985,4*Y985),"No Disp")</f>
        <v>0</v>
      </c>
      <c r="AC985" s="95">
        <f>IF(Z985="No Disp","No Disp",(Z985*18)+Y985)</f>
        <v>72000</v>
      </c>
      <c r="AD985" s="95">
        <f>IF($H985="EMP",18*Z985-100,18*Z985-100+Y985)</f>
        <v>71900</v>
      </c>
      <c r="AE985" s="95">
        <v>0</v>
      </c>
      <c r="AF985" s="95">
        <v>4000</v>
      </c>
      <c r="AG985" s="95">
        <f>IF(AF985="No Disp","No Disp",(AF985*18)+AE985)</f>
        <v>72000</v>
      </c>
      <c r="AH985" s="98">
        <f>IF($H985="EMP",18*AF985-100,18*AF985-100+AE985)</f>
        <v>71900</v>
      </c>
      <c r="AI985" s="95">
        <v>3000</v>
      </c>
      <c r="AJ985" s="99"/>
      <c r="AK985" s="100" t="s">
        <v>43</v>
      </c>
      <c r="AL985" s="100" t="s">
        <v>43</v>
      </c>
      <c r="AM985" s="100" t="s">
        <v>43</v>
      </c>
      <c r="AN985" s="100" t="s">
        <v>43</v>
      </c>
      <c r="AO985" s="100" t="s">
        <v>43</v>
      </c>
      <c r="AP985" s="100" t="s">
        <v>43</v>
      </c>
      <c r="AQ985" s="100" t="s">
        <v>43</v>
      </c>
      <c r="AR985" s="100" t="s">
        <v>43</v>
      </c>
      <c r="AS985" s="100" t="s">
        <v>43</v>
      </c>
    </row>
    <row r="986" spans="1:45" s="101" customFormat="1" x14ac:dyDescent="0.25">
      <c r="A986" s="90" t="s">
        <v>38</v>
      </c>
      <c r="B986" s="90" t="s">
        <v>39</v>
      </c>
      <c r="C986" s="90" t="s">
        <v>40</v>
      </c>
      <c r="D986" s="90" t="s">
        <v>4540</v>
      </c>
      <c r="E986" s="90" t="s">
        <v>4538</v>
      </c>
      <c r="F986" s="91"/>
      <c r="G986" s="92">
        <v>70014733</v>
      </c>
      <c r="H986" s="91" t="s">
        <v>4370</v>
      </c>
      <c r="I986" s="93" t="s">
        <v>87</v>
      </c>
      <c r="J986" s="94" t="s">
        <v>4221</v>
      </c>
      <c r="K986" s="94" t="s">
        <v>4591</v>
      </c>
      <c r="L986" s="94" t="s">
        <v>4597</v>
      </c>
      <c r="M986" s="95">
        <v>689900</v>
      </c>
      <c r="N986" s="95">
        <v>4000</v>
      </c>
      <c r="O986" s="95">
        <v>6000</v>
      </c>
      <c r="P986" s="96">
        <v>799990</v>
      </c>
      <c r="Q986" s="152"/>
      <c r="R986" s="95">
        <v>689900</v>
      </c>
      <c r="S986" s="95">
        <f>R986/24</f>
        <v>28745.833333333332</v>
      </c>
      <c r="T986" s="95">
        <v>689900</v>
      </c>
      <c r="U986" s="95">
        <f>T986/24</f>
        <v>28745.833333333332</v>
      </c>
      <c r="V986" s="95">
        <v>689900</v>
      </c>
      <c r="W986" s="95">
        <f>V986/24</f>
        <v>28745.833333333332</v>
      </c>
      <c r="X986" s="128"/>
      <c r="Y986" s="95">
        <v>198900</v>
      </c>
      <c r="Z986" s="95">
        <v>34000</v>
      </c>
      <c r="AA986" s="95">
        <f>IFERROR(IF(D986="Premium",0.4*Y986,0),"No Disp")</f>
        <v>79560</v>
      </c>
      <c r="AB986" s="95">
        <f>IFERROR(IF(4*Y986&gt;AC986,1.5*Y986,4*Y986),"No Disp")</f>
        <v>795600</v>
      </c>
      <c r="AC986" s="95">
        <f>IF(Z986="No Disp","No Disp",(Z986*18)+Y986)</f>
        <v>810900</v>
      </c>
      <c r="AD986" s="95">
        <f>IF($H986="EMP",18*Z986-100,18*Z986-100+Y986)</f>
        <v>611900</v>
      </c>
      <c r="AE986" s="95">
        <v>198900</v>
      </c>
      <c r="AF986" s="95">
        <v>34000</v>
      </c>
      <c r="AG986" s="95">
        <f>IF(AF986="No Disp","No Disp",(AF986*18)+AE986)</f>
        <v>810900</v>
      </c>
      <c r="AH986" s="98">
        <f>IF($H986="EMP",18*AF986-100,18*AF986-100+AE986)</f>
        <v>611900</v>
      </c>
      <c r="AI986" s="95">
        <v>45000</v>
      </c>
      <c r="AJ986" s="99"/>
      <c r="AK986" s="100" t="s">
        <v>43</v>
      </c>
      <c r="AL986" s="100" t="s">
        <v>43</v>
      </c>
      <c r="AM986" s="100" t="str">
        <f>IF(AL986&lt;&gt;"No Disp",AK986+12*AL986,"No Disp")</f>
        <v>No Disp</v>
      </c>
      <c r="AN986" s="100" t="s">
        <v>43</v>
      </c>
      <c r="AO986" s="100" t="s">
        <v>43</v>
      </c>
      <c r="AP986" s="100" t="str">
        <f>IF(AO986&lt;&gt;"No Disp",AN986+12*AO986,"No Disp")</f>
        <v>No Disp</v>
      </c>
      <c r="AQ986" s="100" t="s">
        <v>43</v>
      </c>
      <c r="AR986" s="100" t="s">
        <v>43</v>
      </c>
      <c r="AS986" s="100" t="str">
        <f>IF(AR986&lt;&gt;"No Disp",AQ986+12*AR986,"No Disp")</f>
        <v>No Disp</v>
      </c>
    </row>
    <row r="987" spans="1:45" s="101" customFormat="1" x14ac:dyDescent="0.25">
      <c r="A987" s="90" t="s">
        <v>38</v>
      </c>
      <c r="B987" s="90" t="s">
        <v>39</v>
      </c>
      <c r="C987" s="90" t="s">
        <v>40</v>
      </c>
      <c r="D987" s="90" t="s">
        <v>4540</v>
      </c>
      <c r="E987" s="90" t="s">
        <v>4538</v>
      </c>
      <c r="F987" s="91"/>
      <c r="G987" s="92">
        <v>70014745</v>
      </c>
      <c r="H987" s="91" t="s">
        <v>4370</v>
      </c>
      <c r="I987" s="93" t="s">
        <v>87</v>
      </c>
      <c r="J987" s="94" t="s">
        <v>4221</v>
      </c>
      <c r="K987" s="94" t="s">
        <v>4595</v>
      </c>
      <c r="L987" s="94" t="s">
        <v>4601</v>
      </c>
      <c r="M987" s="95">
        <v>689900</v>
      </c>
      <c r="N987" s="95">
        <v>4000</v>
      </c>
      <c r="O987" s="95">
        <v>6000</v>
      </c>
      <c r="P987" s="96">
        <v>799990</v>
      </c>
      <c r="Q987" s="152"/>
      <c r="R987" s="95">
        <v>689900</v>
      </c>
      <c r="S987" s="95">
        <f>R987/24</f>
        <v>28745.833333333332</v>
      </c>
      <c r="T987" s="95">
        <v>689900</v>
      </c>
      <c r="U987" s="95">
        <f>T987/24</f>
        <v>28745.833333333332</v>
      </c>
      <c r="V987" s="95">
        <v>689900</v>
      </c>
      <c r="W987" s="95">
        <f>V987/24</f>
        <v>28745.833333333332</v>
      </c>
      <c r="X987" s="128"/>
      <c r="Y987" s="95">
        <v>198900</v>
      </c>
      <c r="Z987" s="95">
        <v>34000</v>
      </c>
      <c r="AA987" s="95">
        <f>IFERROR(IF(D987="Premium",0.4*Y987,0),"No Disp")</f>
        <v>79560</v>
      </c>
      <c r="AB987" s="95">
        <f>IFERROR(IF(4*Y987&gt;AC987,1.5*Y987,4*Y987),"No Disp")</f>
        <v>795600</v>
      </c>
      <c r="AC987" s="95">
        <f>IF(Z987="No Disp","No Disp",(Z987*18)+Y987)</f>
        <v>810900</v>
      </c>
      <c r="AD987" s="95">
        <f>IF($H987="EMP",18*Z987-100,18*Z987-100+Y987)</f>
        <v>611900</v>
      </c>
      <c r="AE987" s="95">
        <v>198900</v>
      </c>
      <c r="AF987" s="95">
        <v>34000</v>
      </c>
      <c r="AG987" s="95">
        <f>IF(AF987="No Disp","No Disp",(AF987*18)+AE987)</f>
        <v>810900</v>
      </c>
      <c r="AH987" s="98">
        <f>IF($H987="EMP",18*AF987-100,18*AF987-100+AE987)</f>
        <v>611900</v>
      </c>
      <c r="AI987" s="95">
        <v>45000</v>
      </c>
      <c r="AJ987" s="99"/>
      <c r="AK987" s="100" t="s">
        <v>43</v>
      </c>
      <c r="AL987" s="100" t="s">
        <v>43</v>
      </c>
      <c r="AM987" s="100" t="str">
        <f>IF(AL987&lt;&gt;"No Disp",AK987+12*AL987,"No Disp")</f>
        <v>No Disp</v>
      </c>
      <c r="AN987" s="100" t="s">
        <v>43</v>
      </c>
      <c r="AO987" s="100" t="s">
        <v>43</v>
      </c>
      <c r="AP987" s="100" t="str">
        <f>IF(AO987&lt;&gt;"No Disp",AN987+12*AO987,"No Disp")</f>
        <v>No Disp</v>
      </c>
      <c r="AQ987" s="100" t="s">
        <v>43</v>
      </c>
      <c r="AR987" s="100" t="s">
        <v>43</v>
      </c>
      <c r="AS987" s="100" t="str">
        <f>IF(AR987&lt;&gt;"No Disp",AQ987+12*AR987,"No Disp")</f>
        <v>No Disp</v>
      </c>
    </row>
    <row r="988" spans="1:45" s="101" customFormat="1" x14ac:dyDescent="0.25">
      <c r="A988" s="90" t="s">
        <v>38</v>
      </c>
      <c r="B988" s="90" t="s">
        <v>39</v>
      </c>
      <c r="C988" s="90" t="s">
        <v>40</v>
      </c>
      <c r="D988" s="90" t="s">
        <v>4540</v>
      </c>
      <c r="E988" s="90" t="s">
        <v>4538</v>
      </c>
      <c r="F988" s="91"/>
      <c r="G988" s="92">
        <v>70014739</v>
      </c>
      <c r="H988" s="91" t="s">
        <v>4370</v>
      </c>
      <c r="I988" s="93" t="s">
        <v>87</v>
      </c>
      <c r="J988" s="94" t="s">
        <v>4221</v>
      </c>
      <c r="K988" s="94" t="s">
        <v>4596</v>
      </c>
      <c r="L988" s="94" t="s">
        <v>4602</v>
      </c>
      <c r="M988" s="95">
        <v>689900</v>
      </c>
      <c r="N988" s="95">
        <v>4000</v>
      </c>
      <c r="O988" s="95">
        <v>6000</v>
      </c>
      <c r="P988" s="96">
        <v>799990</v>
      </c>
      <c r="Q988" s="152"/>
      <c r="R988" s="95">
        <v>689900</v>
      </c>
      <c r="S988" s="95">
        <f>R988/24</f>
        <v>28745.833333333332</v>
      </c>
      <c r="T988" s="95">
        <v>689900</v>
      </c>
      <c r="U988" s="95">
        <f>T988/24</f>
        <v>28745.833333333332</v>
      </c>
      <c r="V988" s="95">
        <v>689900</v>
      </c>
      <c r="W988" s="95">
        <f>V988/24</f>
        <v>28745.833333333332</v>
      </c>
      <c r="X988" s="128"/>
      <c r="Y988" s="95">
        <v>198900</v>
      </c>
      <c r="Z988" s="95">
        <v>34000</v>
      </c>
      <c r="AA988" s="95">
        <f>IFERROR(IF(D988="Premium",0.4*Y988,0),"No Disp")</f>
        <v>79560</v>
      </c>
      <c r="AB988" s="95">
        <f>IFERROR(IF(4*Y988&gt;AC988,1.5*Y988,4*Y988),"No Disp")</f>
        <v>795600</v>
      </c>
      <c r="AC988" s="95">
        <f>IF(Z988="No Disp","No Disp",(Z988*18)+Y988)</f>
        <v>810900</v>
      </c>
      <c r="AD988" s="95">
        <f>IF($H988="EMP",18*Z988-100,18*Z988-100+Y988)</f>
        <v>611900</v>
      </c>
      <c r="AE988" s="95">
        <v>198900</v>
      </c>
      <c r="AF988" s="95">
        <v>34000</v>
      </c>
      <c r="AG988" s="95">
        <f>IF(AF988="No Disp","No Disp",(AF988*18)+AE988)</f>
        <v>810900</v>
      </c>
      <c r="AH988" s="98">
        <f>IF($H988="EMP",18*AF988-100,18*AF988-100+AE988)</f>
        <v>611900</v>
      </c>
      <c r="AI988" s="95">
        <v>45000</v>
      </c>
      <c r="AJ988" s="99"/>
      <c r="AK988" s="100" t="s">
        <v>43</v>
      </c>
      <c r="AL988" s="100" t="s">
        <v>43</v>
      </c>
      <c r="AM988" s="100" t="str">
        <f>IF(AL988&lt;&gt;"No Disp",AK988+12*AL988,"No Disp")</f>
        <v>No Disp</v>
      </c>
      <c r="AN988" s="100" t="s">
        <v>43</v>
      </c>
      <c r="AO988" s="100" t="s">
        <v>43</v>
      </c>
      <c r="AP988" s="100" t="str">
        <f>IF(AO988&lt;&gt;"No Disp",AN988+12*AO988,"No Disp")</f>
        <v>No Disp</v>
      </c>
      <c r="AQ988" s="100" t="s">
        <v>43</v>
      </c>
      <c r="AR988" s="100" t="s">
        <v>43</v>
      </c>
      <c r="AS988" s="100" t="str">
        <f>IF(AR988&lt;&gt;"No Disp",AQ988+12*AR988,"No Disp")</f>
        <v>No Disp</v>
      </c>
    </row>
    <row r="989" spans="1:45" s="101" customFormat="1" x14ac:dyDescent="0.25">
      <c r="A989" s="90" t="s">
        <v>38</v>
      </c>
      <c r="B989" s="90" t="s">
        <v>40</v>
      </c>
      <c r="C989" s="90" t="s">
        <v>39</v>
      </c>
      <c r="D989" s="90" t="s">
        <v>4539</v>
      </c>
      <c r="E989" s="90" t="s">
        <v>4538</v>
      </c>
      <c r="F989" s="91">
        <v>742</v>
      </c>
      <c r="G989" s="92">
        <v>70014715</v>
      </c>
      <c r="H989" s="91" t="s">
        <v>4370</v>
      </c>
      <c r="I989" s="93" t="s">
        <v>131</v>
      </c>
      <c r="J989" s="94" t="s">
        <v>4321</v>
      </c>
      <c r="K989" s="94" t="s">
        <v>4508</v>
      </c>
      <c r="L989" s="94" t="s">
        <v>4341</v>
      </c>
      <c r="M989" s="95">
        <v>284900</v>
      </c>
      <c r="N989" s="95">
        <v>4000</v>
      </c>
      <c r="O989" s="95">
        <v>6000</v>
      </c>
      <c r="P989" s="96">
        <v>399990</v>
      </c>
      <c r="Q989" s="152"/>
      <c r="R989" s="95">
        <v>284900</v>
      </c>
      <c r="S989" s="95">
        <v>14166.25</v>
      </c>
      <c r="T989" s="95">
        <v>284900</v>
      </c>
      <c r="U989" s="95">
        <v>12495.833333333334</v>
      </c>
      <c r="V989" s="95">
        <v>284900</v>
      </c>
      <c r="W989" s="95">
        <v>12495.833333333334</v>
      </c>
      <c r="X989" s="128"/>
      <c r="Y989" s="95">
        <v>49900</v>
      </c>
      <c r="Z989" s="95">
        <v>16000</v>
      </c>
      <c r="AA989" s="95">
        <f>IFERROR(IF(D989="Premium",0.4*Y989,0),"No Disp")</f>
        <v>0</v>
      </c>
      <c r="AB989" s="95">
        <f>IFERROR(IF(4*Y989&gt;AC989,1.5*Y989,4*Y989),"No Disp")</f>
        <v>199600</v>
      </c>
      <c r="AC989" s="95">
        <f>IF(Z989="No Disp","No Disp",(Z989*18)+Y989)</f>
        <v>337900</v>
      </c>
      <c r="AD989" s="95">
        <f>IF($H989="EMP",18*Z989-100,18*Z989-100+Y989)</f>
        <v>287900</v>
      </c>
      <c r="AE989" s="95">
        <v>49900</v>
      </c>
      <c r="AF989" s="95">
        <v>16000</v>
      </c>
      <c r="AG989" s="95">
        <f>IF(AF989="No Disp","No Disp",(AF989*18)+AE989)</f>
        <v>337900</v>
      </c>
      <c r="AH989" s="98">
        <f>IF($H989="EMP",18*AF989-100,18*AF989-100+AE989)</f>
        <v>287900</v>
      </c>
      <c r="AI989" s="95">
        <v>18000</v>
      </c>
      <c r="AJ989" s="99"/>
      <c r="AK989" s="100" t="s">
        <v>43</v>
      </c>
      <c r="AL989" s="100" t="s">
        <v>43</v>
      </c>
      <c r="AM989" s="100" t="s">
        <v>43</v>
      </c>
      <c r="AN989" s="100" t="s">
        <v>43</v>
      </c>
      <c r="AO989" s="100" t="s">
        <v>43</v>
      </c>
      <c r="AP989" s="100" t="s">
        <v>43</v>
      </c>
      <c r="AQ989" s="100" t="s">
        <v>43</v>
      </c>
      <c r="AR989" s="100" t="s">
        <v>43</v>
      </c>
      <c r="AS989" s="100" t="s">
        <v>43</v>
      </c>
    </row>
    <row r="990" spans="1:45" s="101" customFormat="1" x14ac:dyDescent="0.25">
      <c r="A990" s="90" t="s">
        <v>38</v>
      </c>
      <c r="B990" s="90" t="s">
        <v>40</v>
      </c>
      <c r="C990" s="90" t="s">
        <v>39</v>
      </c>
      <c r="D990" s="90" t="s">
        <v>4539</v>
      </c>
      <c r="E990" s="90" t="s">
        <v>4538</v>
      </c>
      <c r="F990" s="91">
        <v>742</v>
      </c>
      <c r="G990" s="92">
        <v>70014751</v>
      </c>
      <c r="H990" s="91" t="s">
        <v>4370</v>
      </c>
      <c r="I990" s="93" t="s">
        <v>131</v>
      </c>
      <c r="J990" s="94" t="s">
        <v>4321</v>
      </c>
      <c r="K990" s="94" t="s">
        <v>4509</v>
      </c>
      <c r="L990" s="94" t="s">
        <v>4344</v>
      </c>
      <c r="M990" s="95">
        <v>284900</v>
      </c>
      <c r="N990" s="95">
        <v>4000</v>
      </c>
      <c r="O990" s="95">
        <v>6000</v>
      </c>
      <c r="P990" s="96">
        <v>399990</v>
      </c>
      <c r="Q990" s="152"/>
      <c r="R990" s="95">
        <v>284900</v>
      </c>
      <c r="S990" s="95">
        <v>14166.25</v>
      </c>
      <c r="T990" s="95">
        <v>284900</v>
      </c>
      <c r="U990" s="95">
        <v>12495.833333333334</v>
      </c>
      <c r="V990" s="95">
        <v>284900</v>
      </c>
      <c r="W990" s="95">
        <v>12495.833333333334</v>
      </c>
      <c r="X990" s="128"/>
      <c r="Y990" s="95">
        <v>49900</v>
      </c>
      <c r="Z990" s="95">
        <v>16000</v>
      </c>
      <c r="AA990" s="95">
        <f>IFERROR(IF(D990="Premium",0.4*Y990,0),"No Disp")</f>
        <v>0</v>
      </c>
      <c r="AB990" s="95">
        <f>IFERROR(IF(4*Y990&gt;AC990,1.5*Y990,4*Y990),"No Disp")</f>
        <v>199600</v>
      </c>
      <c r="AC990" s="95">
        <f>IF(Z990="No Disp","No Disp",(Z990*18)+Y990)</f>
        <v>337900</v>
      </c>
      <c r="AD990" s="95">
        <f>IF($H990="EMP",18*Z990-100,18*Z990-100+Y990)</f>
        <v>287900</v>
      </c>
      <c r="AE990" s="95">
        <v>49900</v>
      </c>
      <c r="AF990" s="95">
        <v>16000</v>
      </c>
      <c r="AG990" s="95">
        <f>IF(AF990="No Disp","No Disp",(AF990*18)+AE990)</f>
        <v>337900</v>
      </c>
      <c r="AH990" s="98">
        <f>IF($H990="EMP",18*AF990-100,18*AF990-100+AE990)</f>
        <v>287900</v>
      </c>
      <c r="AI990" s="95">
        <v>18000</v>
      </c>
      <c r="AJ990" s="99"/>
      <c r="AK990" s="100" t="s">
        <v>43</v>
      </c>
      <c r="AL990" s="100" t="s">
        <v>43</v>
      </c>
      <c r="AM990" s="100" t="s">
        <v>43</v>
      </c>
      <c r="AN990" s="100" t="s">
        <v>43</v>
      </c>
      <c r="AO990" s="100" t="s">
        <v>43</v>
      </c>
      <c r="AP990" s="100" t="s">
        <v>43</v>
      </c>
      <c r="AQ990" s="100" t="s">
        <v>43</v>
      </c>
      <c r="AR990" s="100" t="s">
        <v>43</v>
      </c>
      <c r="AS990" s="100" t="s">
        <v>43</v>
      </c>
    </row>
    <row r="991" spans="1:45" s="101" customFormat="1" x14ac:dyDescent="0.25">
      <c r="A991" s="90" t="s">
        <v>38</v>
      </c>
      <c r="B991" s="90" t="s">
        <v>40</v>
      </c>
      <c r="C991" s="90" t="s">
        <v>39</v>
      </c>
      <c r="D991" s="90" t="s">
        <v>4539</v>
      </c>
      <c r="E991" s="90" t="s">
        <v>4538</v>
      </c>
      <c r="F991" s="91">
        <v>742</v>
      </c>
      <c r="G991" s="92">
        <v>70014753</v>
      </c>
      <c r="H991" s="91" t="s">
        <v>4370</v>
      </c>
      <c r="I991" s="93" t="s">
        <v>131</v>
      </c>
      <c r="J991" s="94" t="s">
        <v>4321</v>
      </c>
      <c r="K991" s="94" t="s">
        <v>4510</v>
      </c>
      <c r="L991" s="94" t="s">
        <v>4345</v>
      </c>
      <c r="M991" s="95">
        <v>284900</v>
      </c>
      <c r="N991" s="95">
        <v>4000</v>
      </c>
      <c r="O991" s="95">
        <v>6000</v>
      </c>
      <c r="P991" s="96">
        <v>399990</v>
      </c>
      <c r="Q991" s="152"/>
      <c r="R991" s="95">
        <v>284900</v>
      </c>
      <c r="S991" s="95">
        <v>14166.25</v>
      </c>
      <c r="T991" s="95">
        <v>284900</v>
      </c>
      <c r="U991" s="95">
        <v>12495.833333333334</v>
      </c>
      <c r="V991" s="95">
        <v>284900</v>
      </c>
      <c r="W991" s="95">
        <v>12495.833333333334</v>
      </c>
      <c r="X991" s="128"/>
      <c r="Y991" s="95">
        <v>49900</v>
      </c>
      <c r="Z991" s="95">
        <v>16000</v>
      </c>
      <c r="AA991" s="95">
        <f>IFERROR(IF(D991="Premium",0.4*Y991,0),"No Disp")</f>
        <v>0</v>
      </c>
      <c r="AB991" s="95">
        <f>IFERROR(IF(4*Y991&gt;AC991,1.5*Y991,4*Y991),"No Disp")</f>
        <v>199600</v>
      </c>
      <c r="AC991" s="95">
        <f>IF(Z991="No Disp","No Disp",(Z991*18)+Y991)</f>
        <v>337900</v>
      </c>
      <c r="AD991" s="95">
        <f>IF($H991="EMP",18*Z991-100,18*Z991-100+Y991)</f>
        <v>287900</v>
      </c>
      <c r="AE991" s="95">
        <v>49900</v>
      </c>
      <c r="AF991" s="95">
        <v>16000</v>
      </c>
      <c r="AG991" s="95">
        <f>IF(AF991="No Disp","No Disp",(AF991*18)+AE991)</f>
        <v>337900</v>
      </c>
      <c r="AH991" s="98">
        <f>IF($H991="EMP",18*AF991-100,18*AF991-100+AE991)</f>
        <v>287900</v>
      </c>
      <c r="AI991" s="95">
        <v>18000</v>
      </c>
      <c r="AJ991" s="99"/>
      <c r="AK991" s="100" t="s">
        <v>43</v>
      </c>
      <c r="AL991" s="100" t="s">
        <v>43</v>
      </c>
      <c r="AM991" s="100" t="s">
        <v>43</v>
      </c>
      <c r="AN991" s="100" t="s">
        <v>43</v>
      </c>
      <c r="AO991" s="100" t="s">
        <v>43</v>
      </c>
      <c r="AP991" s="100" t="s">
        <v>43</v>
      </c>
      <c r="AQ991" s="100" t="s">
        <v>43</v>
      </c>
      <c r="AR991" s="100" t="s">
        <v>43</v>
      </c>
      <c r="AS991" s="100" t="s">
        <v>43</v>
      </c>
    </row>
    <row r="992" spans="1:45" s="101" customFormat="1" x14ac:dyDescent="0.25">
      <c r="A992" s="90" t="s">
        <v>38</v>
      </c>
      <c r="B992" s="90" t="s">
        <v>40</v>
      </c>
      <c r="C992" s="90" t="s">
        <v>39</v>
      </c>
      <c r="D992" s="90" t="s">
        <v>4539</v>
      </c>
      <c r="E992" s="90" t="s">
        <v>4542</v>
      </c>
      <c r="F992" s="91"/>
      <c r="G992" s="92">
        <v>70014005</v>
      </c>
      <c r="H992" s="91" t="s">
        <v>4370</v>
      </c>
      <c r="I992" s="93" t="s">
        <v>46</v>
      </c>
      <c r="J992" s="94" t="s">
        <v>211</v>
      </c>
      <c r="K992" s="94" t="s">
        <v>3038</v>
      </c>
      <c r="L992" s="94" t="s">
        <v>3185</v>
      </c>
      <c r="M992" s="95">
        <v>252900</v>
      </c>
      <c r="N992" s="95">
        <v>4000</v>
      </c>
      <c r="O992" s="95">
        <v>6000</v>
      </c>
      <c r="P992" s="96">
        <v>299990</v>
      </c>
      <c r="Q992" s="152"/>
      <c r="R992" s="95">
        <v>252900</v>
      </c>
      <c r="S992" s="95">
        <v>10287.5</v>
      </c>
      <c r="T992" s="95">
        <v>252900</v>
      </c>
      <c r="U992" s="95">
        <v>10287.5</v>
      </c>
      <c r="V992" s="95">
        <v>252900</v>
      </c>
      <c r="W992" s="95">
        <v>10287.5</v>
      </c>
      <c r="X992" s="128"/>
      <c r="Y992" s="95">
        <v>43900</v>
      </c>
      <c r="Z992" s="95">
        <v>14000</v>
      </c>
      <c r="AA992" s="95">
        <f>IFERROR(IF(D992="Premium",0.4*Y992,0),"No Disp")</f>
        <v>0</v>
      </c>
      <c r="AB992" s="95">
        <f>IFERROR(IF(4*Y992&gt;AC992,1.5*Y992,4*Y992),"No Disp")</f>
        <v>175600</v>
      </c>
      <c r="AC992" s="95">
        <f>IF(Z992="No Disp","No Disp",(Z992*18)+Y992)</f>
        <v>295900</v>
      </c>
      <c r="AD992" s="95">
        <f>IF($H992="EMP",18*Z992-100,18*Z992-100+Y992)</f>
        <v>251900</v>
      </c>
      <c r="AE992" s="95">
        <v>43900</v>
      </c>
      <c r="AF992" s="95">
        <v>14000</v>
      </c>
      <c r="AG992" s="95">
        <f>IF(AF992="No Disp","No Disp",(AF992*18)+AE992)</f>
        <v>295900</v>
      </c>
      <c r="AH992" s="98">
        <f>IF($H992="EMP",18*AF992-100,18*AF992-100+AE992)</f>
        <v>251900</v>
      </c>
      <c r="AI992" s="95">
        <v>16000</v>
      </c>
      <c r="AJ992" s="99"/>
      <c r="AK992" s="100" t="s">
        <v>43</v>
      </c>
      <c r="AL992" s="100" t="s">
        <v>43</v>
      </c>
      <c r="AM992" s="100" t="s">
        <v>43</v>
      </c>
      <c r="AN992" s="100" t="s">
        <v>43</v>
      </c>
      <c r="AO992" s="100" t="s">
        <v>43</v>
      </c>
      <c r="AP992" s="100" t="s">
        <v>43</v>
      </c>
      <c r="AQ992" s="100" t="s">
        <v>43</v>
      </c>
      <c r="AR992" s="100" t="s">
        <v>43</v>
      </c>
      <c r="AS992" s="100" t="s">
        <v>43</v>
      </c>
    </row>
    <row r="993" spans="1:45" s="101" customFormat="1" x14ac:dyDescent="0.25">
      <c r="A993" s="90" t="s">
        <v>38</v>
      </c>
      <c r="B993" s="90" t="s">
        <v>40</v>
      </c>
      <c r="C993" s="90" t="s">
        <v>39</v>
      </c>
      <c r="D993" s="90" t="s">
        <v>4539</v>
      </c>
      <c r="E993" s="90" t="s">
        <v>4542</v>
      </c>
      <c r="F993" s="91"/>
      <c r="G993" s="92">
        <v>70013937</v>
      </c>
      <c r="H993" s="91" t="s">
        <v>4370</v>
      </c>
      <c r="I993" s="93" t="s">
        <v>41</v>
      </c>
      <c r="J993" s="94" t="s">
        <v>239</v>
      </c>
      <c r="K993" s="94" t="s">
        <v>3053</v>
      </c>
      <c r="L993" s="94" t="s">
        <v>3200</v>
      </c>
      <c r="M993" s="95">
        <v>251900</v>
      </c>
      <c r="N993" s="95">
        <v>4000</v>
      </c>
      <c r="O993" s="95">
        <v>6000</v>
      </c>
      <c r="P993" s="96">
        <v>369990</v>
      </c>
      <c r="Q993" s="152"/>
      <c r="R993" s="95">
        <v>251900</v>
      </c>
      <c r="S993" s="95">
        <v>9787.5</v>
      </c>
      <c r="T993" s="95">
        <v>251900</v>
      </c>
      <c r="U993" s="95">
        <v>9787.5</v>
      </c>
      <c r="V993" s="95">
        <v>251900</v>
      </c>
      <c r="W993" s="95">
        <v>9787.5</v>
      </c>
      <c r="X993" s="128"/>
      <c r="Y993" s="95">
        <v>43900</v>
      </c>
      <c r="Z993" s="95">
        <v>14000</v>
      </c>
      <c r="AA993" s="95">
        <f>IFERROR(IF(D993="Premium",0.4*Y993,0),"No Disp")</f>
        <v>0</v>
      </c>
      <c r="AB993" s="95">
        <f>IFERROR(IF(4*Y993&gt;AC993,1.5*Y993,4*Y993),"No Disp")</f>
        <v>175600</v>
      </c>
      <c r="AC993" s="95">
        <f>IF(Z993="No Disp","No Disp",(Z993*18)+Y993)</f>
        <v>295900</v>
      </c>
      <c r="AD993" s="95">
        <f>IF($H993="EMP",18*Z993-100,18*Z993-100+Y993)</f>
        <v>251900</v>
      </c>
      <c r="AE993" s="95">
        <v>43900</v>
      </c>
      <c r="AF993" s="95">
        <v>14000</v>
      </c>
      <c r="AG993" s="95">
        <f>IF(AF993="No Disp","No Disp",(AF993*18)+AE993)</f>
        <v>295900</v>
      </c>
      <c r="AH993" s="98">
        <f>IF($H993="EMP",18*AF993-100,18*AF993-100+AE993)</f>
        <v>251900</v>
      </c>
      <c r="AI993" s="95">
        <v>16000</v>
      </c>
      <c r="AJ993" s="99"/>
      <c r="AK993" s="100" t="s">
        <v>43</v>
      </c>
      <c r="AL993" s="100" t="s">
        <v>43</v>
      </c>
      <c r="AM993" s="100" t="s">
        <v>43</v>
      </c>
      <c r="AN993" s="100" t="s">
        <v>43</v>
      </c>
      <c r="AO993" s="100" t="s">
        <v>43</v>
      </c>
      <c r="AP993" s="100" t="s">
        <v>43</v>
      </c>
      <c r="AQ993" s="100" t="s">
        <v>43</v>
      </c>
      <c r="AR993" s="100" t="s">
        <v>43</v>
      </c>
      <c r="AS993" s="100" t="s">
        <v>43</v>
      </c>
    </row>
    <row r="994" spans="1:45" s="101" customFormat="1" x14ac:dyDescent="0.25">
      <c r="A994" s="90" t="s">
        <v>38</v>
      </c>
      <c r="B994" s="90" t="s">
        <v>40</v>
      </c>
      <c r="C994" s="90" t="s">
        <v>39</v>
      </c>
      <c r="D994" s="90" t="s">
        <v>4539</v>
      </c>
      <c r="E994" s="90" t="s">
        <v>4542</v>
      </c>
      <c r="F994" s="91"/>
      <c r="G994" s="92">
        <v>70013978</v>
      </c>
      <c r="H994" s="91" t="s">
        <v>4370</v>
      </c>
      <c r="I994" s="93" t="s">
        <v>41</v>
      </c>
      <c r="J994" s="94" t="s">
        <v>239</v>
      </c>
      <c r="K994" s="94" t="s">
        <v>3052</v>
      </c>
      <c r="L994" s="94" t="s">
        <v>3199</v>
      </c>
      <c r="M994" s="95">
        <v>251900</v>
      </c>
      <c r="N994" s="95">
        <v>4000</v>
      </c>
      <c r="O994" s="95">
        <v>6000</v>
      </c>
      <c r="P994" s="96">
        <v>369990</v>
      </c>
      <c r="Q994" s="152"/>
      <c r="R994" s="95">
        <v>251900</v>
      </c>
      <c r="S994" s="95">
        <v>9787.5</v>
      </c>
      <c r="T994" s="95">
        <v>251900</v>
      </c>
      <c r="U994" s="95">
        <v>9787.5</v>
      </c>
      <c r="V994" s="95">
        <v>251900</v>
      </c>
      <c r="W994" s="95">
        <v>9787.5</v>
      </c>
      <c r="X994" s="128"/>
      <c r="Y994" s="95">
        <v>43900</v>
      </c>
      <c r="Z994" s="95">
        <v>14000</v>
      </c>
      <c r="AA994" s="95">
        <f>IFERROR(IF(D994="Premium",0.4*Y994,0),"No Disp")</f>
        <v>0</v>
      </c>
      <c r="AB994" s="95">
        <f>IFERROR(IF(4*Y994&gt;AC994,1.5*Y994,4*Y994),"No Disp")</f>
        <v>175600</v>
      </c>
      <c r="AC994" s="95">
        <f>IF(Z994="No Disp","No Disp",(Z994*18)+Y994)</f>
        <v>295900</v>
      </c>
      <c r="AD994" s="95">
        <f>IF($H994="EMP",18*Z994-100,18*Z994-100+Y994)</f>
        <v>251900</v>
      </c>
      <c r="AE994" s="95">
        <v>43900</v>
      </c>
      <c r="AF994" s="95">
        <v>14000</v>
      </c>
      <c r="AG994" s="95">
        <f>IF(AF994="No Disp","No Disp",(AF994*18)+AE994)</f>
        <v>295900</v>
      </c>
      <c r="AH994" s="98">
        <f>IF($H994="EMP",18*AF994-100,18*AF994-100+AE994)</f>
        <v>251900</v>
      </c>
      <c r="AI994" s="95">
        <v>16000</v>
      </c>
      <c r="AJ994" s="99"/>
      <c r="AK994" s="100" t="s">
        <v>43</v>
      </c>
      <c r="AL994" s="100" t="s">
        <v>43</v>
      </c>
      <c r="AM994" s="100" t="s">
        <v>43</v>
      </c>
      <c r="AN994" s="100" t="s">
        <v>43</v>
      </c>
      <c r="AO994" s="100" t="s">
        <v>43</v>
      </c>
      <c r="AP994" s="100" t="s">
        <v>43</v>
      </c>
      <c r="AQ994" s="100" t="s">
        <v>43</v>
      </c>
      <c r="AR994" s="100" t="s">
        <v>43</v>
      </c>
      <c r="AS994" s="100" t="s">
        <v>43</v>
      </c>
    </row>
    <row r="995" spans="1:45" s="101" customFormat="1" x14ac:dyDescent="0.25">
      <c r="A995" s="90" t="s">
        <v>38</v>
      </c>
      <c r="B995" s="90" t="s">
        <v>40</v>
      </c>
      <c r="C995" s="90" t="s">
        <v>39</v>
      </c>
      <c r="D995" s="90" t="s">
        <v>4537</v>
      </c>
      <c r="E995" s="90" t="s">
        <v>4538</v>
      </c>
      <c r="F995" s="91"/>
      <c r="G995" s="92">
        <v>70014025</v>
      </c>
      <c r="H995" s="91" t="s">
        <v>4370</v>
      </c>
      <c r="I995" s="93" t="s">
        <v>87</v>
      </c>
      <c r="J995" s="94" t="s">
        <v>4434</v>
      </c>
      <c r="K995" s="94" t="s">
        <v>3085</v>
      </c>
      <c r="L995" s="94" t="s">
        <v>3232</v>
      </c>
      <c r="M995" s="95">
        <v>411900</v>
      </c>
      <c r="N995" s="95">
        <v>6000</v>
      </c>
      <c r="O995" s="95">
        <v>8500</v>
      </c>
      <c r="P995" s="96">
        <v>479990</v>
      </c>
      <c r="Q995" s="152"/>
      <c r="R995" s="95">
        <v>411900</v>
      </c>
      <c r="S995" s="95">
        <v>17037.5</v>
      </c>
      <c r="T995" s="95">
        <v>411900</v>
      </c>
      <c r="U995" s="95">
        <v>17037.5</v>
      </c>
      <c r="V995" s="95">
        <v>411900</v>
      </c>
      <c r="W995" s="95">
        <v>17037.5</v>
      </c>
      <c r="X995" s="128"/>
      <c r="Y995" s="95">
        <v>94900</v>
      </c>
      <c r="Z995" s="95">
        <v>22000</v>
      </c>
      <c r="AA995" s="95">
        <f>IFERROR(IF(D995="Premium",0.4*Y995,0),"No Disp")</f>
        <v>0</v>
      </c>
      <c r="AB995" s="95">
        <f>IFERROR(IF(4*Y995&gt;AC995,1.5*Y995,4*Y995),"No Disp")</f>
        <v>379600</v>
      </c>
      <c r="AC995" s="95">
        <f>IF(Z995="No Disp","No Disp",(Z995*18)+Y995)</f>
        <v>490900</v>
      </c>
      <c r="AD995" s="95">
        <f>IF($H995="EMP",18*Z995-100,18*Z995-100+Y995)</f>
        <v>395900</v>
      </c>
      <c r="AE995" s="95">
        <v>94900</v>
      </c>
      <c r="AF995" s="95">
        <v>22000</v>
      </c>
      <c r="AG995" s="95">
        <f>IF(AF995="No Disp","No Disp",(AF995*18)+AE995)</f>
        <v>490900</v>
      </c>
      <c r="AH995" s="98">
        <f>IF($H995="EMP",18*AF995-100,18*AF995-100+AE995)</f>
        <v>395900</v>
      </c>
      <c r="AI995" s="95">
        <v>27000</v>
      </c>
      <c r="AJ995" s="99"/>
      <c r="AK995" s="100" t="s">
        <v>43</v>
      </c>
      <c r="AL995" s="100" t="s">
        <v>43</v>
      </c>
      <c r="AM995" s="100" t="s">
        <v>43</v>
      </c>
      <c r="AN995" s="100" t="s">
        <v>43</v>
      </c>
      <c r="AO995" s="100" t="s">
        <v>43</v>
      </c>
      <c r="AP995" s="100" t="s">
        <v>43</v>
      </c>
      <c r="AQ995" s="100" t="s">
        <v>43</v>
      </c>
      <c r="AR995" s="100" t="s">
        <v>43</v>
      </c>
      <c r="AS995" s="100" t="s">
        <v>43</v>
      </c>
    </row>
    <row r="996" spans="1:45" s="101" customFormat="1" x14ac:dyDescent="0.25">
      <c r="A996" s="90" t="s">
        <v>38</v>
      </c>
      <c r="B996" s="90" t="s">
        <v>40</v>
      </c>
      <c r="C996" s="90" t="s">
        <v>39</v>
      </c>
      <c r="D996" s="90" t="s">
        <v>4540</v>
      </c>
      <c r="E996" s="90" t="s">
        <v>4538</v>
      </c>
      <c r="F996" s="91"/>
      <c r="G996" s="92">
        <v>70015674</v>
      </c>
      <c r="H996" s="91" t="s">
        <v>4370</v>
      </c>
      <c r="I996" s="93" t="s">
        <v>87</v>
      </c>
      <c r="J996" s="94" t="s">
        <v>4188</v>
      </c>
      <c r="K996" s="94" t="s">
        <v>4190</v>
      </c>
      <c r="L996" s="94" t="s">
        <v>4225</v>
      </c>
      <c r="M996" s="95">
        <v>513900</v>
      </c>
      <c r="N996" s="95">
        <v>6000</v>
      </c>
      <c r="O996" s="95">
        <v>8500</v>
      </c>
      <c r="P996" s="96">
        <v>599990</v>
      </c>
      <c r="Q996" s="152"/>
      <c r="R996" s="95">
        <v>513900</v>
      </c>
      <c r="S996" s="95">
        <v>22082.916666666668</v>
      </c>
      <c r="T996" s="95">
        <v>513900</v>
      </c>
      <c r="U996" s="95">
        <v>20790</v>
      </c>
      <c r="V996" s="95">
        <v>513900</v>
      </c>
      <c r="W996" s="95">
        <v>20790</v>
      </c>
      <c r="X996" s="128"/>
      <c r="Y996" s="95">
        <v>118900</v>
      </c>
      <c r="Z996" s="95">
        <v>27000</v>
      </c>
      <c r="AA996" s="95">
        <f>IFERROR(IF(D996="Premium",0.4*Y996,0),"No Disp")</f>
        <v>47560</v>
      </c>
      <c r="AB996" s="95">
        <f>IFERROR(IF(4*Y996&gt;AC996,1.5*Y996,4*Y996),"No Disp")</f>
        <v>475600</v>
      </c>
      <c r="AC996" s="95">
        <f>IF(Z996="No Disp","No Disp",(Z996*18)+Y996)</f>
        <v>604900</v>
      </c>
      <c r="AD996" s="95">
        <f>IF($H996="EMP",18*Z996-100,18*Z996-100+Y996)</f>
        <v>485900</v>
      </c>
      <c r="AE996" s="95">
        <v>118900</v>
      </c>
      <c r="AF996" s="95">
        <v>27000</v>
      </c>
      <c r="AG996" s="95">
        <f>IF(AF996="No Disp","No Disp",(AF996*18)+AE996)</f>
        <v>604900</v>
      </c>
      <c r="AH996" s="98">
        <f>IF($H996="EMP",18*AF996-100,18*AF996-100+AE996)</f>
        <v>485900</v>
      </c>
      <c r="AI996" s="95">
        <v>33000</v>
      </c>
      <c r="AJ996" s="99"/>
      <c r="AK996" s="100" t="s">
        <v>43</v>
      </c>
      <c r="AL996" s="100" t="s">
        <v>43</v>
      </c>
      <c r="AM996" s="100" t="s">
        <v>43</v>
      </c>
      <c r="AN996" s="100" t="s">
        <v>43</v>
      </c>
      <c r="AO996" s="100" t="s">
        <v>43</v>
      </c>
      <c r="AP996" s="100" t="s">
        <v>43</v>
      </c>
      <c r="AQ996" s="100" t="s">
        <v>43</v>
      </c>
      <c r="AR996" s="100" t="s">
        <v>43</v>
      </c>
      <c r="AS996" s="100" t="s">
        <v>43</v>
      </c>
    </row>
    <row r="997" spans="1:45" s="101" customFormat="1" x14ac:dyDescent="0.25">
      <c r="A997" s="90" t="s">
        <v>38</v>
      </c>
      <c r="B997" s="90" t="s">
        <v>40</v>
      </c>
      <c r="C997" s="90" t="s">
        <v>39</v>
      </c>
      <c r="D997" s="90" t="s">
        <v>4540</v>
      </c>
      <c r="E997" s="90" t="s">
        <v>4538</v>
      </c>
      <c r="F997" s="91"/>
      <c r="G997" s="92">
        <v>70015678</v>
      </c>
      <c r="H997" s="91" t="s">
        <v>4370</v>
      </c>
      <c r="I997" s="93" t="s">
        <v>87</v>
      </c>
      <c r="J997" s="94" t="s">
        <v>4188</v>
      </c>
      <c r="K997" s="94" t="s">
        <v>4192</v>
      </c>
      <c r="L997" s="94" t="s">
        <v>4227</v>
      </c>
      <c r="M997" s="95">
        <v>513900</v>
      </c>
      <c r="N997" s="95">
        <v>6000</v>
      </c>
      <c r="O997" s="95">
        <v>8500</v>
      </c>
      <c r="P997" s="96">
        <v>599990</v>
      </c>
      <c r="Q997" s="152"/>
      <c r="R997" s="95">
        <v>513900</v>
      </c>
      <c r="S997" s="95">
        <v>22082.916666666668</v>
      </c>
      <c r="T997" s="95">
        <v>513900</v>
      </c>
      <c r="U997" s="95">
        <v>20790</v>
      </c>
      <c r="V997" s="95">
        <v>513900</v>
      </c>
      <c r="W997" s="95">
        <v>20790</v>
      </c>
      <c r="X997" s="128"/>
      <c r="Y997" s="95">
        <v>118900</v>
      </c>
      <c r="Z997" s="95">
        <v>27000</v>
      </c>
      <c r="AA997" s="95">
        <f>IFERROR(IF(D997="Premium",0.4*Y997,0),"No Disp")</f>
        <v>47560</v>
      </c>
      <c r="AB997" s="95">
        <f>IFERROR(IF(4*Y997&gt;AC997,1.5*Y997,4*Y997),"No Disp")</f>
        <v>475600</v>
      </c>
      <c r="AC997" s="95">
        <f>IF(Z997="No Disp","No Disp",(Z997*18)+Y997)</f>
        <v>604900</v>
      </c>
      <c r="AD997" s="95">
        <f>IF($H997="EMP",18*Z997-100,18*Z997-100+Y997)</f>
        <v>485900</v>
      </c>
      <c r="AE997" s="95">
        <v>118900</v>
      </c>
      <c r="AF997" s="95">
        <v>27000</v>
      </c>
      <c r="AG997" s="95">
        <f>IF(AF997="No Disp","No Disp",(AF997*18)+AE997)</f>
        <v>604900</v>
      </c>
      <c r="AH997" s="98">
        <f>IF($H997="EMP",18*AF997-100,18*AF997-100+AE997)</f>
        <v>485900</v>
      </c>
      <c r="AI997" s="95">
        <v>33000</v>
      </c>
      <c r="AJ997" s="99"/>
      <c r="AK997" s="100" t="s">
        <v>43</v>
      </c>
      <c r="AL997" s="100" t="s">
        <v>43</v>
      </c>
      <c r="AM997" s="100" t="s">
        <v>43</v>
      </c>
      <c r="AN997" s="100" t="s">
        <v>43</v>
      </c>
      <c r="AO997" s="100" t="s">
        <v>43</v>
      </c>
      <c r="AP997" s="100" t="s">
        <v>43</v>
      </c>
      <c r="AQ997" s="100" t="s">
        <v>43</v>
      </c>
      <c r="AR997" s="100" t="s">
        <v>43</v>
      </c>
      <c r="AS997" s="100" t="s">
        <v>43</v>
      </c>
    </row>
    <row r="998" spans="1:45" s="101" customFormat="1" x14ac:dyDescent="0.25">
      <c r="A998" s="90" t="s">
        <v>38</v>
      </c>
      <c r="B998" s="90" t="s">
        <v>40</v>
      </c>
      <c r="C998" s="90" t="s">
        <v>39</v>
      </c>
      <c r="D998" s="90" t="s">
        <v>4540</v>
      </c>
      <c r="E998" s="90" t="s">
        <v>4538</v>
      </c>
      <c r="F998" s="91"/>
      <c r="G998" s="92">
        <v>70015690</v>
      </c>
      <c r="H998" s="91" t="s">
        <v>4370</v>
      </c>
      <c r="I998" s="93" t="s">
        <v>87</v>
      </c>
      <c r="J998" s="94" t="s">
        <v>4188</v>
      </c>
      <c r="K998" s="94" t="s">
        <v>4194</v>
      </c>
      <c r="L998" s="94" t="s">
        <v>4227</v>
      </c>
      <c r="M998" s="95">
        <v>513900</v>
      </c>
      <c r="N998" s="95">
        <v>6000</v>
      </c>
      <c r="O998" s="95">
        <v>8500</v>
      </c>
      <c r="P998" s="96">
        <v>599990</v>
      </c>
      <c r="Q998" s="152"/>
      <c r="R998" s="95">
        <v>513900</v>
      </c>
      <c r="S998" s="95">
        <v>22082.916666666668</v>
      </c>
      <c r="T998" s="95">
        <v>513900</v>
      </c>
      <c r="U998" s="95">
        <v>20790</v>
      </c>
      <c r="V998" s="95">
        <v>513900</v>
      </c>
      <c r="W998" s="95">
        <v>20790</v>
      </c>
      <c r="X998" s="128"/>
      <c r="Y998" s="95">
        <v>118900</v>
      </c>
      <c r="Z998" s="95">
        <v>27000</v>
      </c>
      <c r="AA998" s="95">
        <f>IFERROR(IF(D998="Premium",0.4*Y998,0),"No Disp")</f>
        <v>47560</v>
      </c>
      <c r="AB998" s="95">
        <f>IFERROR(IF(4*Y998&gt;AC998,1.5*Y998,4*Y998),"No Disp")</f>
        <v>475600</v>
      </c>
      <c r="AC998" s="95">
        <f>IF(Z998="No Disp","No Disp",(Z998*18)+Y998)</f>
        <v>604900</v>
      </c>
      <c r="AD998" s="95">
        <f>IF($H998="EMP",18*Z998-100,18*Z998-100+Y998)</f>
        <v>485900</v>
      </c>
      <c r="AE998" s="95">
        <v>118900</v>
      </c>
      <c r="AF998" s="95">
        <v>27000</v>
      </c>
      <c r="AG998" s="95">
        <f>IF(AF998="No Disp","No Disp",(AF998*18)+AE998)</f>
        <v>604900</v>
      </c>
      <c r="AH998" s="98">
        <f>IF($H998="EMP",18*AF998-100,18*AF998-100+AE998)</f>
        <v>485900</v>
      </c>
      <c r="AI998" s="95">
        <v>33000</v>
      </c>
      <c r="AJ998" s="99"/>
      <c r="AK998" s="100" t="s">
        <v>43</v>
      </c>
      <c r="AL998" s="100" t="s">
        <v>43</v>
      </c>
      <c r="AM998" s="100" t="s">
        <v>43</v>
      </c>
      <c r="AN998" s="100" t="s">
        <v>43</v>
      </c>
      <c r="AO998" s="100" t="s">
        <v>43</v>
      </c>
      <c r="AP998" s="100" t="s">
        <v>43</v>
      </c>
      <c r="AQ998" s="100" t="s">
        <v>43</v>
      </c>
      <c r="AR998" s="100" t="s">
        <v>43</v>
      </c>
      <c r="AS998" s="100" t="s">
        <v>43</v>
      </c>
    </row>
    <row r="999" spans="1:45" s="101" customFormat="1" x14ac:dyDescent="0.25">
      <c r="A999" s="90" t="s">
        <v>38</v>
      </c>
      <c r="B999" s="90" t="s">
        <v>40</v>
      </c>
      <c r="C999" s="90" t="s">
        <v>39</v>
      </c>
      <c r="D999" s="90" t="s">
        <v>4540</v>
      </c>
      <c r="E999" s="90" t="s">
        <v>4538</v>
      </c>
      <c r="F999" s="91"/>
      <c r="G999" s="92">
        <v>70015682</v>
      </c>
      <c r="H999" s="91" t="s">
        <v>4370</v>
      </c>
      <c r="I999" s="93" t="s">
        <v>87</v>
      </c>
      <c r="J999" s="94" t="s">
        <v>4221</v>
      </c>
      <c r="K999" s="94" t="s">
        <v>4196</v>
      </c>
      <c r="L999" s="94" t="s">
        <v>4229</v>
      </c>
      <c r="M999" s="95">
        <v>689900</v>
      </c>
      <c r="N999" s="95">
        <v>6000</v>
      </c>
      <c r="O999" s="95">
        <v>8500</v>
      </c>
      <c r="P999" s="96">
        <v>799990</v>
      </c>
      <c r="Q999" s="152"/>
      <c r="R999" s="95">
        <v>689900</v>
      </c>
      <c r="S999" s="95">
        <v>31666.25</v>
      </c>
      <c r="T999" s="95">
        <v>689900</v>
      </c>
      <c r="U999" s="95">
        <v>28690</v>
      </c>
      <c r="V999" s="95">
        <v>689900</v>
      </c>
      <c r="W999" s="95">
        <v>28690</v>
      </c>
      <c r="X999" s="128"/>
      <c r="Y999" s="95">
        <v>198900</v>
      </c>
      <c r="Z999" s="95">
        <v>34000</v>
      </c>
      <c r="AA999" s="95">
        <f>IFERROR(IF(D999="Premium",0.4*Y999,0),"No Disp")</f>
        <v>79560</v>
      </c>
      <c r="AB999" s="95">
        <f>IFERROR(IF(4*Y999&gt;AC999,1.5*Y999,4*Y999),"No Disp")</f>
        <v>795600</v>
      </c>
      <c r="AC999" s="95">
        <f>IF(Z999="No Disp","No Disp",(Z999*18)+Y999)</f>
        <v>810900</v>
      </c>
      <c r="AD999" s="95">
        <f>IF($H999="EMP",18*Z999-100,18*Z999-100+Y999)</f>
        <v>611900</v>
      </c>
      <c r="AE999" s="95">
        <v>198900</v>
      </c>
      <c r="AF999" s="95">
        <v>34000</v>
      </c>
      <c r="AG999" s="95">
        <f>IF(AF999="No Disp","No Disp",(AF999*18)+AE999)</f>
        <v>810900</v>
      </c>
      <c r="AH999" s="98">
        <f>IF($H999="EMP",18*AF999-100,18*AF999-100+AE999)</f>
        <v>611900</v>
      </c>
      <c r="AI999" s="95">
        <v>45000</v>
      </c>
      <c r="AJ999" s="99"/>
      <c r="AK999" s="100" t="s">
        <v>43</v>
      </c>
      <c r="AL999" s="100" t="s">
        <v>43</v>
      </c>
      <c r="AM999" s="100" t="s">
        <v>43</v>
      </c>
      <c r="AN999" s="100" t="s">
        <v>43</v>
      </c>
      <c r="AO999" s="100" t="s">
        <v>43</v>
      </c>
      <c r="AP999" s="100" t="s">
        <v>43</v>
      </c>
      <c r="AQ999" s="100" t="s">
        <v>43</v>
      </c>
      <c r="AR999" s="100" t="s">
        <v>43</v>
      </c>
      <c r="AS999" s="100" t="s">
        <v>43</v>
      </c>
    </row>
    <row r="1000" spans="1:45" s="101" customFormat="1" x14ac:dyDescent="0.25">
      <c r="A1000" s="90" t="s">
        <v>38</v>
      </c>
      <c r="B1000" s="90" t="s">
        <v>40</v>
      </c>
      <c r="C1000" s="90" t="s">
        <v>39</v>
      </c>
      <c r="D1000" s="90" t="s">
        <v>4540</v>
      </c>
      <c r="E1000" s="90" t="s">
        <v>4538</v>
      </c>
      <c r="F1000" s="91"/>
      <c r="G1000" s="92">
        <v>70015686</v>
      </c>
      <c r="H1000" s="91" t="s">
        <v>4370</v>
      </c>
      <c r="I1000" s="93" t="s">
        <v>87</v>
      </c>
      <c r="J1000" s="94" t="s">
        <v>4221</v>
      </c>
      <c r="K1000" s="94" t="s">
        <v>4198</v>
      </c>
      <c r="L1000" s="94" t="s">
        <v>4231</v>
      </c>
      <c r="M1000" s="95">
        <v>689900</v>
      </c>
      <c r="N1000" s="95">
        <v>6000</v>
      </c>
      <c r="O1000" s="95">
        <v>8500</v>
      </c>
      <c r="P1000" s="96">
        <v>799990</v>
      </c>
      <c r="Q1000" s="152"/>
      <c r="R1000" s="95">
        <v>689900</v>
      </c>
      <c r="S1000" s="95">
        <v>31666.25</v>
      </c>
      <c r="T1000" s="95">
        <v>689900</v>
      </c>
      <c r="U1000" s="95">
        <v>28690</v>
      </c>
      <c r="V1000" s="95">
        <v>689900</v>
      </c>
      <c r="W1000" s="95">
        <v>28690</v>
      </c>
      <c r="X1000" s="128"/>
      <c r="Y1000" s="95">
        <v>198900</v>
      </c>
      <c r="Z1000" s="95">
        <v>34000</v>
      </c>
      <c r="AA1000" s="95">
        <f>IFERROR(IF(D1000="Premium",0.4*Y1000,0),"No Disp")</f>
        <v>79560</v>
      </c>
      <c r="AB1000" s="95">
        <f>IFERROR(IF(4*Y1000&gt;AC1000,1.5*Y1000,4*Y1000),"No Disp")</f>
        <v>795600</v>
      </c>
      <c r="AC1000" s="95">
        <f>IF(Z1000="No Disp","No Disp",(Z1000*18)+Y1000)</f>
        <v>810900</v>
      </c>
      <c r="AD1000" s="95">
        <f>IF($H1000="EMP",18*Z1000-100,18*Z1000-100+Y1000)</f>
        <v>611900</v>
      </c>
      <c r="AE1000" s="95">
        <v>198900</v>
      </c>
      <c r="AF1000" s="95">
        <v>34000</v>
      </c>
      <c r="AG1000" s="95">
        <f>IF(AF1000="No Disp","No Disp",(AF1000*18)+AE1000)</f>
        <v>810900</v>
      </c>
      <c r="AH1000" s="98">
        <f>IF($H1000="EMP",18*AF1000-100,18*AF1000-100+AE1000)</f>
        <v>611900</v>
      </c>
      <c r="AI1000" s="95">
        <v>45000</v>
      </c>
      <c r="AJ1000" s="99"/>
      <c r="AK1000" s="100" t="s">
        <v>43</v>
      </c>
      <c r="AL1000" s="100" t="s">
        <v>43</v>
      </c>
      <c r="AM1000" s="100" t="s">
        <v>43</v>
      </c>
      <c r="AN1000" s="100" t="s">
        <v>43</v>
      </c>
      <c r="AO1000" s="100" t="s">
        <v>43</v>
      </c>
      <c r="AP1000" s="100" t="s">
        <v>43</v>
      </c>
      <c r="AQ1000" s="100" t="s">
        <v>43</v>
      </c>
      <c r="AR1000" s="100" t="s">
        <v>43</v>
      </c>
      <c r="AS1000" s="100" t="s">
        <v>43</v>
      </c>
    </row>
    <row r="1001" spans="1:45" s="101" customFormat="1" x14ac:dyDescent="0.25">
      <c r="A1001" s="90" t="s">
        <v>38</v>
      </c>
      <c r="B1001" s="90" t="s">
        <v>40</v>
      </c>
      <c r="C1001" s="90" t="s">
        <v>39</v>
      </c>
      <c r="D1001" s="90" t="s">
        <v>4540</v>
      </c>
      <c r="E1001" s="90" t="s">
        <v>4538</v>
      </c>
      <c r="F1001" s="91"/>
      <c r="G1001" s="92">
        <v>70015694</v>
      </c>
      <c r="H1001" s="91" t="s">
        <v>4370</v>
      </c>
      <c r="I1001" s="93" t="s">
        <v>87</v>
      </c>
      <c r="J1001" s="94" t="s">
        <v>4221</v>
      </c>
      <c r="K1001" s="94" t="s">
        <v>4200</v>
      </c>
      <c r="L1001" s="94" t="s">
        <v>4231</v>
      </c>
      <c r="M1001" s="95">
        <v>689900</v>
      </c>
      <c r="N1001" s="95">
        <v>6000</v>
      </c>
      <c r="O1001" s="95">
        <v>8500</v>
      </c>
      <c r="P1001" s="96">
        <v>799990</v>
      </c>
      <c r="Q1001" s="152"/>
      <c r="R1001" s="95">
        <v>689900</v>
      </c>
      <c r="S1001" s="95">
        <v>31666.25</v>
      </c>
      <c r="T1001" s="95">
        <v>689900</v>
      </c>
      <c r="U1001" s="95">
        <v>28690</v>
      </c>
      <c r="V1001" s="95">
        <v>689900</v>
      </c>
      <c r="W1001" s="95">
        <v>28690</v>
      </c>
      <c r="X1001" s="128"/>
      <c r="Y1001" s="95">
        <v>198900</v>
      </c>
      <c r="Z1001" s="95">
        <v>34000</v>
      </c>
      <c r="AA1001" s="95">
        <f>IFERROR(IF(D1001="Premium",0.4*Y1001,0),"No Disp")</f>
        <v>79560</v>
      </c>
      <c r="AB1001" s="95">
        <f>IFERROR(IF(4*Y1001&gt;AC1001,1.5*Y1001,4*Y1001),"No Disp")</f>
        <v>795600</v>
      </c>
      <c r="AC1001" s="95">
        <f>IF(Z1001="No Disp","No Disp",(Z1001*18)+Y1001)</f>
        <v>810900</v>
      </c>
      <c r="AD1001" s="95">
        <f>IF($H1001="EMP",18*Z1001-100,18*Z1001-100+Y1001)</f>
        <v>611900</v>
      </c>
      <c r="AE1001" s="95">
        <v>198900</v>
      </c>
      <c r="AF1001" s="95">
        <v>34000</v>
      </c>
      <c r="AG1001" s="95">
        <f>IF(AF1001="No Disp","No Disp",(AF1001*18)+AE1001)</f>
        <v>810900</v>
      </c>
      <c r="AH1001" s="98">
        <f>IF($H1001="EMP",18*AF1001-100,18*AF1001-100+AE1001)</f>
        <v>611900</v>
      </c>
      <c r="AI1001" s="95">
        <v>45000</v>
      </c>
      <c r="AJ1001" s="99"/>
      <c r="AK1001" s="100" t="s">
        <v>43</v>
      </c>
      <c r="AL1001" s="100" t="s">
        <v>43</v>
      </c>
      <c r="AM1001" s="100" t="s">
        <v>43</v>
      </c>
      <c r="AN1001" s="100" t="s">
        <v>43</v>
      </c>
      <c r="AO1001" s="100" t="s">
        <v>43</v>
      </c>
      <c r="AP1001" s="100" t="s">
        <v>43</v>
      </c>
      <c r="AQ1001" s="100" t="s">
        <v>43</v>
      </c>
      <c r="AR1001" s="100" t="s">
        <v>43</v>
      </c>
      <c r="AS1001" s="100" t="s">
        <v>43</v>
      </c>
    </row>
    <row r="1002" spans="1:45" s="101" customFormat="1" x14ac:dyDescent="0.25">
      <c r="A1002" s="90" t="s">
        <v>38</v>
      </c>
      <c r="B1002" s="90" t="s">
        <v>40</v>
      </c>
      <c r="C1002" s="90" t="s">
        <v>39</v>
      </c>
      <c r="D1002" s="90" t="s">
        <v>4540</v>
      </c>
      <c r="E1002" s="90" t="s">
        <v>4538</v>
      </c>
      <c r="F1002" s="91"/>
      <c r="G1002" s="92">
        <v>70013976</v>
      </c>
      <c r="H1002" s="91" t="s">
        <v>4370</v>
      </c>
      <c r="I1002" s="93" t="s">
        <v>46</v>
      </c>
      <c r="J1002" s="94" t="s">
        <v>69</v>
      </c>
      <c r="K1002" s="94" t="s">
        <v>3123</v>
      </c>
      <c r="L1002" s="94" t="s">
        <v>3271</v>
      </c>
      <c r="M1002" s="95">
        <v>1230900</v>
      </c>
      <c r="N1002" s="95">
        <v>9500</v>
      </c>
      <c r="O1002" s="95">
        <v>13500</v>
      </c>
      <c r="P1002" s="96">
        <v>1469990</v>
      </c>
      <c r="Q1002" s="152"/>
      <c r="R1002" s="95">
        <v>1230900</v>
      </c>
      <c r="S1002" s="95">
        <v>51995.833333333336</v>
      </c>
      <c r="T1002" s="95">
        <v>1230900</v>
      </c>
      <c r="U1002" s="95">
        <v>51995.833333333336</v>
      </c>
      <c r="V1002" s="95">
        <v>1230900</v>
      </c>
      <c r="W1002" s="95">
        <v>51995.833333333336</v>
      </c>
      <c r="X1002" s="128"/>
      <c r="Y1002" s="95">
        <v>424900</v>
      </c>
      <c r="Z1002" s="95">
        <v>56000</v>
      </c>
      <c r="AA1002" s="95">
        <f>IFERROR(IF(D1002="Premium",0.4*Y1002,0),"No Disp")</f>
        <v>169960</v>
      </c>
      <c r="AB1002" s="95">
        <f>IFERROR(IF(4*Y1002&gt;AC1002,1.5*Y1002,4*Y1002),"No Disp")</f>
        <v>637350</v>
      </c>
      <c r="AC1002" s="95">
        <f>IF(Z1002="No Disp","No Disp",(Z1002*18)+Y1002)</f>
        <v>1432900</v>
      </c>
      <c r="AD1002" s="95">
        <f>IF($H1002="EMP",18*Z1002-100,18*Z1002-100+Y1002)</f>
        <v>1007900</v>
      </c>
      <c r="AE1002" s="95">
        <v>424900</v>
      </c>
      <c r="AF1002" s="95">
        <v>56000</v>
      </c>
      <c r="AG1002" s="95">
        <f>IF(AF1002="No Disp","No Disp",(AF1002*18)+AE1002)</f>
        <v>1432900</v>
      </c>
      <c r="AH1002" s="98">
        <f>IF($H1002="EMP",18*AF1002-100,18*AF1002-100+AE1002)</f>
        <v>1007900</v>
      </c>
      <c r="AI1002" s="95">
        <v>79000</v>
      </c>
      <c r="AJ1002" s="99"/>
      <c r="AK1002" s="100" t="s">
        <v>43</v>
      </c>
      <c r="AL1002" s="100" t="s">
        <v>43</v>
      </c>
      <c r="AM1002" s="100" t="s">
        <v>43</v>
      </c>
      <c r="AN1002" s="100" t="s">
        <v>43</v>
      </c>
      <c r="AO1002" s="100" t="s">
        <v>43</v>
      </c>
      <c r="AP1002" s="100" t="s">
        <v>43</v>
      </c>
      <c r="AQ1002" s="100" t="s">
        <v>43</v>
      </c>
      <c r="AR1002" s="100" t="s">
        <v>43</v>
      </c>
      <c r="AS1002" s="100" t="s">
        <v>43</v>
      </c>
    </row>
    <row r="1003" spans="1:45" s="101" customFormat="1" x14ac:dyDescent="0.25">
      <c r="A1003" s="90" t="s">
        <v>38</v>
      </c>
      <c r="B1003" s="90" t="s">
        <v>40</v>
      </c>
      <c r="C1003" s="90" t="s">
        <v>39</v>
      </c>
      <c r="D1003" s="90" t="s">
        <v>4540</v>
      </c>
      <c r="E1003" s="90" t="s">
        <v>4538</v>
      </c>
      <c r="F1003" s="91"/>
      <c r="G1003" s="92">
        <v>70014030</v>
      </c>
      <c r="H1003" s="91" t="s">
        <v>4370</v>
      </c>
      <c r="I1003" s="93" t="s">
        <v>46</v>
      </c>
      <c r="J1003" s="94" t="s">
        <v>69</v>
      </c>
      <c r="K1003" s="94" t="s">
        <v>3124</v>
      </c>
      <c r="L1003" s="94" t="s">
        <v>3272</v>
      </c>
      <c r="M1003" s="95">
        <v>1230900</v>
      </c>
      <c r="N1003" s="95">
        <v>9500</v>
      </c>
      <c r="O1003" s="95">
        <v>13500</v>
      </c>
      <c r="P1003" s="96">
        <v>1469990</v>
      </c>
      <c r="Q1003" s="152"/>
      <c r="R1003" s="95">
        <v>1230900</v>
      </c>
      <c r="S1003" s="95">
        <v>51995.833333333336</v>
      </c>
      <c r="T1003" s="95">
        <v>1230900</v>
      </c>
      <c r="U1003" s="95">
        <v>51995.833333333336</v>
      </c>
      <c r="V1003" s="95">
        <v>1230900</v>
      </c>
      <c r="W1003" s="95">
        <v>51995.833333333336</v>
      </c>
      <c r="X1003" s="128"/>
      <c r="Y1003" s="95">
        <v>424900</v>
      </c>
      <c r="Z1003" s="95">
        <v>56000</v>
      </c>
      <c r="AA1003" s="95">
        <f>IFERROR(IF(D1003="Premium",0.4*Y1003,0),"No Disp")</f>
        <v>169960</v>
      </c>
      <c r="AB1003" s="95">
        <f>IFERROR(IF(4*Y1003&gt;AC1003,1.5*Y1003,4*Y1003),"No Disp")</f>
        <v>637350</v>
      </c>
      <c r="AC1003" s="95">
        <f>IF(Z1003="No Disp","No Disp",(Z1003*18)+Y1003)</f>
        <v>1432900</v>
      </c>
      <c r="AD1003" s="95">
        <f>IF($H1003="EMP",18*Z1003-100,18*Z1003-100+Y1003)</f>
        <v>1007900</v>
      </c>
      <c r="AE1003" s="95">
        <v>424900</v>
      </c>
      <c r="AF1003" s="95">
        <v>56000</v>
      </c>
      <c r="AG1003" s="95">
        <f>IF(AF1003="No Disp","No Disp",(AF1003*18)+AE1003)</f>
        <v>1432900</v>
      </c>
      <c r="AH1003" s="98">
        <f>IF($H1003="EMP",18*AF1003-100,18*AF1003-100+AE1003)</f>
        <v>1007900</v>
      </c>
      <c r="AI1003" s="95">
        <v>79000</v>
      </c>
      <c r="AJ1003" s="99"/>
      <c r="AK1003" s="100" t="s">
        <v>43</v>
      </c>
      <c r="AL1003" s="100" t="s">
        <v>43</v>
      </c>
      <c r="AM1003" s="100" t="s">
        <v>43</v>
      </c>
      <c r="AN1003" s="100" t="s">
        <v>43</v>
      </c>
      <c r="AO1003" s="100" t="s">
        <v>43</v>
      </c>
      <c r="AP1003" s="100" t="s">
        <v>43</v>
      </c>
      <c r="AQ1003" s="100" t="s">
        <v>43</v>
      </c>
      <c r="AR1003" s="100" t="s">
        <v>43</v>
      </c>
      <c r="AS1003" s="100" t="s">
        <v>43</v>
      </c>
    </row>
    <row r="1004" spans="1:45" s="101" customFormat="1" x14ac:dyDescent="0.25">
      <c r="A1004" s="90" t="s">
        <v>38</v>
      </c>
      <c r="B1004" s="90" t="s">
        <v>40</v>
      </c>
      <c r="C1004" s="90" t="s">
        <v>39</v>
      </c>
      <c r="D1004" s="90" t="s">
        <v>4540</v>
      </c>
      <c r="E1004" s="90" t="s">
        <v>4538</v>
      </c>
      <c r="F1004" s="91"/>
      <c r="G1004" s="92">
        <v>70014603</v>
      </c>
      <c r="H1004" s="91" t="s">
        <v>4370</v>
      </c>
      <c r="I1004" s="93" t="s">
        <v>41</v>
      </c>
      <c r="J1004" s="94" t="s">
        <v>2839</v>
      </c>
      <c r="K1004" s="94" t="s">
        <v>3327</v>
      </c>
      <c r="L1004" s="94" t="s">
        <v>3328</v>
      </c>
      <c r="M1004" s="95">
        <v>978900</v>
      </c>
      <c r="N1004" s="95">
        <v>9500</v>
      </c>
      <c r="O1004" s="95">
        <v>13500</v>
      </c>
      <c r="P1004" s="96">
        <v>1499990</v>
      </c>
      <c r="Q1004" s="152"/>
      <c r="R1004" s="95">
        <v>978900</v>
      </c>
      <c r="S1004" s="95">
        <v>54120.833333333336</v>
      </c>
      <c r="T1004" s="95">
        <v>978900</v>
      </c>
      <c r="U1004" s="95">
        <v>54120.833333333336</v>
      </c>
      <c r="V1004" s="95">
        <v>978900</v>
      </c>
      <c r="W1004" s="95">
        <v>54120.833333333336</v>
      </c>
      <c r="X1004" s="128"/>
      <c r="Y1004" s="95">
        <v>337900</v>
      </c>
      <c r="Z1004" s="95">
        <v>44000</v>
      </c>
      <c r="AA1004" s="95">
        <f>IFERROR(IF(D1004="Premium",0.4*Y1004,0),"No Disp")</f>
        <v>135160</v>
      </c>
      <c r="AB1004" s="95">
        <f>IFERROR(IF(4*Y1004&gt;AC1004,1.5*Y1004,4*Y1004),"No Disp")</f>
        <v>506850</v>
      </c>
      <c r="AC1004" s="95">
        <f>IF(Z1004="No Disp","No Disp",(Z1004*18)+Y1004)</f>
        <v>1129900</v>
      </c>
      <c r="AD1004" s="95">
        <f>IF($H1004="EMP",18*Z1004-100,18*Z1004-100+Y1004)</f>
        <v>791900</v>
      </c>
      <c r="AE1004" s="95">
        <v>337900</v>
      </c>
      <c r="AF1004" s="95">
        <v>44000</v>
      </c>
      <c r="AG1004" s="95">
        <f>IF(AF1004="No Disp","No Disp",(AF1004*18)+AE1004)</f>
        <v>1129900</v>
      </c>
      <c r="AH1004" s="98">
        <f>IF($H1004="EMP",18*AF1004-100,18*AF1004-100+AE1004)</f>
        <v>791900</v>
      </c>
      <c r="AI1004" s="95">
        <v>62000</v>
      </c>
      <c r="AJ1004" s="99"/>
      <c r="AK1004" s="100" t="s">
        <v>43</v>
      </c>
      <c r="AL1004" s="100" t="s">
        <v>43</v>
      </c>
      <c r="AM1004" s="100" t="s">
        <v>43</v>
      </c>
      <c r="AN1004" s="100" t="s">
        <v>43</v>
      </c>
      <c r="AO1004" s="100" t="s">
        <v>43</v>
      </c>
      <c r="AP1004" s="100" t="s">
        <v>43</v>
      </c>
      <c r="AQ1004" s="100" t="s">
        <v>43</v>
      </c>
      <c r="AR1004" s="100" t="s">
        <v>43</v>
      </c>
      <c r="AS1004" s="100" t="s">
        <v>43</v>
      </c>
    </row>
    <row r="1005" spans="1:45" s="101" customFormat="1" x14ac:dyDescent="0.25">
      <c r="A1005" s="90" t="s">
        <v>102</v>
      </c>
      <c r="B1005" s="90" t="s">
        <v>39</v>
      </c>
      <c r="C1005" s="90" t="s">
        <v>40</v>
      </c>
      <c r="D1005" s="90" t="s">
        <v>4539</v>
      </c>
      <c r="E1005" s="90" t="s">
        <v>4538</v>
      </c>
      <c r="F1005" s="91">
        <v>784</v>
      </c>
      <c r="G1005" s="92">
        <v>70015964</v>
      </c>
      <c r="H1005" s="91" t="s">
        <v>4370</v>
      </c>
      <c r="I1005" s="93" t="s">
        <v>4074</v>
      </c>
      <c r="J1005" s="94" t="s">
        <v>4374</v>
      </c>
      <c r="K1005" s="94" t="s">
        <v>4493</v>
      </c>
      <c r="L1005" s="94" t="s">
        <v>4491</v>
      </c>
      <c r="M1005" s="95">
        <v>156900</v>
      </c>
      <c r="N1005" s="95">
        <v>2500</v>
      </c>
      <c r="O1005" s="95">
        <v>4000</v>
      </c>
      <c r="P1005" s="96">
        <v>199990</v>
      </c>
      <c r="Q1005" s="152"/>
      <c r="R1005" s="95">
        <v>156900</v>
      </c>
      <c r="S1005" s="95">
        <f>R1005/24</f>
        <v>6537.5</v>
      </c>
      <c r="T1005" s="95">
        <v>156900</v>
      </c>
      <c r="U1005" s="95">
        <f>T1005/24</f>
        <v>6537.5</v>
      </c>
      <c r="V1005" s="95">
        <v>156900</v>
      </c>
      <c r="W1005" s="95">
        <f>V1005/24</f>
        <v>6537.5</v>
      </c>
      <c r="X1005" s="128"/>
      <c r="Y1005" s="95">
        <v>0</v>
      </c>
      <c r="Z1005" s="95">
        <v>10000</v>
      </c>
      <c r="AA1005" s="95">
        <f>IFERROR(IF(D1005="Premium",0.4*Y1005,0),"No Disp")</f>
        <v>0</v>
      </c>
      <c r="AB1005" s="95">
        <f>IFERROR(IF(4*Y1005&gt;AC1005,1.5*Y1005,4*Y1005),"No Disp")</f>
        <v>0</v>
      </c>
      <c r="AC1005" s="95">
        <f>IF(Z1005="No Disp","No Disp",(Z1005*18)+Y1005)</f>
        <v>180000</v>
      </c>
      <c r="AD1005" s="95">
        <f>IF($H1005="EMP",18*Z1005-100,18*Z1005-100+Y1005)</f>
        <v>179900</v>
      </c>
      <c r="AE1005" s="95">
        <v>0</v>
      </c>
      <c r="AF1005" s="95">
        <v>10000</v>
      </c>
      <c r="AG1005" s="95">
        <f>IF(AF1005="No Disp","No Disp",(AF1005*18)+AE1005)</f>
        <v>180000</v>
      </c>
      <c r="AH1005" s="98">
        <f>IF($H1005="EMP",18*AF1005-100,18*AF1005-100+AE1005)</f>
        <v>179900</v>
      </c>
      <c r="AI1005" s="95">
        <v>10000</v>
      </c>
      <c r="AJ1005" s="99"/>
      <c r="AK1005" s="100" t="s">
        <v>43</v>
      </c>
      <c r="AL1005" s="100" t="s">
        <v>43</v>
      </c>
      <c r="AM1005" s="100" t="str">
        <f>IF(AL1005&lt;&gt;"No Disp",AK1005+12*AL1005,"No Disp")</f>
        <v>No Disp</v>
      </c>
      <c r="AN1005" s="100" t="s">
        <v>43</v>
      </c>
      <c r="AO1005" s="100" t="s">
        <v>43</v>
      </c>
      <c r="AP1005" s="100" t="str">
        <f>IF(AO1005&lt;&gt;"No Disp",AN1005+12*AO1005,"No Disp")</f>
        <v>No Disp</v>
      </c>
      <c r="AQ1005" s="100" t="s">
        <v>43</v>
      </c>
      <c r="AR1005" s="100" t="s">
        <v>43</v>
      </c>
      <c r="AS1005" s="100" t="str">
        <f>IF(AR1005&lt;&gt;"No Disp",AQ1005+12*AR1005,"No Disp")</f>
        <v>No Disp</v>
      </c>
    </row>
    <row r="1006" spans="1:45" s="101" customFormat="1" x14ac:dyDescent="0.25">
      <c r="A1006" s="90" t="s">
        <v>38</v>
      </c>
      <c r="B1006" s="90" t="s">
        <v>39</v>
      </c>
      <c r="C1006" s="90" t="s">
        <v>39</v>
      </c>
      <c r="D1006" s="90" t="s">
        <v>4539</v>
      </c>
      <c r="E1006" s="90" t="s">
        <v>4538</v>
      </c>
      <c r="F1006" s="91"/>
      <c r="G1006" s="92">
        <v>70014345</v>
      </c>
      <c r="H1006" s="91" t="s">
        <v>4370</v>
      </c>
      <c r="I1006" s="93" t="s">
        <v>112</v>
      </c>
      <c r="J1006" s="94" t="s">
        <v>3291</v>
      </c>
      <c r="K1006" s="94" t="s">
        <v>3412</v>
      </c>
      <c r="L1006" s="94" t="s">
        <v>3418</v>
      </c>
      <c r="M1006" s="95">
        <v>157900</v>
      </c>
      <c r="N1006" s="95">
        <v>4000</v>
      </c>
      <c r="O1006" s="95">
        <v>6000</v>
      </c>
      <c r="P1006" s="96">
        <v>349990</v>
      </c>
      <c r="Q1006" s="152"/>
      <c r="R1006" s="95">
        <v>157900</v>
      </c>
      <c r="S1006" s="95">
        <v>9370.8333333333339</v>
      </c>
      <c r="T1006" s="95">
        <v>157900</v>
      </c>
      <c r="U1006" s="95">
        <v>9370.8333333333339</v>
      </c>
      <c r="V1006" s="95">
        <v>157900</v>
      </c>
      <c r="W1006" s="95">
        <v>9370.8333333333339</v>
      </c>
      <c r="X1006" s="128"/>
      <c r="Y1006" s="95">
        <v>0</v>
      </c>
      <c r="Z1006" s="95">
        <v>11000</v>
      </c>
      <c r="AA1006" s="95">
        <f>IFERROR(IF(D1006="Premium",0.4*Y1006,0),"No Disp")</f>
        <v>0</v>
      </c>
      <c r="AB1006" s="95">
        <f>IFERROR(IF(4*Y1006&gt;AC1006,1.5*Y1006,4*Y1006),"No Disp")</f>
        <v>0</v>
      </c>
      <c r="AC1006" s="95">
        <f>IF(Z1006="No Disp","No Disp",(Z1006*18)+Y1006)</f>
        <v>198000</v>
      </c>
      <c r="AD1006" s="95">
        <f>IF($H1006="EMP",18*Z1006-100,18*Z1006-100+Y1006)</f>
        <v>197900</v>
      </c>
      <c r="AE1006" s="95">
        <v>0</v>
      </c>
      <c r="AF1006" s="95">
        <v>11000</v>
      </c>
      <c r="AG1006" s="95">
        <f>IF(AF1006="No Disp","No Disp",(AF1006*18)+AE1006)</f>
        <v>198000</v>
      </c>
      <c r="AH1006" s="98">
        <f>IF($H1006="EMP",18*AF1006-100,18*AF1006-100+AE1006)</f>
        <v>197900</v>
      </c>
      <c r="AI1006" s="95">
        <v>11000</v>
      </c>
      <c r="AJ1006" s="99"/>
      <c r="AK1006" s="100" t="s">
        <v>43</v>
      </c>
      <c r="AL1006" s="100" t="s">
        <v>43</v>
      </c>
      <c r="AM1006" s="100" t="s">
        <v>43</v>
      </c>
      <c r="AN1006" s="100" t="s">
        <v>43</v>
      </c>
      <c r="AO1006" s="100" t="s">
        <v>43</v>
      </c>
      <c r="AP1006" s="100" t="s">
        <v>43</v>
      </c>
      <c r="AQ1006" s="100" t="s">
        <v>43</v>
      </c>
      <c r="AR1006" s="100" t="s">
        <v>43</v>
      </c>
      <c r="AS1006" s="100" t="s">
        <v>43</v>
      </c>
    </row>
    <row r="1007" spans="1:45" s="101" customFormat="1" x14ac:dyDescent="0.25">
      <c r="A1007" s="90" t="s">
        <v>38</v>
      </c>
      <c r="B1007" s="90" t="s">
        <v>39</v>
      </c>
      <c r="C1007" s="90" t="s">
        <v>39</v>
      </c>
      <c r="D1007" s="90" t="s">
        <v>4539</v>
      </c>
      <c r="E1007" s="90" t="s">
        <v>4538</v>
      </c>
      <c r="F1007" s="91"/>
      <c r="G1007" s="92">
        <v>70014400</v>
      </c>
      <c r="H1007" s="91" t="s">
        <v>4370</v>
      </c>
      <c r="I1007" s="93" t="s">
        <v>112</v>
      </c>
      <c r="J1007" s="94" t="s">
        <v>3291</v>
      </c>
      <c r="K1007" s="94" t="s">
        <v>3413</v>
      </c>
      <c r="L1007" s="94" t="s">
        <v>3419</v>
      </c>
      <c r="M1007" s="95">
        <v>157900</v>
      </c>
      <c r="N1007" s="95">
        <v>4000</v>
      </c>
      <c r="O1007" s="95">
        <v>6000</v>
      </c>
      <c r="P1007" s="96">
        <v>349990</v>
      </c>
      <c r="Q1007" s="152"/>
      <c r="R1007" s="95">
        <v>157900</v>
      </c>
      <c r="S1007" s="95">
        <v>9370.8333333333339</v>
      </c>
      <c r="T1007" s="95">
        <v>157900</v>
      </c>
      <c r="U1007" s="95">
        <v>9370.8333333333339</v>
      </c>
      <c r="V1007" s="95">
        <v>157900</v>
      </c>
      <c r="W1007" s="95">
        <v>9370.8333333333339</v>
      </c>
      <c r="X1007" s="128"/>
      <c r="Y1007" s="95">
        <v>0</v>
      </c>
      <c r="Z1007" s="95">
        <v>11000</v>
      </c>
      <c r="AA1007" s="95">
        <f>IFERROR(IF(D1007="Premium",0.4*Y1007,0),"No Disp")</f>
        <v>0</v>
      </c>
      <c r="AB1007" s="95">
        <f>IFERROR(IF(4*Y1007&gt;AC1007,1.5*Y1007,4*Y1007),"No Disp")</f>
        <v>0</v>
      </c>
      <c r="AC1007" s="95">
        <f>IF(Z1007="No Disp","No Disp",(Z1007*18)+Y1007)</f>
        <v>198000</v>
      </c>
      <c r="AD1007" s="95">
        <f>IF($H1007="EMP",18*Z1007-100,18*Z1007-100+Y1007)</f>
        <v>197900</v>
      </c>
      <c r="AE1007" s="95">
        <v>0</v>
      </c>
      <c r="AF1007" s="95">
        <v>11000</v>
      </c>
      <c r="AG1007" s="95">
        <f>IF(AF1007="No Disp","No Disp",(AF1007*18)+AE1007)</f>
        <v>198000</v>
      </c>
      <c r="AH1007" s="98">
        <f>IF($H1007="EMP",18*AF1007-100,18*AF1007-100+AE1007)</f>
        <v>197900</v>
      </c>
      <c r="AI1007" s="95">
        <v>11000</v>
      </c>
      <c r="AJ1007" s="99"/>
      <c r="AK1007" s="100" t="s">
        <v>43</v>
      </c>
      <c r="AL1007" s="100" t="s">
        <v>43</v>
      </c>
      <c r="AM1007" s="100" t="s">
        <v>43</v>
      </c>
      <c r="AN1007" s="100" t="s">
        <v>43</v>
      </c>
      <c r="AO1007" s="100" t="s">
        <v>43</v>
      </c>
      <c r="AP1007" s="100" t="s">
        <v>43</v>
      </c>
      <c r="AQ1007" s="100" t="s">
        <v>43</v>
      </c>
      <c r="AR1007" s="100" t="s">
        <v>43</v>
      </c>
      <c r="AS1007" s="100" t="s">
        <v>43</v>
      </c>
    </row>
    <row r="1008" spans="1:45" s="101" customFormat="1" x14ac:dyDescent="0.25">
      <c r="A1008" s="90" t="s">
        <v>38</v>
      </c>
      <c r="B1008" s="90" t="s">
        <v>39</v>
      </c>
      <c r="C1008" s="90" t="s">
        <v>39</v>
      </c>
      <c r="D1008" s="90" t="s">
        <v>4539</v>
      </c>
      <c r="E1008" s="90" t="s">
        <v>4538</v>
      </c>
      <c r="F1008" s="91"/>
      <c r="G1008" s="92">
        <v>70014405</v>
      </c>
      <c r="H1008" s="91" t="s">
        <v>4370</v>
      </c>
      <c r="I1008" s="93" t="s">
        <v>112</v>
      </c>
      <c r="J1008" s="94" t="s">
        <v>3291</v>
      </c>
      <c r="K1008" s="94" t="s">
        <v>3414</v>
      </c>
      <c r="L1008" s="94" t="s">
        <v>3420</v>
      </c>
      <c r="M1008" s="95">
        <v>157900</v>
      </c>
      <c r="N1008" s="95">
        <v>4000</v>
      </c>
      <c r="O1008" s="95">
        <v>6000</v>
      </c>
      <c r="P1008" s="96">
        <v>349990</v>
      </c>
      <c r="Q1008" s="152"/>
      <c r="R1008" s="95">
        <v>157900</v>
      </c>
      <c r="S1008" s="95">
        <v>9370.8333333333339</v>
      </c>
      <c r="T1008" s="95">
        <v>157900</v>
      </c>
      <c r="U1008" s="95">
        <v>9370.8333333333339</v>
      </c>
      <c r="V1008" s="95">
        <v>157900</v>
      </c>
      <c r="W1008" s="95">
        <v>9370.8333333333339</v>
      </c>
      <c r="X1008" s="128"/>
      <c r="Y1008" s="95">
        <v>0</v>
      </c>
      <c r="Z1008" s="95">
        <v>11000</v>
      </c>
      <c r="AA1008" s="95">
        <f>IFERROR(IF(D1008="Premium",0.4*Y1008,0),"No Disp")</f>
        <v>0</v>
      </c>
      <c r="AB1008" s="95">
        <f>IFERROR(IF(4*Y1008&gt;AC1008,1.5*Y1008,4*Y1008),"No Disp")</f>
        <v>0</v>
      </c>
      <c r="AC1008" s="95">
        <f>IF(Z1008="No Disp","No Disp",(Z1008*18)+Y1008)</f>
        <v>198000</v>
      </c>
      <c r="AD1008" s="95">
        <f>IF($H1008="EMP",18*Z1008-100,18*Z1008-100+Y1008)</f>
        <v>197900</v>
      </c>
      <c r="AE1008" s="95">
        <v>0</v>
      </c>
      <c r="AF1008" s="95">
        <v>11000</v>
      </c>
      <c r="AG1008" s="95">
        <f>IF(AF1008="No Disp","No Disp",(AF1008*18)+AE1008)</f>
        <v>198000</v>
      </c>
      <c r="AH1008" s="98">
        <f>IF($H1008="EMP",18*AF1008-100,18*AF1008-100+AE1008)</f>
        <v>197900</v>
      </c>
      <c r="AI1008" s="95">
        <v>11000</v>
      </c>
      <c r="AJ1008" s="99"/>
      <c r="AK1008" s="100" t="s">
        <v>43</v>
      </c>
      <c r="AL1008" s="100" t="s">
        <v>43</v>
      </c>
      <c r="AM1008" s="100" t="s">
        <v>43</v>
      </c>
      <c r="AN1008" s="100" t="s">
        <v>43</v>
      </c>
      <c r="AO1008" s="100" t="s">
        <v>43</v>
      </c>
      <c r="AP1008" s="100" t="s">
        <v>43</v>
      </c>
      <c r="AQ1008" s="100" t="s">
        <v>43</v>
      </c>
      <c r="AR1008" s="100" t="s">
        <v>43</v>
      </c>
      <c r="AS1008" s="100" t="s">
        <v>43</v>
      </c>
    </row>
    <row r="1009" spans="1:45" s="101" customFormat="1" x14ac:dyDescent="0.25">
      <c r="A1009" s="90" t="s">
        <v>38</v>
      </c>
      <c r="B1009" s="90" t="s">
        <v>39</v>
      </c>
      <c r="C1009" s="90" t="s">
        <v>39</v>
      </c>
      <c r="D1009" s="90" t="s">
        <v>4539</v>
      </c>
      <c r="E1009" s="90" t="s">
        <v>4538</v>
      </c>
      <c r="F1009" s="91"/>
      <c r="G1009" s="92">
        <v>70014067</v>
      </c>
      <c r="H1009" s="91" t="s">
        <v>4370</v>
      </c>
      <c r="I1009" s="93" t="s">
        <v>112</v>
      </c>
      <c r="J1009" s="94" t="s">
        <v>3291</v>
      </c>
      <c r="K1009" s="94" t="s">
        <v>3415</v>
      </c>
      <c r="L1009" s="94" t="s">
        <v>3421</v>
      </c>
      <c r="M1009" s="95">
        <v>157900</v>
      </c>
      <c r="N1009" s="95">
        <v>4000</v>
      </c>
      <c r="O1009" s="95">
        <v>6000</v>
      </c>
      <c r="P1009" s="96">
        <v>349990</v>
      </c>
      <c r="Q1009" s="152"/>
      <c r="R1009" s="95">
        <v>157900</v>
      </c>
      <c r="S1009" s="95">
        <v>9370.8333333333339</v>
      </c>
      <c r="T1009" s="95">
        <v>157900</v>
      </c>
      <c r="U1009" s="95">
        <v>9370.8333333333339</v>
      </c>
      <c r="V1009" s="95">
        <v>157900</v>
      </c>
      <c r="W1009" s="95">
        <v>9370.8333333333339</v>
      </c>
      <c r="X1009" s="128"/>
      <c r="Y1009" s="95">
        <v>0</v>
      </c>
      <c r="Z1009" s="95">
        <v>11000</v>
      </c>
      <c r="AA1009" s="95">
        <f>IFERROR(IF(D1009="Premium",0.4*Y1009,0),"No Disp")</f>
        <v>0</v>
      </c>
      <c r="AB1009" s="95">
        <f>IFERROR(IF(4*Y1009&gt;AC1009,1.5*Y1009,4*Y1009),"No Disp")</f>
        <v>0</v>
      </c>
      <c r="AC1009" s="95">
        <f>IF(Z1009="No Disp","No Disp",(Z1009*18)+Y1009)</f>
        <v>198000</v>
      </c>
      <c r="AD1009" s="95">
        <f>IF($H1009="EMP",18*Z1009-100,18*Z1009-100+Y1009)</f>
        <v>197900</v>
      </c>
      <c r="AE1009" s="95">
        <v>0</v>
      </c>
      <c r="AF1009" s="95">
        <v>11000</v>
      </c>
      <c r="AG1009" s="95">
        <f>IF(AF1009="No Disp","No Disp",(AF1009*18)+AE1009)</f>
        <v>198000</v>
      </c>
      <c r="AH1009" s="98">
        <f>IF($H1009="EMP",18*AF1009-100,18*AF1009-100+AE1009)</f>
        <v>197900</v>
      </c>
      <c r="AI1009" s="95">
        <v>11000</v>
      </c>
      <c r="AJ1009" s="99"/>
      <c r="AK1009" s="100" t="s">
        <v>43</v>
      </c>
      <c r="AL1009" s="100" t="s">
        <v>43</v>
      </c>
      <c r="AM1009" s="100" t="s">
        <v>43</v>
      </c>
      <c r="AN1009" s="100" t="s">
        <v>43</v>
      </c>
      <c r="AO1009" s="100" t="s">
        <v>43</v>
      </c>
      <c r="AP1009" s="100" t="s">
        <v>43</v>
      </c>
      <c r="AQ1009" s="100" t="s">
        <v>43</v>
      </c>
      <c r="AR1009" s="100" t="s">
        <v>43</v>
      </c>
      <c r="AS1009" s="100" t="s">
        <v>43</v>
      </c>
    </row>
    <row r="1010" spans="1:45" s="101" customFormat="1" x14ac:dyDescent="0.25">
      <c r="A1010" s="90" t="s">
        <v>38</v>
      </c>
      <c r="B1010" s="90" t="s">
        <v>39</v>
      </c>
      <c r="C1010" s="90" t="s">
        <v>39</v>
      </c>
      <c r="D1010" s="90" t="s">
        <v>4539</v>
      </c>
      <c r="E1010" s="90" t="s">
        <v>4538</v>
      </c>
      <c r="F1010" s="91"/>
      <c r="G1010" s="92">
        <v>70014108</v>
      </c>
      <c r="H1010" s="91" t="s">
        <v>4370</v>
      </c>
      <c r="I1010" s="93" t="s">
        <v>112</v>
      </c>
      <c r="J1010" s="94" t="s">
        <v>3291</v>
      </c>
      <c r="K1010" s="94" t="s">
        <v>3416</v>
      </c>
      <c r="L1010" s="94" t="s">
        <v>3422</v>
      </c>
      <c r="M1010" s="95">
        <v>157900</v>
      </c>
      <c r="N1010" s="95">
        <v>4000</v>
      </c>
      <c r="O1010" s="95">
        <v>6000</v>
      </c>
      <c r="P1010" s="96">
        <v>349990</v>
      </c>
      <c r="Q1010" s="152"/>
      <c r="R1010" s="95">
        <v>157900</v>
      </c>
      <c r="S1010" s="95">
        <v>9370.8333333333339</v>
      </c>
      <c r="T1010" s="95">
        <v>157900</v>
      </c>
      <c r="U1010" s="95">
        <v>9370.8333333333339</v>
      </c>
      <c r="V1010" s="95">
        <v>157900</v>
      </c>
      <c r="W1010" s="95">
        <v>9370.8333333333339</v>
      </c>
      <c r="X1010" s="128"/>
      <c r="Y1010" s="95">
        <v>0</v>
      </c>
      <c r="Z1010" s="95">
        <v>11000</v>
      </c>
      <c r="AA1010" s="95">
        <f>IFERROR(IF(D1010="Premium",0.4*Y1010,0),"No Disp")</f>
        <v>0</v>
      </c>
      <c r="AB1010" s="95">
        <f>IFERROR(IF(4*Y1010&gt;AC1010,1.5*Y1010,4*Y1010),"No Disp")</f>
        <v>0</v>
      </c>
      <c r="AC1010" s="95">
        <f>IF(Z1010="No Disp","No Disp",(Z1010*18)+Y1010)</f>
        <v>198000</v>
      </c>
      <c r="AD1010" s="95">
        <f>IF($H1010="EMP",18*Z1010-100,18*Z1010-100+Y1010)</f>
        <v>197900</v>
      </c>
      <c r="AE1010" s="95">
        <v>0</v>
      </c>
      <c r="AF1010" s="95">
        <v>11000</v>
      </c>
      <c r="AG1010" s="95">
        <f>IF(AF1010="No Disp","No Disp",(AF1010*18)+AE1010)</f>
        <v>198000</v>
      </c>
      <c r="AH1010" s="98">
        <f>IF($H1010="EMP",18*AF1010-100,18*AF1010-100+AE1010)</f>
        <v>197900</v>
      </c>
      <c r="AI1010" s="95">
        <v>11000</v>
      </c>
      <c r="AJ1010" s="99"/>
      <c r="AK1010" s="100" t="s">
        <v>43</v>
      </c>
      <c r="AL1010" s="100" t="s">
        <v>43</v>
      </c>
      <c r="AM1010" s="100" t="s">
        <v>43</v>
      </c>
      <c r="AN1010" s="100" t="s">
        <v>43</v>
      </c>
      <c r="AO1010" s="100" t="s">
        <v>43</v>
      </c>
      <c r="AP1010" s="100" t="s">
        <v>43</v>
      </c>
      <c r="AQ1010" s="100" t="s">
        <v>43</v>
      </c>
      <c r="AR1010" s="100" t="s">
        <v>43</v>
      </c>
      <c r="AS1010" s="100" t="s">
        <v>43</v>
      </c>
    </row>
    <row r="1011" spans="1:45" s="101" customFormat="1" x14ac:dyDescent="0.25">
      <c r="A1011" s="90" t="s">
        <v>38</v>
      </c>
      <c r="B1011" s="90" t="s">
        <v>39</v>
      </c>
      <c r="C1011" s="90" t="s">
        <v>39</v>
      </c>
      <c r="D1011" s="90" t="s">
        <v>4539</v>
      </c>
      <c r="E1011" s="90" t="s">
        <v>4538</v>
      </c>
      <c r="F1011" s="91"/>
      <c r="G1011" s="92">
        <v>70014109</v>
      </c>
      <c r="H1011" s="91" t="s">
        <v>4370</v>
      </c>
      <c r="I1011" s="93" t="s">
        <v>112</v>
      </c>
      <c r="J1011" s="94" t="s">
        <v>3291</v>
      </c>
      <c r="K1011" s="94" t="s">
        <v>3417</v>
      </c>
      <c r="L1011" s="94" t="s">
        <v>3423</v>
      </c>
      <c r="M1011" s="95">
        <v>157900</v>
      </c>
      <c r="N1011" s="95">
        <v>4000</v>
      </c>
      <c r="O1011" s="95">
        <v>6000</v>
      </c>
      <c r="P1011" s="96">
        <v>349990</v>
      </c>
      <c r="Q1011" s="152"/>
      <c r="R1011" s="95">
        <v>157900</v>
      </c>
      <c r="S1011" s="95">
        <v>9370.8333333333339</v>
      </c>
      <c r="T1011" s="95">
        <v>157900</v>
      </c>
      <c r="U1011" s="95">
        <v>9370.8333333333339</v>
      </c>
      <c r="V1011" s="95">
        <v>157900</v>
      </c>
      <c r="W1011" s="95">
        <v>9370.8333333333339</v>
      </c>
      <c r="X1011" s="128"/>
      <c r="Y1011" s="95">
        <v>0</v>
      </c>
      <c r="Z1011" s="95">
        <v>11000</v>
      </c>
      <c r="AA1011" s="95">
        <f>IFERROR(IF(D1011="Premium",0.4*Y1011,0),"No Disp")</f>
        <v>0</v>
      </c>
      <c r="AB1011" s="95">
        <f>IFERROR(IF(4*Y1011&gt;AC1011,1.5*Y1011,4*Y1011),"No Disp")</f>
        <v>0</v>
      </c>
      <c r="AC1011" s="95">
        <f>IF(Z1011="No Disp","No Disp",(Z1011*18)+Y1011)</f>
        <v>198000</v>
      </c>
      <c r="AD1011" s="95">
        <f>IF($H1011="EMP",18*Z1011-100,18*Z1011-100+Y1011)</f>
        <v>197900</v>
      </c>
      <c r="AE1011" s="95">
        <v>0</v>
      </c>
      <c r="AF1011" s="95">
        <v>11000</v>
      </c>
      <c r="AG1011" s="95">
        <f>IF(AF1011="No Disp","No Disp",(AF1011*18)+AE1011)</f>
        <v>198000</v>
      </c>
      <c r="AH1011" s="98">
        <f>IF($H1011="EMP",18*AF1011-100,18*AF1011-100+AE1011)</f>
        <v>197900</v>
      </c>
      <c r="AI1011" s="95">
        <v>11000</v>
      </c>
      <c r="AJ1011" s="99"/>
      <c r="AK1011" s="100" t="s">
        <v>43</v>
      </c>
      <c r="AL1011" s="100" t="s">
        <v>43</v>
      </c>
      <c r="AM1011" s="100" t="s">
        <v>43</v>
      </c>
      <c r="AN1011" s="100" t="s">
        <v>43</v>
      </c>
      <c r="AO1011" s="100" t="s">
        <v>43</v>
      </c>
      <c r="AP1011" s="100" t="s">
        <v>43</v>
      </c>
      <c r="AQ1011" s="100" t="s">
        <v>43</v>
      </c>
      <c r="AR1011" s="100" t="s">
        <v>43</v>
      </c>
      <c r="AS1011" s="100" t="s">
        <v>43</v>
      </c>
    </row>
    <row r="1012" spans="1:45" s="101" customFormat="1" x14ac:dyDescent="0.25">
      <c r="A1012" s="90" t="s">
        <v>38</v>
      </c>
      <c r="B1012" s="90" t="s">
        <v>40</v>
      </c>
      <c r="C1012" s="90" t="s">
        <v>39</v>
      </c>
      <c r="D1012" s="90" t="s">
        <v>4539</v>
      </c>
      <c r="E1012" s="90" t="s">
        <v>4538</v>
      </c>
      <c r="F1012" s="91">
        <v>748</v>
      </c>
      <c r="G1012" s="92">
        <v>70014683</v>
      </c>
      <c r="H1012" s="91" t="s">
        <v>4370</v>
      </c>
      <c r="I1012" s="93" t="s">
        <v>4074</v>
      </c>
      <c r="J1012" s="94" t="s">
        <v>4374</v>
      </c>
      <c r="K1012" s="94" t="s">
        <v>4363</v>
      </c>
      <c r="L1012" s="94" t="s">
        <v>4392</v>
      </c>
      <c r="M1012" s="95">
        <v>156900</v>
      </c>
      <c r="N1012" s="95">
        <v>2500</v>
      </c>
      <c r="O1012" s="95">
        <v>4000</v>
      </c>
      <c r="P1012" s="96">
        <v>199990</v>
      </c>
      <c r="Q1012" s="152"/>
      <c r="R1012" s="95">
        <v>156900</v>
      </c>
      <c r="S1012" s="95">
        <f>R1012/24</f>
        <v>6537.5</v>
      </c>
      <c r="T1012" s="95">
        <v>156900</v>
      </c>
      <c r="U1012" s="95">
        <f>T1012/24</f>
        <v>6537.5</v>
      </c>
      <c r="V1012" s="95">
        <v>156900</v>
      </c>
      <c r="W1012" s="95">
        <f>V1012/24</f>
        <v>6537.5</v>
      </c>
      <c r="X1012" s="128"/>
      <c r="Y1012" s="95">
        <v>0</v>
      </c>
      <c r="Z1012" s="95">
        <v>10000</v>
      </c>
      <c r="AA1012" s="95">
        <f>IFERROR(IF(D1012="Premium",0.4*Y1012,0),"No Disp")</f>
        <v>0</v>
      </c>
      <c r="AB1012" s="95">
        <f>IFERROR(IF(4*Y1012&gt;AC1012,1.5*Y1012,4*Y1012),"No Disp")</f>
        <v>0</v>
      </c>
      <c r="AC1012" s="95">
        <f>IF(Z1012="No Disp","No Disp",(Z1012*18)+Y1012)</f>
        <v>180000</v>
      </c>
      <c r="AD1012" s="95">
        <f>IF($H1012="EMP",18*Z1012-100,18*Z1012-100+Y1012)</f>
        <v>179900</v>
      </c>
      <c r="AE1012" s="95">
        <v>0</v>
      </c>
      <c r="AF1012" s="95">
        <v>10000</v>
      </c>
      <c r="AG1012" s="95">
        <f>IF(AF1012="No Disp","No Disp",(AF1012*18)+AE1012)</f>
        <v>180000</v>
      </c>
      <c r="AH1012" s="98">
        <f>IF($H1012="EMP",18*AF1012-100,18*AF1012-100+AE1012)</f>
        <v>179900</v>
      </c>
      <c r="AI1012" s="95">
        <v>10000</v>
      </c>
      <c r="AJ1012" s="99"/>
      <c r="AK1012" s="100" t="s">
        <v>43</v>
      </c>
      <c r="AL1012" s="100" t="s">
        <v>43</v>
      </c>
      <c r="AM1012" s="100" t="str">
        <f>IF(AL1012&lt;&gt;"No Disp",AK1012+12*AL1012,"No Disp")</f>
        <v>No Disp</v>
      </c>
      <c r="AN1012" s="100" t="s">
        <v>43</v>
      </c>
      <c r="AO1012" s="100" t="s">
        <v>43</v>
      </c>
      <c r="AP1012" s="100" t="str">
        <f>IF(AO1012&lt;&gt;"No Disp",AN1012+12*AO1012,"No Disp")</f>
        <v>No Disp</v>
      </c>
      <c r="AQ1012" s="100" t="s">
        <v>43</v>
      </c>
      <c r="AR1012" s="100" t="s">
        <v>43</v>
      </c>
      <c r="AS1012" s="100" t="str">
        <f>IF(AR1012&lt;&gt;"No Disp",AQ1012+12*AR1012,"No Disp")</f>
        <v>No Disp</v>
      </c>
    </row>
    <row r="1013" spans="1:45" s="101" customFormat="1" x14ac:dyDescent="0.25">
      <c r="A1013" s="90" t="s">
        <v>38</v>
      </c>
      <c r="B1013" s="90" t="s">
        <v>40</v>
      </c>
      <c r="C1013" s="90" t="s">
        <v>39</v>
      </c>
      <c r="D1013" s="90" t="s">
        <v>4539</v>
      </c>
      <c r="E1013" s="90" t="s">
        <v>4538</v>
      </c>
      <c r="F1013" s="91">
        <v>747</v>
      </c>
      <c r="G1013" s="92">
        <v>70014688</v>
      </c>
      <c r="H1013" s="91" t="s">
        <v>4370</v>
      </c>
      <c r="I1013" s="93" t="s">
        <v>4074</v>
      </c>
      <c r="J1013" s="94" t="s">
        <v>4374</v>
      </c>
      <c r="K1013" s="94" t="s">
        <v>4364</v>
      </c>
      <c r="L1013" s="94" t="s">
        <v>4393</v>
      </c>
      <c r="M1013" s="95">
        <v>156900</v>
      </c>
      <c r="N1013" s="95">
        <v>2500</v>
      </c>
      <c r="O1013" s="95">
        <v>4000</v>
      </c>
      <c r="P1013" s="96">
        <v>199990</v>
      </c>
      <c r="Q1013" s="152"/>
      <c r="R1013" s="95">
        <v>156900</v>
      </c>
      <c r="S1013" s="95">
        <f>R1013/24</f>
        <v>6537.5</v>
      </c>
      <c r="T1013" s="95">
        <v>156900</v>
      </c>
      <c r="U1013" s="95">
        <f>T1013/24</f>
        <v>6537.5</v>
      </c>
      <c r="V1013" s="95">
        <v>156900</v>
      </c>
      <c r="W1013" s="95">
        <f>V1013/24</f>
        <v>6537.5</v>
      </c>
      <c r="X1013" s="128"/>
      <c r="Y1013" s="95">
        <v>0</v>
      </c>
      <c r="Z1013" s="95">
        <v>10000</v>
      </c>
      <c r="AA1013" s="95">
        <f>IFERROR(IF(D1013="Premium",0.4*Y1013,0),"No Disp")</f>
        <v>0</v>
      </c>
      <c r="AB1013" s="95">
        <f>IFERROR(IF(4*Y1013&gt;AC1013,1.5*Y1013,4*Y1013),"No Disp")</f>
        <v>0</v>
      </c>
      <c r="AC1013" s="95">
        <f>IF(Z1013="No Disp","No Disp",(Z1013*18)+Y1013)</f>
        <v>180000</v>
      </c>
      <c r="AD1013" s="95">
        <f>IF($H1013="EMP",18*Z1013-100,18*Z1013-100+Y1013)</f>
        <v>179900</v>
      </c>
      <c r="AE1013" s="95">
        <v>0</v>
      </c>
      <c r="AF1013" s="95">
        <v>10000</v>
      </c>
      <c r="AG1013" s="95">
        <f>IF(AF1013="No Disp","No Disp",(AF1013*18)+AE1013)</f>
        <v>180000</v>
      </c>
      <c r="AH1013" s="98">
        <f>IF($H1013="EMP",18*AF1013-100,18*AF1013-100+AE1013)</f>
        <v>179900</v>
      </c>
      <c r="AI1013" s="95">
        <v>10000</v>
      </c>
      <c r="AJ1013" s="99"/>
      <c r="AK1013" s="100" t="s">
        <v>43</v>
      </c>
      <c r="AL1013" s="100" t="s">
        <v>43</v>
      </c>
      <c r="AM1013" s="100" t="str">
        <f>IF(AL1013&lt;&gt;"No Disp",AK1013+12*AL1013,"No Disp")</f>
        <v>No Disp</v>
      </c>
      <c r="AN1013" s="100" t="s">
        <v>43</v>
      </c>
      <c r="AO1013" s="100" t="s">
        <v>43</v>
      </c>
      <c r="AP1013" s="100" t="str">
        <f>IF(AO1013&lt;&gt;"No Disp",AN1013+12*AO1013,"No Disp")</f>
        <v>No Disp</v>
      </c>
      <c r="AQ1013" s="100" t="s">
        <v>43</v>
      </c>
      <c r="AR1013" s="100" t="s">
        <v>43</v>
      </c>
      <c r="AS1013" s="100" t="str">
        <f>IF(AR1013&lt;&gt;"No Disp",AQ1013+12*AR1013,"No Disp")</f>
        <v>No Disp</v>
      </c>
    </row>
    <row r="1014" spans="1:45" s="101" customFormat="1" x14ac:dyDescent="0.25">
      <c r="A1014" s="90" t="s">
        <v>38</v>
      </c>
      <c r="B1014" s="90" t="s">
        <v>40</v>
      </c>
      <c r="C1014" s="90" t="s">
        <v>39</v>
      </c>
      <c r="D1014" s="90" t="s">
        <v>4539</v>
      </c>
      <c r="E1014" s="90" t="s">
        <v>4538</v>
      </c>
      <c r="F1014" s="91"/>
      <c r="G1014" s="92">
        <v>70015360</v>
      </c>
      <c r="H1014" s="91" t="s">
        <v>4370</v>
      </c>
      <c r="I1014" s="93" t="s">
        <v>112</v>
      </c>
      <c r="J1014" s="94" t="s">
        <v>4319</v>
      </c>
      <c r="K1014" s="94" t="s">
        <v>4516</v>
      </c>
      <c r="L1014" s="94" t="s">
        <v>4335</v>
      </c>
      <c r="M1014" s="95">
        <v>84900</v>
      </c>
      <c r="N1014" s="95">
        <v>2500</v>
      </c>
      <c r="O1014" s="95">
        <v>4000</v>
      </c>
      <c r="P1014" s="96">
        <v>129990</v>
      </c>
      <c r="Q1014" s="152"/>
      <c r="R1014" s="95">
        <v>84900</v>
      </c>
      <c r="S1014" s="95">
        <v>5416.25</v>
      </c>
      <c r="T1014" s="95">
        <v>84900</v>
      </c>
      <c r="U1014" s="95">
        <v>4162.5</v>
      </c>
      <c r="V1014" s="95">
        <v>84900</v>
      </c>
      <c r="W1014" s="95">
        <v>4162.5</v>
      </c>
      <c r="X1014" s="128"/>
      <c r="Y1014" s="95">
        <v>0</v>
      </c>
      <c r="Z1014" s="95">
        <v>6000</v>
      </c>
      <c r="AA1014" s="95">
        <f>IFERROR(IF(D1014="Premium",0.4*Y1014,0),"No Disp")</f>
        <v>0</v>
      </c>
      <c r="AB1014" s="95">
        <f>IFERROR(IF(4*Y1014&gt;AC1014,1.5*Y1014,4*Y1014),"No Disp")</f>
        <v>0</v>
      </c>
      <c r="AC1014" s="95">
        <f>IF(Z1014="No Disp","No Disp",(Z1014*18)+Y1014)</f>
        <v>108000</v>
      </c>
      <c r="AD1014" s="95">
        <f>IF($H1014="EMP",18*Z1014-100,18*Z1014-100+Y1014)</f>
        <v>107900</v>
      </c>
      <c r="AE1014" s="95">
        <v>0</v>
      </c>
      <c r="AF1014" s="95">
        <v>6000</v>
      </c>
      <c r="AG1014" s="95">
        <f>IF(AF1014="No Disp","No Disp",(AF1014*18)+AE1014)</f>
        <v>108000</v>
      </c>
      <c r="AH1014" s="98">
        <f>IF($H1014="EMP",18*AF1014-100,18*AF1014-100+AE1014)</f>
        <v>107900</v>
      </c>
      <c r="AI1014" s="95">
        <v>6000</v>
      </c>
      <c r="AJ1014" s="99"/>
      <c r="AK1014" s="100" t="s">
        <v>43</v>
      </c>
      <c r="AL1014" s="100" t="s">
        <v>43</v>
      </c>
      <c r="AM1014" s="100" t="s">
        <v>43</v>
      </c>
      <c r="AN1014" s="100" t="s">
        <v>43</v>
      </c>
      <c r="AO1014" s="100" t="s">
        <v>43</v>
      </c>
      <c r="AP1014" s="100" t="s">
        <v>43</v>
      </c>
      <c r="AQ1014" s="100" t="s">
        <v>43</v>
      </c>
      <c r="AR1014" s="100" t="s">
        <v>43</v>
      </c>
      <c r="AS1014" s="100" t="s">
        <v>43</v>
      </c>
    </row>
    <row r="1015" spans="1:45" s="101" customFormat="1" x14ac:dyDescent="0.25">
      <c r="A1015" s="90" t="s">
        <v>102</v>
      </c>
      <c r="B1015" s="90" t="s">
        <v>39</v>
      </c>
      <c r="C1015" s="90" t="s">
        <v>40</v>
      </c>
      <c r="D1015" s="90" t="s">
        <v>4541</v>
      </c>
      <c r="E1015" s="90" t="s">
        <v>4542</v>
      </c>
      <c r="F1015" s="91"/>
      <c r="G1015" s="92">
        <v>50009313</v>
      </c>
      <c r="H1015" s="91" t="s">
        <v>4370</v>
      </c>
      <c r="I1015" s="93" t="s">
        <v>112</v>
      </c>
      <c r="J1015" s="94" t="s">
        <v>618</v>
      </c>
      <c r="K1015" s="94" t="s">
        <v>2025</v>
      </c>
      <c r="L1015" s="94" t="s">
        <v>4437</v>
      </c>
      <c r="M1015" s="95">
        <v>96900</v>
      </c>
      <c r="N1015" s="95">
        <v>2500</v>
      </c>
      <c r="O1015" s="95">
        <v>4000</v>
      </c>
      <c r="P1015" s="96">
        <v>199990</v>
      </c>
      <c r="Q1015" s="152"/>
      <c r="R1015" s="95">
        <v>96900</v>
      </c>
      <c r="S1015" s="95">
        <v>5495.833333333333</v>
      </c>
      <c r="T1015" s="95">
        <v>96900</v>
      </c>
      <c r="U1015" s="95">
        <v>5495.833333333333</v>
      </c>
      <c r="V1015" s="95">
        <v>96900</v>
      </c>
      <c r="W1015" s="95">
        <v>5495.833333333333</v>
      </c>
      <c r="X1015" s="128"/>
      <c r="Y1015" s="95">
        <v>0</v>
      </c>
      <c r="Z1015" s="95">
        <v>7000</v>
      </c>
      <c r="AA1015" s="95">
        <f>IFERROR(IF(D1015="Premium",0.4*Y1015,0),"No Disp")</f>
        <v>0</v>
      </c>
      <c r="AB1015" s="95">
        <f>IFERROR(IF(4*Y1015&gt;AC1015,1.5*Y1015,4*Y1015),"No Disp")</f>
        <v>0</v>
      </c>
      <c r="AC1015" s="95">
        <f>IF(Z1015="No Disp","No Disp",(Z1015*18)+Y1015)</f>
        <v>126000</v>
      </c>
      <c r="AD1015" s="95">
        <f>IF($H1015="EMP",18*Z1015-100,18*Z1015-100+Y1015)</f>
        <v>125900</v>
      </c>
      <c r="AE1015" s="95">
        <v>0</v>
      </c>
      <c r="AF1015" s="95">
        <v>7000</v>
      </c>
      <c r="AG1015" s="95">
        <f>IF(AF1015="No Disp","No Disp",(AF1015*18)+AE1015)</f>
        <v>126000</v>
      </c>
      <c r="AH1015" s="98">
        <f>IF($H1015="EMP",18*AF1015-100,18*AF1015-100+AE1015)</f>
        <v>125900</v>
      </c>
      <c r="AI1015" s="95">
        <v>7000</v>
      </c>
      <c r="AJ1015" s="99"/>
      <c r="AK1015" s="100" t="s">
        <v>43</v>
      </c>
      <c r="AL1015" s="100" t="s">
        <v>43</v>
      </c>
      <c r="AM1015" s="100" t="s">
        <v>43</v>
      </c>
      <c r="AN1015" s="100" t="s">
        <v>43</v>
      </c>
      <c r="AO1015" s="100" t="s">
        <v>43</v>
      </c>
      <c r="AP1015" s="100" t="s">
        <v>43</v>
      </c>
      <c r="AQ1015" s="100" t="s">
        <v>43</v>
      </c>
      <c r="AR1015" s="100" t="s">
        <v>43</v>
      </c>
      <c r="AS1015" s="100" t="s">
        <v>43</v>
      </c>
    </row>
    <row r="1016" spans="1:45" s="101" customFormat="1" x14ac:dyDescent="0.25">
      <c r="A1016" s="90" t="s">
        <v>38</v>
      </c>
      <c r="B1016" s="90" t="s">
        <v>40</v>
      </c>
      <c r="C1016" s="90" t="s">
        <v>39</v>
      </c>
      <c r="D1016" s="90" t="s">
        <v>4541</v>
      </c>
      <c r="E1016" s="90" t="s">
        <v>4538</v>
      </c>
      <c r="F1016" s="91">
        <v>758</v>
      </c>
      <c r="G1016" s="92">
        <v>70015335</v>
      </c>
      <c r="H1016" s="91" t="s">
        <v>4370</v>
      </c>
      <c r="I1016" s="93" t="s">
        <v>87</v>
      </c>
      <c r="J1016" s="94" t="s">
        <v>4373</v>
      </c>
      <c r="K1016" s="94" t="s">
        <v>4353</v>
      </c>
      <c r="L1016" s="94" t="s">
        <v>4382</v>
      </c>
      <c r="M1016" s="95">
        <v>145900</v>
      </c>
      <c r="N1016" s="95">
        <v>2500</v>
      </c>
      <c r="O1016" s="95">
        <v>4000</v>
      </c>
      <c r="P1016" s="96">
        <v>229990</v>
      </c>
      <c r="Q1016" s="152"/>
      <c r="R1016" s="95">
        <v>145900</v>
      </c>
      <c r="S1016" s="95">
        <f>R1016/24</f>
        <v>6079.166666666667</v>
      </c>
      <c r="T1016" s="95">
        <v>145900</v>
      </c>
      <c r="U1016" s="95">
        <f>T1016/24</f>
        <v>6079.166666666667</v>
      </c>
      <c r="V1016" s="95">
        <v>145900</v>
      </c>
      <c r="W1016" s="95">
        <f>V1016/24</f>
        <v>6079.166666666667</v>
      </c>
      <c r="X1016" s="128"/>
      <c r="Y1016" s="95">
        <v>0</v>
      </c>
      <c r="Z1016" s="95">
        <v>10000</v>
      </c>
      <c r="AA1016" s="95">
        <f>IFERROR(IF(D1016="Premium",0.4*Y1016,0),"No Disp")</f>
        <v>0</v>
      </c>
      <c r="AB1016" s="95">
        <f>IFERROR(IF(4*Y1016&gt;AC1016,1.5*Y1016,4*Y1016),"No Disp")</f>
        <v>0</v>
      </c>
      <c r="AC1016" s="95">
        <f>IF(Z1016="No Disp","No Disp",(Z1016*18)+Y1016)</f>
        <v>180000</v>
      </c>
      <c r="AD1016" s="95">
        <f>IF($H1016="EMP",18*Z1016-100,18*Z1016-100+Y1016)</f>
        <v>179900</v>
      </c>
      <c r="AE1016" s="95">
        <v>0</v>
      </c>
      <c r="AF1016" s="95">
        <v>10000</v>
      </c>
      <c r="AG1016" s="95">
        <f>IF(AF1016="No Disp","No Disp",(AF1016*18)+AE1016)</f>
        <v>180000</v>
      </c>
      <c r="AH1016" s="98">
        <f>IF($H1016="EMP",18*AF1016-100,18*AF1016-100+AE1016)</f>
        <v>179900</v>
      </c>
      <c r="AI1016" s="95">
        <v>10000</v>
      </c>
      <c r="AJ1016" s="99"/>
      <c r="AK1016" s="100" t="s">
        <v>43</v>
      </c>
      <c r="AL1016" s="100" t="s">
        <v>43</v>
      </c>
      <c r="AM1016" s="100" t="str">
        <f>IF(AL1016&lt;&gt;"No Disp",AK1016+12*AL1016,"No Disp")</f>
        <v>No Disp</v>
      </c>
      <c r="AN1016" s="100" t="s">
        <v>43</v>
      </c>
      <c r="AO1016" s="100" t="s">
        <v>43</v>
      </c>
      <c r="AP1016" s="100" t="str">
        <f>IF(AO1016&lt;&gt;"No Disp",AN1016+12*AO1016,"No Disp")</f>
        <v>No Disp</v>
      </c>
      <c r="AQ1016" s="100" t="s">
        <v>43</v>
      </c>
      <c r="AR1016" s="100" t="s">
        <v>43</v>
      </c>
      <c r="AS1016" s="100" t="str">
        <f>IF(AR1016&lt;&gt;"No Disp",AQ1016+12*AR1016,"No Disp")</f>
        <v>No Disp</v>
      </c>
    </row>
    <row r="1017" spans="1:45" s="101" customFormat="1" x14ac:dyDescent="0.25">
      <c r="A1017" s="90" t="s">
        <v>38</v>
      </c>
      <c r="B1017" s="90" t="s">
        <v>40</v>
      </c>
      <c r="C1017" s="90" t="s">
        <v>39</v>
      </c>
      <c r="D1017" s="90" t="s">
        <v>4541</v>
      </c>
      <c r="E1017" s="90" t="s">
        <v>4538</v>
      </c>
      <c r="F1017" s="91">
        <v>752</v>
      </c>
      <c r="G1017" s="92">
        <v>70015347</v>
      </c>
      <c r="H1017" s="91" t="s">
        <v>4370</v>
      </c>
      <c r="I1017" s="93" t="s">
        <v>87</v>
      </c>
      <c r="J1017" s="94" t="s">
        <v>4373</v>
      </c>
      <c r="K1017" s="94" t="s">
        <v>4359</v>
      </c>
      <c r="L1017" s="94" t="s">
        <v>4388</v>
      </c>
      <c r="M1017" s="95">
        <v>145900</v>
      </c>
      <c r="N1017" s="95">
        <v>2500</v>
      </c>
      <c r="O1017" s="95">
        <v>4000</v>
      </c>
      <c r="P1017" s="96">
        <v>229990</v>
      </c>
      <c r="Q1017" s="152"/>
      <c r="R1017" s="95">
        <v>145900</v>
      </c>
      <c r="S1017" s="95">
        <f>R1017/24</f>
        <v>6079.166666666667</v>
      </c>
      <c r="T1017" s="95">
        <v>145900</v>
      </c>
      <c r="U1017" s="95">
        <f>T1017/24</f>
        <v>6079.166666666667</v>
      </c>
      <c r="V1017" s="95">
        <v>145900</v>
      </c>
      <c r="W1017" s="95">
        <f>V1017/24</f>
        <v>6079.166666666667</v>
      </c>
      <c r="X1017" s="128"/>
      <c r="Y1017" s="95">
        <v>0</v>
      </c>
      <c r="Z1017" s="95">
        <v>10000</v>
      </c>
      <c r="AA1017" s="95">
        <f>IFERROR(IF(D1017="Premium",0.4*Y1017,0),"No Disp")</f>
        <v>0</v>
      </c>
      <c r="AB1017" s="95">
        <f>IFERROR(IF(4*Y1017&gt;AC1017,1.5*Y1017,4*Y1017),"No Disp")</f>
        <v>0</v>
      </c>
      <c r="AC1017" s="95">
        <f>IF(Z1017="No Disp","No Disp",(Z1017*18)+Y1017)</f>
        <v>180000</v>
      </c>
      <c r="AD1017" s="95">
        <f>IF($H1017="EMP",18*Z1017-100,18*Z1017-100+Y1017)</f>
        <v>179900</v>
      </c>
      <c r="AE1017" s="95">
        <v>0</v>
      </c>
      <c r="AF1017" s="95">
        <v>10000</v>
      </c>
      <c r="AG1017" s="95">
        <f>IF(AF1017="No Disp","No Disp",(AF1017*18)+AE1017)</f>
        <v>180000</v>
      </c>
      <c r="AH1017" s="98">
        <f>IF($H1017="EMP",18*AF1017-100,18*AF1017-100+AE1017)</f>
        <v>179900</v>
      </c>
      <c r="AI1017" s="95">
        <v>10000</v>
      </c>
      <c r="AJ1017" s="99"/>
      <c r="AK1017" s="100" t="s">
        <v>43</v>
      </c>
      <c r="AL1017" s="100" t="s">
        <v>43</v>
      </c>
      <c r="AM1017" s="100" t="str">
        <f>IF(AL1017&lt;&gt;"No Disp",AK1017+12*AL1017,"No Disp")</f>
        <v>No Disp</v>
      </c>
      <c r="AN1017" s="100" t="s">
        <v>43</v>
      </c>
      <c r="AO1017" s="100" t="s">
        <v>43</v>
      </c>
      <c r="AP1017" s="100" t="str">
        <f>IF(AO1017&lt;&gt;"No Disp",AN1017+12*AO1017,"No Disp")</f>
        <v>No Disp</v>
      </c>
      <c r="AQ1017" s="100" t="s">
        <v>43</v>
      </c>
      <c r="AR1017" s="100" t="s">
        <v>43</v>
      </c>
      <c r="AS1017" s="100" t="str">
        <f>IF(AR1017&lt;&gt;"No Disp",AQ1017+12*AR1017,"No Disp")</f>
        <v>No Disp</v>
      </c>
    </row>
    <row r="1018" spans="1:45" s="101" customFormat="1" x14ac:dyDescent="0.25">
      <c r="A1018" s="90" t="s">
        <v>38</v>
      </c>
      <c r="B1018" s="90" t="s">
        <v>40</v>
      </c>
      <c r="C1018" s="90" t="s">
        <v>39</v>
      </c>
      <c r="D1018" s="90" t="s">
        <v>4541</v>
      </c>
      <c r="E1018" s="90" t="s">
        <v>4538</v>
      </c>
      <c r="F1018" s="91">
        <v>751</v>
      </c>
      <c r="G1018" s="92">
        <v>70015349</v>
      </c>
      <c r="H1018" s="91" t="s">
        <v>4370</v>
      </c>
      <c r="I1018" s="93" t="s">
        <v>87</v>
      </c>
      <c r="J1018" s="94" t="s">
        <v>4373</v>
      </c>
      <c r="K1018" s="94" t="s">
        <v>4360</v>
      </c>
      <c r="L1018" s="94" t="s">
        <v>4389</v>
      </c>
      <c r="M1018" s="95">
        <v>145900</v>
      </c>
      <c r="N1018" s="95">
        <v>2500</v>
      </c>
      <c r="O1018" s="95">
        <v>4000</v>
      </c>
      <c r="P1018" s="96">
        <v>229990</v>
      </c>
      <c r="Q1018" s="152"/>
      <c r="R1018" s="95">
        <v>145900</v>
      </c>
      <c r="S1018" s="95">
        <f>R1018/24</f>
        <v>6079.166666666667</v>
      </c>
      <c r="T1018" s="95">
        <v>145900</v>
      </c>
      <c r="U1018" s="95">
        <f>T1018/24</f>
        <v>6079.166666666667</v>
      </c>
      <c r="V1018" s="95">
        <v>145900</v>
      </c>
      <c r="W1018" s="95">
        <f>V1018/24</f>
        <v>6079.166666666667</v>
      </c>
      <c r="X1018" s="128"/>
      <c r="Y1018" s="95">
        <v>0</v>
      </c>
      <c r="Z1018" s="95">
        <v>10000</v>
      </c>
      <c r="AA1018" s="95">
        <f>IFERROR(IF(D1018="Premium",0.4*Y1018,0),"No Disp")</f>
        <v>0</v>
      </c>
      <c r="AB1018" s="95">
        <f>IFERROR(IF(4*Y1018&gt;AC1018,1.5*Y1018,4*Y1018),"No Disp")</f>
        <v>0</v>
      </c>
      <c r="AC1018" s="95">
        <f>IF(Z1018="No Disp","No Disp",(Z1018*18)+Y1018)</f>
        <v>180000</v>
      </c>
      <c r="AD1018" s="95">
        <f>IF($H1018="EMP",18*Z1018-100,18*Z1018-100+Y1018)</f>
        <v>179900</v>
      </c>
      <c r="AE1018" s="95">
        <v>0</v>
      </c>
      <c r="AF1018" s="95">
        <v>10000</v>
      </c>
      <c r="AG1018" s="95">
        <f>IF(AF1018="No Disp","No Disp",(AF1018*18)+AE1018)</f>
        <v>180000</v>
      </c>
      <c r="AH1018" s="98">
        <f>IF($H1018="EMP",18*AF1018-100,18*AF1018-100+AE1018)</f>
        <v>179900</v>
      </c>
      <c r="AI1018" s="95">
        <v>10000</v>
      </c>
      <c r="AJ1018" s="99"/>
      <c r="AK1018" s="100" t="s">
        <v>43</v>
      </c>
      <c r="AL1018" s="100" t="s">
        <v>43</v>
      </c>
      <c r="AM1018" s="100" t="str">
        <f>IF(AL1018&lt;&gt;"No Disp",AK1018+12*AL1018,"No Disp")</f>
        <v>No Disp</v>
      </c>
      <c r="AN1018" s="100" t="s">
        <v>43</v>
      </c>
      <c r="AO1018" s="100" t="s">
        <v>43</v>
      </c>
      <c r="AP1018" s="100" t="str">
        <f>IF(AO1018&lt;&gt;"No Disp",AN1018+12*AO1018,"No Disp")</f>
        <v>No Disp</v>
      </c>
      <c r="AQ1018" s="100" t="s">
        <v>43</v>
      </c>
      <c r="AR1018" s="100" t="s">
        <v>43</v>
      </c>
      <c r="AS1018" s="100" t="str">
        <f>IF(AR1018&lt;&gt;"No Disp",AQ1018+12*AR1018,"No Disp")</f>
        <v>No Disp</v>
      </c>
    </row>
    <row r="1019" spans="1:45" s="101" customFormat="1" x14ac:dyDescent="0.25">
      <c r="A1019" s="90" t="s">
        <v>102</v>
      </c>
      <c r="B1019" s="90" t="s">
        <v>39</v>
      </c>
      <c r="C1019" s="90" t="s">
        <v>40</v>
      </c>
      <c r="D1019" s="90" t="s">
        <v>4541</v>
      </c>
      <c r="E1019" s="90" t="s">
        <v>4538</v>
      </c>
      <c r="F1019" s="91">
        <v>769</v>
      </c>
      <c r="G1019" s="92">
        <v>70015224</v>
      </c>
      <c r="H1019" s="91" t="s">
        <v>4370</v>
      </c>
      <c r="I1019" s="93" t="s">
        <v>131</v>
      </c>
      <c r="J1019" s="94" t="s">
        <v>4449</v>
      </c>
      <c r="K1019" s="94" t="s">
        <v>4451</v>
      </c>
      <c r="L1019" s="94" t="s">
        <v>4457</v>
      </c>
      <c r="M1019" s="95">
        <v>92900</v>
      </c>
      <c r="N1019" s="95">
        <v>2500</v>
      </c>
      <c r="O1019" s="95">
        <v>4000</v>
      </c>
      <c r="P1019" s="96">
        <v>109990</v>
      </c>
      <c r="Q1019" s="152"/>
      <c r="R1019" s="95">
        <v>92900</v>
      </c>
      <c r="S1019" s="95">
        <f>R1019/24</f>
        <v>3870.8333333333335</v>
      </c>
      <c r="T1019" s="95">
        <v>92900</v>
      </c>
      <c r="U1019" s="95">
        <f>T1019/24</f>
        <v>3870.8333333333335</v>
      </c>
      <c r="V1019" s="95">
        <v>92900</v>
      </c>
      <c r="W1019" s="95">
        <f>V1019/24</f>
        <v>3870.8333333333335</v>
      </c>
      <c r="X1019" s="128"/>
      <c r="Y1019" s="95">
        <v>0</v>
      </c>
      <c r="Z1019" s="95">
        <v>6000</v>
      </c>
      <c r="AA1019" s="95">
        <f>IFERROR(IF(D1019="Premium",0.4*Y1019,0),"No Disp")</f>
        <v>0</v>
      </c>
      <c r="AB1019" s="95">
        <f>IFERROR(IF(4*Y1019&gt;AC1019,1.5*Y1019,4*Y1019),"No Disp")</f>
        <v>0</v>
      </c>
      <c r="AC1019" s="95">
        <f>IF(Z1019="No Disp","No Disp",(Z1019*18)+Y1019)</f>
        <v>108000</v>
      </c>
      <c r="AD1019" s="95">
        <f>IF($H1019="EMP",18*Z1019-100,18*Z1019-100+Y1019)</f>
        <v>107900</v>
      </c>
      <c r="AE1019" s="95">
        <v>0</v>
      </c>
      <c r="AF1019" s="95">
        <v>6000</v>
      </c>
      <c r="AG1019" s="95">
        <f>IF(AF1019="No Disp","No Disp",(AF1019*18)+AE1019)</f>
        <v>108000</v>
      </c>
      <c r="AH1019" s="98">
        <f>IF($H1019="EMP",18*AF1019-100,18*AF1019-100+AE1019)</f>
        <v>107900</v>
      </c>
      <c r="AI1019" s="95">
        <v>6000</v>
      </c>
      <c r="AJ1019" s="99"/>
      <c r="AK1019" s="100" t="s">
        <v>43</v>
      </c>
      <c r="AL1019" s="100" t="s">
        <v>43</v>
      </c>
      <c r="AM1019" s="100" t="str">
        <f>IF(AL1019&lt;&gt;"No Disp",AK1019+12*AL1019,"No Disp")</f>
        <v>No Disp</v>
      </c>
      <c r="AN1019" s="100" t="s">
        <v>43</v>
      </c>
      <c r="AO1019" s="100" t="s">
        <v>43</v>
      </c>
      <c r="AP1019" s="100" t="str">
        <f>IF(AO1019&lt;&gt;"No Disp",AN1019+12*AO1019,"No Disp")</f>
        <v>No Disp</v>
      </c>
      <c r="AQ1019" s="100" t="s">
        <v>43</v>
      </c>
      <c r="AR1019" s="100" t="s">
        <v>43</v>
      </c>
      <c r="AS1019" s="100" t="str">
        <f>IF(AR1019&lt;&gt;"No Disp",AQ1019+12*AR1019,"No Disp")</f>
        <v>No Disp</v>
      </c>
    </row>
    <row r="1020" spans="1:45" s="101" customFormat="1" x14ac:dyDescent="0.25">
      <c r="A1020" s="90" t="s">
        <v>102</v>
      </c>
      <c r="B1020" s="90" t="s">
        <v>39</v>
      </c>
      <c r="C1020" s="90" t="s">
        <v>40</v>
      </c>
      <c r="D1020" s="90" t="s">
        <v>4541</v>
      </c>
      <c r="E1020" s="90" t="s">
        <v>4538</v>
      </c>
      <c r="F1020" s="91">
        <v>766</v>
      </c>
      <c r="G1020" s="92">
        <v>70015243</v>
      </c>
      <c r="H1020" s="91" t="s">
        <v>4370</v>
      </c>
      <c r="I1020" s="93" t="s">
        <v>131</v>
      </c>
      <c r="J1020" s="94" t="s">
        <v>4449</v>
      </c>
      <c r="K1020" s="94" t="s">
        <v>4454</v>
      </c>
      <c r="L1020" s="94" t="s">
        <v>4460</v>
      </c>
      <c r="M1020" s="95">
        <v>92900</v>
      </c>
      <c r="N1020" s="95">
        <v>2500</v>
      </c>
      <c r="O1020" s="95">
        <v>4000</v>
      </c>
      <c r="P1020" s="96">
        <v>109990</v>
      </c>
      <c r="Q1020" s="152"/>
      <c r="R1020" s="95">
        <v>92900</v>
      </c>
      <c r="S1020" s="95">
        <f>R1020/24</f>
        <v>3870.8333333333335</v>
      </c>
      <c r="T1020" s="95">
        <v>92900</v>
      </c>
      <c r="U1020" s="95">
        <f>T1020/24</f>
        <v>3870.8333333333335</v>
      </c>
      <c r="V1020" s="95">
        <v>92900</v>
      </c>
      <c r="W1020" s="95">
        <f>V1020/24</f>
        <v>3870.8333333333335</v>
      </c>
      <c r="X1020" s="128"/>
      <c r="Y1020" s="95">
        <v>0</v>
      </c>
      <c r="Z1020" s="95">
        <v>6000</v>
      </c>
      <c r="AA1020" s="95">
        <f>IFERROR(IF(D1020="Premium",0.4*Y1020,0),"No Disp")</f>
        <v>0</v>
      </c>
      <c r="AB1020" s="95">
        <f>IFERROR(IF(4*Y1020&gt;AC1020,1.5*Y1020,4*Y1020),"No Disp")</f>
        <v>0</v>
      </c>
      <c r="AC1020" s="95">
        <f>IF(Z1020="No Disp","No Disp",(Z1020*18)+Y1020)</f>
        <v>108000</v>
      </c>
      <c r="AD1020" s="95">
        <f>IF($H1020="EMP",18*Z1020-100,18*Z1020-100+Y1020)</f>
        <v>107900</v>
      </c>
      <c r="AE1020" s="95">
        <v>0</v>
      </c>
      <c r="AF1020" s="95">
        <v>6000</v>
      </c>
      <c r="AG1020" s="95">
        <f>IF(AF1020="No Disp","No Disp",(AF1020*18)+AE1020)</f>
        <v>108000</v>
      </c>
      <c r="AH1020" s="98">
        <f>IF($H1020="EMP",18*AF1020-100,18*AF1020-100+AE1020)</f>
        <v>107900</v>
      </c>
      <c r="AI1020" s="95">
        <v>6000</v>
      </c>
      <c r="AJ1020" s="99"/>
      <c r="AK1020" s="100" t="s">
        <v>43</v>
      </c>
      <c r="AL1020" s="100" t="s">
        <v>43</v>
      </c>
      <c r="AM1020" s="100" t="str">
        <f>IF(AL1020&lt;&gt;"No Disp",AK1020+12*AL1020,"No Disp")</f>
        <v>No Disp</v>
      </c>
      <c r="AN1020" s="100" t="s">
        <v>43</v>
      </c>
      <c r="AO1020" s="100" t="s">
        <v>43</v>
      </c>
      <c r="AP1020" s="100" t="str">
        <f>IF(AO1020&lt;&gt;"No Disp",AN1020+12*AO1020,"No Disp")</f>
        <v>No Disp</v>
      </c>
      <c r="AQ1020" s="100" t="s">
        <v>43</v>
      </c>
      <c r="AR1020" s="100" t="s">
        <v>43</v>
      </c>
      <c r="AS1020" s="100" t="str">
        <f>IF(AR1020&lt;&gt;"No Disp",AQ1020+12*AR1020,"No Disp")</f>
        <v>No Disp</v>
      </c>
    </row>
    <row r="1021" spans="1:45" s="101" customFormat="1" x14ac:dyDescent="0.25">
      <c r="A1021" s="90" t="s">
        <v>102</v>
      </c>
      <c r="B1021" s="90" t="s">
        <v>39</v>
      </c>
      <c r="C1021" s="90" t="s">
        <v>40</v>
      </c>
      <c r="D1021" s="90" t="s">
        <v>4541</v>
      </c>
      <c r="E1021" s="90" t="s">
        <v>4538</v>
      </c>
      <c r="F1021" s="91">
        <v>765</v>
      </c>
      <c r="G1021" s="92">
        <v>70015248</v>
      </c>
      <c r="H1021" s="91" t="s">
        <v>4370</v>
      </c>
      <c r="I1021" s="93" t="s">
        <v>131</v>
      </c>
      <c r="J1021" s="94" t="s">
        <v>4449</v>
      </c>
      <c r="K1021" s="94" t="s">
        <v>4455</v>
      </c>
      <c r="L1021" s="94" t="s">
        <v>4461</v>
      </c>
      <c r="M1021" s="95">
        <v>92900</v>
      </c>
      <c r="N1021" s="95">
        <v>2500</v>
      </c>
      <c r="O1021" s="95">
        <v>4000</v>
      </c>
      <c r="P1021" s="96">
        <v>109990</v>
      </c>
      <c r="Q1021" s="152"/>
      <c r="R1021" s="95">
        <v>92900</v>
      </c>
      <c r="S1021" s="95">
        <f>R1021/24</f>
        <v>3870.8333333333335</v>
      </c>
      <c r="T1021" s="95">
        <v>92900</v>
      </c>
      <c r="U1021" s="95">
        <f>T1021/24</f>
        <v>3870.8333333333335</v>
      </c>
      <c r="V1021" s="95">
        <v>92900</v>
      </c>
      <c r="W1021" s="95">
        <f>V1021/24</f>
        <v>3870.8333333333335</v>
      </c>
      <c r="X1021" s="128"/>
      <c r="Y1021" s="95">
        <v>0</v>
      </c>
      <c r="Z1021" s="95">
        <v>6000</v>
      </c>
      <c r="AA1021" s="95">
        <f>IFERROR(IF(D1021="Premium",0.4*Y1021,0),"No Disp")</f>
        <v>0</v>
      </c>
      <c r="AB1021" s="95">
        <f>IFERROR(IF(4*Y1021&gt;AC1021,1.5*Y1021,4*Y1021),"No Disp")</f>
        <v>0</v>
      </c>
      <c r="AC1021" s="95">
        <f>IF(Z1021="No Disp","No Disp",(Z1021*18)+Y1021)</f>
        <v>108000</v>
      </c>
      <c r="AD1021" s="95">
        <f>IF($H1021="EMP",18*Z1021-100,18*Z1021-100+Y1021)</f>
        <v>107900</v>
      </c>
      <c r="AE1021" s="95">
        <v>0</v>
      </c>
      <c r="AF1021" s="95">
        <v>6000</v>
      </c>
      <c r="AG1021" s="95">
        <f>IF(AF1021="No Disp","No Disp",(AF1021*18)+AE1021)</f>
        <v>108000</v>
      </c>
      <c r="AH1021" s="98">
        <f>IF($H1021="EMP",18*AF1021-100,18*AF1021-100+AE1021)</f>
        <v>107900</v>
      </c>
      <c r="AI1021" s="95">
        <v>6000</v>
      </c>
      <c r="AJ1021" s="99"/>
      <c r="AK1021" s="100" t="s">
        <v>43</v>
      </c>
      <c r="AL1021" s="100" t="s">
        <v>43</v>
      </c>
      <c r="AM1021" s="100" t="str">
        <f>IF(AL1021&lt;&gt;"No Disp",AK1021+12*AL1021,"No Disp")</f>
        <v>No Disp</v>
      </c>
      <c r="AN1021" s="100" t="s">
        <v>43</v>
      </c>
      <c r="AO1021" s="100" t="s">
        <v>43</v>
      </c>
      <c r="AP1021" s="100" t="str">
        <f>IF(AO1021&lt;&gt;"No Disp",AN1021+12*AO1021,"No Disp")</f>
        <v>No Disp</v>
      </c>
      <c r="AQ1021" s="100" t="s">
        <v>43</v>
      </c>
      <c r="AR1021" s="100" t="s">
        <v>43</v>
      </c>
      <c r="AS1021" s="100" t="str">
        <f>IF(AR1021&lt;&gt;"No Disp",AQ1021+12*AR1021,"No Disp")</f>
        <v>No Disp</v>
      </c>
    </row>
    <row r="1022" spans="1:45" s="101" customFormat="1" x14ac:dyDescent="0.25">
      <c r="A1022" s="90" t="s">
        <v>38</v>
      </c>
      <c r="B1022" s="90" t="s">
        <v>40</v>
      </c>
      <c r="C1022" s="90" t="s">
        <v>39</v>
      </c>
      <c r="D1022" s="90" t="s">
        <v>4541</v>
      </c>
      <c r="E1022" s="90" t="s">
        <v>4538</v>
      </c>
      <c r="F1022" s="91">
        <v>761</v>
      </c>
      <c r="G1022" s="92">
        <v>70015325</v>
      </c>
      <c r="H1022" s="91" t="s">
        <v>4370</v>
      </c>
      <c r="I1022" s="93" t="s">
        <v>87</v>
      </c>
      <c r="J1022" s="94" t="s">
        <v>4372</v>
      </c>
      <c r="K1022" s="94" t="s">
        <v>4350</v>
      </c>
      <c r="L1022" s="94" t="s">
        <v>4379</v>
      </c>
      <c r="M1022" s="95">
        <v>126900</v>
      </c>
      <c r="N1022" s="95">
        <v>2500</v>
      </c>
      <c r="O1022" s="95">
        <v>4000</v>
      </c>
      <c r="P1022" s="96">
        <v>229990</v>
      </c>
      <c r="Q1022" s="152"/>
      <c r="R1022" s="95">
        <v>126900</v>
      </c>
      <c r="S1022" s="95">
        <f>R1022/24</f>
        <v>5287.5</v>
      </c>
      <c r="T1022" s="95">
        <v>126900</v>
      </c>
      <c r="U1022" s="95">
        <f>T1022/24</f>
        <v>5287.5</v>
      </c>
      <c r="V1022" s="95">
        <v>126900</v>
      </c>
      <c r="W1022" s="95">
        <f>V1022/24</f>
        <v>5287.5</v>
      </c>
      <c r="X1022" s="128"/>
      <c r="Y1022" s="95">
        <v>0</v>
      </c>
      <c r="Z1022" s="95">
        <v>9000</v>
      </c>
      <c r="AA1022" s="95">
        <f>IFERROR(IF(D1022="Premium",0.4*Y1022,0),"No Disp")</f>
        <v>0</v>
      </c>
      <c r="AB1022" s="95">
        <f>IFERROR(IF(4*Y1022&gt;AC1022,1.5*Y1022,4*Y1022),"No Disp")</f>
        <v>0</v>
      </c>
      <c r="AC1022" s="95">
        <f>IF(Z1022="No Disp","No Disp",(Z1022*18)+Y1022)</f>
        <v>162000</v>
      </c>
      <c r="AD1022" s="95">
        <f>IF($H1022="EMP",18*Z1022-100,18*Z1022-100+Y1022)</f>
        <v>161900</v>
      </c>
      <c r="AE1022" s="95">
        <v>0</v>
      </c>
      <c r="AF1022" s="95">
        <v>9000</v>
      </c>
      <c r="AG1022" s="95">
        <f>IF(AF1022="No Disp","No Disp",(AF1022*18)+AE1022)</f>
        <v>162000</v>
      </c>
      <c r="AH1022" s="98">
        <f>IF($H1022="EMP",18*AF1022-100,18*AF1022-100+AE1022)</f>
        <v>161900</v>
      </c>
      <c r="AI1022" s="95">
        <v>9000</v>
      </c>
      <c r="AJ1022" s="99"/>
      <c r="AK1022" s="100" t="s">
        <v>43</v>
      </c>
      <c r="AL1022" s="100" t="s">
        <v>43</v>
      </c>
      <c r="AM1022" s="100" t="str">
        <f>IF(AL1022&lt;&gt;"No Disp",AK1022+12*AL1022,"No Disp")</f>
        <v>No Disp</v>
      </c>
      <c r="AN1022" s="100" t="s">
        <v>43</v>
      </c>
      <c r="AO1022" s="100" t="s">
        <v>43</v>
      </c>
      <c r="AP1022" s="100" t="str">
        <f>IF(AO1022&lt;&gt;"No Disp",AN1022+12*AO1022,"No Disp")</f>
        <v>No Disp</v>
      </c>
      <c r="AQ1022" s="100" t="s">
        <v>43</v>
      </c>
      <c r="AR1022" s="100" t="s">
        <v>43</v>
      </c>
      <c r="AS1022" s="100" t="str">
        <f>IF(AR1022&lt;&gt;"No Disp",AQ1022+12*AR1022,"No Disp")</f>
        <v>No Disp</v>
      </c>
    </row>
    <row r="1023" spans="1:45" s="101" customFormat="1" x14ac:dyDescent="0.25">
      <c r="A1023" s="90" t="s">
        <v>38</v>
      </c>
      <c r="B1023" s="90" t="s">
        <v>40</v>
      </c>
      <c r="C1023" s="90" t="s">
        <v>39</v>
      </c>
      <c r="D1023" s="90" t="s">
        <v>4541</v>
      </c>
      <c r="E1023" s="90" t="s">
        <v>4538</v>
      </c>
      <c r="F1023" s="91">
        <v>756</v>
      </c>
      <c r="G1023" s="92">
        <v>70015339</v>
      </c>
      <c r="H1023" s="91" t="s">
        <v>4370</v>
      </c>
      <c r="I1023" s="93" t="s">
        <v>87</v>
      </c>
      <c r="J1023" s="94" t="s">
        <v>4372</v>
      </c>
      <c r="K1023" s="94" t="s">
        <v>4355</v>
      </c>
      <c r="L1023" s="94" t="s">
        <v>4384</v>
      </c>
      <c r="M1023" s="95">
        <v>126900</v>
      </c>
      <c r="N1023" s="95">
        <v>2500</v>
      </c>
      <c r="O1023" s="95">
        <v>4000</v>
      </c>
      <c r="P1023" s="96">
        <v>229990</v>
      </c>
      <c r="Q1023" s="152"/>
      <c r="R1023" s="95">
        <v>126900</v>
      </c>
      <c r="S1023" s="95">
        <f>R1023/24</f>
        <v>5287.5</v>
      </c>
      <c r="T1023" s="95">
        <v>126900</v>
      </c>
      <c r="U1023" s="95">
        <f>T1023/24</f>
        <v>5287.5</v>
      </c>
      <c r="V1023" s="95">
        <v>126900</v>
      </c>
      <c r="W1023" s="95">
        <f>V1023/24</f>
        <v>5287.5</v>
      </c>
      <c r="X1023" s="128"/>
      <c r="Y1023" s="95">
        <v>0</v>
      </c>
      <c r="Z1023" s="95">
        <v>9000</v>
      </c>
      <c r="AA1023" s="95">
        <f>IFERROR(IF(D1023="Premium",0.4*Y1023,0),"No Disp")</f>
        <v>0</v>
      </c>
      <c r="AB1023" s="95">
        <f>IFERROR(IF(4*Y1023&gt;AC1023,1.5*Y1023,4*Y1023),"No Disp")</f>
        <v>0</v>
      </c>
      <c r="AC1023" s="95">
        <f>IF(Z1023="No Disp","No Disp",(Z1023*18)+Y1023)</f>
        <v>162000</v>
      </c>
      <c r="AD1023" s="95">
        <f>IF($H1023="EMP",18*Z1023-100,18*Z1023-100+Y1023)</f>
        <v>161900</v>
      </c>
      <c r="AE1023" s="95">
        <v>0</v>
      </c>
      <c r="AF1023" s="95">
        <v>9000</v>
      </c>
      <c r="AG1023" s="95">
        <f>IF(AF1023="No Disp","No Disp",(AF1023*18)+AE1023)</f>
        <v>162000</v>
      </c>
      <c r="AH1023" s="98">
        <f>IF($H1023="EMP",18*AF1023-100,18*AF1023-100+AE1023)</f>
        <v>161900</v>
      </c>
      <c r="AI1023" s="95">
        <v>9000</v>
      </c>
      <c r="AJ1023" s="99"/>
      <c r="AK1023" s="100" t="s">
        <v>43</v>
      </c>
      <c r="AL1023" s="100" t="s">
        <v>43</v>
      </c>
      <c r="AM1023" s="100" t="str">
        <f>IF(AL1023&lt;&gt;"No Disp",AK1023+12*AL1023,"No Disp")</f>
        <v>No Disp</v>
      </c>
      <c r="AN1023" s="100" t="s">
        <v>43</v>
      </c>
      <c r="AO1023" s="100" t="s">
        <v>43</v>
      </c>
      <c r="AP1023" s="100" t="str">
        <f>IF(AO1023&lt;&gt;"No Disp",AN1023+12*AO1023,"No Disp")</f>
        <v>No Disp</v>
      </c>
      <c r="AQ1023" s="100" t="s">
        <v>43</v>
      </c>
      <c r="AR1023" s="100" t="s">
        <v>43</v>
      </c>
      <c r="AS1023" s="100" t="str">
        <f>IF(AR1023&lt;&gt;"No Disp",AQ1023+12*AR1023,"No Disp")</f>
        <v>No Disp</v>
      </c>
    </row>
    <row r="1024" spans="1:45" s="101" customFormat="1" x14ac:dyDescent="0.25">
      <c r="A1024" s="90" t="s">
        <v>38</v>
      </c>
      <c r="B1024" s="90" t="s">
        <v>40</v>
      </c>
      <c r="C1024" s="90" t="s">
        <v>39</v>
      </c>
      <c r="D1024" s="90" t="s">
        <v>4541</v>
      </c>
      <c r="E1024" s="90" t="s">
        <v>4538</v>
      </c>
      <c r="F1024" s="91">
        <v>754</v>
      </c>
      <c r="G1024" s="92">
        <v>70015343</v>
      </c>
      <c r="H1024" s="91" t="s">
        <v>4370</v>
      </c>
      <c r="I1024" s="93" t="s">
        <v>87</v>
      </c>
      <c r="J1024" s="94" t="s">
        <v>4372</v>
      </c>
      <c r="K1024" s="94" t="s">
        <v>4357</v>
      </c>
      <c r="L1024" s="94" t="s">
        <v>4386</v>
      </c>
      <c r="M1024" s="95">
        <v>126900</v>
      </c>
      <c r="N1024" s="95">
        <v>2500</v>
      </c>
      <c r="O1024" s="95">
        <v>4000</v>
      </c>
      <c r="P1024" s="96">
        <v>229990</v>
      </c>
      <c r="Q1024" s="152"/>
      <c r="R1024" s="95">
        <v>126900</v>
      </c>
      <c r="S1024" s="95">
        <f>R1024/24</f>
        <v>5287.5</v>
      </c>
      <c r="T1024" s="95">
        <v>126900</v>
      </c>
      <c r="U1024" s="95">
        <f>T1024/24</f>
        <v>5287.5</v>
      </c>
      <c r="V1024" s="95">
        <v>126900</v>
      </c>
      <c r="W1024" s="95">
        <f>V1024/24</f>
        <v>5287.5</v>
      </c>
      <c r="X1024" s="128"/>
      <c r="Y1024" s="95">
        <v>0</v>
      </c>
      <c r="Z1024" s="95">
        <v>9000</v>
      </c>
      <c r="AA1024" s="95">
        <f>IFERROR(IF(D1024="Premium",0.4*Y1024,0),"No Disp")</f>
        <v>0</v>
      </c>
      <c r="AB1024" s="95">
        <f>IFERROR(IF(4*Y1024&gt;AC1024,1.5*Y1024,4*Y1024),"No Disp")</f>
        <v>0</v>
      </c>
      <c r="AC1024" s="95">
        <f>IF(Z1024="No Disp","No Disp",(Z1024*18)+Y1024)</f>
        <v>162000</v>
      </c>
      <c r="AD1024" s="95">
        <f>IF($H1024="EMP",18*Z1024-100,18*Z1024-100+Y1024)</f>
        <v>161900</v>
      </c>
      <c r="AE1024" s="95">
        <v>0</v>
      </c>
      <c r="AF1024" s="95">
        <v>9000</v>
      </c>
      <c r="AG1024" s="95">
        <f>IF(AF1024="No Disp","No Disp",(AF1024*18)+AE1024)</f>
        <v>162000</v>
      </c>
      <c r="AH1024" s="98">
        <f>IF($H1024="EMP",18*AF1024-100,18*AF1024-100+AE1024)</f>
        <v>161900</v>
      </c>
      <c r="AI1024" s="95">
        <v>9000</v>
      </c>
      <c r="AJ1024" s="99"/>
      <c r="AK1024" s="100" t="s">
        <v>43</v>
      </c>
      <c r="AL1024" s="100" t="s">
        <v>43</v>
      </c>
      <c r="AM1024" s="100" t="str">
        <f>IF(AL1024&lt;&gt;"No Disp",AK1024+12*AL1024,"No Disp")</f>
        <v>No Disp</v>
      </c>
      <c r="AN1024" s="100" t="s">
        <v>43</v>
      </c>
      <c r="AO1024" s="100" t="s">
        <v>43</v>
      </c>
      <c r="AP1024" s="100" t="str">
        <f>IF(AO1024&lt;&gt;"No Disp",AN1024+12*AO1024,"No Disp")</f>
        <v>No Disp</v>
      </c>
      <c r="AQ1024" s="100" t="s">
        <v>43</v>
      </c>
      <c r="AR1024" s="100" t="s">
        <v>43</v>
      </c>
      <c r="AS1024" s="100" t="str">
        <f>IF(AR1024&lt;&gt;"No Disp",AQ1024+12*AR1024,"No Disp")</f>
        <v>No Disp</v>
      </c>
    </row>
    <row r="1025" spans="1:45" s="101" customFormat="1" x14ac:dyDescent="0.25">
      <c r="A1025" s="90" t="s">
        <v>38</v>
      </c>
      <c r="B1025" s="90" t="s">
        <v>40</v>
      </c>
      <c r="C1025" s="90" t="s">
        <v>39</v>
      </c>
      <c r="D1025" s="90" t="s">
        <v>4541</v>
      </c>
      <c r="E1025" s="90" t="s">
        <v>4538</v>
      </c>
      <c r="F1025" s="91"/>
      <c r="G1025" s="92">
        <v>70015239</v>
      </c>
      <c r="H1025" s="91" t="s">
        <v>4370</v>
      </c>
      <c r="I1025" s="93" t="s">
        <v>41</v>
      </c>
      <c r="J1025" s="102" t="s">
        <v>4257</v>
      </c>
      <c r="K1025" s="94" t="s">
        <v>4258</v>
      </c>
      <c r="L1025" s="102" t="s">
        <v>4259</v>
      </c>
      <c r="M1025" s="95">
        <v>97900</v>
      </c>
      <c r="N1025" s="95">
        <v>2500</v>
      </c>
      <c r="O1025" s="95">
        <v>4000</v>
      </c>
      <c r="P1025" s="96">
        <v>119990</v>
      </c>
      <c r="Q1025" s="152"/>
      <c r="R1025" s="95">
        <v>97900</v>
      </c>
      <c r="S1025" s="95">
        <v>3912.5</v>
      </c>
      <c r="T1025" s="95">
        <v>97900</v>
      </c>
      <c r="U1025" s="95">
        <v>3912.5</v>
      </c>
      <c r="V1025" s="95">
        <v>97900</v>
      </c>
      <c r="W1025" s="95">
        <v>3912.5</v>
      </c>
      <c r="X1025" s="128"/>
      <c r="Y1025" s="95">
        <v>0</v>
      </c>
      <c r="Z1025" s="95">
        <v>7000</v>
      </c>
      <c r="AA1025" s="95">
        <f>IFERROR(IF(D1025="Premium",0.4*Y1025,0),"No Disp")</f>
        <v>0</v>
      </c>
      <c r="AB1025" s="95">
        <f>IFERROR(IF(4*Y1025&gt;AC1025,1.5*Y1025,4*Y1025),"No Disp")</f>
        <v>0</v>
      </c>
      <c r="AC1025" s="95">
        <f>IF(Z1025="No Disp","No Disp",(Z1025*18)+Y1025)</f>
        <v>126000</v>
      </c>
      <c r="AD1025" s="95">
        <f>IF($H1025="EMP",18*Z1025-100,18*Z1025-100+Y1025)</f>
        <v>125900</v>
      </c>
      <c r="AE1025" s="95">
        <v>0</v>
      </c>
      <c r="AF1025" s="95">
        <v>7000</v>
      </c>
      <c r="AG1025" s="95">
        <f>IF(AF1025="No Disp","No Disp",(AF1025*18)+AE1025)</f>
        <v>126000</v>
      </c>
      <c r="AH1025" s="98">
        <f>IF($H1025="EMP",18*AF1025-100,18*AF1025-100+AE1025)</f>
        <v>125900</v>
      </c>
      <c r="AI1025" s="95">
        <v>7000</v>
      </c>
      <c r="AJ1025" s="99"/>
      <c r="AK1025" s="100" t="s">
        <v>43</v>
      </c>
      <c r="AL1025" s="100" t="s">
        <v>43</v>
      </c>
      <c r="AM1025" s="100" t="s">
        <v>43</v>
      </c>
      <c r="AN1025" s="100" t="s">
        <v>43</v>
      </c>
      <c r="AO1025" s="100" t="s">
        <v>43</v>
      </c>
      <c r="AP1025" s="100" t="s">
        <v>43</v>
      </c>
      <c r="AQ1025" s="100" t="s">
        <v>43</v>
      </c>
      <c r="AR1025" s="100" t="s">
        <v>43</v>
      </c>
      <c r="AS1025" s="100" t="s">
        <v>43</v>
      </c>
    </row>
    <row r="1026" spans="1:45" s="101" customFormat="1" x14ac:dyDescent="0.25">
      <c r="A1026" s="90" t="s">
        <v>38</v>
      </c>
      <c r="B1026" s="90" t="s">
        <v>40</v>
      </c>
      <c r="C1026" s="90" t="s">
        <v>39</v>
      </c>
      <c r="D1026" s="90" t="s">
        <v>4541</v>
      </c>
      <c r="E1026" s="90" t="s">
        <v>4538</v>
      </c>
      <c r="F1026" s="91"/>
      <c r="G1026" s="92">
        <v>70015268</v>
      </c>
      <c r="H1026" s="91" t="s">
        <v>4370</v>
      </c>
      <c r="I1026" s="93" t="s">
        <v>46</v>
      </c>
      <c r="J1026" s="94" t="s">
        <v>4174</v>
      </c>
      <c r="K1026" s="94" t="s">
        <v>4424</v>
      </c>
      <c r="L1026" s="94" t="s">
        <v>4177</v>
      </c>
      <c r="M1026" s="95">
        <v>100900</v>
      </c>
      <c r="N1026" s="95">
        <v>2500</v>
      </c>
      <c r="O1026" s="95">
        <v>4000</v>
      </c>
      <c r="P1026" s="96">
        <v>129990</v>
      </c>
      <c r="Q1026" s="152"/>
      <c r="R1026" s="95">
        <v>100900</v>
      </c>
      <c r="S1026" s="95">
        <v>4582.916666666667</v>
      </c>
      <c r="T1026" s="95">
        <v>100900</v>
      </c>
      <c r="U1026" s="95">
        <v>4162.5</v>
      </c>
      <c r="V1026" s="95">
        <v>100900</v>
      </c>
      <c r="W1026" s="95">
        <v>4162.5</v>
      </c>
      <c r="X1026" s="128"/>
      <c r="Y1026" s="95">
        <v>0</v>
      </c>
      <c r="Z1026" s="95">
        <v>7000</v>
      </c>
      <c r="AA1026" s="95">
        <f>IFERROR(IF(D1026="Premium",0.4*Y1026,0),"No Disp")</f>
        <v>0</v>
      </c>
      <c r="AB1026" s="95">
        <f>IFERROR(IF(4*Y1026&gt;AC1026,1.5*Y1026,4*Y1026),"No Disp")</f>
        <v>0</v>
      </c>
      <c r="AC1026" s="95">
        <f>IF(Z1026="No Disp","No Disp",(Z1026*18)+Y1026)</f>
        <v>126000</v>
      </c>
      <c r="AD1026" s="95">
        <f>IF($H1026="EMP",18*Z1026-100,18*Z1026-100+Y1026)</f>
        <v>125900</v>
      </c>
      <c r="AE1026" s="95">
        <v>0</v>
      </c>
      <c r="AF1026" s="95">
        <v>7000</v>
      </c>
      <c r="AG1026" s="95">
        <f>IF(AF1026="No Disp","No Disp",(AF1026*18)+AE1026)</f>
        <v>126000</v>
      </c>
      <c r="AH1026" s="98">
        <f>IF($H1026="EMP",18*AF1026-100,18*AF1026-100+AE1026)</f>
        <v>125900</v>
      </c>
      <c r="AI1026" s="95">
        <v>7000</v>
      </c>
      <c r="AJ1026" s="99"/>
      <c r="AK1026" s="100" t="s">
        <v>43</v>
      </c>
      <c r="AL1026" s="100" t="s">
        <v>43</v>
      </c>
      <c r="AM1026" s="100" t="s">
        <v>43</v>
      </c>
      <c r="AN1026" s="100" t="s">
        <v>43</v>
      </c>
      <c r="AO1026" s="100" t="s">
        <v>43</v>
      </c>
      <c r="AP1026" s="100" t="s">
        <v>43</v>
      </c>
      <c r="AQ1026" s="100" t="s">
        <v>43</v>
      </c>
      <c r="AR1026" s="100" t="s">
        <v>43</v>
      </c>
      <c r="AS1026" s="100" t="s">
        <v>43</v>
      </c>
    </row>
    <row r="1027" spans="1:45" s="101" customFormat="1" x14ac:dyDescent="0.25">
      <c r="A1027" s="90" t="s">
        <v>38</v>
      </c>
      <c r="B1027" s="90" t="s">
        <v>40</v>
      </c>
      <c r="C1027" s="90" t="s">
        <v>39</v>
      </c>
      <c r="D1027" s="90" t="s">
        <v>4541</v>
      </c>
      <c r="E1027" s="90" t="s">
        <v>4538</v>
      </c>
      <c r="F1027" s="91"/>
      <c r="G1027" s="92">
        <v>70015272</v>
      </c>
      <c r="H1027" s="91" t="s">
        <v>4370</v>
      </c>
      <c r="I1027" s="93" t="s">
        <v>46</v>
      </c>
      <c r="J1027" s="94" t="s">
        <v>4174</v>
      </c>
      <c r="K1027" s="94" t="s">
        <v>4425</v>
      </c>
      <c r="L1027" s="94" t="s">
        <v>4179</v>
      </c>
      <c r="M1027" s="95">
        <v>100900</v>
      </c>
      <c r="N1027" s="95">
        <v>2500</v>
      </c>
      <c r="O1027" s="95">
        <v>4000</v>
      </c>
      <c r="P1027" s="96">
        <v>129990</v>
      </c>
      <c r="Q1027" s="152"/>
      <c r="R1027" s="95">
        <v>100900</v>
      </c>
      <c r="S1027" s="95">
        <v>4582.916666666667</v>
      </c>
      <c r="T1027" s="95">
        <v>100900</v>
      </c>
      <c r="U1027" s="95">
        <v>4162.5</v>
      </c>
      <c r="V1027" s="95">
        <v>100900</v>
      </c>
      <c r="W1027" s="95">
        <v>4162.5</v>
      </c>
      <c r="X1027" s="128"/>
      <c r="Y1027" s="95">
        <v>0</v>
      </c>
      <c r="Z1027" s="95">
        <v>7000</v>
      </c>
      <c r="AA1027" s="95">
        <f>IFERROR(IF(D1027="Premium",0.4*Y1027,0),"No Disp")</f>
        <v>0</v>
      </c>
      <c r="AB1027" s="95">
        <f>IFERROR(IF(4*Y1027&gt;AC1027,1.5*Y1027,4*Y1027),"No Disp")</f>
        <v>0</v>
      </c>
      <c r="AC1027" s="95">
        <f>IF(Z1027="No Disp","No Disp",(Z1027*18)+Y1027)</f>
        <v>126000</v>
      </c>
      <c r="AD1027" s="95">
        <f>IF($H1027="EMP",18*Z1027-100,18*Z1027-100+Y1027)</f>
        <v>125900</v>
      </c>
      <c r="AE1027" s="95">
        <v>0</v>
      </c>
      <c r="AF1027" s="95">
        <v>7000</v>
      </c>
      <c r="AG1027" s="95">
        <f>IF(AF1027="No Disp","No Disp",(AF1027*18)+AE1027)</f>
        <v>126000</v>
      </c>
      <c r="AH1027" s="98">
        <f>IF($H1027="EMP",18*AF1027-100,18*AF1027-100+AE1027)</f>
        <v>125900</v>
      </c>
      <c r="AI1027" s="95">
        <v>7000</v>
      </c>
      <c r="AJ1027" s="99"/>
      <c r="AK1027" s="100" t="s">
        <v>43</v>
      </c>
      <c r="AL1027" s="100" t="s">
        <v>43</v>
      </c>
      <c r="AM1027" s="100" t="s">
        <v>43</v>
      </c>
      <c r="AN1027" s="100" t="s">
        <v>43</v>
      </c>
      <c r="AO1027" s="100" t="s">
        <v>43</v>
      </c>
      <c r="AP1027" s="100" t="s">
        <v>43</v>
      </c>
      <c r="AQ1027" s="100" t="s">
        <v>43</v>
      </c>
      <c r="AR1027" s="100" t="s">
        <v>43</v>
      </c>
      <c r="AS1027" s="100" t="s">
        <v>43</v>
      </c>
    </row>
    <row r="1028" spans="1:45" s="101" customFormat="1" x14ac:dyDescent="0.25">
      <c r="A1028" s="90" t="s">
        <v>38</v>
      </c>
      <c r="B1028" s="90" t="s">
        <v>39</v>
      </c>
      <c r="C1028" s="90" t="s">
        <v>39</v>
      </c>
      <c r="D1028" s="90" t="s">
        <v>4541</v>
      </c>
      <c r="E1028" s="90" t="s">
        <v>4538</v>
      </c>
      <c r="F1028" s="91"/>
      <c r="G1028" s="92">
        <v>70013500</v>
      </c>
      <c r="H1028" s="91" t="s">
        <v>4370</v>
      </c>
      <c r="I1028" s="93" t="s">
        <v>46</v>
      </c>
      <c r="J1028" s="94" t="s">
        <v>3424</v>
      </c>
      <c r="K1028" s="94" t="s">
        <v>3410</v>
      </c>
      <c r="L1028" s="94" t="s">
        <v>3425</v>
      </c>
      <c r="M1028" s="95">
        <v>115900</v>
      </c>
      <c r="N1028" s="95">
        <v>2500</v>
      </c>
      <c r="O1028" s="95">
        <v>4000</v>
      </c>
      <c r="P1028" s="96">
        <v>129990</v>
      </c>
      <c r="Q1028" s="152"/>
      <c r="R1028" s="95">
        <v>115900</v>
      </c>
      <c r="S1028" s="95">
        <v>4829.166666666667</v>
      </c>
      <c r="T1028" s="95">
        <v>115900</v>
      </c>
      <c r="U1028" s="95">
        <v>4829.166666666667</v>
      </c>
      <c r="V1028" s="95">
        <v>115900</v>
      </c>
      <c r="W1028" s="95">
        <v>4829.166666666667</v>
      </c>
      <c r="X1028" s="128"/>
      <c r="Y1028" s="95">
        <v>0</v>
      </c>
      <c r="Z1028" s="95">
        <v>8000</v>
      </c>
      <c r="AA1028" s="95">
        <f>IFERROR(IF(D1028="Premium",0.4*Y1028,0),"No Disp")</f>
        <v>0</v>
      </c>
      <c r="AB1028" s="95">
        <f>IFERROR(IF(4*Y1028&gt;AC1028,1.5*Y1028,4*Y1028),"No Disp")</f>
        <v>0</v>
      </c>
      <c r="AC1028" s="95">
        <f>IF(Z1028="No Disp","No Disp",(Z1028*18)+Y1028)</f>
        <v>144000</v>
      </c>
      <c r="AD1028" s="95">
        <f>IF($H1028="EMP",18*Z1028-100,18*Z1028-100+Y1028)</f>
        <v>143900</v>
      </c>
      <c r="AE1028" s="95">
        <v>0</v>
      </c>
      <c r="AF1028" s="95">
        <v>8000</v>
      </c>
      <c r="AG1028" s="95">
        <f>IF(AF1028="No Disp","No Disp",(AF1028*18)+AE1028)</f>
        <v>144000</v>
      </c>
      <c r="AH1028" s="98">
        <f>IF($H1028="EMP",18*AF1028-100,18*AF1028-100+AE1028)</f>
        <v>143900</v>
      </c>
      <c r="AI1028" s="95">
        <v>8000</v>
      </c>
      <c r="AJ1028" s="99"/>
      <c r="AK1028" s="100" t="s">
        <v>43</v>
      </c>
      <c r="AL1028" s="100" t="s">
        <v>43</v>
      </c>
      <c r="AM1028" s="100" t="s">
        <v>43</v>
      </c>
      <c r="AN1028" s="100" t="s">
        <v>43</v>
      </c>
      <c r="AO1028" s="100" t="s">
        <v>43</v>
      </c>
      <c r="AP1028" s="100" t="s">
        <v>43</v>
      </c>
      <c r="AQ1028" s="100" t="s">
        <v>43</v>
      </c>
      <c r="AR1028" s="100" t="s">
        <v>43</v>
      </c>
      <c r="AS1028" s="100" t="s">
        <v>43</v>
      </c>
    </row>
    <row r="1029" spans="1:45" s="101" customFormat="1" x14ac:dyDescent="0.25">
      <c r="A1029" s="90" t="s">
        <v>38</v>
      </c>
      <c r="B1029" s="90" t="s">
        <v>40</v>
      </c>
      <c r="C1029" s="90" t="s">
        <v>39</v>
      </c>
      <c r="D1029" s="90" t="s">
        <v>4541</v>
      </c>
      <c r="E1029" s="90" t="s">
        <v>4542</v>
      </c>
      <c r="F1029" s="91"/>
      <c r="G1029" s="92">
        <v>70014055</v>
      </c>
      <c r="H1029" s="91" t="s">
        <v>4370</v>
      </c>
      <c r="I1029" s="93" t="s">
        <v>46</v>
      </c>
      <c r="J1029" s="94" t="s">
        <v>348</v>
      </c>
      <c r="K1029" s="94" t="s">
        <v>3023</v>
      </c>
      <c r="L1029" s="94" t="s">
        <v>3170</v>
      </c>
      <c r="M1029" s="95">
        <v>194900</v>
      </c>
      <c r="N1029" s="95">
        <v>4000</v>
      </c>
      <c r="O1029" s="95">
        <v>6000</v>
      </c>
      <c r="P1029" s="96">
        <v>239990</v>
      </c>
      <c r="Q1029" s="152"/>
      <c r="R1029" s="95">
        <v>194900</v>
      </c>
      <c r="S1029" s="95">
        <v>7912.5</v>
      </c>
      <c r="T1029" s="95">
        <v>194900</v>
      </c>
      <c r="U1029" s="95">
        <v>7912.5</v>
      </c>
      <c r="V1029" s="95">
        <v>194900</v>
      </c>
      <c r="W1029" s="95">
        <v>7912.5</v>
      </c>
      <c r="X1029" s="128"/>
      <c r="Y1029" s="95">
        <v>0</v>
      </c>
      <c r="Z1029" s="95">
        <v>13000</v>
      </c>
      <c r="AA1029" s="95">
        <f>IFERROR(IF(D1029="Premium",0.4*Y1029,0),"No Disp")</f>
        <v>0</v>
      </c>
      <c r="AB1029" s="95">
        <f>IFERROR(IF(4*Y1029&gt;AC1029,1.5*Y1029,4*Y1029),"No Disp")</f>
        <v>0</v>
      </c>
      <c r="AC1029" s="95">
        <f>IF(Z1029="No Disp","No Disp",(Z1029*18)+Y1029)</f>
        <v>234000</v>
      </c>
      <c r="AD1029" s="95">
        <f>IF($H1029="EMP",18*Z1029-100,18*Z1029-100+Y1029)</f>
        <v>233900</v>
      </c>
      <c r="AE1029" s="95">
        <v>0</v>
      </c>
      <c r="AF1029" s="95">
        <v>13000</v>
      </c>
      <c r="AG1029" s="95">
        <f>IF(AF1029="No Disp","No Disp",(AF1029*18)+AE1029)</f>
        <v>234000</v>
      </c>
      <c r="AH1029" s="98">
        <f>IF($H1029="EMP",18*AF1029-100,18*AF1029-100+AE1029)</f>
        <v>233900</v>
      </c>
      <c r="AI1029" s="95">
        <v>13000</v>
      </c>
      <c r="AJ1029" s="99"/>
      <c r="AK1029" s="100" t="s">
        <v>43</v>
      </c>
      <c r="AL1029" s="100" t="s">
        <v>43</v>
      </c>
      <c r="AM1029" s="100" t="s">
        <v>43</v>
      </c>
      <c r="AN1029" s="100" t="s">
        <v>43</v>
      </c>
      <c r="AO1029" s="100" t="s">
        <v>43</v>
      </c>
      <c r="AP1029" s="100" t="s">
        <v>43</v>
      </c>
      <c r="AQ1029" s="100" t="s">
        <v>43</v>
      </c>
      <c r="AR1029" s="100" t="s">
        <v>43</v>
      </c>
      <c r="AS1029" s="100" t="s">
        <v>43</v>
      </c>
    </row>
    <row r="1030" spans="1:45" s="101" customFormat="1" x14ac:dyDescent="0.25">
      <c r="A1030" s="90" t="s">
        <v>38</v>
      </c>
      <c r="B1030" s="90" t="s">
        <v>40</v>
      </c>
      <c r="C1030" s="90" t="s">
        <v>39</v>
      </c>
      <c r="D1030" s="90" t="s">
        <v>4539</v>
      </c>
      <c r="E1030" s="90" t="s">
        <v>4542</v>
      </c>
      <c r="F1030" s="91"/>
      <c r="G1030" s="92">
        <v>70014036</v>
      </c>
      <c r="H1030" s="91" t="s">
        <v>4370</v>
      </c>
      <c r="I1030" s="93" t="s">
        <v>112</v>
      </c>
      <c r="J1030" s="94" t="s">
        <v>120</v>
      </c>
      <c r="K1030" s="94" t="s">
        <v>3031</v>
      </c>
      <c r="L1030" s="94" t="s">
        <v>3178</v>
      </c>
      <c r="M1030" s="95">
        <v>192900</v>
      </c>
      <c r="N1030" s="95">
        <v>4000</v>
      </c>
      <c r="O1030" s="95">
        <v>6000</v>
      </c>
      <c r="P1030" s="96">
        <v>299990</v>
      </c>
      <c r="Q1030" s="152"/>
      <c r="R1030" s="95">
        <v>192900</v>
      </c>
      <c r="S1030" s="95">
        <v>9162.5</v>
      </c>
      <c r="T1030" s="95">
        <v>192900</v>
      </c>
      <c r="U1030" s="95">
        <v>9162.5</v>
      </c>
      <c r="V1030" s="95">
        <v>192900</v>
      </c>
      <c r="W1030" s="95">
        <v>9162.5</v>
      </c>
      <c r="X1030" s="128"/>
      <c r="Y1030" s="95">
        <v>0</v>
      </c>
      <c r="Z1030" s="95">
        <v>13000</v>
      </c>
      <c r="AA1030" s="95">
        <f>IFERROR(IF(D1030="Premium",0.4*Y1030,0),"No Disp")</f>
        <v>0</v>
      </c>
      <c r="AB1030" s="95">
        <f>IFERROR(IF(4*Y1030&gt;AC1030,1.5*Y1030,4*Y1030),"No Disp")</f>
        <v>0</v>
      </c>
      <c r="AC1030" s="95">
        <f>IF(Z1030="No Disp","No Disp",(Z1030*18)+Y1030)</f>
        <v>234000</v>
      </c>
      <c r="AD1030" s="95">
        <f>IF($H1030="EMP",18*Z1030-100,18*Z1030-100+Y1030)</f>
        <v>233900</v>
      </c>
      <c r="AE1030" s="95">
        <v>0</v>
      </c>
      <c r="AF1030" s="95">
        <v>13000</v>
      </c>
      <c r="AG1030" s="95">
        <f>IF(AF1030="No Disp","No Disp",(AF1030*18)+AE1030)</f>
        <v>234000</v>
      </c>
      <c r="AH1030" s="98">
        <f>IF($H1030="EMP",18*AF1030-100,18*AF1030-100+AE1030)</f>
        <v>233900</v>
      </c>
      <c r="AI1030" s="95">
        <v>13000</v>
      </c>
      <c r="AJ1030" s="99"/>
      <c r="AK1030" s="100" t="s">
        <v>43</v>
      </c>
      <c r="AL1030" s="100" t="s">
        <v>43</v>
      </c>
      <c r="AM1030" s="100" t="s">
        <v>43</v>
      </c>
      <c r="AN1030" s="100" t="s">
        <v>43</v>
      </c>
      <c r="AO1030" s="100" t="s">
        <v>43</v>
      </c>
      <c r="AP1030" s="100" t="s">
        <v>43</v>
      </c>
      <c r="AQ1030" s="100" t="s">
        <v>43</v>
      </c>
      <c r="AR1030" s="100" t="s">
        <v>43</v>
      </c>
      <c r="AS1030" s="100" t="s">
        <v>43</v>
      </c>
    </row>
    <row r="1031" spans="1:45" s="101" customFormat="1" x14ac:dyDescent="0.25">
      <c r="A1031" s="90" t="s">
        <v>38</v>
      </c>
      <c r="B1031" s="90" t="s">
        <v>40</v>
      </c>
      <c r="C1031" s="90" t="s">
        <v>39</v>
      </c>
      <c r="D1031" s="90" t="s">
        <v>4541</v>
      </c>
      <c r="E1031" s="90" t="s">
        <v>4542</v>
      </c>
      <c r="F1031" s="91"/>
      <c r="G1031" s="92">
        <v>70014059</v>
      </c>
      <c r="H1031" s="91" t="s">
        <v>4370</v>
      </c>
      <c r="I1031" s="93" t="s">
        <v>112</v>
      </c>
      <c r="J1031" s="94" t="s">
        <v>623</v>
      </c>
      <c r="K1031" s="94" t="s">
        <v>3001</v>
      </c>
      <c r="L1031" s="94" t="s">
        <v>3148</v>
      </c>
      <c r="M1031" s="95">
        <v>96900</v>
      </c>
      <c r="N1031" s="95">
        <v>2500</v>
      </c>
      <c r="O1031" s="95">
        <v>4000</v>
      </c>
      <c r="P1031" s="96">
        <v>199990</v>
      </c>
      <c r="Q1031" s="152"/>
      <c r="R1031" s="95">
        <v>96900</v>
      </c>
      <c r="S1031" s="95">
        <v>4162.5</v>
      </c>
      <c r="T1031" s="95">
        <v>96900</v>
      </c>
      <c r="U1031" s="95">
        <v>4162.5</v>
      </c>
      <c r="V1031" s="95">
        <v>96900</v>
      </c>
      <c r="W1031" s="95">
        <v>4162.5</v>
      </c>
      <c r="X1031" s="128"/>
      <c r="Y1031" s="95">
        <v>0</v>
      </c>
      <c r="Z1031" s="95">
        <v>7000</v>
      </c>
      <c r="AA1031" s="95">
        <f>IFERROR(IF(D1031="Premium",0.4*Y1031,0),"No Disp")</f>
        <v>0</v>
      </c>
      <c r="AB1031" s="95">
        <f>IFERROR(IF(4*Y1031&gt;AC1031,1.5*Y1031,4*Y1031),"No Disp")</f>
        <v>0</v>
      </c>
      <c r="AC1031" s="95">
        <f>IF(Z1031="No Disp","No Disp",(Z1031*18)+Y1031)</f>
        <v>126000</v>
      </c>
      <c r="AD1031" s="95">
        <f>IF($H1031="EMP",18*Z1031-100,18*Z1031-100+Y1031)</f>
        <v>125900</v>
      </c>
      <c r="AE1031" s="95">
        <v>0</v>
      </c>
      <c r="AF1031" s="95">
        <v>7000</v>
      </c>
      <c r="AG1031" s="95">
        <f>IF(AF1031="No Disp","No Disp",(AF1031*18)+AE1031)</f>
        <v>126000</v>
      </c>
      <c r="AH1031" s="98">
        <f>IF($H1031="EMP",18*AF1031-100,18*AF1031-100+AE1031)</f>
        <v>125900</v>
      </c>
      <c r="AI1031" s="95">
        <v>7000</v>
      </c>
      <c r="AJ1031" s="99"/>
      <c r="AK1031" s="100" t="s">
        <v>43</v>
      </c>
      <c r="AL1031" s="100" t="s">
        <v>43</v>
      </c>
      <c r="AM1031" s="100" t="s">
        <v>43</v>
      </c>
      <c r="AN1031" s="100" t="s">
        <v>43</v>
      </c>
      <c r="AO1031" s="100" t="s">
        <v>43</v>
      </c>
      <c r="AP1031" s="100" t="s">
        <v>43</v>
      </c>
      <c r="AQ1031" s="100" t="s">
        <v>43</v>
      </c>
      <c r="AR1031" s="100" t="s">
        <v>43</v>
      </c>
      <c r="AS1031" s="100" t="s">
        <v>43</v>
      </c>
    </row>
    <row r="1032" spans="1:45" s="101" customFormat="1" x14ac:dyDescent="0.25">
      <c r="A1032" s="90" t="s">
        <v>38</v>
      </c>
      <c r="B1032" s="90" t="s">
        <v>40</v>
      </c>
      <c r="C1032" s="90" t="s">
        <v>39</v>
      </c>
      <c r="D1032" s="90" t="s">
        <v>4541</v>
      </c>
      <c r="E1032" s="90" t="s">
        <v>4538</v>
      </c>
      <c r="F1032" s="91" t="s">
        <v>3896</v>
      </c>
      <c r="G1032" s="92">
        <v>70015105</v>
      </c>
      <c r="H1032" s="91" t="s">
        <v>4370</v>
      </c>
      <c r="I1032" s="93" t="s">
        <v>87</v>
      </c>
      <c r="J1032" s="94" t="s">
        <v>88</v>
      </c>
      <c r="K1032" s="94" t="s">
        <v>3980</v>
      </c>
      <c r="L1032" s="94" t="s">
        <v>3973</v>
      </c>
      <c r="M1032" s="95">
        <v>116900</v>
      </c>
      <c r="N1032" s="95">
        <v>2500</v>
      </c>
      <c r="O1032" s="95">
        <v>4000</v>
      </c>
      <c r="P1032" s="96">
        <v>229990</v>
      </c>
      <c r="Q1032" s="152"/>
      <c r="R1032" s="95">
        <v>116900</v>
      </c>
      <c r="S1032" s="95">
        <v>5412.5</v>
      </c>
      <c r="T1032" s="95">
        <v>116900</v>
      </c>
      <c r="U1032" s="95">
        <v>5412.5</v>
      </c>
      <c r="V1032" s="95">
        <v>116900</v>
      </c>
      <c r="W1032" s="95">
        <v>5412.5</v>
      </c>
      <c r="X1032" s="128"/>
      <c r="Y1032" s="95">
        <v>0</v>
      </c>
      <c r="Z1032" s="95">
        <v>8000</v>
      </c>
      <c r="AA1032" s="95">
        <f>IFERROR(IF(D1032="Premium",0.4*Y1032,0),"No Disp")</f>
        <v>0</v>
      </c>
      <c r="AB1032" s="95">
        <f>IFERROR(IF(4*Y1032&gt;AC1032,1.5*Y1032,4*Y1032),"No Disp")</f>
        <v>0</v>
      </c>
      <c r="AC1032" s="95">
        <f>IF(Z1032="No Disp","No Disp",(Z1032*18)+Y1032)</f>
        <v>144000</v>
      </c>
      <c r="AD1032" s="95">
        <f>IF($H1032="EMP",18*Z1032-100,18*Z1032-100+Y1032)</f>
        <v>143900</v>
      </c>
      <c r="AE1032" s="95">
        <v>0</v>
      </c>
      <c r="AF1032" s="95">
        <v>8000</v>
      </c>
      <c r="AG1032" s="95">
        <f>IF(AF1032="No Disp","No Disp",(AF1032*18)+AE1032)</f>
        <v>144000</v>
      </c>
      <c r="AH1032" s="98">
        <f>IF($H1032="EMP",18*AF1032-100,18*AF1032-100+AE1032)</f>
        <v>143900</v>
      </c>
      <c r="AI1032" s="95">
        <v>8000</v>
      </c>
      <c r="AJ1032" s="99"/>
      <c r="AK1032" s="100" t="s">
        <v>43</v>
      </c>
      <c r="AL1032" s="100" t="s">
        <v>43</v>
      </c>
      <c r="AM1032" s="100" t="s">
        <v>43</v>
      </c>
      <c r="AN1032" s="100" t="s">
        <v>43</v>
      </c>
      <c r="AO1032" s="100" t="s">
        <v>43</v>
      </c>
      <c r="AP1032" s="100" t="s">
        <v>43</v>
      </c>
      <c r="AQ1032" s="100" t="s">
        <v>43</v>
      </c>
      <c r="AR1032" s="100" t="s">
        <v>43</v>
      </c>
      <c r="AS1032" s="100" t="s">
        <v>43</v>
      </c>
    </row>
    <row r="1033" spans="1:45" s="101" customFormat="1" x14ac:dyDescent="0.25">
      <c r="A1033" s="90" t="s">
        <v>38</v>
      </c>
      <c r="B1033" s="90" t="s">
        <v>40</v>
      </c>
      <c r="C1033" s="90" t="s">
        <v>39</v>
      </c>
      <c r="D1033" s="90" t="s">
        <v>4541</v>
      </c>
      <c r="E1033" s="90" t="s">
        <v>4538</v>
      </c>
      <c r="F1033" s="91"/>
      <c r="G1033" s="92">
        <v>70014045</v>
      </c>
      <c r="H1033" s="91" t="s">
        <v>4370</v>
      </c>
      <c r="I1033" s="93" t="s">
        <v>87</v>
      </c>
      <c r="J1033" s="94" t="s">
        <v>88</v>
      </c>
      <c r="K1033" s="94" t="s">
        <v>3018</v>
      </c>
      <c r="L1033" s="94" t="s">
        <v>3165</v>
      </c>
      <c r="M1033" s="95">
        <v>116900</v>
      </c>
      <c r="N1033" s="95">
        <v>2500</v>
      </c>
      <c r="O1033" s="95">
        <v>4000</v>
      </c>
      <c r="P1033" s="96">
        <v>229990</v>
      </c>
      <c r="Q1033" s="152"/>
      <c r="R1033" s="95">
        <v>116900</v>
      </c>
      <c r="S1033" s="95">
        <v>5412.5</v>
      </c>
      <c r="T1033" s="95">
        <v>116900</v>
      </c>
      <c r="U1033" s="95">
        <v>5412.5</v>
      </c>
      <c r="V1033" s="95">
        <v>116900</v>
      </c>
      <c r="W1033" s="95">
        <v>5412.5</v>
      </c>
      <c r="X1033" s="128"/>
      <c r="Y1033" s="95">
        <v>0</v>
      </c>
      <c r="Z1033" s="95">
        <v>8000</v>
      </c>
      <c r="AA1033" s="95">
        <f>IFERROR(IF(D1033="Premium",0.4*Y1033,0),"No Disp")</f>
        <v>0</v>
      </c>
      <c r="AB1033" s="95">
        <f>IFERROR(IF(4*Y1033&gt;AC1033,1.5*Y1033,4*Y1033),"No Disp")</f>
        <v>0</v>
      </c>
      <c r="AC1033" s="95">
        <f>IF(Z1033="No Disp","No Disp",(Z1033*18)+Y1033)</f>
        <v>144000</v>
      </c>
      <c r="AD1033" s="95">
        <f>IF($H1033="EMP",18*Z1033-100,18*Z1033-100+Y1033)</f>
        <v>143900</v>
      </c>
      <c r="AE1033" s="95">
        <v>0</v>
      </c>
      <c r="AF1033" s="95">
        <v>8000</v>
      </c>
      <c r="AG1033" s="95">
        <f>IF(AF1033="No Disp","No Disp",(AF1033*18)+AE1033)</f>
        <v>144000</v>
      </c>
      <c r="AH1033" s="98">
        <f>IF($H1033="EMP",18*AF1033-100,18*AF1033-100+AE1033)</f>
        <v>143900</v>
      </c>
      <c r="AI1033" s="95">
        <v>8000</v>
      </c>
      <c r="AJ1033" s="99"/>
      <c r="AK1033" s="100" t="s">
        <v>43</v>
      </c>
      <c r="AL1033" s="100" t="s">
        <v>43</v>
      </c>
      <c r="AM1033" s="100" t="s">
        <v>43</v>
      </c>
      <c r="AN1033" s="100" t="s">
        <v>43</v>
      </c>
      <c r="AO1033" s="100" t="s">
        <v>43</v>
      </c>
      <c r="AP1033" s="100" t="s">
        <v>43</v>
      </c>
      <c r="AQ1033" s="100" t="s">
        <v>43</v>
      </c>
      <c r="AR1033" s="100" t="s">
        <v>43</v>
      </c>
      <c r="AS1033" s="100" t="s">
        <v>43</v>
      </c>
    </row>
    <row r="1034" spans="1:45" s="101" customFormat="1" x14ac:dyDescent="0.25">
      <c r="A1034" s="90" t="s">
        <v>38</v>
      </c>
      <c r="B1034" s="90" t="s">
        <v>40</v>
      </c>
      <c r="C1034" s="90" t="s">
        <v>39</v>
      </c>
      <c r="D1034" s="90" t="s">
        <v>4541</v>
      </c>
      <c r="E1034" s="90" t="s">
        <v>4542</v>
      </c>
      <c r="F1034" s="91"/>
      <c r="G1034" s="92">
        <v>70014002</v>
      </c>
      <c r="H1034" s="91" t="s">
        <v>4370</v>
      </c>
      <c r="I1034" s="93" t="s">
        <v>46</v>
      </c>
      <c r="J1034" s="94" t="s">
        <v>357</v>
      </c>
      <c r="K1034" s="94" t="s">
        <v>3011</v>
      </c>
      <c r="L1034" s="94" t="s">
        <v>3158</v>
      </c>
      <c r="M1034" s="95">
        <v>116900</v>
      </c>
      <c r="N1034" s="95">
        <v>2500</v>
      </c>
      <c r="O1034" s="95">
        <v>4000</v>
      </c>
      <c r="P1034" s="96">
        <v>129990</v>
      </c>
      <c r="Q1034" s="152"/>
      <c r="R1034" s="95">
        <v>116900</v>
      </c>
      <c r="S1034" s="95">
        <v>4787.5</v>
      </c>
      <c r="T1034" s="95">
        <v>116900</v>
      </c>
      <c r="U1034" s="95">
        <v>4787.5</v>
      </c>
      <c r="V1034" s="95">
        <v>116900</v>
      </c>
      <c r="W1034" s="95">
        <v>4787.5</v>
      </c>
      <c r="X1034" s="128"/>
      <c r="Y1034" s="95">
        <v>0</v>
      </c>
      <c r="Z1034" s="95">
        <v>8000</v>
      </c>
      <c r="AA1034" s="95">
        <f>IFERROR(IF(D1034="Premium",0.4*Y1034,0),"No Disp")</f>
        <v>0</v>
      </c>
      <c r="AB1034" s="95">
        <f>IFERROR(IF(4*Y1034&gt;AC1034,1.5*Y1034,4*Y1034),"No Disp")</f>
        <v>0</v>
      </c>
      <c r="AC1034" s="95">
        <f>IF(Z1034="No Disp","No Disp",(Z1034*18)+Y1034)</f>
        <v>144000</v>
      </c>
      <c r="AD1034" s="95">
        <f>IF($H1034="EMP",18*Z1034-100,18*Z1034-100+Y1034)</f>
        <v>143900</v>
      </c>
      <c r="AE1034" s="95">
        <v>0</v>
      </c>
      <c r="AF1034" s="95">
        <v>8000</v>
      </c>
      <c r="AG1034" s="95">
        <f>IF(AF1034="No Disp","No Disp",(AF1034*18)+AE1034)</f>
        <v>144000</v>
      </c>
      <c r="AH1034" s="98">
        <f>IF($H1034="EMP",18*AF1034-100,18*AF1034-100+AE1034)</f>
        <v>143900</v>
      </c>
      <c r="AI1034" s="95">
        <v>8000</v>
      </c>
      <c r="AJ1034" s="99"/>
      <c r="AK1034" s="100" t="s">
        <v>43</v>
      </c>
      <c r="AL1034" s="100" t="s">
        <v>43</v>
      </c>
      <c r="AM1034" s="100" t="s">
        <v>43</v>
      </c>
      <c r="AN1034" s="100" t="s">
        <v>43</v>
      </c>
      <c r="AO1034" s="100" t="s">
        <v>43</v>
      </c>
      <c r="AP1034" s="100" t="s">
        <v>43</v>
      </c>
      <c r="AQ1034" s="100" t="s">
        <v>43</v>
      </c>
      <c r="AR1034" s="100" t="s">
        <v>43</v>
      </c>
      <c r="AS1034" s="100" t="s">
        <v>43</v>
      </c>
    </row>
    <row r="1035" spans="1:45" s="101" customFormat="1" x14ac:dyDescent="0.25">
      <c r="A1035" s="90" t="s">
        <v>38</v>
      </c>
      <c r="B1035" s="90" t="s">
        <v>40</v>
      </c>
      <c r="C1035" s="90" t="s">
        <v>39</v>
      </c>
      <c r="D1035" s="90" t="s">
        <v>4539</v>
      </c>
      <c r="E1035" s="90" t="s">
        <v>4542</v>
      </c>
      <c r="F1035" s="91"/>
      <c r="G1035" s="92">
        <v>70013979</v>
      </c>
      <c r="H1035" s="91" t="s">
        <v>4370</v>
      </c>
      <c r="I1035" s="93" t="s">
        <v>41</v>
      </c>
      <c r="J1035" s="94" t="s">
        <v>142</v>
      </c>
      <c r="K1035" s="94" t="s">
        <v>3037</v>
      </c>
      <c r="L1035" s="94" t="s">
        <v>3184</v>
      </c>
      <c r="M1035" s="95">
        <v>195900</v>
      </c>
      <c r="N1035" s="95">
        <v>4000</v>
      </c>
      <c r="O1035" s="95">
        <v>6000</v>
      </c>
      <c r="P1035" s="96">
        <v>249990</v>
      </c>
      <c r="Q1035" s="152"/>
      <c r="R1035" s="95">
        <v>195900</v>
      </c>
      <c r="S1035" s="95">
        <v>7870.833333333333</v>
      </c>
      <c r="T1035" s="95">
        <v>195900</v>
      </c>
      <c r="U1035" s="95">
        <v>7870.833333333333</v>
      </c>
      <c r="V1035" s="95">
        <v>195900</v>
      </c>
      <c r="W1035" s="95">
        <v>7870.833333333333</v>
      </c>
      <c r="X1035" s="128"/>
      <c r="Y1035" s="95">
        <v>0</v>
      </c>
      <c r="Z1035" s="95">
        <v>13000</v>
      </c>
      <c r="AA1035" s="95">
        <f>IFERROR(IF(D1035="Premium",0.4*Y1035,0),"No Disp")</f>
        <v>0</v>
      </c>
      <c r="AB1035" s="95">
        <f>IFERROR(IF(4*Y1035&gt;AC1035,1.5*Y1035,4*Y1035),"No Disp")</f>
        <v>0</v>
      </c>
      <c r="AC1035" s="95">
        <f>IF(Z1035="No Disp","No Disp",(Z1035*18)+Y1035)</f>
        <v>234000</v>
      </c>
      <c r="AD1035" s="95">
        <f>IF($H1035="EMP",18*Z1035-100,18*Z1035-100+Y1035)</f>
        <v>233900</v>
      </c>
      <c r="AE1035" s="95">
        <v>0</v>
      </c>
      <c r="AF1035" s="95">
        <v>13000</v>
      </c>
      <c r="AG1035" s="95">
        <f>IF(AF1035="No Disp","No Disp",(AF1035*18)+AE1035)</f>
        <v>234000</v>
      </c>
      <c r="AH1035" s="98">
        <f>IF($H1035="EMP",18*AF1035-100,18*AF1035-100+AE1035)</f>
        <v>233900</v>
      </c>
      <c r="AI1035" s="95">
        <v>13000</v>
      </c>
      <c r="AJ1035" s="99"/>
      <c r="AK1035" s="100" t="s">
        <v>43</v>
      </c>
      <c r="AL1035" s="100" t="s">
        <v>43</v>
      </c>
      <c r="AM1035" s="100" t="s">
        <v>43</v>
      </c>
      <c r="AN1035" s="100" t="s">
        <v>43</v>
      </c>
      <c r="AO1035" s="100" t="s">
        <v>43</v>
      </c>
      <c r="AP1035" s="100" t="s">
        <v>43</v>
      </c>
      <c r="AQ1035" s="100" t="s">
        <v>43</v>
      </c>
      <c r="AR1035" s="100" t="s">
        <v>43</v>
      </c>
      <c r="AS1035" s="100" t="s">
        <v>43</v>
      </c>
    </row>
    <row r="1036" spans="1:45" s="101" customFormat="1" x14ac:dyDescent="0.25">
      <c r="A1036" s="90" t="s">
        <v>38</v>
      </c>
      <c r="B1036" s="90" t="s">
        <v>40</v>
      </c>
      <c r="C1036" s="90" t="s">
        <v>39</v>
      </c>
      <c r="D1036" s="90" t="s">
        <v>4541</v>
      </c>
      <c r="E1036" s="90" t="s">
        <v>4542</v>
      </c>
      <c r="F1036" s="91"/>
      <c r="G1036" s="92">
        <v>70014037</v>
      </c>
      <c r="H1036" s="91" t="s">
        <v>4370</v>
      </c>
      <c r="I1036" s="93" t="s">
        <v>46</v>
      </c>
      <c r="J1036" s="94" t="s">
        <v>2801</v>
      </c>
      <c r="K1036" s="94" t="s">
        <v>3007</v>
      </c>
      <c r="L1036" s="94" t="s">
        <v>3154</v>
      </c>
      <c r="M1036" s="95">
        <v>101900</v>
      </c>
      <c r="N1036" s="95">
        <v>2500</v>
      </c>
      <c r="O1036" s="95">
        <v>4000</v>
      </c>
      <c r="P1036" s="96">
        <v>129990</v>
      </c>
      <c r="Q1036" s="152"/>
      <c r="R1036" s="95">
        <v>101900</v>
      </c>
      <c r="S1036" s="95">
        <v>4037.5</v>
      </c>
      <c r="T1036" s="95">
        <v>101900</v>
      </c>
      <c r="U1036" s="95">
        <v>4037.5</v>
      </c>
      <c r="V1036" s="95">
        <v>101900</v>
      </c>
      <c r="W1036" s="95">
        <v>4037.5</v>
      </c>
      <c r="X1036" s="128"/>
      <c r="Y1036" s="95">
        <v>0</v>
      </c>
      <c r="Z1036" s="95">
        <v>7000</v>
      </c>
      <c r="AA1036" s="95">
        <f>IFERROR(IF(D1036="Premium",0.4*Y1036,0),"No Disp")</f>
        <v>0</v>
      </c>
      <c r="AB1036" s="95">
        <f>IFERROR(IF(4*Y1036&gt;AC1036,1.5*Y1036,4*Y1036),"No Disp")</f>
        <v>0</v>
      </c>
      <c r="AC1036" s="95">
        <f>IF(Z1036="No Disp","No Disp",(Z1036*18)+Y1036)</f>
        <v>126000</v>
      </c>
      <c r="AD1036" s="95">
        <f>IF($H1036="EMP",18*Z1036-100,18*Z1036-100+Y1036)</f>
        <v>125900</v>
      </c>
      <c r="AE1036" s="95">
        <v>0</v>
      </c>
      <c r="AF1036" s="95">
        <v>7000</v>
      </c>
      <c r="AG1036" s="95">
        <f>IF(AF1036="No Disp","No Disp",(AF1036*18)+AE1036)</f>
        <v>126000</v>
      </c>
      <c r="AH1036" s="98">
        <f>IF($H1036="EMP",18*AF1036-100,18*AF1036-100+AE1036)</f>
        <v>125900</v>
      </c>
      <c r="AI1036" s="95">
        <v>7000</v>
      </c>
      <c r="AJ1036" s="99"/>
      <c r="AK1036" s="100" t="s">
        <v>43</v>
      </c>
      <c r="AL1036" s="100" t="s">
        <v>43</v>
      </c>
      <c r="AM1036" s="100" t="s">
        <v>43</v>
      </c>
      <c r="AN1036" s="100" t="s">
        <v>43</v>
      </c>
      <c r="AO1036" s="100" t="s">
        <v>43</v>
      </c>
      <c r="AP1036" s="100" t="s">
        <v>43</v>
      </c>
      <c r="AQ1036" s="100" t="s">
        <v>43</v>
      </c>
      <c r="AR1036" s="100" t="s">
        <v>43</v>
      </c>
      <c r="AS1036" s="100" t="s">
        <v>43</v>
      </c>
    </row>
    <row r="1037" spans="1:45" s="101" customFormat="1" x14ac:dyDescent="0.25">
      <c r="A1037" s="90" t="s">
        <v>38</v>
      </c>
      <c r="B1037" s="90" t="s">
        <v>40</v>
      </c>
      <c r="C1037" s="90" t="s">
        <v>39</v>
      </c>
      <c r="D1037" s="90" t="s">
        <v>4541</v>
      </c>
      <c r="E1037" s="90" t="s">
        <v>4542</v>
      </c>
      <c r="F1037" s="91"/>
      <c r="G1037" s="92">
        <v>70014068</v>
      </c>
      <c r="H1037" s="91" t="s">
        <v>4370</v>
      </c>
      <c r="I1037" s="93" t="s">
        <v>46</v>
      </c>
      <c r="J1037" s="94" t="s">
        <v>2801</v>
      </c>
      <c r="K1037" s="94" t="s">
        <v>3008</v>
      </c>
      <c r="L1037" s="94" t="s">
        <v>3155</v>
      </c>
      <c r="M1037" s="95">
        <v>101900</v>
      </c>
      <c r="N1037" s="95">
        <v>2500</v>
      </c>
      <c r="O1037" s="95">
        <v>4000</v>
      </c>
      <c r="P1037" s="96">
        <v>129990</v>
      </c>
      <c r="Q1037" s="152"/>
      <c r="R1037" s="95">
        <v>101900</v>
      </c>
      <c r="S1037" s="95">
        <v>4037.5</v>
      </c>
      <c r="T1037" s="95">
        <v>101900</v>
      </c>
      <c r="U1037" s="95">
        <v>4037.5</v>
      </c>
      <c r="V1037" s="95">
        <v>101900</v>
      </c>
      <c r="W1037" s="95">
        <v>4037.5</v>
      </c>
      <c r="X1037" s="128"/>
      <c r="Y1037" s="95">
        <v>0</v>
      </c>
      <c r="Z1037" s="95">
        <v>7000</v>
      </c>
      <c r="AA1037" s="95">
        <f>IFERROR(IF(D1037="Premium",0.4*Y1037,0),"No Disp")</f>
        <v>0</v>
      </c>
      <c r="AB1037" s="95">
        <f>IFERROR(IF(4*Y1037&gt;AC1037,1.5*Y1037,4*Y1037),"No Disp")</f>
        <v>0</v>
      </c>
      <c r="AC1037" s="95">
        <f>IF(Z1037="No Disp","No Disp",(Z1037*18)+Y1037)</f>
        <v>126000</v>
      </c>
      <c r="AD1037" s="95">
        <f>IF($H1037="EMP",18*Z1037-100,18*Z1037-100+Y1037)</f>
        <v>125900</v>
      </c>
      <c r="AE1037" s="95">
        <v>0</v>
      </c>
      <c r="AF1037" s="95">
        <v>7000</v>
      </c>
      <c r="AG1037" s="95">
        <f>IF(AF1037="No Disp","No Disp",(AF1037*18)+AE1037)</f>
        <v>126000</v>
      </c>
      <c r="AH1037" s="98">
        <f>IF($H1037="EMP",18*AF1037-100,18*AF1037-100+AE1037)</f>
        <v>125900</v>
      </c>
      <c r="AI1037" s="95">
        <v>7000</v>
      </c>
      <c r="AJ1037" s="99"/>
      <c r="AK1037" s="100" t="s">
        <v>43</v>
      </c>
      <c r="AL1037" s="100" t="s">
        <v>43</v>
      </c>
      <c r="AM1037" s="100" t="s">
        <v>43</v>
      </c>
      <c r="AN1037" s="100" t="s">
        <v>43</v>
      </c>
      <c r="AO1037" s="100" t="s">
        <v>43</v>
      </c>
      <c r="AP1037" s="100" t="s">
        <v>43</v>
      </c>
      <c r="AQ1037" s="100" t="s">
        <v>43</v>
      </c>
      <c r="AR1037" s="100" t="s">
        <v>43</v>
      </c>
      <c r="AS1037" s="100" t="s">
        <v>43</v>
      </c>
    </row>
    <row r="1038" spans="1:45" s="101" customFormat="1" x14ac:dyDescent="0.25">
      <c r="A1038" s="90" t="s">
        <v>38</v>
      </c>
      <c r="B1038" s="90" t="s">
        <v>40</v>
      </c>
      <c r="C1038" s="90" t="s">
        <v>39</v>
      </c>
      <c r="D1038" s="90" t="s">
        <v>4541</v>
      </c>
      <c r="E1038" s="90" t="s">
        <v>4542</v>
      </c>
      <c r="F1038" s="91"/>
      <c r="G1038" s="92">
        <v>70014069</v>
      </c>
      <c r="H1038" s="91" t="s">
        <v>4370</v>
      </c>
      <c r="I1038" s="93" t="s">
        <v>46</v>
      </c>
      <c r="J1038" s="94" t="s">
        <v>2801</v>
      </c>
      <c r="K1038" s="94" t="s">
        <v>3009</v>
      </c>
      <c r="L1038" s="94" t="s">
        <v>3156</v>
      </c>
      <c r="M1038" s="95">
        <v>101900</v>
      </c>
      <c r="N1038" s="95">
        <v>2500</v>
      </c>
      <c r="O1038" s="95">
        <v>4000</v>
      </c>
      <c r="P1038" s="96">
        <v>129990</v>
      </c>
      <c r="Q1038" s="152"/>
      <c r="R1038" s="95">
        <v>101900</v>
      </c>
      <c r="S1038" s="95">
        <v>4037.5</v>
      </c>
      <c r="T1038" s="95">
        <v>101900</v>
      </c>
      <c r="U1038" s="95">
        <v>4037.5</v>
      </c>
      <c r="V1038" s="95">
        <v>101900</v>
      </c>
      <c r="W1038" s="95">
        <v>4037.5</v>
      </c>
      <c r="X1038" s="128"/>
      <c r="Y1038" s="95">
        <v>0</v>
      </c>
      <c r="Z1038" s="95">
        <v>7000</v>
      </c>
      <c r="AA1038" s="95">
        <f>IFERROR(IF(D1038="Premium",0.4*Y1038,0),"No Disp")</f>
        <v>0</v>
      </c>
      <c r="AB1038" s="95">
        <f>IFERROR(IF(4*Y1038&gt;AC1038,1.5*Y1038,4*Y1038),"No Disp")</f>
        <v>0</v>
      </c>
      <c r="AC1038" s="95">
        <f>IF(Z1038="No Disp","No Disp",(Z1038*18)+Y1038)</f>
        <v>126000</v>
      </c>
      <c r="AD1038" s="95">
        <f>IF($H1038="EMP",18*Z1038-100,18*Z1038-100+Y1038)</f>
        <v>125900</v>
      </c>
      <c r="AE1038" s="95">
        <v>0</v>
      </c>
      <c r="AF1038" s="95">
        <v>7000</v>
      </c>
      <c r="AG1038" s="95">
        <f>IF(AF1038="No Disp","No Disp",(AF1038*18)+AE1038)</f>
        <v>126000</v>
      </c>
      <c r="AH1038" s="98">
        <f>IF($H1038="EMP",18*AF1038-100,18*AF1038-100+AE1038)</f>
        <v>125900</v>
      </c>
      <c r="AI1038" s="95">
        <v>7000</v>
      </c>
      <c r="AJ1038" s="99"/>
      <c r="AK1038" s="100" t="s">
        <v>43</v>
      </c>
      <c r="AL1038" s="100" t="s">
        <v>43</v>
      </c>
      <c r="AM1038" s="100" t="s">
        <v>43</v>
      </c>
      <c r="AN1038" s="100" t="s">
        <v>43</v>
      </c>
      <c r="AO1038" s="100" t="s">
        <v>43</v>
      </c>
      <c r="AP1038" s="100" t="s">
        <v>43</v>
      </c>
      <c r="AQ1038" s="100" t="s">
        <v>43</v>
      </c>
      <c r="AR1038" s="100" t="s">
        <v>43</v>
      </c>
      <c r="AS1038" s="100" t="s">
        <v>43</v>
      </c>
    </row>
    <row r="1039" spans="1:45" s="101" customFormat="1" x14ac:dyDescent="0.25">
      <c r="A1039" s="90" t="s">
        <v>38</v>
      </c>
      <c r="B1039" s="90" t="s">
        <v>40</v>
      </c>
      <c r="C1039" s="90" t="s">
        <v>39</v>
      </c>
      <c r="D1039" s="90" t="s">
        <v>4541</v>
      </c>
      <c r="E1039" s="90" t="s">
        <v>4538</v>
      </c>
      <c r="F1039" s="91"/>
      <c r="G1039" s="92">
        <v>70014027</v>
      </c>
      <c r="H1039" s="91" t="s">
        <v>4370</v>
      </c>
      <c r="I1039" s="93" t="s">
        <v>112</v>
      </c>
      <c r="J1039" s="94" t="s">
        <v>115</v>
      </c>
      <c r="K1039" s="94" t="s">
        <v>2995</v>
      </c>
      <c r="L1039" s="94" t="s">
        <v>3142</v>
      </c>
      <c r="M1039" s="95">
        <v>54900</v>
      </c>
      <c r="N1039" s="95">
        <v>2500</v>
      </c>
      <c r="O1039" s="95">
        <v>4000</v>
      </c>
      <c r="P1039" s="96">
        <v>89990</v>
      </c>
      <c r="Q1039" s="152"/>
      <c r="R1039" s="95">
        <v>54900</v>
      </c>
      <c r="S1039" s="95">
        <v>2579.1666666666665</v>
      </c>
      <c r="T1039" s="95">
        <v>54900</v>
      </c>
      <c r="U1039" s="95">
        <v>2579.1666666666665</v>
      </c>
      <c r="V1039" s="95">
        <v>54900</v>
      </c>
      <c r="W1039" s="95">
        <v>2579.1666666666665</v>
      </c>
      <c r="X1039" s="128"/>
      <c r="Y1039" s="95">
        <v>0</v>
      </c>
      <c r="Z1039" s="95">
        <v>4000</v>
      </c>
      <c r="AA1039" s="95">
        <f>IFERROR(IF(D1039="Premium",0.4*Y1039,0),"No Disp")</f>
        <v>0</v>
      </c>
      <c r="AB1039" s="95">
        <f>IFERROR(IF(4*Y1039&gt;AC1039,1.5*Y1039,4*Y1039),"No Disp")</f>
        <v>0</v>
      </c>
      <c r="AC1039" s="95">
        <f>IF(Z1039="No Disp","No Disp",(Z1039*18)+Y1039)</f>
        <v>72000</v>
      </c>
      <c r="AD1039" s="95">
        <f>IF($H1039="EMP",18*Z1039-100,18*Z1039-100+Y1039)</f>
        <v>71900</v>
      </c>
      <c r="AE1039" s="95">
        <v>0</v>
      </c>
      <c r="AF1039" s="95">
        <v>4000</v>
      </c>
      <c r="AG1039" s="95">
        <f>IF(AF1039="No Disp","No Disp",(AF1039*18)+AE1039)</f>
        <v>72000</v>
      </c>
      <c r="AH1039" s="98">
        <f>IF($H1039="EMP",18*AF1039-100,18*AF1039-100+AE1039)</f>
        <v>71900</v>
      </c>
      <c r="AI1039" s="95">
        <v>4000</v>
      </c>
      <c r="AJ1039" s="99"/>
      <c r="AK1039" s="100" t="s">
        <v>43</v>
      </c>
      <c r="AL1039" s="100" t="s">
        <v>43</v>
      </c>
      <c r="AM1039" s="100" t="s">
        <v>43</v>
      </c>
      <c r="AN1039" s="100" t="s">
        <v>43</v>
      </c>
      <c r="AO1039" s="100" t="s">
        <v>43</v>
      </c>
      <c r="AP1039" s="100" t="s">
        <v>43</v>
      </c>
      <c r="AQ1039" s="100" t="s">
        <v>43</v>
      </c>
      <c r="AR1039" s="100" t="s">
        <v>43</v>
      </c>
      <c r="AS1039" s="100" t="s">
        <v>43</v>
      </c>
    </row>
    <row r="1040" spans="1:45" s="101" customFormat="1" x14ac:dyDescent="0.25">
      <c r="A1040" s="90" t="s">
        <v>38</v>
      </c>
      <c r="B1040" s="90" t="s">
        <v>40</v>
      </c>
      <c r="C1040" s="90" t="s">
        <v>39</v>
      </c>
      <c r="D1040" s="90" t="s">
        <v>4537</v>
      </c>
      <c r="E1040" s="90" t="s">
        <v>4542</v>
      </c>
      <c r="F1040" s="91"/>
      <c r="G1040" s="92">
        <v>70014043</v>
      </c>
      <c r="H1040" s="91" t="s">
        <v>4370</v>
      </c>
      <c r="I1040" s="93" t="s">
        <v>87</v>
      </c>
      <c r="J1040" s="94" t="s">
        <v>218</v>
      </c>
      <c r="K1040" s="94" t="s">
        <v>3094</v>
      </c>
      <c r="L1040" s="94" t="s">
        <v>3242</v>
      </c>
      <c r="M1040" s="95">
        <v>477900</v>
      </c>
      <c r="N1040" s="95">
        <v>6000</v>
      </c>
      <c r="O1040" s="95">
        <v>8500</v>
      </c>
      <c r="P1040" s="96">
        <v>599990</v>
      </c>
      <c r="Q1040" s="152"/>
      <c r="R1040" s="95">
        <v>477900</v>
      </c>
      <c r="S1040" s="95">
        <v>19787.5</v>
      </c>
      <c r="T1040" s="95">
        <v>477900</v>
      </c>
      <c r="U1040" s="95">
        <v>19787.5</v>
      </c>
      <c r="V1040" s="95">
        <v>477900</v>
      </c>
      <c r="W1040" s="95">
        <v>19787.5</v>
      </c>
      <c r="X1040" s="128"/>
      <c r="Y1040" s="95">
        <v>109900</v>
      </c>
      <c r="Z1040" s="95">
        <v>25000</v>
      </c>
      <c r="AA1040" s="95">
        <f>IFERROR(IF(D1040="Premium",0.4*Y1040,0),"No Disp")</f>
        <v>0</v>
      </c>
      <c r="AB1040" s="95">
        <f>IFERROR(IF(4*Y1040&gt;AC1040,1.5*Y1040,4*Y1040),"No Disp")</f>
        <v>439600</v>
      </c>
      <c r="AC1040" s="95">
        <f>IF(Z1040="No Disp","No Disp",(Z1040*18)+Y1040)</f>
        <v>559900</v>
      </c>
      <c r="AD1040" s="95">
        <f>IF($H1040="EMP",18*Z1040-100,18*Z1040-100+Y1040)</f>
        <v>449900</v>
      </c>
      <c r="AE1040" s="95">
        <v>109900</v>
      </c>
      <c r="AF1040" s="95">
        <v>25000</v>
      </c>
      <c r="AG1040" s="95">
        <f>IF(AF1040="No Disp","No Disp",(AF1040*18)+AE1040)</f>
        <v>559900</v>
      </c>
      <c r="AH1040" s="98">
        <f>IF($H1040="EMP",18*AF1040-100,18*AF1040-100+AE1040)</f>
        <v>449900</v>
      </c>
      <c r="AI1040" s="95">
        <v>31000</v>
      </c>
      <c r="AJ1040" s="99"/>
      <c r="AK1040" s="100" t="s">
        <v>43</v>
      </c>
      <c r="AL1040" s="100" t="s">
        <v>43</v>
      </c>
      <c r="AM1040" s="100" t="s">
        <v>43</v>
      </c>
      <c r="AN1040" s="100" t="s">
        <v>43</v>
      </c>
      <c r="AO1040" s="100" t="s">
        <v>43</v>
      </c>
      <c r="AP1040" s="100" t="s">
        <v>43</v>
      </c>
      <c r="AQ1040" s="100" t="s">
        <v>43</v>
      </c>
      <c r="AR1040" s="100" t="s">
        <v>43</v>
      </c>
      <c r="AS1040" s="100" t="s">
        <v>43</v>
      </c>
    </row>
    <row r="1041" spans="1:45" s="101" customFormat="1" x14ac:dyDescent="0.25">
      <c r="A1041" s="90" t="s">
        <v>38</v>
      </c>
      <c r="B1041" s="90" t="s">
        <v>40</v>
      </c>
      <c r="C1041" s="90" t="s">
        <v>39</v>
      </c>
      <c r="D1041" s="90" t="s">
        <v>4537</v>
      </c>
      <c r="E1041" s="90" t="s">
        <v>4542</v>
      </c>
      <c r="F1041" s="91"/>
      <c r="G1041" s="92">
        <v>70014044</v>
      </c>
      <c r="H1041" s="91" t="s">
        <v>4370</v>
      </c>
      <c r="I1041" s="93" t="s">
        <v>87</v>
      </c>
      <c r="J1041" s="94" t="s">
        <v>218</v>
      </c>
      <c r="K1041" s="94" t="s">
        <v>3097</v>
      </c>
      <c r="L1041" s="94" t="s">
        <v>3245</v>
      </c>
      <c r="M1041" s="95">
        <v>477900</v>
      </c>
      <c r="N1041" s="95">
        <v>6000</v>
      </c>
      <c r="O1041" s="95">
        <v>8500</v>
      </c>
      <c r="P1041" s="96">
        <v>599990</v>
      </c>
      <c r="Q1041" s="152"/>
      <c r="R1041" s="95">
        <v>477900</v>
      </c>
      <c r="S1041" s="95">
        <v>19787.5</v>
      </c>
      <c r="T1041" s="95">
        <v>477900</v>
      </c>
      <c r="U1041" s="95">
        <v>19787.5</v>
      </c>
      <c r="V1041" s="95">
        <v>477900</v>
      </c>
      <c r="W1041" s="95">
        <v>19787.5</v>
      </c>
      <c r="X1041" s="128"/>
      <c r="Y1041" s="95">
        <v>109900</v>
      </c>
      <c r="Z1041" s="95">
        <v>25000</v>
      </c>
      <c r="AA1041" s="95">
        <f>IFERROR(IF(D1041="Premium",0.4*Y1041,0),"No Disp")</f>
        <v>0</v>
      </c>
      <c r="AB1041" s="95">
        <f>IFERROR(IF(4*Y1041&gt;AC1041,1.5*Y1041,4*Y1041),"No Disp")</f>
        <v>439600</v>
      </c>
      <c r="AC1041" s="95">
        <f>IF(Z1041="No Disp","No Disp",(Z1041*18)+Y1041)</f>
        <v>559900</v>
      </c>
      <c r="AD1041" s="95">
        <f>IF($H1041="EMP",18*Z1041-100,18*Z1041-100+Y1041)</f>
        <v>449900</v>
      </c>
      <c r="AE1041" s="95">
        <v>109900</v>
      </c>
      <c r="AF1041" s="95">
        <v>25000</v>
      </c>
      <c r="AG1041" s="95">
        <f>IF(AF1041="No Disp","No Disp",(AF1041*18)+AE1041)</f>
        <v>559900</v>
      </c>
      <c r="AH1041" s="98">
        <f>IF($H1041="EMP",18*AF1041-100,18*AF1041-100+AE1041)</f>
        <v>449900</v>
      </c>
      <c r="AI1041" s="95">
        <v>31000</v>
      </c>
      <c r="AJ1041" s="99"/>
      <c r="AK1041" s="100" t="s">
        <v>43</v>
      </c>
      <c r="AL1041" s="100" t="s">
        <v>43</v>
      </c>
      <c r="AM1041" s="100" t="s">
        <v>43</v>
      </c>
      <c r="AN1041" s="100" t="s">
        <v>43</v>
      </c>
      <c r="AO1041" s="100" t="s">
        <v>43</v>
      </c>
      <c r="AP1041" s="100" t="s">
        <v>43</v>
      </c>
      <c r="AQ1041" s="100" t="s">
        <v>43</v>
      </c>
      <c r="AR1041" s="100" t="s">
        <v>43</v>
      </c>
      <c r="AS1041" s="100" t="s">
        <v>43</v>
      </c>
    </row>
    <row r="1042" spans="1:45" s="101" customFormat="1" x14ac:dyDescent="0.25">
      <c r="A1042" s="90" t="s">
        <v>38</v>
      </c>
      <c r="B1042" s="90" t="s">
        <v>40</v>
      </c>
      <c r="C1042" s="90" t="s">
        <v>39</v>
      </c>
      <c r="D1042" s="90" t="s">
        <v>4539</v>
      </c>
      <c r="E1042" s="90" t="s">
        <v>4542</v>
      </c>
      <c r="F1042" s="91"/>
      <c r="G1042" s="92">
        <v>70014190</v>
      </c>
      <c r="H1042" s="91" t="s">
        <v>4370</v>
      </c>
      <c r="I1042" s="93" t="s">
        <v>87</v>
      </c>
      <c r="J1042" s="94" t="s">
        <v>304</v>
      </c>
      <c r="K1042" s="94" t="s">
        <v>3045</v>
      </c>
      <c r="L1042" s="94" t="s">
        <v>3192</v>
      </c>
      <c r="M1042" s="95">
        <v>216900</v>
      </c>
      <c r="N1042" s="95">
        <v>4000</v>
      </c>
      <c r="O1042" s="95">
        <v>6000</v>
      </c>
      <c r="P1042" s="96">
        <v>349990</v>
      </c>
      <c r="Q1042" s="152"/>
      <c r="R1042" s="95">
        <v>216900</v>
      </c>
      <c r="S1042" s="95">
        <v>8495.8333333333339</v>
      </c>
      <c r="T1042" s="95">
        <v>216900</v>
      </c>
      <c r="U1042" s="95">
        <v>8495.8333333333339</v>
      </c>
      <c r="V1042" s="95">
        <v>216900</v>
      </c>
      <c r="W1042" s="95">
        <v>8495.8333333333339</v>
      </c>
      <c r="X1042" s="128"/>
      <c r="Y1042" s="95">
        <v>0</v>
      </c>
      <c r="Z1042" s="95">
        <v>14000</v>
      </c>
      <c r="AA1042" s="95">
        <f>IFERROR(IF(D1042="Premium",0.4*Y1042,0),"No Disp")</f>
        <v>0</v>
      </c>
      <c r="AB1042" s="95">
        <f>IFERROR(IF(4*Y1042&gt;AC1042,1.5*Y1042,4*Y1042),"No Disp")</f>
        <v>0</v>
      </c>
      <c r="AC1042" s="95">
        <f>IF(Z1042="No Disp","No Disp",(Z1042*18)+Y1042)</f>
        <v>252000</v>
      </c>
      <c r="AD1042" s="95">
        <f>IF($H1042="EMP",18*Z1042-100,18*Z1042-100+Y1042)</f>
        <v>251900</v>
      </c>
      <c r="AE1042" s="95">
        <v>0</v>
      </c>
      <c r="AF1042" s="95">
        <v>14000</v>
      </c>
      <c r="AG1042" s="95">
        <f>IF(AF1042="No Disp","No Disp",(AF1042*18)+AE1042)</f>
        <v>252000</v>
      </c>
      <c r="AH1042" s="98">
        <f>IF($H1042="EMP",18*AF1042-100,18*AF1042-100+AE1042)</f>
        <v>251900</v>
      </c>
      <c r="AI1042" s="95">
        <v>14000</v>
      </c>
      <c r="AJ1042" s="99"/>
      <c r="AK1042" s="100" t="s">
        <v>43</v>
      </c>
      <c r="AL1042" s="100" t="s">
        <v>43</v>
      </c>
      <c r="AM1042" s="100" t="s">
        <v>43</v>
      </c>
      <c r="AN1042" s="100" t="s">
        <v>43</v>
      </c>
      <c r="AO1042" s="100" t="s">
        <v>43</v>
      </c>
      <c r="AP1042" s="100" t="s">
        <v>43</v>
      </c>
      <c r="AQ1042" s="100" t="s">
        <v>43</v>
      </c>
      <c r="AR1042" s="100" t="s">
        <v>43</v>
      </c>
      <c r="AS1042" s="100" t="s">
        <v>43</v>
      </c>
    </row>
    <row r="1043" spans="1:45" s="101" customFormat="1" x14ac:dyDescent="0.25">
      <c r="A1043" s="90" t="s">
        <v>38</v>
      </c>
      <c r="B1043" s="90" t="s">
        <v>40</v>
      </c>
      <c r="C1043" s="90" t="s">
        <v>39</v>
      </c>
      <c r="D1043" s="90" t="s">
        <v>4541</v>
      </c>
      <c r="E1043" s="90" t="s">
        <v>4542</v>
      </c>
      <c r="F1043" s="91"/>
      <c r="G1043" s="92">
        <v>70014180</v>
      </c>
      <c r="H1043" s="91" t="s">
        <v>4370</v>
      </c>
      <c r="I1043" s="93" t="s">
        <v>46</v>
      </c>
      <c r="J1043" s="94" t="s">
        <v>615</v>
      </c>
      <c r="K1043" s="94" t="s">
        <v>3005</v>
      </c>
      <c r="L1043" s="94" t="s">
        <v>3152</v>
      </c>
      <c r="M1043" s="95">
        <v>124900</v>
      </c>
      <c r="N1043" s="95">
        <v>2500</v>
      </c>
      <c r="O1043" s="95">
        <v>4000</v>
      </c>
      <c r="P1043" s="96">
        <v>129990</v>
      </c>
      <c r="Q1043" s="152"/>
      <c r="R1043" s="95">
        <v>124900</v>
      </c>
      <c r="S1043" s="95">
        <v>5079.166666666667</v>
      </c>
      <c r="T1043" s="95">
        <v>124900</v>
      </c>
      <c r="U1043" s="95">
        <v>5079.166666666667</v>
      </c>
      <c r="V1043" s="95">
        <v>124900</v>
      </c>
      <c r="W1043" s="95">
        <v>5079.166666666667</v>
      </c>
      <c r="X1043" s="128"/>
      <c r="Y1043" s="95">
        <v>0</v>
      </c>
      <c r="Z1043" s="95">
        <v>8000</v>
      </c>
      <c r="AA1043" s="95">
        <f>IFERROR(IF(D1043="Premium",0.4*Y1043,0),"No Disp")</f>
        <v>0</v>
      </c>
      <c r="AB1043" s="95">
        <f>IFERROR(IF(4*Y1043&gt;AC1043,1.5*Y1043,4*Y1043),"No Disp")</f>
        <v>0</v>
      </c>
      <c r="AC1043" s="95">
        <f>IF(Z1043="No Disp","No Disp",(Z1043*18)+Y1043)</f>
        <v>144000</v>
      </c>
      <c r="AD1043" s="95">
        <f>IF($H1043="EMP",18*Z1043-100,18*Z1043-100+Y1043)</f>
        <v>143900</v>
      </c>
      <c r="AE1043" s="95">
        <v>0</v>
      </c>
      <c r="AF1043" s="95">
        <v>8000</v>
      </c>
      <c r="AG1043" s="95">
        <f>IF(AF1043="No Disp","No Disp",(AF1043*18)+AE1043)</f>
        <v>144000</v>
      </c>
      <c r="AH1043" s="98">
        <f>IF($H1043="EMP",18*AF1043-100,18*AF1043-100+AE1043)</f>
        <v>143900</v>
      </c>
      <c r="AI1043" s="95">
        <v>8000</v>
      </c>
      <c r="AJ1043" s="99"/>
      <c r="AK1043" s="100" t="s">
        <v>43</v>
      </c>
      <c r="AL1043" s="100" t="s">
        <v>43</v>
      </c>
      <c r="AM1043" s="100" t="s">
        <v>43</v>
      </c>
      <c r="AN1043" s="100" t="s">
        <v>43</v>
      </c>
      <c r="AO1043" s="100" t="s">
        <v>43</v>
      </c>
      <c r="AP1043" s="100" t="s">
        <v>43</v>
      </c>
      <c r="AQ1043" s="100" t="s">
        <v>43</v>
      </c>
      <c r="AR1043" s="100" t="s">
        <v>43</v>
      </c>
      <c r="AS1043" s="100" t="s">
        <v>43</v>
      </c>
    </row>
    <row r="1044" spans="1:45" s="101" customFormat="1" x14ac:dyDescent="0.25">
      <c r="A1044" s="90" t="s">
        <v>38</v>
      </c>
      <c r="B1044" s="90" t="s">
        <v>40</v>
      </c>
      <c r="C1044" s="90" t="s">
        <v>39</v>
      </c>
      <c r="D1044" s="90" t="s">
        <v>4541</v>
      </c>
      <c r="E1044" s="90" t="s">
        <v>4542</v>
      </c>
      <c r="F1044" s="91"/>
      <c r="G1044" s="92">
        <v>70014197</v>
      </c>
      <c r="H1044" s="91" t="s">
        <v>4370</v>
      </c>
      <c r="I1044" s="93" t="s">
        <v>46</v>
      </c>
      <c r="J1044" s="94" t="s">
        <v>615</v>
      </c>
      <c r="K1044" s="94" t="s">
        <v>3006</v>
      </c>
      <c r="L1044" s="94" t="s">
        <v>3153</v>
      </c>
      <c r="M1044" s="95">
        <v>124900</v>
      </c>
      <c r="N1044" s="95">
        <v>2500</v>
      </c>
      <c r="O1044" s="95">
        <v>4000</v>
      </c>
      <c r="P1044" s="96">
        <v>129990</v>
      </c>
      <c r="Q1044" s="152"/>
      <c r="R1044" s="95">
        <v>124900</v>
      </c>
      <c r="S1044" s="95">
        <v>5079.166666666667</v>
      </c>
      <c r="T1044" s="95">
        <v>124900</v>
      </c>
      <c r="U1044" s="95">
        <v>5079.166666666667</v>
      </c>
      <c r="V1044" s="95">
        <v>124900</v>
      </c>
      <c r="W1044" s="95">
        <v>5079.166666666667</v>
      </c>
      <c r="X1044" s="128"/>
      <c r="Y1044" s="95">
        <v>0</v>
      </c>
      <c r="Z1044" s="95">
        <v>8000</v>
      </c>
      <c r="AA1044" s="95">
        <f>IFERROR(IF(D1044="Premium",0.4*Y1044,0),"No Disp")</f>
        <v>0</v>
      </c>
      <c r="AB1044" s="95">
        <f>IFERROR(IF(4*Y1044&gt;AC1044,1.5*Y1044,4*Y1044),"No Disp")</f>
        <v>0</v>
      </c>
      <c r="AC1044" s="95">
        <f>IF(Z1044="No Disp","No Disp",(Z1044*18)+Y1044)</f>
        <v>144000</v>
      </c>
      <c r="AD1044" s="95">
        <f>IF($H1044="EMP",18*Z1044-100,18*Z1044-100+Y1044)</f>
        <v>143900</v>
      </c>
      <c r="AE1044" s="95">
        <v>0</v>
      </c>
      <c r="AF1044" s="95">
        <v>8000</v>
      </c>
      <c r="AG1044" s="95">
        <f>IF(AF1044="No Disp","No Disp",(AF1044*18)+AE1044)</f>
        <v>144000</v>
      </c>
      <c r="AH1044" s="98">
        <f>IF($H1044="EMP",18*AF1044-100,18*AF1044-100+AE1044)</f>
        <v>143900</v>
      </c>
      <c r="AI1044" s="95">
        <v>8000</v>
      </c>
      <c r="AJ1044" s="99"/>
      <c r="AK1044" s="100" t="s">
        <v>43</v>
      </c>
      <c r="AL1044" s="100" t="s">
        <v>43</v>
      </c>
      <c r="AM1044" s="100" t="s">
        <v>43</v>
      </c>
      <c r="AN1044" s="100" t="s">
        <v>43</v>
      </c>
      <c r="AO1044" s="100" t="s">
        <v>43</v>
      </c>
      <c r="AP1044" s="100" t="s">
        <v>43</v>
      </c>
      <c r="AQ1044" s="100" t="s">
        <v>43</v>
      </c>
      <c r="AR1044" s="100" t="s">
        <v>43</v>
      </c>
      <c r="AS1044" s="100" t="s">
        <v>43</v>
      </c>
    </row>
    <row r="1045" spans="1:45" s="101" customFormat="1" x14ac:dyDescent="0.25">
      <c r="A1045" s="90" t="s">
        <v>38</v>
      </c>
      <c r="B1045" s="90" t="s">
        <v>40</v>
      </c>
      <c r="C1045" s="90" t="s">
        <v>39</v>
      </c>
      <c r="D1045" s="90" t="s">
        <v>4541</v>
      </c>
      <c r="E1045" s="90" t="s">
        <v>4538</v>
      </c>
      <c r="F1045" s="91"/>
      <c r="G1045" s="92">
        <v>70014763</v>
      </c>
      <c r="H1045" s="91" t="s">
        <v>4370</v>
      </c>
      <c r="I1045" s="93" t="s">
        <v>112</v>
      </c>
      <c r="J1045" s="94" t="s">
        <v>4252</v>
      </c>
      <c r="K1045" s="94" t="s">
        <v>4253</v>
      </c>
      <c r="L1045" s="94" t="s">
        <v>4255</v>
      </c>
      <c r="M1045" s="95">
        <v>90900</v>
      </c>
      <c r="N1045" s="95">
        <v>2500</v>
      </c>
      <c r="O1045" s="95">
        <v>4000</v>
      </c>
      <c r="P1045" s="96">
        <v>199990</v>
      </c>
      <c r="Q1045" s="152"/>
      <c r="R1045" s="95">
        <v>90900</v>
      </c>
      <c r="S1045" s="95">
        <v>4166.25</v>
      </c>
      <c r="T1045" s="95">
        <v>90900</v>
      </c>
      <c r="U1045" s="95">
        <v>3954.1666666666665</v>
      </c>
      <c r="V1045" s="95">
        <v>90900</v>
      </c>
      <c r="W1045" s="95">
        <v>3954.1666666666665</v>
      </c>
      <c r="X1045" s="128"/>
      <c r="Y1045" s="95">
        <v>0</v>
      </c>
      <c r="Z1045" s="95">
        <v>6000</v>
      </c>
      <c r="AA1045" s="95">
        <f>IFERROR(IF(D1045="Premium",0.4*Y1045,0),"No Disp")</f>
        <v>0</v>
      </c>
      <c r="AB1045" s="95">
        <f>IFERROR(IF(4*Y1045&gt;AC1045,1.5*Y1045,4*Y1045),"No Disp")</f>
        <v>0</v>
      </c>
      <c r="AC1045" s="95">
        <f>IF(Z1045="No Disp","No Disp",(Z1045*18)+Y1045)</f>
        <v>108000</v>
      </c>
      <c r="AD1045" s="95">
        <f>IF($H1045="EMP",18*Z1045-100,18*Z1045-100+Y1045)</f>
        <v>107900</v>
      </c>
      <c r="AE1045" s="95">
        <v>0</v>
      </c>
      <c r="AF1045" s="95">
        <v>6000</v>
      </c>
      <c r="AG1045" s="95">
        <f>IF(AF1045="No Disp","No Disp",(AF1045*18)+AE1045)</f>
        <v>108000</v>
      </c>
      <c r="AH1045" s="98">
        <f>IF($H1045="EMP",18*AF1045-100,18*AF1045-100+AE1045)</f>
        <v>107900</v>
      </c>
      <c r="AI1045" s="95">
        <v>6000</v>
      </c>
      <c r="AJ1045" s="99"/>
      <c r="AK1045" s="100" t="s">
        <v>43</v>
      </c>
      <c r="AL1045" s="100" t="s">
        <v>43</v>
      </c>
      <c r="AM1045" s="100" t="s">
        <v>43</v>
      </c>
      <c r="AN1045" s="100" t="s">
        <v>43</v>
      </c>
      <c r="AO1045" s="100" t="s">
        <v>43</v>
      </c>
      <c r="AP1045" s="100" t="s">
        <v>43</v>
      </c>
      <c r="AQ1045" s="100" t="s">
        <v>43</v>
      </c>
      <c r="AR1045" s="100" t="s">
        <v>43</v>
      </c>
      <c r="AS1045" s="100" t="s">
        <v>43</v>
      </c>
    </row>
    <row r="1046" spans="1:45" s="101" customFormat="1" x14ac:dyDescent="0.25">
      <c r="A1046" s="90" t="s">
        <v>38</v>
      </c>
      <c r="B1046" s="90" t="s">
        <v>40</v>
      </c>
      <c r="C1046" s="90" t="s">
        <v>39</v>
      </c>
      <c r="D1046" s="90" t="s">
        <v>4539</v>
      </c>
      <c r="E1046" s="90" t="s">
        <v>4538</v>
      </c>
      <c r="F1046" s="91"/>
      <c r="G1046" s="92">
        <v>70014094</v>
      </c>
      <c r="H1046" s="91" t="s">
        <v>4370</v>
      </c>
      <c r="I1046" s="93" t="s">
        <v>131</v>
      </c>
      <c r="J1046" s="94" t="s">
        <v>2852</v>
      </c>
      <c r="K1046" s="94" t="s">
        <v>3041</v>
      </c>
      <c r="L1046" s="94" t="s">
        <v>3188</v>
      </c>
      <c r="M1046" s="95">
        <v>183900</v>
      </c>
      <c r="N1046" s="95">
        <v>4000</v>
      </c>
      <c r="O1046" s="95">
        <v>6000</v>
      </c>
      <c r="P1046" s="96">
        <v>229990</v>
      </c>
      <c r="Q1046" s="152"/>
      <c r="R1046" s="95">
        <v>183900</v>
      </c>
      <c r="S1046" s="95">
        <v>7912.5</v>
      </c>
      <c r="T1046" s="95">
        <v>183900</v>
      </c>
      <c r="U1046" s="95">
        <v>7912.5</v>
      </c>
      <c r="V1046" s="95">
        <v>183900</v>
      </c>
      <c r="W1046" s="95">
        <v>7912.5</v>
      </c>
      <c r="X1046" s="128"/>
      <c r="Y1046" s="95">
        <v>0</v>
      </c>
      <c r="Z1046" s="95">
        <v>11000</v>
      </c>
      <c r="AA1046" s="95">
        <f>IFERROR(IF(D1046="Premium",0.4*Y1046,0),"No Disp")</f>
        <v>0</v>
      </c>
      <c r="AB1046" s="95">
        <f>IFERROR(IF(4*Y1046&gt;AC1046,1.5*Y1046,4*Y1046),"No Disp")</f>
        <v>0</v>
      </c>
      <c r="AC1046" s="95">
        <f>IF(Z1046="No Disp","No Disp",(Z1046*18)+Y1046)</f>
        <v>198000</v>
      </c>
      <c r="AD1046" s="95">
        <f>IF($H1046="EMP",18*Z1046-100,18*Z1046-100+Y1046)</f>
        <v>197900</v>
      </c>
      <c r="AE1046" s="95">
        <v>0</v>
      </c>
      <c r="AF1046" s="95">
        <v>11000</v>
      </c>
      <c r="AG1046" s="95">
        <f>IF(AF1046="No Disp","No Disp",(AF1046*18)+AE1046)</f>
        <v>198000</v>
      </c>
      <c r="AH1046" s="98">
        <f>IF($H1046="EMP",18*AF1046-100,18*AF1046-100+AE1046)</f>
        <v>197900</v>
      </c>
      <c r="AI1046" s="95">
        <v>11000</v>
      </c>
      <c r="AJ1046" s="99"/>
      <c r="AK1046" s="100" t="s">
        <v>43</v>
      </c>
      <c r="AL1046" s="100" t="s">
        <v>43</v>
      </c>
      <c r="AM1046" s="100" t="s">
        <v>43</v>
      </c>
      <c r="AN1046" s="100" t="s">
        <v>43</v>
      </c>
      <c r="AO1046" s="100" t="s">
        <v>43</v>
      </c>
      <c r="AP1046" s="100" t="s">
        <v>43</v>
      </c>
      <c r="AQ1046" s="100" t="s">
        <v>43</v>
      </c>
      <c r="AR1046" s="100" t="s">
        <v>43</v>
      </c>
      <c r="AS1046" s="100" t="s">
        <v>43</v>
      </c>
    </row>
    <row r="1047" spans="1:45" s="101" customFormat="1" x14ac:dyDescent="0.25">
      <c r="A1047" s="90" t="s">
        <v>38</v>
      </c>
      <c r="B1047" s="90" t="s">
        <v>40</v>
      </c>
      <c r="C1047" s="90" t="s">
        <v>39</v>
      </c>
      <c r="D1047" s="90" t="s">
        <v>4539</v>
      </c>
      <c r="E1047" s="90" t="s">
        <v>4538</v>
      </c>
      <c r="F1047" s="91"/>
      <c r="G1047" s="92">
        <v>70014095</v>
      </c>
      <c r="H1047" s="91" t="s">
        <v>4370</v>
      </c>
      <c r="I1047" s="93" t="s">
        <v>131</v>
      </c>
      <c r="J1047" s="94" t="s">
        <v>2852</v>
      </c>
      <c r="K1047" s="94" t="s">
        <v>3042</v>
      </c>
      <c r="L1047" s="94" t="s">
        <v>3189</v>
      </c>
      <c r="M1047" s="95">
        <v>183900</v>
      </c>
      <c r="N1047" s="95">
        <v>4000</v>
      </c>
      <c r="O1047" s="95">
        <v>6000</v>
      </c>
      <c r="P1047" s="96">
        <v>229990</v>
      </c>
      <c r="Q1047" s="152"/>
      <c r="R1047" s="95">
        <v>183900</v>
      </c>
      <c r="S1047" s="95">
        <v>7912.5</v>
      </c>
      <c r="T1047" s="95">
        <v>183900</v>
      </c>
      <c r="U1047" s="95">
        <v>7912.5</v>
      </c>
      <c r="V1047" s="95">
        <v>183900</v>
      </c>
      <c r="W1047" s="95">
        <v>7912.5</v>
      </c>
      <c r="X1047" s="128"/>
      <c r="Y1047" s="95">
        <v>0</v>
      </c>
      <c r="Z1047" s="95">
        <v>11000</v>
      </c>
      <c r="AA1047" s="95">
        <f>IFERROR(IF(D1047="Premium",0.4*Y1047,0),"No Disp")</f>
        <v>0</v>
      </c>
      <c r="AB1047" s="95">
        <f>IFERROR(IF(4*Y1047&gt;AC1047,1.5*Y1047,4*Y1047),"No Disp")</f>
        <v>0</v>
      </c>
      <c r="AC1047" s="95">
        <f>IF(Z1047="No Disp","No Disp",(Z1047*18)+Y1047)</f>
        <v>198000</v>
      </c>
      <c r="AD1047" s="95">
        <f>IF($H1047="EMP",18*Z1047-100,18*Z1047-100+Y1047)</f>
        <v>197900</v>
      </c>
      <c r="AE1047" s="95">
        <v>0</v>
      </c>
      <c r="AF1047" s="95">
        <v>11000</v>
      </c>
      <c r="AG1047" s="95">
        <f>IF(AF1047="No Disp","No Disp",(AF1047*18)+AE1047)</f>
        <v>198000</v>
      </c>
      <c r="AH1047" s="98">
        <f>IF($H1047="EMP",18*AF1047-100,18*AF1047-100+AE1047)</f>
        <v>197900</v>
      </c>
      <c r="AI1047" s="95">
        <v>11000</v>
      </c>
      <c r="AJ1047" s="99"/>
      <c r="AK1047" s="100" t="s">
        <v>43</v>
      </c>
      <c r="AL1047" s="100" t="s">
        <v>43</v>
      </c>
      <c r="AM1047" s="100" t="s">
        <v>43</v>
      </c>
      <c r="AN1047" s="100" t="s">
        <v>43</v>
      </c>
      <c r="AO1047" s="100" t="s">
        <v>43</v>
      </c>
      <c r="AP1047" s="100" t="s">
        <v>43</v>
      </c>
      <c r="AQ1047" s="100" t="s">
        <v>43</v>
      </c>
      <c r="AR1047" s="100" t="s">
        <v>43</v>
      </c>
      <c r="AS1047" s="100" t="s">
        <v>43</v>
      </c>
    </row>
    <row r="1048" spans="1:45" s="101" customFormat="1" x14ac:dyDescent="0.25">
      <c r="A1048" s="90" t="s">
        <v>38</v>
      </c>
      <c r="B1048" s="90" t="s">
        <v>40</v>
      </c>
      <c r="C1048" s="90" t="s">
        <v>39</v>
      </c>
      <c r="D1048" s="90" t="s">
        <v>4539</v>
      </c>
      <c r="E1048" s="90" t="s">
        <v>4538</v>
      </c>
      <c r="F1048" s="91"/>
      <c r="G1048" s="92">
        <v>70014118</v>
      </c>
      <c r="H1048" s="91" t="s">
        <v>4370</v>
      </c>
      <c r="I1048" s="93" t="s">
        <v>131</v>
      </c>
      <c r="J1048" s="94" t="s">
        <v>2852</v>
      </c>
      <c r="K1048" s="94" t="s">
        <v>3034</v>
      </c>
      <c r="L1048" s="94" t="s">
        <v>3181</v>
      </c>
      <c r="M1048" s="95">
        <v>183900</v>
      </c>
      <c r="N1048" s="95">
        <v>4000</v>
      </c>
      <c r="O1048" s="95">
        <v>6000</v>
      </c>
      <c r="P1048" s="96">
        <v>229990</v>
      </c>
      <c r="Q1048" s="152"/>
      <c r="R1048" s="95">
        <v>183900</v>
      </c>
      <c r="S1048" s="95">
        <v>7912.5</v>
      </c>
      <c r="T1048" s="95">
        <v>183900</v>
      </c>
      <c r="U1048" s="95">
        <v>7912.5</v>
      </c>
      <c r="V1048" s="95">
        <v>183900</v>
      </c>
      <c r="W1048" s="95">
        <v>7912.5</v>
      </c>
      <c r="X1048" s="128"/>
      <c r="Y1048" s="95">
        <v>0</v>
      </c>
      <c r="Z1048" s="95">
        <v>11000</v>
      </c>
      <c r="AA1048" s="95">
        <f>IFERROR(IF(D1048="Premium",0.4*Y1048,0),"No Disp")</f>
        <v>0</v>
      </c>
      <c r="AB1048" s="95">
        <f>IFERROR(IF(4*Y1048&gt;AC1048,1.5*Y1048,4*Y1048),"No Disp")</f>
        <v>0</v>
      </c>
      <c r="AC1048" s="95">
        <f>IF(Z1048="No Disp","No Disp",(Z1048*18)+Y1048)</f>
        <v>198000</v>
      </c>
      <c r="AD1048" s="95">
        <f>IF($H1048="EMP",18*Z1048-100,18*Z1048-100+Y1048)</f>
        <v>197900</v>
      </c>
      <c r="AE1048" s="95">
        <v>0</v>
      </c>
      <c r="AF1048" s="95">
        <v>11000</v>
      </c>
      <c r="AG1048" s="95">
        <f>IF(AF1048="No Disp","No Disp",(AF1048*18)+AE1048)</f>
        <v>198000</v>
      </c>
      <c r="AH1048" s="98">
        <f>IF($H1048="EMP",18*AF1048-100,18*AF1048-100+AE1048)</f>
        <v>197900</v>
      </c>
      <c r="AI1048" s="95">
        <v>11000</v>
      </c>
      <c r="AJ1048" s="99"/>
      <c r="AK1048" s="100" t="s">
        <v>43</v>
      </c>
      <c r="AL1048" s="100" t="s">
        <v>43</v>
      </c>
      <c r="AM1048" s="100" t="s">
        <v>43</v>
      </c>
      <c r="AN1048" s="100" t="s">
        <v>43</v>
      </c>
      <c r="AO1048" s="100" t="s">
        <v>43</v>
      </c>
      <c r="AP1048" s="100" t="s">
        <v>43</v>
      </c>
      <c r="AQ1048" s="100" t="s">
        <v>43</v>
      </c>
      <c r="AR1048" s="100" t="s">
        <v>43</v>
      </c>
      <c r="AS1048" s="100" t="s">
        <v>43</v>
      </c>
    </row>
    <row r="1049" spans="1:45" s="101" customFormat="1" x14ac:dyDescent="0.25">
      <c r="A1049" s="90" t="s">
        <v>38</v>
      </c>
      <c r="B1049" s="90" t="s">
        <v>40</v>
      </c>
      <c r="C1049" s="90" t="s">
        <v>39</v>
      </c>
      <c r="D1049" s="90" t="s">
        <v>4539</v>
      </c>
      <c r="E1049" s="90" t="s">
        <v>4538</v>
      </c>
      <c r="F1049" s="91"/>
      <c r="G1049" s="92">
        <v>70014155</v>
      </c>
      <c r="H1049" s="91" t="s">
        <v>4370</v>
      </c>
      <c r="I1049" s="93" t="s">
        <v>131</v>
      </c>
      <c r="J1049" s="94" t="s">
        <v>2852</v>
      </c>
      <c r="K1049" s="94" t="s">
        <v>3034</v>
      </c>
      <c r="L1049" s="94" t="s">
        <v>3181</v>
      </c>
      <c r="M1049" s="95">
        <v>183900</v>
      </c>
      <c r="N1049" s="95">
        <v>4000</v>
      </c>
      <c r="O1049" s="95">
        <v>6000</v>
      </c>
      <c r="P1049" s="96">
        <v>229990</v>
      </c>
      <c r="Q1049" s="152"/>
      <c r="R1049" s="95">
        <v>183900</v>
      </c>
      <c r="S1049" s="95">
        <v>7912.5</v>
      </c>
      <c r="T1049" s="95">
        <v>183900</v>
      </c>
      <c r="U1049" s="95">
        <v>7912.5</v>
      </c>
      <c r="V1049" s="95">
        <v>183900</v>
      </c>
      <c r="W1049" s="95">
        <v>7912.5</v>
      </c>
      <c r="X1049" s="128"/>
      <c r="Y1049" s="95">
        <v>0</v>
      </c>
      <c r="Z1049" s="95">
        <v>11000</v>
      </c>
      <c r="AA1049" s="95">
        <f>IFERROR(IF(D1049="Premium",0.4*Y1049,0),"No Disp")</f>
        <v>0</v>
      </c>
      <c r="AB1049" s="95">
        <f>IFERROR(IF(4*Y1049&gt;AC1049,1.5*Y1049,4*Y1049),"No Disp")</f>
        <v>0</v>
      </c>
      <c r="AC1049" s="95">
        <f>IF(Z1049="No Disp","No Disp",(Z1049*18)+Y1049)</f>
        <v>198000</v>
      </c>
      <c r="AD1049" s="95">
        <f>IF($H1049="EMP",18*Z1049-100,18*Z1049-100+Y1049)</f>
        <v>197900</v>
      </c>
      <c r="AE1049" s="95">
        <v>0</v>
      </c>
      <c r="AF1049" s="95">
        <v>11000</v>
      </c>
      <c r="AG1049" s="95">
        <f>IF(AF1049="No Disp","No Disp",(AF1049*18)+AE1049)</f>
        <v>198000</v>
      </c>
      <c r="AH1049" s="98">
        <f>IF($H1049="EMP",18*AF1049-100,18*AF1049-100+AE1049)</f>
        <v>197900</v>
      </c>
      <c r="AI1049" s="95">
        <v>11000</v>
      </c>
      <c r="AJ1049" s="99"/>
      <c r="AK1049" s="100" t="s">
        <v>43</v>
      </c>
      <c r="AL1049" s="100" t="s">
        <v>43</v>
      </c>
      <c r="AM1049" s="100" t="s">
        <v>43</v>
      </c>
      <c r="AN1049" s="100" t="s">
        <v>43</v>
      </c>
      <c r="AO1049" s="100" t="s">
        <v>43</v>
      </c>
      <c r="AP1049" s="100" t="s">
        <v>43</v>
      </c>
      <c r="AQ1049" s="100" t="s">
        <v>43</v>
      </c>
      <c r="AR1049" s="100" t="s">
        <v>43</v>
      </c>
      <c r="AS1049" s="100" t="s">
        <v>43</v>
      </c>
    </row>
    <row r="1050" spans="1:45" s="101" customFormat="1" x14ac:dyDescent="0.25">
      <c r="A1050" s="90" t="s">
        <v>38</v>
      </c>
      <c r="B1050" s="90" t="s">
        <v>40</v>
      </c>
      <c r="C1050" s="90" t="s">
        <v>39</v>
      </c>
      <c r="D1050" s="90" t="s">
        <v>4540</v>
      </c>
      <c r="E1050" s="90" t="s">
        <v>4538</v>
      </c>
      <c r="F1050" s="91">
        <v>143</v>
      </c>
      <c r="G1050" s="92">
        <v>70015820</v>
      </c>
      <c r="H1050" s="91" t="s">
        <v>4370</v>
      </c>
      <c r="I1050" s="93" t="s">
        <v>63</v>
      </c>
      <c r="J1050" s="94" t="s">
        <v>4260</v>
      </c>
      <c r="K1050" s="94" t="s">
        <v>4399</v>
      </c>
      <c r="L1050" s="94" t="s">
        <v>4400</v>
      </c>
      <c r="M1050" s="95">
        <v>1542900</v>
      </c>
      <c r="N1050" s="95">
        <v>7000</v>
      </c>
      <c r="O1050" s="95">
        <v>10000</v>
      </c>
      <c r="P1050" s="96">
        <v>1589990</v>
      </c>
      <c r="Q1050" s="152"/>
      <c r="R1050" s="95">
        <v>1542900</v>
      </c>
      <c r="S1050" s="95">
        <v>69166.25</v>
      </c>
      <c r="T1050" s="95">
        <v>1542900</v>
      </c>
      <c r="U1050" s="95">
        <v>59995.833333333336</v>
      </c>
      <c r="V1050" s="95">
        <v>1542900</v>
      </c>
      <c r="W1050" s="95">
        <v>59995.833333333336</v>
      </c>
      <c r="X1050" s="128"/>
      <c r="Y1050" s="95">
        <v>532900</v>
      </c>
      <c r="Z1050" s="95">
        <v>69000</v>
      </c>
      <c r="AA1050" s="95">
        <f>IFERROR(IF(D1050="Premium",0.4*Y1050,0),"No Disp")</f>
        <v>213160</v>
      </c>
      <c r="AB1050" s="95">
        <f>IFERROR(IF(4*Y1050&gt;AC1050,1.5*Y1050,4*Y1050),"No Disp")</f>
        <v>799350</v>
      </c>
      <c r="AC1050" s="95">
        <f>IF(Z1050="No Disp","No Disp",(Z1050*18)+Y1050)</f>
        <v>1774900</v>
      </c>
      <c r="AD1050" s="95">
        <f>IF($H1050="EMP",18*Z1050-100,18*Z1050-100+Y1050)</f>
        <v>1241900</v>
      </c>
      <c r="AE1050" s="95">
        <v>532900</v>
      </c>
      <c r="AF1050" s="95">
        <v>69000</v>
      </c>
      <c r="AG1050" s="95">
        <f>IF(AF1050="No Disp","No Disp",(AF1050*18)+AE1050)</f>
        <v>1774900</v>
      </c>
      <c r="AH1050" s="98">
        <f>IF($H1050="EMP",18*AF1050-100,18*AF1050-100+AE1050)</f>
        <v>1241900</v>
      </c>
      <c r="AI1050" s="95">
        <v>98000</v>
      </c>
      <c r="AJ1050" s="99"/>
      <c r="AK1050" s="100" t="s">
        <v>43</v>
      </c>
      <c r="AL1050" s="100" t="s">
        <v>43</v>
      </c>
      <c r="AM1050" s="100" t="s">
        <v>43</v>
      </c>
      <c r="AN1050" s="100" t="s">
        <v>43</v>
      </c>
      <c r="AO1050" s="100" t="s">
        <v>43</v>
      </c>
      <c r="AP1050" s="100" t="s">
        <v>43</v>
      </c>
      <c r="AQ1050" s="100" t="s">
        <v>43</v>
      </c>
      <c r="AR1050" s="100" t="s">
        <v>43</v>
      </c>
      <c r="AS1050" s="100" t="s">
        <v>43</v>
      </c>
    </row>
    <row r="1051" spans="1:45" s="101" customFormat="1" x14ac:dyDescent="0.25">
      <c r="A1051" s="90" t="s">
        <v>38</v>
      </c>
      <c r="B1051" s="90" t="s">
        <v>40</v>
      </c>
      <c r="C1051" s="90" t="s">
        <v>39</v>
      </c>
      <c r="D1051" s="90" t="s">
        <v>4540</v>
      </c>
      <c r="E1051" s="90" t="s">
        <v>4538</v>
      </c>
      <c r="F1051" s="91">
        <v>95</v>
      </c>
      <c r="G1051" s="92">
        <v>70015824</v>
      </c>
      <c r="H1051" s="91" t="s">
        <v>4370</v>
      </c>
      <c r="I1051" s="93" t="s">
        <v>63</v>
      </c>
      <c r="J1051" s="94" t="s">
        <v>4260</v>
      </c>
      <c r="K1051" s="94" t="s">
        <v>4401</v>
      </c>
      <c r="L1051" s="94" t="s">
        <v>4402</v>
      </c>
      <c r="M1051" s="95">
        <v>1542900</v>
      </c>
      <c r="N1051" s="95">
        <v>7000</v>
      </c>
      <c r="O1051" s="95">
        <v>10000</v>
      </c>
      <c r="P1051" s="96">
        <v>1589990</v>
      </c>
      <c r="Q1051" s="152"/>
      <c r="R1051" s="95">
        <v>1542900</v>
      </c>
      <c r="S1051" s="95">
        <v>69166.25</v>
      </c>
      <c r="T1051" s="95">
        <v>1542900</v>
      </c>
      <c r="U1051" s="95">
        <v>59995.833333333336</v>
      </c>
      <c r="V1051" s="95">
        <v>1542900</v>
      </c>
      <c r="W1051" s="95">
        <v>59995.833333333336</v>
      </c>
      <c r="X1051" s="128"/>
      <c r="Y1051" s="95">
        <v>532900</v>
      </c>
      <c r="Z1051" s="95">
        <v>69000</v>
      </c>
      <c r="AA1051" s="95">
        <f>IFERROR(IF(D1051="Premium",0.4*Y1051,0),"No Disp")</f>
        <v>213160</v>
      </c>
      <c r="AB1051" s="95">
        <f>IFERROR(IF(4*Y1051&gt;AC1051,1.5*Y1051,4*Y1051),"No Disp")</f>
        <v>799350</v>
      </c>
      <c r="AC1051" s="95">
        <f>IF(Z1051="No Disp","No Disp",(Z1051*18)+Y1051)</f>
        <v>1774900</v>
      </c>
      <c r="AD1051" s="95">
        <f>IF($H1051="EMP",18*Z1051-100,18*Z1051-100+Y1051)</f>
        <v>1241900</v>
      </c>
      <c r="AE1051" s="95">
        <v>532900</v>
      </c>
      <c r="AF1051" s="95">
        <v>69000</v>
      </c>
      <c r="AG1051" s="95">
        <f>IF(AF1051="No Disp","No Disp",(AF1051*18)+AE1051)</f>
        <v>1774900</v>
      </c>
      <c r="AH1051" s="98">
        <f>IF($H1051="EMP",18*AF1051-100,18*AF1051-100+AE1051)</f>
        <v>1241900</v>
      </c>
      <c r="AI1051" s="95">
        <v>98000</v>
      </c>
      <c r="AJ1051" s="99"/>
      <c r="AK1051" s="100" t="s">
        <v>43</v>
      </c>
      <c r="AL1051" s="100" t="s">
        <v>43</v>
      </c>
      <c r="AM1051" s="100" t="s">
        <v>43</v>
      </c>
      <c r="AN1051" s="100" t="s">
        <v>43</v>
      </c>
      <c r="AO1051" s="100" t="s">
        <v>43</v>
      </c>
      <c r="AP1051" s="100" t="s">
        <v>43</v>
      </c>
      <c r="AQ1051" s="100" t="s">
        <v>43</v>
      </c>
      <c r="AR1051" s="100" t="s">
        <v>43</v>
      </c>
      <c r="AS1051" s="100" t="s">
        <v>43</v>
      </c>
    </row>
    <row r="1052" spans="1:45" s="101" customFormat="1" x14ac:dyDescent="0.25">
      <c r="A1052" s="90" t="s">
        <v>38</v>
      </c>
      <c r="B1052" s="90" t="s">
        <v>40</v>
      </c>
      <c r="C1052" s="90" t="s">
        <v>39</v>
      </c>
      <c r="D1052" s="90" t="s">
        <v>4540</v>
      </c>
      <c r="E1052" s="90" t="s">
        <v>4538</v>
      </c>
      <c r="F1052" s="91">
        <v>143</v>
      </c>
      <c r="G1052" s="92">
        <v>70015828</v>
      </c>
      <c r="H1052" s="91" t="s">
        <v>4370</v>
      </c>
      <c r="I1052" s="93" t="s">
        <v>63</v>
      </c>
      <c r="J1052" s="94" t="s">
        <v>4260</v>
      </c>
      <c r="K1052" s="94" t="s">
        <v>4403</v>
      </c>
      <c r="L1052" s="94" t="s">
        <v>4404</v>
      </c>
      <c r="M1052" s="95">
        <v>1542900</v>
      </c>
      <c r="N1052" s="95">
        <v>7000</v>
      </c>
      <c r="O1052" s="95">
        <v>10000</v>
      </c>
      <c r="P1052" s="96">
        <v>1589990</v>
      </c>
      <c r="Q1052" s="152"/>
      <c r="R1052" s="95">
        <v>1542900</v>
      </c>
      <c r="S1052" s="95">
        <v>69166.25</v>
      </c>
      <c r="T1052" s="95">
        <v>1542900</v>
      </c>
      <c r="U1052" s="95">
        <v>59995.833333333336</v>
      </c>
      <c r="V1052" s="95">
        <v>1542900</v>
      </c>
      <c r="W1052" s="95">
        <v>59995.833333333336</v>
      </c>
      <c r="X1052" s="128"/>
      <c r="Y1052" s="95">
        <v>532900</v>
      </c>
      <c r="Z1052" s="95">
        <v>69000</v>
      </c>
      <c r="AA1052" s="95">
        <f>IFERROR(IF(D1052="Premium",0.4*Y1052,0),"No Disp")</f>
        <v>213160</v>
      </c>
      <c r="AB1052" s="95">
        <f>IFERROR(IF(4*Y1052&gt;AC1052,1.5*Y1052,4*Y1052),"No Disp")</f>
        <v>799350</v>
      </c>
      <c r="AC1052" s="95">
        <f>IF(Z1052="No Disp","No Disp",(Z1052*18)+Y1052)</f>
        <v>1774900</v>
      </c>
      <c r="AD1052" s="95">
        <f>IF($H1052="EMP",18*Z1052-100,18*Z1052-100+Y1052)</f>
        <v>1241900</v>
      </c>
      <c r="AE1052" s="95">
        <v>532900</v>
      </c>
      <c r="AF1052" s="95">
        <v>69000</v>
      </c>
      <c r="AG1052" s="95">
        <f>IF(AF1052="No Disp","No Disp",(AF1052*18)+AE1052)</f>
        <v>1774900</v>
      </c>
      <c r="AH1052" s="98">
        <f>IF($H1052="EMP",18*AF1052-100,18*AF1052-100+AE1052)</f>
        <v>1241900</v>
      </c>
      <c r="AI1052" s="95">
        <v>98000</v>
      </c>
      <c r="AJ1052" s="99"/>
      <c r="AK1052" s="100" t="s">
        <v>43</v>
      </c>
      <c r="AL1052" s="100" t="s">
        <v>43</v>
      </c>
      <c r="AM1052" s="100" t="s">
        <v>43</v>
      </c>
      <c r="AN1052" s="100" t="s">
        <v>43</v>
      </c>
      <c r="AO1052" s="100" t="s">
        <v>43</v>
      </c>
      <c r="AP1052" s="100" t="s">
        <v>43</v>
      </c>
      <c r="AQ1052" s="100" t="s">
        <v>43</v>
      </c>
      <c r="AR1052" s="100" t="s">
        <v>43</v>
      </c>
      <c r="AS1052" s="100" t="s">
        <v>43</v>
      </c>
    </row>
    <row r="1053" spans="1:45" s="101" customFormat="1" x14ac:dyDescent="0.25">
      <c r="A1053" s="90" t="s">
        <v>38</v>
      </c>
      <c r="B1053" s="90" t="s">
        <v>39</v>
      </c>
      <c r="C1053" s="90" t="s">
        <v>39</v>
      </c>
      <c r="D1053" s="90" t="s">
        <v>4540</v>
      </c>
      <c r="E1053" s="90" t="s">
        <v>4542</v>
      </c>
      <c r="F1053" s="91"/>
      <c r="G1053" s="92">
        <v>70014373</v>
      </c>
      <c r="H1053" s="91" t="s">
        <v>4370</v>
      </c>
      <c r="I1053" s="93" t="s">
        <v>63</v>
      </c>
      <c r="J1053" s="94" t="s">
        <v>197</v>
      </c>
      <c r="K1053" s="94" t="s">
        <v>3408</v>
      </c>
      <c r="L1053" s="94" t="s">
        <v>3409</v>
      </c>
      <c r="M1053" s="95">
        <v>1310900</v>
      </c>
      <c r="N1053" s="95">
        <v>9500</v>
      </c>
      <c r="O1053" s="95">
        <v>13500</v>
      </c>
      <c r="P1053" s="96">
        <v>1454990</v>
      </c>
      <c r="Q1053" s="152"/>
      <c r="R1053" s="95">
        <v>1310900</v>
      </c>
      <c r="S1053" s="95">
        <v>52870.833333333336</v>
      </c>
      <c r="T1053" s="95">
        <v>1310900</v>
      </c>
      <c r="U1053" s="95">
        <v>52870.833333333336</v>
      </c>
      <c r="V1053" s="95">
        <v>1310900</v>
      </c>
      <c r="W1053" s="95">
        <v>52870.833333333336</v>
      </c>
      <c r="X1053" s="128"/>
      <c r="Y1053" s="95">
        <v>452900</v>
      </c>
      <c r="Z1053" s="95">
        <v>59000</v>
      </c>
      <c r="AA1053" s="95">
        <f>IFERROR(IF(D1053="Premium",0.4*Y1053,0),"No Disp")</f>
        <v>181160</v>
      </c>
      <c r="AB1053" s="95">
        <f>IFERROR(IF(4*Y1053&gt;AC1053,1.5*Y1053,4*Y1053),"No Disp")</f>
        <v>679350</v>
      </c>
      <c r="AC1053" s="95">
        <f>IF(Z1053="No Disp","No Disp",(Z1053*18)+Y1053)</f>
        <v>1514900</v>
      </c>
      <c r="AD1053" s="95">
        <f>IF($H1053="EMP",18*Z1053-100,18*Z1053-100+Y1053)</f>
        <v>1061900</v>
      </c>
      <c r="AE1053" s="95">
        <v>452900</v>
      </c>
      <c r="AF1053" s="95">
        <v>59000</v>
      </c>
      <c r="AG1053" s="95">
        <f>IF(AF1053="No Disp","No Disp",(AF1053*18)+AE1053)</f>
        <v>1514900</v>
      </c>
      <c r="AH1053" s="98">
        <f>IF($H1053="EMP",18*AF1053-100,18*AF1053-100+AE1053)</f>
        <v>1061900</v>
      </c>
      <c r="AI1053" s="95">
        <v>84000</v>
      </c>
      <c r="AJ1053" s="99"/>
      <c r="AK1053" s="100" t="s">
        <v>43</v>
      </c>
      <c r="AL1053" s="100" t="s">
        <v>43</v>
      </c>
      <c r="AM1053" s="100" t="s">
        <v>43</v>
      </c>
      <c r="AN1053" s="100" t="s">
        <v>43</v>
      </c>
      <c r="AO1053" s="100" t="s">
        <v>43</v>
      </c>
      <c r="AP1053" s="100" t="s">
        <v>43</v>
      </c>
      <c r="AQ1053" s="100" t="s">
        <v>43</v>
      </c>
      <c r="AR1053" s="100" t="s">
        <v>43</v>
      </c>
      <c r="AS1053" s="100" t="s">
        <v>43</v>
      </c>
    </row>
    <row r="1054" spans="1:45" s="101" customFormat="1" x14ac:dyDescent="0.25">
      <c r="A1054" s="90" t="s">
        <v>38</v>
      </c>
      <c r="B1054" s="90" t="s">
        <v>40</v>
      </c>
      <c r="C1054" s="90" t="s">
        <v>39</v>
      </c>
      <c r="D1054" s="90" t="s">
        <v>4540</v>
      </c>
      <c r="E1054" s="90" t="s">
        <v>4538</v>
      </c>
      <c r="F1054" s="91">
        <v>772</v>
      </c>
      <c r="G1054" s="92">
        <v>70015491</v>
      </c>
      <c r="H1054" s="91" t="s">
        <v>4370</v>
      </c>
      <c r="I1054" s="93" t="s">
        <v>63</v>
      </c>
      <c r="J1054" s="94" t="s">
        <v>4464</v>
      </c>
      <c r="K1054" s="94" t="s">
        <v>4466</v>
      </c>
      <c r="L1054" s="94" t="s">
        <v>4471</v>
      </c>
      <c r="M1054" s="95">
        <v>1756900</v>
      </c>
      <c r="N1054" s="95">
        <v>12000</v>
      </c>
      <c r="O1054" s="95">
        <v>15500</v>
      </c>
      <c r="P1054" s="96">
        <v>1809990</v>
      </c>
      <c r="Q1054" s="152"/>
      <c r="R1054" s="95">
        <v>1756900</v>
      </c>
      <c r="S1054" s="95">
        <v>22082.916666666668</v>
      </c>
      <c r="T1054" s="95">
        <v>1756900</v>
      </c>
      <c r="U1054" s="95">
        <v>20790</v>
      </c>
      <c r="V1054" s="95">
        <v>1756900</v>
      </c>
      <c r="W1054" s="95">
        <v>20790</v>
      </c>
      <c r="X1054" s="128"/>
      <c r="Y1054" s="95">
        <v>606900</v>
      </c>
      <c r="Z1054" s="95">
        <v>79000</v>
      </c>
      <c r="AA1054" s="95">
        <f>IFERROR(IF(D1054="Premium",0.4*Y1054,0),"No Disp")</f>
        <v>242760</v>
      </c>
      <c r="AB1054" s="95">
        <f>IFERROR(IF(4*Y1054&gt;AC1054,1.5*Y1054,4*Y1054),"No Disp")</f>
        <v>910350</v>
      </c>
      <c r="AC1054" s="95">
        <f>IF(Z1054="No Disp","No Disp",(Z1054*18)+Y1054)</f>
        <v>2028900</v>
      </c>
      <c r="AD1054" s="95">
        <f>IF($H1054="EMP",18*Z1054-100,18*Z1054-100+Y1054)</f>
        <v>1421900</v>
      </c>
      <c r="AE1054" s="95">
        <v>606900</v>
      </c>
      <c r="AF1054" s="95">
        <v>79000</v>
      </c>
      <c r="AG1054" s="95">
        <f>IF(AF1054="No Disp","No Disp",(AF1054*18)+AE1054)</f>
        <v>2028900</v>
      </c>
      <c r="AH1054" s="98">
        <f>IF($H1054="EMP",18*AF1054-100,18*AF1054-100+AE1054)</f>
        <v>1421900</v>
      </c>
      <c r="AI1054" s="95">
        <v>112000</v>
      </c>
      <c r="AJ1054" s="99"/>
      <c r="AK1054" s="100" t="s">
        <v>43</v>
      </c>
      <c r="AL1054" s="100" t="s">
        <v>43</v>
      </c>
      <c r="AM1054" s="100" t="str">
        <f>IF(AL1054&lt;&gt;"No Disp",AK1054+12*AL1054,"No Disp")</f>
        <v>No Disp</v>
      </c>
      <c r="AN1054" s="100" t="s">
        <v>43</v>
      </c>
      <c r="AO1054" s="100" t="s">
        <v>43</v>
      </c>
      <c r="AP1054" s="100" t="str">
        <f>IF(AO1054&lt;&gt;"No Disp",AN1054+12*AO1054,"No Disp")</f>
        <v>No Disp</v>
      </c>
      <c r="AQ1054" s="100" t="s">
        <v>43</v>
      </c>
      <c r="AR1054" s="100" t="s">
        <v>43</v>
      </c>
      <c r="AS1054" s="100" t="str">
        <f>IF(AR1054&lt;&gt;"No Disp",AQ1054+12*AR1054,"No Disp")</f>
        <v>No Disp</v>
      </c>
    </row>
    <row r="1055" spans="1:45" s="101" customFormat="1" x14ac:dyDescent="0.25">
      <c r="A1055" s="90" t="s">
        <v>38</v>
      </c>
      <c r="B1055" s="90" t="s">
        <v>40</v>
      </c>
      <c r="C1055" s="90" t="s">
        <v>39</v>
      </c>
      <c r="D1055" s="90" t="s">
        <v>4540</v>
      </c>
      <c r="E1055" s="90" t="s">
        <v>4538</v>
      </c>
      <c r="F1055" s="91">
        <v>771</v>
      </c>
      <c r="G1055" s="92">
        <v>70015495</v>
      </c>
      <c r="H1055" s="91" t="s">
        <v>4370</v>
      </c>
      <c r="I1055" s="93" t="s">
        <v>63</v>
      </c>
      <c r="J1055" s="94" t="s">
        <v>4464</v>
      </c>
      <c r="K1055" s="94" t="s">
        <v>4467</v>
      </c>
      <c r="L1055" s="94" t="s">
        <v>4472</v>
      </c>
      <c r="M1055" s="95">
        <v>1756900</v>
      </c>
      <c r="N1055" s="95">
        <v>12000</v>
      </c>
      <c r="O1055" s="95">
        <v>15500</v>
      </c>
      <c r="P1055" s="96">
        <v>1809990</v>
      </c>
      <c r="Q1055" s="152"/>
      <c r="R1055" s="95">
        <v>1756900</v>
      </c>
      <c r="S1055" s="95">
        <v>31666.25</v>
      </c>
      <c r="T1055" s="95">
        <v>1756900</v>
      </c>
      <c r="U1055" s="95">
        <v>28690</v>
      </c>
      <c r="V1055" s="95">
        <v>1756900</v>
      </c>
      <c r="W1055" s="95">
        <v>28690</v>
      </c>
      <c r="X1055" s="128"/>
      <c r="Y1055" s="95">
        <v>606900</v>
      </c>
      <c r="Z1055" s="95">
        <v>79000</v>
      </c>
      <c r="AA1055" s="95">
        <f>IFERROR(IF(D1055="Premium",0.4*Y1055,0),"No Disp")</f>
        <v>242760</v>
      </c>
      <c r="AB1055" s="95">
        <f>IFERROR(IF(4*Y1055&gt;AC1055,1.5*Y1055,4*Y1055),"No Disp")</f>
        <v>910350</v>
      </c>
      <c r="AC1055" s="95">
        <f>IF(Z1055="No Disp","No Disp",(Z1055*18)+Y1055)</f>
        <v>2028900</v>
      </c>
      <c r="AD1055" s="95">
        <f>IF($H1055="EMP",18*Z1055-100,18*Z1055-100+Y1055)</f>
        <v>1421900</v>
      </c>
      <c r="AE1055" s="95">
        <v>606900</v>
      </c>
      <c r="AF1055" s="95">
        <v>79000</v>
      </c>
      <c r="AG1055" s="95">
        <f>IF(AF1055="No Disp","No Disp",(AF1055*18)+AE1055)</f>
        <v>2028900</v>
      </c>
      <c r="AH1055" s="98">
        <f>IF($H1055="EMP",18*AF1055-100,18*AF1055-100+AE1055)</f>
        <v>1421900</v>
      </c>
      <c r="AI1055" s="95">
        <v>112000</v>
      </c>
      <c r="AJ1055" s="99"/>
      <c r="AK1055" s="100" t="s">
        <v>43</v>
      </c>
      <c r="AL1055" s="100" t="s">
        <v>43</v>
      </c>
      <c r="AM1055" s="100" t="str">
        <f>IF(AL1055&lt;&gt;"No Disp",AK1055+12*AL1055,"No Disp")</f>
        <v>No Disp</v>
      </c>
      <c r="AN1055" s="100" t="s">
        <v>43</v>
      </c>
      <c r="AO1055" s="100" t="s">
        <v>43</v>
      </c>
      <c r="AP1055" s="100" t="str">
        <f>IF(AO1055&lt;&gt;"No Disp",AN1055+12*AO1055,"No Disp")</f>
        <v>No Disp</v>
      </c>
      <c r="AQ1055" s="100" t="s">
        <v>43</v>
      </c>
      <c r="AR1055" s="100" t="s">
        <v>43</v>
      </c>
      <c r="AS1055" s="100" t="str">
        <f>IF(AR1055&lt;&gt;"No Disp",AQ1055+12*AR1055,"No Disp")</f>
        <v>No Disp</v>
      </c>
    </row>
    <row r="1056" spans="1:45" s="101" customFormat="1" x14ac:dyDescent="0.25">
      <c r="A1056" s="90" t="s">
        <v>38</v>
      </c>
      <c r="B1056" s="90" t="s">
        <v>40</v>
      </c>
      <c r="C1056" s="90" t="s">
        <v>39</v>
      </c>
      <c r="D1056" s="90" t="s">
        <v>4540</v>
      </c>
      <c r="E1056" s="90" t="s">
        <v>4538</v>
      </c>
      <c r="F1056" s="91">
        <v>772</v>
      </c>
      <c r="G1056" s="92">
        <v>70015499</v>
      </c>
      <c r="H1056" s="91" t="s">
        <v>4370</v>
      </c>
      <c r="I1056" s="93" t="s">
        <v>63</v>
      </c>
      <c r="J1056" s="94" t="s">
        <v>4464</v>
      </c>
      <c r="K1056" s="94" t="s">
        <v>4468</v>
      </c>
      <c r="L1056" s="94" t="s">
        <v>4473</v>
      </c>
      <c r="M1056" s="95">
        <v>1756900</v>
      </c>
      <c r="N1056" s="95">
        <v>12000</v>
      </c>
      <c r="O1056" s="95">
        <v>15500</v>
      </c>
      <c r="P1056" s="96">
        <v>1809990</v>
      </c>
      <c r="Q1056" s="152"/>
      <c r="R1056" s="95">
        <v>1756900</v>
      </c>
      <c r="S1056" s="95">
        <v>22082.916666666668</v>
      </c>
      <c r="T1056" s="95">
        <v>1756900</v>
      </c>
      <c r="U1056" s="95">
        <v>20790</v>
      </c>
      <c r="V1056" s="95">
        <v>1756900</v>
      </c>
      <c r="W1056" s="95">
        <v>20790</v>
      </c>
      <c r="X1056" s="128"/>
      <c r="Y1056" s="95">
        <v>606900</v>
      </c>
      <c r="Z1056" s="95">
        <v>79000</v>
      </c>
      <c r="AA1056" s="95">
        <f>IFERROR(IF(D1056="Premium",0.4*Y1056,0),"No Disp")</f>
        <v>242760</v>
      </c>
      <c r="AB1056" s="95">
        <f>IFERROR(IF(4*Y1056&gt;AC1056,1.5*Y1056,4*Y1056),"No Disp")</f>
        <v>910350</v>
      </c>
      <c r="AC1056" s="95">
        <f>IF(Z1056="No Disp","No Disp",(Z1056*18)+Y1056)</f>
        <v>2028900</v>
      </c>
      <c r="AD1056" s="95">
        <f>IF($H1056="EMP",18*Z1056-100,18*Z1056-100+Y1056)</f>
        <v>1421900</v>
      </c>
      <c r="AE1056" s="95">
        <v>606900</v>
      </c>
      <c r="AF1056" s="95">
        <v>79000</v>
      </c>
      <c r="AG1056" s="95">
        <f>IF(AF1056="No Disp","No Disp",(AF1056*18)+AE1056)</f>
        <v>2028900</v>
      </c>
      <c r="AH1056" s="98">
        <f>IF($H1056="EMP",18*AF1056-100,18*AF1056-100+AE1056)</f>
        <v>1421900</v>
      </c>
      <c r="AI1056" s="95">
        <v>112000</v>
      </c>
      <c r="AJ1056" s="99"/>
      <c r="AK1056" s="100" t="s">
        <v>43</v>
      </c>
      <c r="AL1056" s="100" t="s">
        <v>43</v>
      </c>
      <c r="AM1056" s="100" t="str">
        <f>IF(AL1056&lt;&gt;"No Disp",AK1056+12*AL1056,"No Disp")</f>
        <v>No Disp</v>
      </c>
      <c r="AN1056" s="100" t="s">
        <v>43</v>
      </c>
      <c r="AO1056" s="100" t="s">
        <v>43</v>
      </c>
      <c r="AP1056" s="100" t="str">
        <f>IF(AO1056&lt;&gt;"No Disp",AN1056+12*AO1056,"No Disp")</f>
        <v>No Disp</v>
      </c>
      <c r="AQ1056" s="100" t="s">
        <v>43</v>
      </c>
      <c r="AR1056" s="100" t="s">
        <v>43</v>
      </c>
      <c r="AS1056" s="100" t="str">
        <f>IF(AR1056&lt;&gt;"No Disp",AQ1056+12*AR1056,"No Disp")</f>
        <v>No Disp</v>
      </c>
    </row>
    <row r="1057" spans="1:45" s="101" customFormat="1" x14ac:dyDescent="0.25">
      <c r="A1057" s="90" t="s">
        <v>38</v>
      </c>
      <c r="B1057" s="90" t="s">
        <v>40</v>
      </c>
      <c r="C1057" s="90" t="s">
        <v>39</v>
      </c>
      <c r="D1057" s="90" t="s">
        <v>4540</v>
      </c>
      <c r="E1057" s="90" t="s">
        <v>4538</v>
      </c>
      <c r="F1057" s="91"/>
      <c r="G1057" s="92">
        <v>70014174</v>
      </c>
      <c r="H1057" s="91" t="s">
        <v>4370</v>
      </c>
      <c r="I1057" s="93" t="s">
        <v>63</v>
      </c>
      <c r="J1057" s="94" t="s">
        <v>64</v>
      </c>
      <c r="K1057" s="94" t="s">
        <v>3317</v>
      </c>
      <c r="L1057" s="94" t="s">
        <v>3319</v>
      </c>
      <c r="M1057" s="95">
        <v>679900</v>
      </c>
      <c r="N1057" s="95">
        <v>6000</v>
      </c>
      <c r="O1057" s="95">
        <v>8500</v>
      </c>
      <c r="P1057" s="96">
        <v>699990</v>
      </c>
      <c r="Q1057" s="152"/>
      <c r="R1057" s="95">
        <v>679900</v>
      </c>
      <c r="S1057" s="95">
        <v>28329.166666666668</v>
      </c>
      <c r="T1057" s="95">
        <v>679900</v>
      </c>
      <c r="U1057" s="95">
        <v>28329.166666666668</v>
      </c>
      <c r="V1057" s="95">
        <v>679900</v>
      </c>
      <c r="W1057" s="95">
        <v>28329.166666666668</v>
      </c>
      <c r="X1057" s="128"/>
      <c r="Y1057" s="95">
        <v>195900</v>
      </c>
      <c r="Z1057" s="95">
        <v>33000</v>
      </c>
      <c r="AA1057" s="95">
        <f>IFERROR(IF(D1057="Premium",0.4*Y1057,0),"No Disp")</f>
        <v>78360</v>
      </c>
      <c r="AB1057" s="95">
        <f>IFERROR(IF(4*Y1057&gt;AC1057,1.5*Y1057,4*Y1057),"No Disp")</f>
        <v>783600</v>
      </c>
      <c r="AC1057" s="95">
        <f>IF(Z1057="No Disp","No Disp",(Z1057*18)+Y1057)</f>
        <v>789900</v>
      </c>
      <c r="AD1057" s="95">
        <f>IF($H1057="EMP",18*Z1057-100,18*Z1057-100+Y1057)</f>
        <v>593900</v>
      </c>
      <c r="AE1057" s="95">
        <v>195900</v>
      </c>
      <c r="AF1057" s="95">
        <v>33000</v>
      </c>
      <c r="AG1057" s="95">
        <f>IF(AF1057="No Disp","No Disp",(AF1057*18)+AE1057)</f>
        <v>789900</v>
      </c>
      <c r="AH1057" s="98">
        <f>IF($H1057="EMP",18*AF1057-100,18*AF1057-100+AE1057)</f>
        <v>593900</v>
      </c>
      <c r="AI1057" s="95">
        <v>43000</v>
      </c>
      <c r="AJ1057" s="99"/>
      <c r="AK1057" s="100" t="s">
        <v>43</v>
      </c>
      <c r="AL1057" s="100" t="s">
        <v>43</v>
      </c>
      <c r="AM1057" s="100" t="s">
        <v>43</v>
      </c>
      <c r="AN1057" s="100" t="s">
        <v>43</v>
      </c>
      <c r="AO1057" s="100" t="s">
        <v>43</v>
      </c>
      <c r="AP1057" s="100" t="s">
        <v>43</v>
      </c>
      <c r="AQ1057" s="100" t="s">
        <v>43</v>
      </c>
      <c r="AR1057" s="100" t="s">
        <v>43</v>
      </c>
      <c r="AS1057" s="100" t="s">
        <v>43</v>
      </c>
    </row>
    <row r="1058" spans="1:45" s="101" customFormat="1" x14ac:dyDescent="0.25">
      <c r="A1058" s="90" t="s">
        <v>38</v>
      </c>
      <c r="B1058" s="90" t="s">
        <v>40</v>
      </c>
      <c r="C1058" s="90" t="s">
        <v>39</v>
      </c>
      <c r="D1058" s="90" t="s">
        <v>4537</v>
      </c>
      <c r="E1058" s="90" t="s">
        <v>4542</v>
      </c>
      <c r="F1058" s="91"/>
      <c r="G1058" s="92">
        <v>70013936</v>
      </c>
      <c r="H1058" s="91" t="s">
        <v>4370</v>
      </c>
      <c r="I1058" s="93" t="s">
        <v>41</v>
      </c>
      <c r="J1058" s="94" t="s">
        <v>208</v>
      </c>
      <c r="K1058" s="94" t="s">
        <v>3082</v>
      </c>
      <c r="L1058" s="94" t="s">
        <v>3229</v>
      </c>
      <c r="M1058" s="95">
        <v>393900</v>
      </c>
      <c r="N1058" s="95">
        <v>6000</v>
      </c>
      <c r="O1058" s="95">
        <v>8500</v>
      </c>
      <c r="P1058" s="96">
        <v>609990</v>
      </c>
      <c r="Q1058" s="152"/>
      <c r="R1058" s="95">
        <v>393900</v>
      </c>
      <c r="S1058" s="95">
        <v>16666.25</v>
      </c>
      <c r="T1058" s="95">
        <v>393900</v>
      </c>
      <c r="U1058" s="95">
        <v>15412.5</v>
      </c>
      <c r="V1058" s="95">
        <v>393900</v>
      </c>
      <c r="W1058" s="95">
        <v>15412.5</v>
      </c>
      <c r="X1058" s="128"/>
      <c r="Y1058" s="95">
        <v>90900</v>
      </c>
      <c r="Z1058" s="95">
        <v>21000</v>
      </c>
      <c r="AA1058" s="95">
        <f>IFERROR(IF(D1058="Premium",0.4*Y1058,0),"No Disp")</f>
        <v>0</v>
      </c>
      <c r="AB1058" s="95">
        <f>IFERROR(IF(4*Y1058&gt;AC1058,1.5*Y1058,4*Y1058),"No Disp")</f>
        <v>363600</v>
      </c>
      <c r="AC1058" s="95">
        <f>IF(Z1058="No Disp","No Disp",(Z1058*18)+Y1058)</f>
        <v>468900</v>
      </c>
      <c r="AD1058" s="95">
        <f>IF($H1058="EMP",18*Z1058-100,18*Z1058-100+Y1058)</f>
        <v>377900</v>
      </c>
      <c r="AE1058" s="95">
        <v>90900</v>
      </c>
      <c r="AF1058" s="95">
        <v>21000</v>
      </c>
      <c r="AG1058" s="95">
        <f>IF(AF1058="No Disp","No Disp",(AF1058*18)+AE1058)</f>
        <v>468900</v>
      </c>
      <c r="AH1058" s="98">
        <f>IF($H1058="EMP",18*AF1058-100,18*AF1058-100+AE1058)</f>
        <v>377900</v>
      </c>
      <c r="AI1058" s="95">
        <v>26000</v>
      </c>
      <c r="AJ1058" s="99"/>
      <c r="AK1058" s="100" t="s">
        <v>43</v>
      </c>
      <c r="AL1058" s="100" t="s">
        <v>43</v>
      </c>
      <c r="AM1058" s="100" t="s">
        <v>43</v>
      </c>
      <c r="AN1058" s="100" t="s">
        <v>43</v>
      </c>
      <c r="AO1058" s="100" t="s">
        <v>43</v>
      </c>
      <c r="AP1058" s="100" t="s">
        <v>43</v>
      </c>
      <c r="AQ1058" s="100" t="s">
        <v>43</v>
      </c>
      <c r="AR1058" s="100" t="s">
        <v>43</v>
      </c>
      <c r="AS1058" s="100" t="s">
        <v>43</v>
      </c>
    </row>
    <row r="1059" spans="1:45" s="101" customFormat="1" x14ac:dyDescent="0.25">
      <c r="A1059" s="90" t="s">
        <v>38</v>
      </c>
      <c r="B1059" s="90" t="s">
        <v>40</v>
      </c>
      <c r="C1059" s="90" t="s">
        <v>39</v>
      </c>
      <c r="D1059" s="90" t="s">
        <v>4539</v>
      </c>
      <c r="E1059" s="90" t="s">
        <v>4538</v>
      </c>
      <c r="F1059" s="91"/>
      <c r="G1059" s="92">
        <v>70014111</v>
      </c>
      <c r="H1059" s="91" t="s">
        <v>4370</v>
      </c>
      <c r="I1059" s="93" t="s">
        <v>171</v>
      </c>
      <c r="J1059" s="94" t="s">
        <v>2856</v>
      </c>
      <c r="K1059" s="94" t="s">
        <v>3077</v>
      </c>
      <c r="L1059" s="94" t="s">
        <v>3224</v>
      </c>
      <c r="M1059" s="95">
        <v>340900</v>
      </c>
      <c r="N1059" s="95">
        <v>6000</v>
      </c>
      <c r="O1059" s="95">
        <v>8500</v>
      </c>
      <c r="P1059" s="96">
        <v>399990</v>
      </c>
      <c r="Q1059" s="152"/>
      <c r="R1059" s="95">
        <v>340900</v>
      </c>
      <c r="S1059" s="95">
        <v>14162.5</v>
      </c>
      <c r="T1059" s="95">
        <v>340900</v>
      </c>
      <c r="U1059" s="95">
        <v>14162.5</v>
      </c>
      <c r="V1059" s="95">
        <v>340900</v>
      </c>
      <c r="W1059" s="95">
        <v>14162.5</v>
      </c>
      <c r="X1059" s="128"/>
      <c r="Y1059" s="95">
        <v>78900</v>
      </c>
      <c r="Z1059" s="95">
        <v>18000</v>
      </c>
      <c r="AA1059" s="95">
        <f>IFERROR(IF(D1059="Premium",0.4*Y1059,0),"No Disp")</f>
        <v>0</v>
      </c>
      <c r="AB1059" s="95">
        <f>IFERROR(IF(4*Y1059&gt;AC1059,1.5*Y1059,4*Y1059),"No Disp")</f>
        <v>315600</v>
      </c>
      <c r="AC1059" s="95">
        <f>IF(Z1059="No Disp","No Disp",(Z1059*18)+Y1059)</f>
        <v>402900</v>
      </c>
      <c r="AD1059" s="95">
        <f>IF($H1059="EMP",18*Z1059-100,18*Z1059-100+Y1059)</f>
        <v>323900</v>
      </c>
      <c r="AE1059" s="95">
        <v>78900</v>
      </c>
      <c r="AF1059" s="95">
        <v>18000</v>
      </c>
      <c r="AG1059" s="95">
        <f>IF(AF1059="No Disp","No Disp",(AF1059*18)+AE1059)</f>
        <v>402900</v>
      </c>
      <c r="AH1059" s="98">
        <f>IF($H1059="EMP",18*AF1059-100,18*AF1059-100+AE1059)</f>
        <v>323900</v>
      </c>
      <c r="AI1059" s="95">
        <v>22000</v>
      </c>
      <c r="AJ1059" s="99"/>
      <c r="AK1059" s="100" t="s">
        <v>43</v>
      </c>
      <c r="AL1059" s="100" t="s">
        <v>43</v>
      </c>
      <c r="AM1059" s="100" t="s">
        <v>43</v>
      </c>
      <c r="AN1059" s="100" t="s">
        <v>43</v>
      </c>
      <c r="AO1059" s="100" t="s">
        <v>43</v>
      </c>
      <c r="AP1059" s="100" t="s">
        <v>43</v>
      </c>
      <c r="AQ1059" s="100" t="s">
        <v>43</v>
      </c>
      <c r="AR1059" s="100" t="s">
        <v>43</v>
      </c>
      <c r="AS1059" s="100" t="s">
        <v>43</v>
      </c>
    </row>
    <row r="1060" spans="1:45" s="101" customFormat="1" x14ac:dyDescent="0.25">
      <c r="A1060" s="90" t="s">
        <v>38</v>
      </c>
      <c r="B1060" s="90" t="s">
        <v>40</v>
      </c>
      <c r="C1060" s="90" t="s">
        <v>39</v>
      </c>
      <c r="D1060" s="90" t="s">
        <v>4539</v>
      </c>
      <c r="E1060" s="90" t="s">
        <v>4538</v>
      </c>
      <c r="F1060" s="91"/>
      <c r="G1060" s="92">
        <v>70014113</v>
      </c>
      <c r="H1060" s="91" t="s">
        <v>4370</v>
      </c>
      <c r="I1060" s="93" t="s">
        <v>171</v>
      </c>
      <c r="J1060" s="94" t="s">
        <v>2856</v>
      </c>
      <c r="K1060" s="94" t="s">
        <v>3076</v>
      </c>
      <c r="L1060" s="94" t="s">
        <v>3223</v>
      </c>
      <c r="M1060" s="95">
        <v>340900</v>
      </c>
      <c r="N1060" s="95">
        <v>6000</v>
      </c>
      <c r="O1060" s="95">
        <v>8500</v>
      </c>
      <c r="P1060" s="96">
        <v>399990</v>
      </c>
      <c r="Q1060" s="152"/>
      <c r="R1060" s="95">
        <v>340900</v>
      </c>
      <c r="S1060" s="95">
        <v>14162.5</v>
      </c>
      <c r="T1060" s="95">
        <v>340900</v>
      </c>
      <c r="U1060" s="95">
        <v>14162.5</v>
      </c>
      <c r="V1060" s="95">
        <v>340900</v>
      </c>
      <c r="W1060" s="95">
        <v>14162.5</v>
      </c>
      <c r="X1060" s="128"/>
      <c r="Y1060" s="95">
        <v>78900</v>
      </c>
      <c r="Z1060" s="95">
        <v>18000</v>
      </c>
      <c r="AA1060" s="95">
        <f>IFERROR(IF(D1060="Premium",0.4*Y1060,0),"No Disp")</f>
        <v>0</v>
      </c>
      <c r="AB1060" s="95">
        <f>IFERROR(IF(4*Y1060&gt;AC1060,1.5*Y1060,4*Y1060),"No Disp")</f>
        <v>315600</v>
      </c>
      <c r="AC1060" s="95">
        <f>IF(Z1060="No Disp","No Disp",(Z1060*18)+Y1060)</f>
        <v>402900</v>
      </c>
      <c r="AD1060" s="95">
        <f>IF($H1060="EMP",18*Z1060-100,18*Z1060-100+Y1060)</f>
        <v>323900</v>
      </c>
      <c r="AE1060" s="95">
        <v>78900</v>
      </c>
      <c r="AF1060" s="95">
        <v>18000</v>
      </c>
      <c r="AG1060" s="95">
        <f>IF(AF1060="No Disp","No Disp",(AF1060*18)+AE1060)</f>
        <v>402900</v>
      </c>
      <c r="AH1060" s="98">
        <f>IF($H1060="EMP",18*AF1060-100,18*AF1060-100+AE1060)</f>
        <v>323900</v>
      </c>
      <c r="AI1060" s="95">
        <v>22000</v>
      </c>
      <c r="AJ1060" s="99"/>
      <c r="AK1060" s="100" t="s">
        <v>43</v>
      </c>
      <c r="AL1060" s="100" t="s">
        <v>43</v>
      </c>
      <c r="AM1060" s="100" t="s">
        <v>43</v>
      </c>
      <c r="AN1060" s="100" t="s">
        <v>43</v>
      </c>
      <c r="AO1060" s="100" t="s">
        <v>43</v>
      </c>
      <c r="AP1060" s="100" t="s">
        <v>43</v>
      </c>
      <c r="AQ1060" s="100" t="s">
        <v>43</v>
      </c>
      <c r="AR1060" s="100" t="s">
        <v>43</v>
      </c>
      <c r="AS1060" s="100" t="s">
        <v>43</v>
      </c>
    </row>
    <row r="1061" spans="1:45" s="101" customFormat="1" x14ac:dyDescent="0.25">
      <c r="A1061" s="90" t="s">
        <v>38</v>
      </c>
      <c r="B1061" s="90" t="s">
        <v>40</v>
      </c>
      <c r="C1061" s="90" t="s">
        <v>39</v>
      </c>
      <c r="D1061" s="90" t="s">
        <v>4537</v>
      </c>
      <c r="E1061" s="90" t="s">
        <v>4542</v>
      </c>
      <c r="F1061" s="91"/>
      <c r="G1061" s="92">
        <v>70014156</v>
      </c>
      <c r="H1061" s="91" t="s">
        <v>4370</v>
      </c>
      <c r="I1061" s="93" t="s">
        <v>41</v>
      </c>
      <c r="J1061" s="94" t="s">
        <v>2838</v>
      </c>
      <c r="K1061" s="94" t="s">
        <v>3088</v>
      </c>
      <c r="L1061" s="94" t="s">
        <v>3236</v>
      </c>
      <c r="M1061" s="95">
        <v>375900</v>
      </c>
      <c r="N1061" s="95">
        <v>6000</v>
      </c>
      <c r="O1061" s="95">
        <v>8500</v>
      </c>
      <c r="P1061" s="96">
        <v>699990</v>
      </c>
      <c r="Q1061" s="152"/>
      <c r="R1061" s="95">
        <v>375900</v>
      </c>
      <c r="S1061" s="95">
        <v>15662.5</v>
      </c>
      <c r="T1061" s="95">
        <v>375900</v>
      </c>
      <c r="U1061" s="95">
        <v>15662.5</v>
      </c>
      <c r="V1061" s="95">
        <v>375900</v>
      </c>
      <c r="W1061" s="95">
        <v>15662.5</v>
      </c>
      <c r="X1061" s="128"/>
      <c r="Y1061" s="95">
        <v>86900</v>
      </c>
      <c r="Z1061" s="95">
        <v>20000</v>
      </c>
      <c r="AA1061" s="95">
        <f>IFERROR(IF(D1061="Premium",0.4*Y1061,0),"No Disp")</f>
        <v>0</v>
      </c>
      <c r="AB1061" s="95">
        <f>IFERROR(IF(4*Y1061&gt;AC1061,1.5*Y1061,4*Y1061),"No Disp")</f>
        <v>347600</v>
      </c>
      <c r="AC1061" s="95">
        <f>IF(Z1061="No Disp","No Disp",(Z1061*18)+Y1061)</f>
        <v>446900</v>
      </c>
      <c r="AD1061" s="95">
        <f>IF($H1061="EMP",18*Z1061-100,18*Z1061-100+Y1061)</f>
        <v>359900</v>
      </c>
      <c r="AE1061" s="95">
        <v>86900</v>
      </c>
      <c r="AF1061" s="95">
        <v>20000</v>
      </c>
      <c r="AG1061" s="95">
        <f>IF(AF1061="No Disp","No Disp",(AF1061*18)+AE1061)</f>
        <v>446900</v>
      </c>
      <c r="AH1061" s="98">
        <f>IF($H1061="EMP",18*AF1061-100,18*AF1061-100+AE1061)</f>
        <v>359900</v>
      </c>
      <c r="AI1061" s="95">
        <v>24000</v>
      </c>
      <c r="AJ1061" s="99"/>
      <c r="AK1061" s="100" t="s">
        <v>43</v>
      </c>
      <c r="AL1061" s="100" t="s">
        <v>43</v>
      </c>
      <c r="AM1061" s="100" t="s">
        <v>43</v>
      </c>
      <c r="AN1061" s="100" t="s">
        <v>43</v>
      </c>
      <c r="AO1061" s="100" t="s">
        <v>43</v>
      </c>
      <c r="AP1061" s="100" t="s">
        <v>43</v>
      </c>
      <c r="AQ1061" s="100" t="s">
        <v>43</v>
      </c>
      <c r="AR1061" s="100" t="s">
        <v>43</v>
      </c>
      <c r="AS1061" s="100" t="s">
        <v>43</v>
      </c>
    </row>
    <row r="1062" spans="1:45" s="101" customFormat="1" x14ac:dyDescent="0.25">
      <c r="A1062" s="90" t="s">
        <v>38</v>
      </c>
      <c r="B1062" s="90" t="s">
        <v>40</v>
      </c>
      <c r="C1062" s="90" t="s">
        <v>39</v>
      </c>
      <c r="D1062" s="90" t="s">
        <v>4539</v>
      </c>
      <c r="E1062" s="90" t="s">
        <v>4542</v>
      </c>
      <c r="F1062" s="91"/>
      <c r="G1062" s="92">
        <v>70013992</v>
      </c>
      <c r="H1062" s="91" t="s">
        <v>4370</v>
      </c>
      <c r="I1062" s="93" t="s">
        <v>131</v>
      </c>
      <c r="J1062" s="94" t="s">
        <v>234</v>
      </c>
      <c r="K1062" s="94" t="s">
        <v>3066</v>
      </c>
      <c r="L1062" s="94" t="s">
        <v>3213</v>
      </c>
      <c r="M1062" s="95">
        <v>273900</v>
      </c>
      <c r="N1062" s="95">
        <v>4000</v>
      </c>
      <c r="O1062" s="95">
        <v>6000</v>
      </c>
      <c r="P1062" s="96">
        <v>329990</v>
      </c>
      <c r="Q1062" s="152"/>
      <c r="R1062" s="95">
        <v>273900</v>
      </c>
      <c r="S1062" s="95">
        <v>11454.166666666666</v>
      </c>
      <c r="T1062" s="95">
        <v>273900</v>
      </c>
      <c r="U1062" s="95">
        <v>11454.166666666666</v>
      </c>
      <c r="V1062" s="95">
        <v>273900</v>
      </c>
      <c r="W1062" s="95">
        <v>11454.166666666666</v>
      </c>
      <c r="X1062" s="128"/>
      <c r="Y1062" s="95">
        <v>47900</v>
      </c>
      <c r="Z1062" s="95">
        <v>15000</v>
      </c>
      <c r="AA1062" s="95">
        <f>IFERROR(IF(D1062="Premium",0.4*Y1062,0),"No Disp")</f>
        <v>0</v>
      </c>
      <c r="AB1062" s="95">
        <f>IFERROR(IF(4*Y1062&gt;AC1062,1.5*Y1062,4*Y1062),"No Disp")</f>
        <v>191600</v>
      </c>
      <c r="AC1062" s="95">
        <f>IF(Z1062="No Disp","No Disp",(Z1062*18)+Y1062)</f>
        <v>317900</v>
      </c>
      <c r="AD1062" s="95">
        <f>IF($H1062="EMP",18*Z1062-100,18*Z1062-100+Y1062)</f>
        <v>269900</v>
      </c>
      <c r="AE1062" s="95">
        <v>47900</v>
      </c>
      <c r="AF1062" s="95">
        <v>15000</v>
      </c>
      <c r="AG1062" s="95">
        <f>IF(AF1062="No Disp","No Disp",(AF1062*18)+AE1062)</f>
        <v>317900</v>
      </c>
      <c r="AH1062" s="98">
        <f>IF($H1062="EMP",18*AF1062-100,18*AF1062-100+AE1062)</f>
        <v>269900</v>
      </c>
      <c r="AI1062" s="95">
        <v>17000</v>
      </c>
      <c r="AJ1062" s="99"/>
      <c r="AK1062" s="100" t="s">
        <v>43</v>
      </c>
      <c r="AL1062" s="100" t="s">
        <v>43</v>
      </c>
      <c r="AM1062" s="100" t="s">
        <v>43</v>
      </c>
      <c r="AN1062" s="100" t="s">
        <v>43</v>
      </c>
      <c r="AO1062" s="100" t="s">
        <v>43</v>
      </c>
      <c r="AP1062" s="100" t="s">
        <v>43</v>
      </c>
      <c r="AQ1062" s="100" t="s">
        <v>43</v>
      </c>
      <c r="AR1062" s="100" t="s">
        <v>43</v>
      </c>
      <c r="AS1062" s="100" t="s">
        <v>43</v>
      </c>
    </row>
    <row r="1063" spans="1:45" s="101" customFormat="1" x14ac:dyDescent="0.25">
      <c r="A1063" s="90" t="s">
        <v>38</v>
      </c>
      <c r="B1063" s="90" t="s">
        <v>40</v>
      </c>
      <c r="C1063" s="90" t="s">
        <v>39</v>
      </c>
      <c r="D1063" s="90" t="s">
        <v>4540</v>
      </c>
      <c r="E1063" s="90" t="s">
        <v>4538</v>
      </c>
      <c r="F1063" s="91"/>
      <c r="G1063" s="92">
        <v>70013968</v>
      </c>
      <c r="H1063" s="91" t="s">
        <v>4370</v>
      </c>
      <c r="I1063" s="93" t="s">
        <v>63</v>
      </c>
      <c r="J1063" s="94" t="s">
        <v>199</v>
      </c>
      <c r="K1063" s="94" t="s">
        <v>3125</v>
      </c>
      <c r="L1063" s="94" t="s">
        <v>3273</v>
      </c>
      <c r="M1063" s="95">
        <v>1193900</v>
      </c>
      <c r="N1063" s="95">
        <v>9500</v>
      </c>
      <c r="O1063" s="95">
        <v>13500</v>
      </c>
      <c r="P1063" s="96">
        <v>1324990</v>
      </c>
      <c r="Q1063" s="152"/>
      <c r="R1063" s="95">
        <v>1193900</v>
      </c>
      <c r="S1063" s="95">
        <v>48204.166666666664</v>
      </c>
      <c r="T1063" s="95">
        <v>1193900</v>
      </c>
      <c r="U1063" s="95">
        <v>48204.166666666664</v>
      </c>
      <c r="V1063" s="95">
        <v>1193900</v>
      </c>
      <c r="W1063" s="95">
        <v>48204.166666666664</v>
      </c>
      <c r="X1063" s="128"/>
      <c r="Y1063" s="95">
        <v>411900</v>
      </c>
      <c r="Z1063" s="95">
        <v>54000</v>
      </c>
      <c r="AA1063" s="95">
        <f>IFERROR(IF(D1063="Premium",0.4*Y1063,0),"No Disp")</f>
        <v>164760</v>
      </c>
      <c r="AB1063" s="95">
        <f>IFERROR(IF(4*Y1063&gt;AC1063,1.5*Y1063,4*Y1063),"No Disp")</f>
        <v>617850</v>
      </c>
      <c r="AC1063" s="95">
        <f>IF(Z1063="No Disp","No Disp",(Z1063*18)+Y1063)</f>
        <v>1383900</v>
      </c>
      <c r="AD1063" s="95">
        <f>IF($H1063="EMP",18*Z1063-100,18*Z1063-100+Y1063)</f>
        <v>971900</v>
      </c>
      <c r="AE1063" s="95">
        <v>411900</v>
      </c>
      <c r="AF1063" s="95">
        <v>54000</v>
      </c>
      <c r="AG1063" s="95">
        <f>IF(AF1063="No Disp","No Disp",(AF1063*18)+AE1063)</f>
        <v>1383900</v>
      </c>
      <c r="AH1063" s="98">
        <f>IF($H1063="EMP",18*AF1063-100,18*AF1063-100+AE1063)</f>
        <v>971900</v>
      </c>
      <c r="AI1063" s="95">
        <v>76000</v>
      </c>
      <c r="AJ1063" s="99"/>
      <c r="AK1063" s="100" t="s">
        <v>43</v>
      </c>
      <c r="AL1063" s="100" t="s">
        <v>43</v>
      </c>
      <c r="AM1063" s="100" t="s">
        <v>43</v>
      </c>
      <c r="AN1063" s="100" t="s">
        <v>43</v>
      </c>
      <c r="AO1063" s="100" t="s">
        <v>43</v>
      </c>
      <c r="AP1063" s="100" t="s">
        <v>43</v>
      </c>
      <c r="AQ1063" s="100" t="s">
        <v>43</v>
      </c>
      <c r="AR1063" s="100" t="s">
        <v>43</v>
      </c>
      <c r="AS1063" s="100" t="s">
        <v>43</v>
      </c>
    </row>
    <row r="1064" spans="1:45" s="101" customFormat="1" x14ac:dyDescent="0.25">
      <c r="A1064" s="90" t="s">
        <v>38</v>
      </c>
      <c r="B1064" s="90" t="s">
        <v>40</v>
      </c>
      <c r="C1064" s="90" t="s">
        <v>39</v>
      </c>
      <c r="D1064" s="90" t="s">
        <v>4540</v>
      </c>
      <c r="E1064" s="90" t="s">
        <v>4538</v>
      </c>
      <c r="F1064" s="91"/>
      <c r="G1064" s="92">
        <v>70013969</v>
      </c>
      <c r="H1064" s="91" t="s">
        <v>4370</v>
      </c>
      <c r="I1064" s="93" t="s">
        <v>63</v>
      </c>
      <c r="J1064" s="94" t="s">
        <v>199</v>
      </c>
      <c r="K1064" s="94" t="s">
        <v>3127</v>
      </c>
      <c r="L1064" s="94" t="s">
        <v>3275</v>
      </c>
      <c r="M1064" s="95">
        <v>1193900</v>
      </c>
      <c r="N1064" s="95">
        <v>9500</v>
      </c>
      <c r="O1064" s="95">
        <v>13500</v>
      </c>
      <c r="P1064" s="96">
        <v>1324990</v>
      </c>
      <c r="Q1064" s="152"/>
      <c r="R1064" s="95">
        <v>1193900</v>
      </c>
      <c r="S1064" s="95">
        <v>48204.166666666664</v>
      </c>
      <c r="T1064" s="95">
        <v>1193900</v>
      </c>
      <c r="U1064" s="95">
        <v>48204.166666666664</v>
      </c>
      <c r="V1064" s="95">
        <v>1193900</v>
      </c>
      <c r="W1064" s="95">
        <v>48204.166666666664</v>
      </c>
      <c r="X1064" s="128"/>
      <c r="Y1064" s="95">
        <v>411900</v>
      </c>
      <c r="Z1064" s="95">
        <v>54000</v>
      </c>
      <c r="AA1064" s="95">
        <f>IFERROR(IF(D1064="Premium",0.4*Y1064,0),"No Disp")</f>
        <v>164760</v>
      </c>
      <c r="AB1064" s="95">
        <f>IFERROR(IF(4*Y1064&gt;AC1064,1.5*Y1064,4*Y1064),"No Disp")</f>
        <v>617850</v>
      </c>
      <c r="AC1064" s="95">
        <f>IF(Z1064="No Disp","No Disp",(Z1064*18)+Y1064)</f>
        <v>1383900</v>
      </c>
      <c r="AD1064" s="95">
        <f>IF($H1064="EMP",18*Z1064-100,18*Z1064-100+Y1064)</f>
        <v>971900</v>
      </c>
      <c r="AE1064" s="95">
        <v>411900</v>
      </c>
      <c r="AF1064" s="95">
        <v>54000</v>
      </c>
      <c r="AG1064" s="95">
        <f>IF(AF1064="No Disp","No Disp",(AF1064*18)+AE1064)</f>
        <v>1383900</v>
      </c>
      <c r="AH1064" s="98">
        <f>IF($H1064="EMP",18*AF1064-100,18*AF1064-100+AE1064)</f>
        <v>971900</v>
      </c>
      <c r="AI1064" s="95">
        <v>76000</v>
      </c>
      <c r="AJ1064" s="99"/>
      <c r="AK1064" s="100" t="s">
        <v>43</v>
      </c>
      <c r="AL1064" s="100" t="s">
        <v>43</v>
      </c>
      <c r="AM1064" s="100" t="s">
        <v>43</v>
      </c>
      <c r="AN1064" s="100" t="s">
        <v>43</v>
      </c>
      <c r="AO1064" s="100" t="s">
        <v>43</v>
      </c>
      <c r="AP1064" s="100" t="s">
        <v>43</v>
      </c>
      <c r="AQ1064" s="100" t="s">
        <v>43</v>
      </c>
      <c r="AR1064" s="100" t="s">
        <v>43</v>
      </c>
      <c r="AS1064" s="100" t="s">
        <v>43</v>
      </c>
    </row>
    <row r="1065" spans="1:45" s="101" customFormat="1" x14ac:dyDescent="0.25">
      <c r="A1065" s="90" t="s">
        <v>38</v>
      </c>
      <c r="B1065" s="90" t="s">
        <v>40</v>
      </c>
      <c r="C1065" s="90" t="s">
        <v>39</v>
      </c>
      <c r="D1065" s="90" t="s">
        <v>4540</v>
      </c>
      <c r="E1065" s="90" t="s">
        <v>4538</v>
      </c>
      <c r="F1065" s="91"/>
      <c r="G1065" s="92">
        <v>70013970</v>
      </c>
      <c r="H1065" s="91" t="s">
        <v>4370</v>
      </c>
      <c r="I1065" s="93" t="s">
        <v>63</v>
      </c>
      <c r="J1065" s="94" t="s">
        <v>199</v>
      </c>
      <c r="K1065" s="94" t="s">
        <v>3126</v>
      </c>
      <c r="L1065" s="94" t="s">
        <v>3274</v>
      </c>
      <c r="M1065" s="95">
        <v>1193900</v>
      </c>
      <c r="N1065" s="95">
        <v>9500</v>
      </c>
      <c r="O1065" s="95">
        <v>13500</v>
      </c>
      <c r="P1065" s="96">
        <v>1324990</v>
      </c>
      <c r="Q1065" s="152"/>
      <c r="R1065" s="95">
        <v>1193900</v>
      </c>
      <c r="S1065" s="95">
        <v>48204.166666666664</v>
      </c>
      <c r="T1065" s="95">
        <v>1193900</v>
      </c>
      <c r="U1065" s="95">
        <v>48204.166666666664</v>
      </c>
      <c r="V1065" s="95">
        <v>1193900</v>
      </c>
      <c r="W1065" s="95">
        <v>48204.166666666664</v>
      </c>
      <c r="X1065" s="128"/>
      <c r="Y1065" s="95">
        <v>411900</v>
      </c>
      <c r="Z1065" s="95">
        <v>54000</v>
      </c>
      <c r="AA1065" s="95">
        <f>IFERROR(IF(D1065="Premium",0.4*Y1065,0),"No Disp")</f>
        <v>164760</v>
      </c>
      <c r="AB1065" s="95">
        <f>IFERROR(IF(4*Y1065&gt;AC1065,1.5*Y1065,4*Y1065),"No Disp")</f>
        <v>617850</v>
      </c>
      <c r="AC1065" s="95">
        <f>IF(Z1065="No Disp","No Disp",(Z1065*18)+Y1065)</f>
        <v>1383900</v>
      </c>
      <c r="AD1065" s="95">
        <f>IF($H1065="EMP",18*Z1065-100,18*Z1065-100+Y1065)</f>
        <v>971900</v>
      </c>
      <c r="AE1065" s="95">
        <v>411900</v>
      </c>
      <c r="AF1065" s="95">
        <v>54000</v>
      </c>
      <c r="AG1065" s="95">
        <f>IF(AF1065="No Disp","No Disp",(AF1065*18)+AE1065)</f>
        <v>1383900</v>
      </c>
      <c r="AH1065" s="98">
        <f>IF($H1065="EMP",18*AF1065-100,18*AF1065-100+AE1065)</f>
        <v>971900</v>
      </c>
      <c r="AI1065" s="95">
        <v>76000</v>
      </c>
      <c r="AJ1065" s="99"/>
      <c r="AK1065" s="100" t="s">
        <v>43</v>
      </c>
      <c r="AL1065" s="100" t="s">
        <v>43</v>
      </c>
      <c r="AM1065" s="100" t="s">
        <v>43</v>
      </c>
      <c r="AN1065" s="100" t="s">
        <v>43</v>
      </c>
      <c r="AO1065" s="100" t="s">
        <v>43</v>
      </c>
      <c r="AP1065" s="100" t="s">
        <v>43</v>
      </c>
      <c r="AQ1065" s="100" t="s">
        <v>43</v>
      </c>
      <c r="AR1065" s="100" t="s">
        <v>43</v>
      </c>
      <c r="AS1065" s="100" t="s">
        <v>43</v>
      </c>
    </row>
    <row r="1066" spans="1:45" s="101" customFormat="1" x14ac:dyDescent="0.25">
      <c r="A1066" s="90" t="s">
        <v>38</v>
      </c>
      <c r="B1066" s="90" t="s">
        <v>39</v>
      </c>
      <c r="C1066" s="90" t="s">
        <v>39</v>
      </c>
      <c r="D1066" s="90" t="s">
        <v>4540</v>
      </c>
      <c r="E1066" s="90" t="s">
        <v>4538</v>
      </c>
      <c r="F1066" s="91">
        <v>664</v>
      </c>
      <c r="G1066" s="92">
        <v>70015475</v>
      </c>
      <c r="H1066" s="91" t="s">
        <v>4370</v>
      </c>
      <c r="I1066" s="93" t="s">
        <v>63</v>
      </c>
      <c r="J1066" s="94" t="s">
        <v>4076</v>
      </c>
      <c r="K1066" s="94" t="s">
        <v>4082</v>
      </c>
      <c r="L1066" s="94" t="s">
        <v>4118</v>
      </c>
      <c r="M1066" s="95">
        <v>1504900</v>
      </c>
      <c r="N1066" s="95">
        <v>9500</v>
      </c>
      <c r="O1066" s="95">
        <v>13500</v>
      </c>
      <c r="P1066" s="96">
        <v>1549990</v>
      </c>
      <c r="Q1066" s="152"/>
      <c r="R1066" s="95">
        <v>1504900</v>
      </c>
      <c r="S1066" s="95">
        <v>64582.916666666664</v>
      </c>
      <c r="T1066" s="95">
        <v>1504900</v>
      </c>
      <c r="U1066" s="95">
        <v>63745.833333333336</v>
      </c>
      <c r="V1066" s="95">
        <v>1504900</v>
      </c>
      <c r="W1066" s="95">
        <v>63745.833333333336</v>
      </c>
      <c r="X1066" s="128"/>
      <c r="Y1066" s="95">
        <v>518900</v>
      </c>
      <c r="Z1066" s="95">
        <v>68000</v>
      </c>
      <c r="AA1066" s="95">
        <f>IFERROR(IF(D1066="Premium",0.4*Y1066,0),"No Disp")</f>
        <v>207560</v>
      </c>
      <c r="AB1066" s="95">
        <f>IFERROR(IF(4*Y1066&gt;AC1066,1.5*Y1066,4*Y1066),"No Disp")</f>
        <v>778350</v>
      </c>
      <c r="AC1066" s="95">
        <f>IF(Z1066="No Disp","No Disp",(Z1066*18)+Y1066)</f>
        <v>1742900</v>
      </c>
      <c r="AD1066" s="95">
        <f>IF($H1066="EMP",18*Z1066-100,18*Z1066-100+Y1066)</f>
        <v>1223900</v>
      </c>
      <c r="AE1066" s="95">
        <v>518900</v>
      </c>
      <c r="AF1066" s="95">
        <v>68000</v>
      </c>
      <c r="AG1066" s="95">
        <f>IF(AF1066="No Disp","No Disp",(AF1066*18)+AE1066)</f>
        <v>1742900</v>
      </c>
      <c r="AH1066" s="98">
        <f>IF($H1066="EMP",18*AF1066-100,18*AF1066-100+AE1066)</f>
        <v>1223900</v>
      </c>
      <c r="AI1066" s="95">
        <v>96000</v>
      </c>
      <c r="AJ1066" s="99"/>
      <c r="AK1066" s="100" t="s">
        <v>43</v>
      </c>
      <c r="AL1066" s="100" t="s">
        <v>43</v>
      </c>
      <c r="AM1066" s="100" t="s">
        <v>43</v>
      </c>
      <c r="AN1066" s="100" t="s">
        <v>43</v>
      </c>
      <c r="AO1066" s="100" t="s">
        <v>43</v>
      </c>
      <c r="AP1066" s="100" t="s">
        <v>43</v>
      </c>
      <c r="AQ1066" s="100" t="s">
        <v>43</v>
      </c>
      <c r="AR1066" s="100" t="s">
        <v>43</v>
      </c>
      <c r="AS1066" s="100" t="s">
        <v>43</v>
      </c>
    </row>
    <row r="1067" spans="1:45" s="101" customFormat="1" x14ac:dyDescent="0.25">
      <c r="A1067" s="90" t="s">
        <v>38</v>
      </c>
      <c r="B1067" s="90" t="s">
        <v>39</v>
      </c>
      <c r="C1067" s="90" t="s">
        <v>39</v>
      </c>
      <c r="D1067" s="90" t="s">
        <v>4540</v>
      </c>
      <c r="E1067" s="90" t="s">
        <v>4538</v>
      </c>
      <c r="F1067" s="91">
        <v>666</v>
      </c>
      <c r="G1067" s="92">
        <v>70015479</v>
      </c>
      <c r="H1067" s="91" t="s">
        <v>4370</v>
      </c>
      <c r="I1067" s="93" t="s">
        <v>63</v>
      </c>
      <c r="J1067" s="94" t="s">
        <v>4076</v>
      </c>
      <c r="K1067" s="94" t="s">
        <v>4084</v>
      </c>
      <c r="L1067" s="94" t="s">
        <v>4120</v>
      </c>
      <c r="M1067" s="95">
        <v>1504900</v>
      </c>
      <c r="N1067" s="95">
        <v>9500</v>
      </c>
      <c r="O1067" s="95">
        <v>13500</v>
      </c>
      <c r="P1067" s="96">
        <v>1549990</v>
      </c>
      <c r="Q1067" s="152"/>
      <c r="R1067" s="95">
        <v>1504900</v>
      </c>
      <c r="S1067" s="95">
        <v>64582.916666666664</v>
      </c>
      <c r="T1067" s="95">
        <v>1504900</v>
      </c>
      <c r="U1067" s="95">
        <v>63745.833333333336</v>
      </c>
      <c r="V1067" s="95">
        <v>1504900</v>
      </c>
      <c r="W1067" s="95">
        <v>63745.833333333336</v>
      </c>
      <c r="X1067" s="128"/>
      <c r="Y1067" s="95">
        <v>518900</v>
      </c>
      <c r="Z1067" s="95">
        <v>68000</v>
      </c>
      <c r="AA1067" s="95">
        <f>IFERROR(IF(D1067="Premium",0.4*Y1067,0),"No Disp")</f>
        <v>207560</v>
      </c>
      <c r="AB1067" s="95">
        <f>IFERROR(IF(4*Y1067&gt;AC1067,1.5*Y1067,4*Y1067),"No Disp")</f>
        <v>778350</v>
      </c>
      <c r="AC1067" s="95">
        <f>IF(Z1067="No Disp","No Disp",(Z1067*18)+Y1067)</f>
        <v>1742900</v>
      </c>
      <c r="AD1067" s="95">
        <f>IF($H1067="EMP",18*Z1067-100,18*Z1067-100+Y1067)</f>
        <v>1223900</v>
      </c>
      <c r="AE1067" s="95">
        <v>518900</v>
      </c>
      <c r="AF1067" s="95">
        <v>68000</v>
      </c>
      <c r="AG1067" s="95">
        <f>IF(AF1067="No Disp","No Disp",(AF1067*18)+AE1067)</f>
        <v>1742900</v>
      </c>
      <c r="AH1067" s="98">
        <f>IF($H1067="EMP",18*AF1067-100,18*AF1067-100+AE1067)</f>
        <v>1223900</v>
      </c>
      <c r="AI1067" s="95">
        <v>96000</v>
      </c>
      <c r="AJ1067" s="99"/>
      <c r="AK1067" s="100" t="s">
        <v>43</v>
      </c>
      <c r="AL1067" s="100" t="s">
        <v>43</v>
      </c>
      <c r="AM1067" s="100" t="s">
        <v>43</v>
      </c>
      <c r="AN1067" s="100" t="s">
        <v>43</v>
      </c>
      <c r="AO1067" s="100" t="s">
        <v>43</v>
      </c>
      <c r="AP1067" s="100" t="s">
        <v>43</v>
      </c>
      <c r="AQ1067" s="100" t="s">
        <v>43</v>
      </c>
      <c r="AR1067" s="100" t="s">
        <v>43</v>
      </c>
      <c r="AS1067" s="100" t="s">
        <v>43</v>
      </c>
    </row>
    <row r="1068" spans="1:45" s="101" customFormat="1" x14ac:dyDescent="0.25">
      <c r="A1068" s="90" t="s">
        <v>38</v>
      </c>
      <c r="B1068" s="90" t="s">
        <v>39</v>
      </c>
      <c r="C1068" s="90" t="s">
        <v>39</v>
      </c>
      <c r="D1068" s="90" t="s">
        <v>4540</v>
      </c>
      <c r="E1068" s="90" t="s">
        <v>4538</v>
      </c>
      <c r="F1068" s="91">
        <v>668</v>
      </c>
      <c r="G1068" s="92">
        <v>70015471</v>
      </c>
      <c r="H1068" s="91" t="s">
        <v>4370</v>
      </c>
      <c r="I1068" s="93" t="s">
        <v>63</v>
      </c>
      <c r="J1068" s="94" t="s">
        <v>4076</v>
      </c>
      <c r="K1068" s="94" t="s">
        <v>4086</v>
      </c>
      <c r="L1068" s="94" t="s">
        <v>4122</v>
      </c>
      <c r="M1068" s="95">
        <v>1504900</v>
      </c>
      <c r="N1068" s="95">
        <v>9500</v>
      </c>
      <c r="O1068" s="95">
        <v>13500</v>
      </c>
      <c r="P1068" s="96">
        <v>1549990</v>
      </c>
      <c r="Q1068" s="152"/>
      <c r="R1068" s="95">
        <v>1504900</v>
      </c>
      <c r="S1068" s="95">
        <v>64582.916666666664</v>
      </c>
      <c r="T1068" s="95">
        <v>1504900</v>
      </c>
      <c r="U1068" s="95">
        <v>63745.833333333336</v>
      </c>
      <c r="V1068" s="95">
        <v>1504900</v>
      </c>
      <c r="W1068" s="95">
        <v>63745.833333333336</v>
      </c>
      <c r="X1068" s="128"/>
      <c r="Y1068" s="95">
        <v>518900</v>
      </c>
      <c r="Z1068" s="95">
        <v>68000</v>
      </c>
      <c r="AA1068" s="95">
        <f>IFERROR(IF(D1068="Premium",0.4*Y1068,0),"No Disp")</f>
        <v>207560</v>
      </c>
      <c r="AB1068" s="95">
        <f>IFERROR(IF(4*Y1068&gt;AC1068,1.5*Y1068,4*Y1068),"No Disp")</f>
        <v>778350</v>
      </c>
      <c r="AC1068" s="95">
        <f>IF(Z1068="No Disp","No Disp",(Z1068*18)+Y1068)</f>
        <v>1742900</v>
      </c>
      <c r="AD1068" s="95">
        <f>IF($H1068="EMP",18*Z1068-100,18*Z1068-100+Y1068)</f>
        <v>1223900</v>
      </c>
      <c r="AE1068" s="95">
        <v>518900</v>
      </c>
      <c r="AF1068" s="95">
        <v>68000</v>
      </c>
      <c r="AG1068" s="95">
        <f>IF(AF1068="No Disp","No Disp",(AF1068*18)+AE1068)</f>
        <v>1742900</v>
      </c>
      <c r="AH1068" s="98">
        <f>IF($H1068="EMP",18*AF1068-100,18*AF1068-100+AE1068)</f>
        <v>1223900</v>
      </c>
      <c r="AI1068" s="95">
        <v>96000</v>
      </c>
      <c r="AJ1068" s="99"/>
      <c r="AK1068" s="100" t="s">
        <v>43</v>
      </c>
      <c r="AL1068" s="100" t="s">
        <v>43</v>
      </c>
      <c r="AM1068" s="100" t="s">
        <v>43</v>
      </c>
      <c r="AN1068" s="100" t="s">
        <v>43</v>
      </c>
      <c r="AO1068" s="100" t="s">
        <v>43</v>
      </c>
      <c r="AP1068" s="100" t="s">
        <v>43</v>
      </c>
      <c r="AQ1068" s="100" t="s">
        <v>43</v>
      </c>
      <c r="AR1068" s="100" t="s">
        <v>43</v>
      </c>
      <c r="AS1068" s="100" t="s">
        <v>43</v>
      </c>
    </row>
    <row r="1069" spans="1:45" s="101" customFormat="1" x14ac:dyDescent="0.25">
      <c r="A1069" s="90" t="s">
        <v>38</v>
      </c>
      <c r="B1069" s="90" t="s">
        <v>39</v>
      </c>
      <c r="C1069" s="90" t="s">
        <v>39</v>
      </c>
      <c r="D1069" s="90" t="s">
        <v>4540</v>
      </c>
      <c r="E1069" s="90" t="s">
        <v>4538</v>
      </c>
      <c r="F1069" s="91">
        <v>670</v>
      </c>
      <c r="G1069" s="92">
        <v>70015442</v>
      </c>
      <c r="H1069" s="91" t="s">
        <v>4370</v>
      </c>
      <c r="I1069" s="93" t="s">
        <v>63</v>
      </c>
      <c r="J1069" s="94" t="s">
        <v>4077</v>
      </c>
      <c r="K1069" s="94" t="s">
        <v>4088</v>
      </c>
      <c r="L1069" s="94" t="s">
        <v>4124</v>
      </c>
      <c r="M1069" s="95">
        <v>1387900</v>
      </c>
      <c r="N1069" s="95">
        <v>9500</v>
      </c>
      <c r="O1069" s="95">
        <v>13500</v>
      </c>
      <c r="P1069" s="96">
        <v>1429990</v>
      </c>
      <c r="Q1069" s="152"/>
      <c r="R1069" s="95">
        <v>1387900</v>
      </c>
      <c r="S1069" s="95">
        <v>59582.916666666664</v>
      </c>
      <c r="T1069" s="95">
        <v>1387900</v>
      </c>
      <c r="U1069" s="95">
        <v>59162.5</v>
      </c>
      <c r="V1069" s="95">
        <v>1387900</v>
      </c>
      <c r="W1069" s="95">
        <v>59162.5</v>
      </c>
      <c r="X1069" s="128"/>
      <c r="Y1069" s="95">
        <v>478900</v>
      </c>
      <c r="Z1069" s="95">
        <v>63000</v>
      </c>
      <c r="AA1069" s="95">
        <f>IFERROR(IF(D1069="Premium",0.4*Y1069,0),"No Disp")</f>
        <v>191560</v>
      </c>
      <c r="AB1069" s="95">
        <f>IFERROR(IF(4*Y1069&gt;AC1069,1.5*Y1069,4*Y1069),"No Disp")</f>
        <v>718350</v>
      </c>
      <c r="AC1069" s="95">
        <f>IF(Z1069="No Disp","No Disp",(Z1069*18)+Y1069)</f>
        <v>1612900</v>
      </c>
      <c r="AD1069" s="95">
        <f>IF($H1069="EMP",18*Z1069-100,18*Z1069-100+Y1069)</f>
        <v>1133900</v>
      </c>
      <c r="AE1069" s="95">
        <v>478900</v>
      </c>
      <c r="AF1069" s="95">
        <v>63000</v>
      </c>
      <c r="AG1069" s="95">
        <f>IF(AF1069="No Disp","No Disp",(AF1069*18)+AE1069)</f>
        <v>1612900</v>
      </c>
      <c r="AH1069" s="98">
        <f>IF($H1069="EMP",18*AF1069-100,18*AF1069-100+AE1069)</f>
        <v>1133900</v>
      </c>
      <c r="AI1069" s="95">
        <v>89000</v>
      </c>
      <c r="AJ1069" s="99"/>
      <c r="AK1069" s="100" t="s">
        <v>43</v>
      </c>
      <c r="AL1069" s="100" t="s">
        <v>43</v>
      </c>
      <c r="AM1069" s="100" t="s">
        <v>43</v>
      </c>
      <c r="AN1069" s="100" t="s">
        <v>43</v>
      </c>
      <c r="AO1069" s="100" t="s">
        <v>43</v>
      </c>
      <c r="AP1069" s="100" t="s">
        <v>43</v>
      </c>
      <c r="AQ1069" s="100" t="s">
        <v>43</v>
      </c>
      <c r="AR1069" s="100" t="s">
        <v>43</v>
      </c>
      <c r="AS1069" s="100" t="s">
        <v>43</v>
      </c>
    </row>
    <row r="1070" spans="1:45" s="101" customFormat="1" x14ac:dyDescent="0.25">
      <c r="A1070" s="90" t="s">
        <v>38</v>
      </c>
      <c r="B1070" s="90" t="s">
        <v>39</v>
      </c>
      <c r="C1070" s="90" t="s">
        <v>39</v>
      </c>
      <c r="D1070" s="90" t="s">
        <v>4540</v>
      </c>
      <c r="E1070" s="90" t="s">
        <v>4538</v>
      </c>
      <c r="F1070" s="91">
        <v>672</v>
      </c>
      <c r="G1070" s="92">
        <v>70015446</v>
      </c>
      <c r="H1070" s="91" t="s">
        <v>4370</v>
      </c>
      <c r="I1070" s="93" t="s">
        <v>63</v>
      </c>
      <c r="J1070" s="94" t="s">
        <v>4077</v>
      </c>
      <c r="K1070" s="94" t="s">
        <v>4090</v>
      </c>
      <c r="L1070" s="94" t="s">
        <v>4126</v>
      </c>
      <c r="M1070" s="95">
        <v>1387900</v>
      </c>
      <c r="N1070" s="95">
        <v>9500</v>
      </c>
      <c r="O1070" s="95">
        <v>13500</v>
      </c>
      <c r="P1070" s="96">
        <v>1429990</v>
      </c>
      <c r="Q1070" s="152"/>
      <c r="R1070" s="95">
        <v>1387900</v>
      </c>
      <c r="S1070" s="95">
        <v>59582.916666666664</v>
      </c>
      <c r="T1070" s="95">
        <v>1387900</v>
      </c>
      <c r="U1070" s="95">
        <v>59162.5</v>
      </c>
      <c r="V1070" s="95">
        <v>1387900</v>
      </c>
      <c r="W1070" s="95">
        <v>59162.5</v>
      </c>
      <c r="X1070" s="128"/>
      <c r="Y1070" s="95">
        <v>478900</v>
      </c>
      <c r="Z1070" s="95">
        <v>63000</v>
      </c>
      <c r="AA1070" s="95">
        <f>IFERROR(IF(D1070="Premium",0.4*Y1070,0),"No Disp")</f>
        <v>191560</v>
      </c>
      <c r="AB1070" s="95">
        <f>IFERROR(IF(4*Y1070&gt;AC1070,1.5*Y1070,4*Y1070),"No Disp")</f>
        <v>718350</v>
      </c>
      <c r="AC1070" s="95">
        <f>IF(Z1070="No Disp","No Disp",(Z1070*18)+Y1070)</f>
        <v>1612900</v>
      </c>
      <c r="AD1070" s="95">
        <f>IF($H1070="EMP",18*Z1070-100,18*Z1070-100+Y1070)</f>
        <v>1133900</v>
      </c>
      <c r="AE1070" s="95">
        <v>478900</v>
      </c>
      <c r="AF1070" s="95">
        <v>63000</v>
      </c>
      <c r="AG1070" s="95">
        <f>IF(AF1070="No Disp","No Disp",(AF1070*18)+AE1070)</f>
        <v>1612900</v>
      </c>
      <c r="AH1070" s="98">
        <f>IF($H1070="EMP",18*AF1070-100,18*AF1070-100+AE1070)</f>
        <v>1133900</v>
      </c>
      <c r="AI1070" s="95">
        <v>89000</v>
      </c>
      <c r="AJ1070" s="99"/>
      <c r="AK1070" s="100" t="s">
        <v>43</v>
      </c>
      <c r="AL1070" s="100" t="s">
        <v>43</v>
      </c>
      <c r="AM1070" s="100" t="s">
        <v>43</v>
      </c>
      <c r="AN1070" s="100" t="s">
        <v>43</v>
      </c>
      <c r="AO1070" s="100" t="s">
        <v>43</v>
      </c>
      <c r="AP1070" s="100" t="s">
        <v>43</v>
      </c>
      <c r="AQ1070" s="100" t="s">
        <v>43</v>
      </c>
      <c r="AR1070" s="100" t="s">
        <v>43</v>
      </c>
      <c r="AS1070" s="100" t="s">
        <v>43</v>
      </c>
    </row>
    <row r="1071" spans="1:45" s="101" customFormat="1" x14ac:dyDescent="0.25">
      <c r="A1071" s="90" t="s">
        <v>38</v>
      </c>
      <c r="B1071" s="90" t="s">
        <v>39</v>
      </c>
      <c r="C1071" s="90" t="s">
        <v>39</v>
      </c>
      <c r="D1071" s="90" t="s">
        <v>4540</v>
      </c>
      <c r="E1071" s="90" t="s">
        <v>4538</v>
      </c>
      <c r="F1071" s="91">
        <v>674</v>
      </c>
      <c r="G1071" s="92">
        <v>70015438</v>
      </c>
      <c r="H1071" s="91" t="s">
        <v>4370</v>
      </c>
      <c r="I1071" s="93" t="s">
        <v>63</v>
      </c>
      <c r="J1071" s="94" t="s">
        <v>4077</v>
      </c>
      <c r="K1071" s="94" t="s">
        <v>4092</v>
      </c>
      <c r="L1071" s="94" t="s">
        <v>4128</v>
      </c>
      <c r="M1071" s="95">
        <v>1387900</v>
      </c>
      <c r="N1071" s="95">
        <v>9500</v>
      </c>
      <c r="O1071" s="95">
        <v>13500</v>
      </c>
      <c r="P1071" s="96">
        <v>1429990</v>
      </c>
      <c r="Q1071" s="152"/>
      <c r="R1071" s="95">
        <v>1387900</v>
      </c>
      <c r="S1071" s="95">
        <v>59582.916666666664</v>
      </c>
      <c r="T1071" s="95">
        <v>1387900</v>
      </c>
      <c r="U1071" s="95">
        <v>59162.5</v>
      </c>
      <c r="V1071" s="95">
        <v>1387900</v>
      </c>
      <c r="W1071" s="95">
        <v>59162.5</v>
      </c>
      <c r="X1071" s="128"/>
      <c r="Y1071" s="95">
        <v>478900</v>
      </c>
      <c r="Z1071" s="95">
        <v>63000</v>
      </c>
      <c r="AA1071" s="95">
        <f>IFERROR(IF(D1071="Premium",0.4*Y1071,0),"No Disp")</f>
        <v>191560</v>
      </c>
      <c r="AB1071" s="95">
        <f>IFERROR(IF(4*Y1071&gt;AC1071,1.5*Y1071,4*Y1071),"No Disp")</f>
        <v>718350</v>
      </c>
      <c r="AC1071" s="95">
        <f>IF(Z1071="No Disp","No Disp",(Z1071*18)+Y1071)</f>
        <v>1612900</v>
      </c>
      <c r="AD1071" s="95">
        <f>IF($H1071="EMP",18*Z1071-100,18*Z1071-100+Y1071)</f>
        <v>1133900</v>
      </c>
      <c r="AE1071" s="95">
        <v>478900</v>
      </c>
      <c r="AF1071" s="95">
        <v>63000</v>
      </c>
      <c r="AG1071" s="95">
        <f>IF(AF1071="No Disp","No Disp",(AF1071*18)+AE1071)</f>
        <v>1612900</v>
      </c>
      <c r="AH1071" s="98">
        <f>IF($H1071="EMP",18*AF1071-100,18*AF1071-100+AE1071)</f>
        <v>1133900</v>
      </c>
      <c r="AI1071" s="95">
        <v>89000</v>
      </c>
      <c r="AJ1071" s="99"/>
      <c r="AK1071" s="100" t="s">
        <v>43</v>
      </c>
      <c r="AL1071" s="100" t="s">
        <v>43</v>
      </c>
      <c r="AM1071" s="100" t="s">
        <v>43</v>
      </c>
      <c r="AN1071" s="100" t="s">
        <v>43</v>
      </c>
      <c r="AO1071" s="100" t="s">
        <v>43</v>
      </c>
      <c r="AP1071" s="100" t="s">
        <v>43</v>
      </c>
      <c r="AQ1071" s="100" t="s">
        <v>43</v>
      </c>
      <c r="AR1071" s="100" t="s">
        <v>43</v>
      </c>
      <c r="AS1071" s="100" t="s">
        <v>43</v>
      </c>
    </row>
    <row r="1072" spans="1:45" s="101" customFormat="1" x14ac:dyDescent="0.25">
      <c r="A1072" s="90" t="s">
        <v>38</v>
      </c>
      <c r="B1072" s="90" t="s">
        <v>39</v>
      </c>
      <c r="C1072" s="90" t="s">
        <v>39</v>
      </c>
      <c r="D1072" s="90" t="s">
        <v>4540</v>
      </c>
      <c r="E1072" s="90" t="s">
        <v>4538</v>
      </c>
      <c r="F1072" s="91">
        <v>676</v>
      </c>
      <c r="G1072" s="92">
        <v>70015403</v>
      </c>
      <c r="H1072" s="91" t="s">
        <v>4370</v>
      </c>
      <c r="I1072" s="93" t="s">
        <v>63</v>
      </c>
      <c r="J1072" s="94" t="s">
        <v>4078</v>
      </c>
      <c r="K1072" s="94" t="s">
        <v>4094</v>
      </c>
      <c r="L1072" s="94" t="s">
        <v>4130</v>
      </c>
      <c r="M1072" s="95">
        <v>1640900</v>
      </c>
      <c r="N1072" s="95">
        <v>9500</v>
      </c>
      <c r="O1072" s="95">
        <v>13500</v>
      </c>
      <c r="P1072" s="96">
        <v>1689990</v>
      </c>
      <c r="Q1072" s="152"/>
      <c r="R1072" s="95">
        <v>1640900</v>
      </c>
      <c r="S1072" s="95">
        <v>70416.25</v>
      </c>
      <c r="T1072" s="95">
        <v>1640900</v>
      </c>
      <c r="U1072" s="95">
        <v>69995.833333333328</v>
      </c>
      <c r="V1072" s="95">
        <v>1640900</v>
      </c>
      <c r="W1072" s="95">
        <v>69995.833333333328</v>
      </c>
      <c r="X1072" s="128"/>
      <c r="Y1072" s="95">
        <v>565900</v>
      </c>
      <c r="Z1072" s="95">
        <v>74000</v>
      </c>
      <c r="AA1072" s="95">
        <f>IFERROR(IF(D1072="Premium",0.4*Y1072,0),"No Disp")</f>
        <v>226360</v>
      </c>
      <c r="AB1072" s="95">
        <f>IFERROR(IF(4*Y1072&gt;AC1072,1.5*Y1072,4*Y1072),"No Disp")</f>
        <v>848850</v>
      </c>
      <c r="AC1072" s="95">
        <f>IF(Z1072="No Disp","No Disp",(Z1072*18)+Y1072)</f>
        <v>1897900</v>
      </c>
      <c r="AD1072" s="95">
        <f>IF($H1072="EMP",18*Z1072-100,18*Z1072-100+Y1072)</f>
        <v>1331900</v>
      </c>
      <c r="AE1072" s="95">
        <v>565900</v>
      </c>
      <c r="AF1072" s="95">
        <v>74000</v>
      </c>
      <c r="AG1072" s="95">
        <f>IF(AF1072="No Disp","No Disp",(AF1072*18)+AE1072)</f>
        <v>1897900</v>
      </c>
      <c r="AH1072" s="98">
        <f>IF($H1072="EMP",18*AF1072-100,18*AF1072-100+AE1072)</f>
        <v>1331900</v>
      </c>
      <c r="AI1072" s="95">
        <v>105000</v>
      </c>
      <c r="AJ1072" s="99"/>
      <c r="AK1072" s="100" t="s">
        <v>43</v>
      </c>
      <c r="AL1072" s="100" t="s">
        <v>43</v>
      </c>
      <c r="AM1072" s="100" t="s">
        <v>43</v>
      </c>
      <c r="AN1072" s="100" t="s">
        <v>43</v>
      </c>
      <c r="AO1072" s="100" t="s">
        <v>43</v>
      </c>
      <c r="AP1072" s="100" t="s">
        <v>43</v>
      </c>
      <c r="AQ1072" s="100" t="s">
        <v>43</v>
      </c>
      <c r="AR1072" s="100" t="s">
        <v>43</v>
      </c>
      <c r="AS1072" s="100" t="s">
        <v>43</v>
      </c>
    </row>
    <row r="1073" spans="1:45" s="101" customFormat="1" x14ac:dyDescent="0.25">
      <c r="A1073" s="90" t="s">
        <v>38</v>
      </c>
      <c r="B1073" s="90" t="s">
        <v>39</v>
      </c>
      <c r="C1073" s="90" t="s">
        <v>39</v>
      </c>
      <c r="D1073" s="90" t="s">
        <v>4540</v>
      </c>
      <c r="E1073" s="90" t="s">
        <v>4538</v>
      </c>
      <c r="F1073" s="91">
        <v>678</v>
      </c>
      <c r="G1073" s="92">
        <v>70015407</v>
      </c>
      <c r="H1073" s="91" t="s">
        <v>4370</v>
      </c>
      <c r="I1073" s="93" t="s">
        <v>63</v>
      </c>
      <c r="J1073" s="94" t="s">
        <v>4078</v>
      </c>
      <c r="K1073" s="94" t="s">
        <v>4096</v>
      </c>
      <c r="L1073" s="94" t="s">
        <v>4132</v>
      </c>
      <c r="M1073" s="95">
        <v>1640900</v>
      </c>
      <c r="N1073" s="95">
        <v>9500</v>
      </c>
      <c r="O1073" s="95">
        <v>13500</v>
      </c>
      <c r="P1073" s="96">
        <v>1689990</v>
      </c>
      <c r="Q1073" s="152"/>
      <c r="R1073" s="95">
        <v>1640900</v>
      </c>
      <c r="S1073" s="95">
        <v>70416.25</v>
      </c>
      <c r="T1073" s="95">
        <v>1640900</v>
      </c>
      <c r="U1073" s="95">
        <v>69995.833333333328</v>
      </c>
      <c r="V1073" s="95">
        <v>1640900</v>
      </c>
      <c r="W1073" s="95">
        <v>69995.833333333328</v>
      </c>
      <c r="X1073" s="128"/>
      <c r="Y1073" s="95">
        <v>565900</v>
      </c>
      <c r="Z1073" s="95">
        <v>74000</v>
      </c>
      <c r="AA1073" s="95">
        <f>IFERROR(IF(D1073="Premium",0.4*Y1073,0),"No Disp")</f>
        <v>226360</v>
      </c>
      <c r="AB1073" s="95">
        <f>IFERROR(IF(4*Y1073&gt;AC1073,1.5*Y1073,4*Y1073),"No Disp")</f>
        <v>848850</v>
      </c>
      <c r="AC1073" s="95">
        <f>IF(Z1073="No Disp","No Disp",(Z1073*18)+Y1073)</f>
        <v>1897900</v>
      </c>
      <c r="AD1073" s="95">
        <f>IF($H1073="EMP",18*Z1073-100,18*Z1073-100+Y1073)</f>
        <v>1331900</v>
      </c>
      <c r="AE1073" s="95">
        <v>565900</v>
      </c>
      <c r="AF1073" s="95">
        <v>74000</v>
      </c>
      <c r="AG1073" s="95">
        <f>IF(AF1073="No Disp","No Disp",(AF1073*18)+AE1073)</f>
        <v>1897900</v>
      </c>
      <c r="AH1073" s="98">
        <f>IF($H1073="EMP",18*AF1073-100,18*AF1073-100+AE1073)</f>
        <v>1331900</v>
      </c>
      <c r="AI1073" s="95">
        <v>105000</v>
      </c>
      <c r="AJ1073" s="99"/>
      <c r="AK1073" s="100" t="s">
        <v>43</v>
      </c>
      <c r="AL1073" s="100" t="s">
        <v>43</v>
      </c>
      <c r="AM1073" s="100" t="s">
        <v>43</v>
      </c>
      <c r="AN1073" s="100" t="s">
        <v>43</v>
      </c>
      <c r="AO1073" s="100" t="s">
        <v>43</v>
      </c>
      <c r="AP1073" s="100" t="s">
        <v>43</v>
      </c>
      <c r="AQ1073" s="100" t="s">
        <v>43</v>
      </c>
      <c r="AR1073" s="100" t="s">
        <v>43</v>
      </c>
      <c r="AS1073" s="100" t="s">
        <v>43</v>
      </c>
    </row>
    <row r="1074" spans="1:45" s="101" customFormat="1" x14ac:dyDescent="0.25">
      <c r="A1074" s="90" t="s">
        <v>38</v>
      </c>
      <c r="B1074" s="90" t="s">
        <v>39</v>
      </c>
      <c r="C1074" s="90" t="s">
        <v>39</v>
      </c>
      <c r="D1074" s="90" t="s">
        <v>4540</v>
      </c>
      <c r="E1074" s="90" t="s">
        <v>4538</v>
      </c>
      <c r="F1074" s="91">
        <v>680</v>
      </c>
      <c r="G1074" s="92">
        <v>70015450</v>
      </c>
      <c r="H1074" s="91" t="s">
        <v>4370</v>
      </c>
      <c r="I1074" s="93" t="s">
        <v>63</v>
      </c>
      <c r="J1074" s="94" t="s">
        <v>4078</v>
      </c>
      <c r="K1074" s="94" t="s">
        <v>4098</v>
      </c>
      <c r="L1074" s="94" t="s">
        <v>4134</v>
      </c>
      <c r="M1074" s="95">
        <v>1640900</v>
      </c>
      <c r="N1074" s="95">
        <v>9500</v>
      </c>
      <c r="O1074" s="95">
        <v>13500</v>
      </c>
      <c r="P1074" s="96">
        <v>1689990</v>
      </c>
      <c r="Q1074" s="152"/>
      <c r="R1074" s="95">
        <v>1640900</v>
      </c>
      <c r="S1074" s="95">
        <v>70416.25</v>
      </c>
      <c r="T1074" s="95">
        <v>1640900</v>
      </c>
      <c r="U1074" s="95">
        <v>69995.833333333328</v>
      </c>
      <c r="V1074" s="95">
        <v>1640900</v>
      </c>
      <c r="W1074" s="95">
        <v>69995.833333333328</v>
      </c>
      <c r="X1074" s="128"/>
      <c r="Y1074" s="95">
        <v>565900</v>
      </c>
      <c r="Z1074" s="95">
        <v>74000</v>
      </c>
      <c r="AA1074" s="95">
        <f>IFERROR(IF(D1074="Premium",0.4*Y1074,0),"No Disp")</f>
        <v>226360</v>
      </c>
      <c r="AB1074" s="95">
        <f>IFERROR(IF(4*Y1074&gt;AC1074,1.5*Y1074,4*Y1074),"No Disp")</f>
        <v>848850</v>
      </c>
      <c r="AC1074" s="95">
        <f>IF(Z1074="No Disp","No Disp",(Z1074*18)+Y1074)</f>
        <v>1897900</v>
      </c>
      <c r="AD1074" s="95">
        <f>IF($H1074="EMP",18*Z1074-100,18*Z1074-100+Y1074)</f>
        <v>1331900</v>
      </c>
      <c r="AE1074" s="95">
        <v>565900</v>
      </c>
      <c r="AF1074" s="95">
        <v>74000</v>
      </c>
      <c r="AG1074" s="95">
        <f>IF(AF1074="No Disp","No Disp",(AF1074*18)+AE1074)</f>
        <v>1897900</v>
      </c>
      <c r="AH1074" s="98">
        <f>IF($H1074="EMP",18*AF1074-100,18*AF1074-100+AE1074)</f>
        <v>1331900</v>
      </c>
      <c r="AI1074" s="95">
        <v>105000</v>
      </c>
      <c r="AJ1074" s="99"/>
      <c r="AK1074" s="100" t="s">
        <v>43</v>
      </c>
      <c r="AL1074" s="100" t="s">
        <v>43</v>
      </c>
      <c r="AM1074" s="100" t="s">
        <v>43</v>
      </c>
      <c r="AN1074" s="100" t="s">
        <v>43</v>
      </c>
      <c r="AO1074" s="100" t="s">
        <v>43</v>
      </c>
      <c r="AP1074" s="100" t="s">
        <v>43</v>
      </c>
      <c r="AQ1074" s="100" t="s">
        <v>43</v>
      </c>
      <c r="AR1074" s="100" t="s">
        <v>43</v>
      </c>
      <c r="AS1074" s="100" t="s">
        <v>43</v>
      </c>
    </row>
    <row r="1075" spans="1:45" s="101" customFormat="1" x14ac:dyDescent="0.25">
      <c r="A1075" s="90" t="s">
        <v>38</v>
      </c>
      <c r="B1075" s="90" t="s">
        <v>39</v>
      </c>
      <c r="C1075" s="90" t="s">
        <v>39</v>
      </c>
      <c r="D1075" s="90" t="s">
        <v>4540</v>
      </c>
      <c r="E1075" s="90" t="s">
        <v>4538</v>
      </c>
      <c r="F1075" s="91">
        <v>692</v>
      </c>
      <c r="G1075" s="92">
        <v>70015507</v>
      </c>
      <c r="H1075" s="91" t="s">
        <v>4370</v>
      </c>
      <c r="I1075" s="93" t="s">
        <v>63</v>
      </c>
      <c r="J1075" s="94" t="s">
        <v>4080</v>
      </c>
      <c r="K1075" s="94" t="s">
        <v>4110</v>
      </c>
      <c r="L1075" s="94" t="s">
        <v>4146</v>
      </c>
      <c r="M1075" s="95">
        <v>1261900</v>
      </c>
      <c r="N1075" s="95">
        <v>9500</v>
      </c>
      <c r="O1075" s="95">
        <v>13500</v>
      </c>
      <c r="P1075" s="96">
        <v>1299990</v>
      </c>
      <c r="Q1075" s="152"/>
      <c r="R1075" s="95">
        <v>1261900</v>
      </c>
      <c r="S1075" s="95">
        <v>54166.25</v>
      </c>
      <c r="T1075" s="95">
        <v>1261900</v>
      </c>
      <c r="U1075" s="95">
        <v>53745.833333333336</v>
      </c>
      <c r="V1075" s="95">
        <v>1261900</v>
      </c>
      <c r="W1075" s="95">
        <v>53745.833333333336</v>
      </c>
      <c r="X1075" s="128"/>
      <c r="Y1075" s="95">
        <v>435900</v>
      </c>
      <c r="Z1075" s="95">
        <v>57000</v>
      </c>
      <c r="AA1075" s="95">
        <f>IFERROR(IF(D1075="Premium",0.4*Y1075,0),"No Disp")</f>
        <v>174360</v>
      </c>
      <c r="AB1075" s="95">
        <f>IFERROR(IF(4*Y1075&gt;AC1075,1.5*Y1075,4*Y1075),"No Disp")</f>
        <v>653850</v>
      </c>
      <c r="AC1075" s="95">
        <f>IF(Z1075="No Disp","No Disp",(Z1075*18)+Y1075)</f>
        <v>1461900</v>
      </c>
      <c r="AD1075" s="95">
        <f>IF($H1075="EMP",18*Z1075-100,18*Z1075-100+Y1075)</f>
        <v>1025900</v>
      </c>
      <c r="AE1075" s="95">
        <v>435900</v>
      </c>
      <c r="AF1075" s="95">
        <v>57000</v>
      </c>
      <c r="AG1075" s="95">
        <f>IF(AF1075="No Disp","No Disp",(AF1075*18)+AE1075)</f>
        <v>1461900</v>
      </c>
      <c r="AH1075" s="98">
        <f>IF($H1075="EMP",18*AF1075-100,18*AF1075-100+AE1075)</f>
        <v>1025900</v>
      </c>
      <c r="AI1075" s="95">
        <v>81000</v>
      </c>
      <c r="AJ1075" s="99"/>
      <c r="AK1075" s="100" t="s">
        <v>43</v>
      </c>
      <c r="AL1075" s="100" t="s">
        <v>43</v>
      </c>
      <c r="AM1075" s="100" t="s">
        <v>43</v>
      </c>
      <c r="AN1075" s="100" t="s">
        <v>43</v>
      </c>
      <c r="AO1075" s="100" t="s">
        <v>43</v>
      </c>
      <c r="AP1075" s="100" t="s">
        <v>43</v>
      </c>
      <c r="AQ1075" s="100" t="s">
        <v>43</v>
      </c>
      <c r="AR1075" s="100" t="s">
        <v>43</v>
      </c>
      <c r="AS1075" s="100" t="s">
        <v>43</v>
      </c>
    </row>
    <row r="1076" spans="1:45" s="101" customFormat="1" x14ac:dyDescent="0.25">
      <c r="A1076" s="90" t="s">
        <v>38</v>
      </c>
      <c r="B1076" s="90" t="s">
        <v>39</v>
      </c>
      <c r="C1076" s="90" t="s">
        <v>39</v>
      </c>
      <c r="D1076" s="90" t="s">
        <v>4540</v>
      </c>
      <c r="E1076" s="90" t="s">
        <v>4538</v>
      </c>
      <c r="F1076" s="91">
        <v>694</v>
      </c>
      <c r="G1076" s="92">
        <v>70015561</v>
      </c>
      <c r="H1076" s="91" t="s">
        <v>4370</v>
      </c>
      <c r="I1076" s="93" t="s">
        <v>63</v>
      </c>
      <c r="J1076" s="94" t="s">
        <v>4080</v>
      </c>
      <c r="K1076" s="94" t="s">
        <v>4112</v>
      </c>
      <c r="L1076" s="94" t="s">
        <v>4148</v>
      </c>
      <c r="M1076" s="95">
        <v>1261900</v>
      </c>
      <c r="N1076" s="95">
        <v>9500</v>
      </c>
      <c r="O1076" s="95">
        <v>13500</v>
      </c>
      <c r="P1076" s="96">
        <v>1299990</v>
      </c>
      <c r="Q1076" s="152"/>
      <c r="R1076" s="95">
        <v>1261900</v>
      </c>
      <c r="S1076" s="95">
        <v>54166.25</v>
      </c>
      <c r="T1076" s="95">
        <v>1261900</v>
      </c>
      <c r="U1076" s="95">
        <v>53745.833333333336</v>
      </c>
      <c r="V1076" s="95">
        <v>1261900</v>
      </c>
      <c r="W1076" s="95">
        <v>53745.833333333336</v>
      </c>
      <c r="X1076" s="128"/>
      <c r="Y1076" s="95">
        <v>435900</v>
      </c>
      <c r="Z1076" s="95">
        <v>57000</v>
      </c>
      <c r="AA1076" s="95">
        <f>IFERROR(IF(D1076="Premium",0.4*Y1076,0),"No Disp")</f>
        <v>174360</v>
      </c>
      <c r="AB1076" s="95">
        <f>IFERROR(IF(4*Y1076&gt;AC1076,1.5*Y1076,4*Y1076),"No Disp")</f>
        <v>653850</v>
      </c>
      <c r="AC1076" s="95">
        <f>IF(Z1076="No Disp","No Disp",(Z1076*18)+Y1076)</f>
        <v>1461900</v>
      </c>
      <c r="AD1076" s="95">
        <f>IF($H1076="EMP",18*Z1076-100,18*Z1076-100+Y1076)</f>
        <v>1025900</v>
      </c>
      <c r="AE1076" s="95">
        <v>435900</v>
      </c>
      <c r="AF1076" s="95">
        <v>57000</v>
      </c>
      <c r="AG1076" s="95">
        <f>IF(AF1076="No Disp","No Disp",(AF1076*18)+AE1076)</f>
        <v>1461900</v>
      </c>
      <c r="AH1076" s="98">
        <f>IF($H1076="EMP",18*AF1076-100,18*AF1076-100+AE1076)</f>
        <v>1025900</v>
      </c>
      <c r="AI1076" s="95">
        <v>81000</v>
      </c>
      <c r="AJ1076" s="99"/>
      <c r="AK1076" s="100" t="s">
        <v>43</v>
      </c>
      <c r="AL1076" s="100" t="s">
        <v>43</v>
      </c>
      <c r="AM1076" s="100" t="s">
        <v>43</v>
      </c>
      <c r="AN1076" s="100" t="s">
        <v>43</v>
      </c>
      <c r="AO1076" s="100" t="s">
        <v>43</v>
      </c>
      <c r="AP1076" s="100" t="s">
        <v>43</v>
      </c>
      <c r="AQ1076" s="100" t="s">
        <v>43</v>
      </c>
      <c r="AR1076" s="100" t="s">
        <v>43</v>
      </c>
      <c r="AS1076" s="100" t="s">
        <v>43</v>
      </c>
    </row>
    <row r="1077" spans="1:45" s="101" customFormat="1" x14ac:dyDescent="0.25">
      <c r="A1077" s="90" t="s">
        <v>38</v>
      </c>
      <c r="B1077" s="90" t="s">
        <v>39</v>
      </c>
      <c r="C1077" s="90" t="s">
        <v>39</v>
      </c>
      <c r="D1077" s="90" t="s">
        <v>4540</v>
      </c>
      <c r="E1077" s="90" t="s">
        <v>4538</v>
      </c>
      <c r="F1077" s="91">
        <v>696</v>
      </c>
      <c r="G1077" s="92">
        <v>70015565</v>
      </c>
      <c r="H1077" s="91" t="s">
        <v>4370</v>
      </c>
      <c r="I1077" s="93" t="s">
        <v>63</v>
      </c>
      <c r="J1077" s="94" t="s">
        <v>4080</v>
      </c>
      <c r="K1077" s="94" t="s">
        <v>4114</v>
      </c>
      <c r="L1077" s="94" t="s">
        <v>4150</v>
      </c>
      <c r="M1077" s="95">
        <v>1261900</v>
      </c>
      <c r="N1077" s="95">
        <v>9500</v>
      </c>
      <c r="O1077" s="95">
        <v>13500</v>
      </c>
      <c r="P1077" s="96">
        <v>1299990</v>
      </c>
      <c r="Q1077" s="152"/>
      <c r="R1077" s="95">
        <v>1261900</v>
      </c>
      <c r="S1077" s="95">
        <v>54166.25</v>
      </c>
      <c r="T1077" s="95">
        <v>1261900</v>
      </c>
      <c r="U1077" s="95">
        <v>53745.833333333336</v>
      </c>
      <c r="V1077" s="95">
        <v>1261900</v>
      </c>
      <c r="W1077" s="95">
        <v>53745.833333333336</v>
      </c>
      <c r="X1077" s="128"/>
      <c r="Y1077" s="95">
        <v>435900</v>
      </c>
      <c r="Z1077" s="95">
        <v>57000</v>
      </c>
      <c r="AA1077" s="95">
        <f>IFERROR(IF(D1077="Premium",0.4*Y1077,0),"No Disp")</f>
        <v>174360</v>
      </c>
      <c r="AB1077" s="95">
        <f>IFERROR(IF(4*Y1077&gt;AC1077,1.5*Y1077,4*Y1077),"No Disp")</f>
        <v>653850</v>
      </c>
      <c r="AC1077" s="95">
        <f>IF(Z1077="No Disp","No Disp",(Z1077*18)+Y1077)</f>
        <v>1461900</v>
      </c>
      <c r="AD1077" s="95">
        <f>IF($H1077="EMP",18*Z1077-100,18*Z1077-100+Y1077)</f>
        <v>1025900</v>
      </c>
      <c r="AE1077" s="95">
        <v>435900</v>
      </c>
      <c r="AF1077" s="95">
        <v>57000</v>
      </c>
      <c r="AG1077" s="95">
        <f>IF(AF1077="No Disp","No Disp",(AF1077*18)+AE1077)</f>
        <v>1461900</v>
      </c>
      <c r="AH1077" s="98">
        <f>IF($H1077="EMP",18*AF1077-100,18*AF1077-100+AE1077)</f>
        <v>1025900</v>
      </c>
      <c r="AI1077" s="95">
        <v>81000</v>
      </c>
      <c r="AJ1077" s="99"/>
      <c r="AK1077" s="100" t="s">
        <v>43</v>
      </c>
      <c r="AL1077" s="100" t="s">
        <v>43</v>
      </c>
      <c r="AM1077" s="100" t="s">
        <v>43</v>
      </c>
      <c r="AN1077" s="100" t="s">
        <v>43</v>
      </c>
      <c r="AO1077" s="100" t="s">
        <v>43</v>
      </c>
      <c r="AP1077" s="100" t="s">
        <v>43</v>
      </c>
      <c r="AQ1077" s="100" t="s">
        <v>43</v>
      </c>
      <c r="AR1077" s="100" t="s">
        <v>43</v>
      </c>
      <c r="AS1077" s="100" t="s">
        <v>43</v>
      </c>
    </row>
    <row r="1078" spans="1:45" s="101" customFormat="1" x14ac:dyDescent="0.25">
      <c r="A1078" s="90" t="s">
        <v>38</v>
      </c>
      <c r="B1078" s="90" t="s">
        <v>39</v>
      </c>
      <c r="C1078" s="90" t="s">
        <v>39</v>
      </c>
      <c r="D1078" s="90" t="s">
        <v>4540</v>
      </c>
      <c r="E1078" s="90" t="s">
        <v>4538</v>
      </c>
      <c r="F1078" s="91">
        <v>698</v>
      </c>
      <c r="G1078" s="92">
        <v>70015503</v>
      </c>
      <c r="H1078" s="91" t="s">
        <v>4370</v>
      </c>
      <c r="I1078" s="93" t="s">
        <v>63</v>
      </c>
      <c r="J1078" s="94" t="s">
        <v>4080</v>
      </c>
      <c r="K1078" s="94" t="s">
        <v>4116</v>
      </c>
      <c r="L1078" s="94" t="s">
        <v>4152</v>
      </c>
      <c r="M1078" s="95">
        <v>1261900</v>
      </c>
      <c r="N1078" s="95">
        <v>9500</v>
      </c>
      <c r="O1078" s="95">
        <v>13500</v>
      </c>
      <c r="P1078" s="96">
        <v>1299990</v>
      </c>
      <c r="Q1078" s="152"/>
      <c r="R1078" s="95">
        <v>1261900</v>
      </c>
      <c r="S1078" s="95">
        <v>54166.25</v>
      </c>
      <c r="T1078" s="95">
        <v>1261900</v>
      </c>
      <c r="U1078" s="95">
        <v>53745.833333333336</v>
      </c>
      <c r="V1078" s="95">
        <v>1261900</v>
      </c>
      <c r="W1078" s="95">
        <v>53745.833333333336</v>
      </c>
      <c r="X1078" s="128"/>
      <c r="Y1078" s="95">
        <v>435900</v>
      </c>
      <c r="Z1078" s="95">
        <v>57000</v>
      </c>
      <c r="AA1078" s="95">
        <f>IFERROR(IF(D1078="Premium",0.4*Y1078,0),"No Disp")</f>
        <v>174360</v>
      </c>
      <c r="AB1078" s="95">
        <f>IFERROR(IF(4*Y1078&gt;AC1078,1.5*Y1078,4*Y1078),"No Disp")</f>
        <v>653850</v>
      </c>
      <c r="AC1078" s="95">
        <f>IF(Z1078="No Disp","No Disp",(Z1078*18)+Y1078)</f>
        <v>1461900</v>
      </c>
      <c r="AD1078" s="95">
        <f>IF($H1078="EMP",18*Z1078-100,18*Z1078-100+Y1078)</f>
        <v>1025900</v>
      </c>
      <c r="AE1078" s="95">
        <v>435900</v>
      </c>
      <c r="AF1078" s="95">
        <v>57000</v>
      </c>
      <c r="AG1078" s="95">
        <f>IF(AF1078="No Disp","No Disp",(AF1078*18)+AE1078)</f>
        <v>1461900</v>
      </c>
      <c r="AH1078" s="98">
        <f>IF($H1078="EMP",18*AF1078-100,18*AF1078-100+AE1078)</f>
        <v>1025900</v>
      </c>
      <c r="AI1078" s="95">
        <v>81000</v>
      </c>
      <c r="AJ1078" s="99"/>
      <c r="AK1078" s="100" t="s">
        <v>43</v>
      </c>
      <c r="AL1078" s="100" t="s">
        <v>43</v>
      </c>
      <c r="AM1078" s="100" t="s">
        <v>43</v>
      </c>
      <c r="AN1078" s="100" t="s">
        <v>43</v>
      </c>
      <c r="AO1078" s="100" t="s">
        <v>43</v>
      </c>
      <c r="AP1078" s="100" t="s">
        <v>43</v>
      </c>
      <c r="AQ1078" s="100" t="s">
        <v>43</v>
      </c>
      <c r="AR1078" s="100" t="s">
        <v>43</v>
      </c>
      <c r="AS1078" s="100" t="s">
        <v>43</v>
      </c>
    </row>
    <row r="1079" spans="1:45" s="101" customFormat="1" x14ac:dyDescent="0.25">
      <c r="A1079" s="90" t="s">
        <v>38</v>
      </c>
      <c r="B1079" s="90" t="s">
        <v>40</v>
      </c>
      <c r="C1079" s="90" t="s">
        <v>39</v>
      </c>
      <c r="D1079" s="90" t="s">
        <v>4540</v>
      </c>
      <c r="E1079" s="90" t="s">
        <v>4542</v>
      </c>
      <c r="F1079" s="91"/>
      <c r="G1079" s="92">
        <v>70013966</v>
      </c>
      <c r="H1079" s="91" t="s">
        <v>4370</v>
      </c>
      <c r="I1079" s="93" t="s">
        <v>63</v>
      </c>
      <c r="J1079" s="94" t="s">
        <v>777</v>
      </c>
      <c r="K1079" s="94" t="s">
        <v>3108</v>
      </c>
      <c r="L1079" s="94" t="s">
        <v>3256</v>
      </c>
      <c r="M1079" s="95">
        <v>681900</v>
      </c>
      <c r="N1079" s="95">
        <v>6000</v>
      </c>
      <c r="O1079" s="95">
        <v>8500</v>
      </c>
      <c r="P1079" s="96">
        <v>1029990</v>
      </c>
      <c r="Q1079" s="152"/>
      <c r="R1079" s="95">
        <v>681900</v>
      </c>
      <c r="S1079" s="95">
        <v>28412.5</v>
      </c>
      <c r="T1079" s="95">
        <v>681900</v>
      </c>
      <c r="U1079" s="95">
        <v>28412.5</v>
      </c>
      <c r="V1079" s="95">
        <v>681900</v>
      </c>
      <c r="W1079" s="95">
        <v>28412.5</v>
      </c>
      <c r="X1079" s="128"/>
      <c r="Y1079" s="95">
        <v>196900</v>
      </c>
      <c r="Z1079" s="95">
        <v>33000</v>
      </c>
      <c r="AA1079" s="95">
        <f>IFERROR(IF(D1079="Premium",0.4*Y1079,0),"No Disp")</f>
        <v>78760</v>
      </c>
      <c r="AB1079" s="95">
        <f>IFERROR(IF(4*Y1079&gt;AC1079,1.5*Y1079,4*Y1079),"No Disp")</f>
        <v>787600</v>
      </c>
      <c r="AC1079" s="95">
        <f>IF(Z1079="No Disp","No Disp",(Z1079*18)+Y1079)</f>
        <v>790900</v>
      </c>
      <c r="AD1079" s="95">
        <f>IF($H1079="EMP",18*Z1079-100,18*Z1079-100+Y1079)</f>
        <v>593900</v>
      </c>
      <c r="AE1079" s="95">
        <v>196900</v>
      </c>
      <c r="AF1079" s="95">
        <v>33000</v>
      </c>
      <c r="AG1079" s="95">
        <f>IF(AF1079="No Disp","No Disp",(AF1079*18)+AE1079)</f>
        <v>790900</v>
      </c>
      <c r="AH1079" s="98">
        <f>IF($H1079="EMP",18*AF1079-100,18*AF1079-100+AE1079)</f>
        <v>593900</v>
      </c>
      <c r="AI1079" s="95">
        <v>43000</v>
      </c>
      <c r="AJ1079" s="99"/>
      <c r="AK1079" s="100" t="s">
        <v>43</v>
      </c>
      <c r="AL1079" s="100" t="s">
        <v>43</v>
      </c>
      <c r="AM1079" s="100" t="s">
        <v>43</v>
      </c>
      <c r="AN1079" s="100" t="s">
        <v>43</v>
      </c>
      <c r="AO1079" s="100" t="s">
        <v>43</v>
      </c>
      <c r="AP1079" s="100" t="s">
        <v>43</v>
      </c>
      <c r="AQ1079" s="100" t="s">
        <v>43</v>
      </c>
      <c r="AR1079" s="100" t="s">
        <v>43</v>
      </c>
      <c r="AS1079" s="100" t="s">
        <v>43</v>
      </c>
    </row>
    <row r="1080" spans="1:45" s="101" customFormat="1" x14ac:dyDescent="0.25">
      <c r="A1080" s="90" t="s">
        <v>38</v>
      </c>
      <c r="B1080" s="90" t="s">
        <v>40</v>
      </c>
      <c r="C1080" s="90" t="s">
        <v>39</v>
      </c>
      <c r="D1080" s="90" t="s">
        <v>4537</v>
      </c>
      <c r="E1080" s="90" t="s">
        <v>4542</v>
      </c>
      <c r="F1080" s="91"/>
      <c r="G1080" s="92">
        <v>70014042</v>
      </c>
      <c r="H1080" s="91" t="s">
        <v>4370</v>
      </c>
      <c r="I1080" s="93" t="s">
        <v>87</v>
      </c>
      <c r="J1080" s="94" t="s">
        <v>885</v>
      </c>
      <c r="K1080" s="94" t="s">
        <v>3089</v>
      </c>
      <c r="L1080" s="94" t="s">
        <v>3237</v>
      </c>
      <c r="M1080" s="95">
        <v>419900</v>
      </c>
      <c r="N1080" s="95">
        <v>6000</v>
      </c>
      <c r="O1080" s="95">
        <v>8500</v>
      </c>
      <c r="P1080" s="96"/>
      <c r="Q1080" s="152"/>
      <c r="R1080" s="95">
        <v>419900</v>
      </c>
      <c r="S1080" s="95">
        <v>17495.833333333332</v>
      </c>
      <c r="T1080" s="95">
        <v>419900</v>
      </c>
      <c r="U1080" s="95">
        <v>17495.833333333332</v>
      </c>
      <c r="V1080" s="95">
        <v>419900</v>
      </c>
      <c r="W1080" s="95">
        <v>17495.833333333332</v>
      </c>
      <c r="X1080" s="128"/>
      <c r="Y1080" s="95">
        <v>299900</v>
      </c>
      <c r="Z1080" s="95">
        <v>16000</v>
      </c>
      <c r="AA1080" s="95">
        <f>IFERROR(IF(D1080="Premium",0.4*Y1080,0),"No Disp")</f>
        <v>0</v>
      </c>
      <c r="AB1080" s="95">
        <f>IFERROR(IF(4*Y1080&gt;AC1080,1.5*Y1080,4*Y1080),"No Disp")</f>
        <v>449850</v>
      </c>
      <c r="AC1080" s="95">
        <f>IF(Z1080="No Disp","No Disp",(Z1080*18)+Y1080)</f>
        <v>587900</v>
      </c>
      <c r="AD1080" s="95">
        <f>IF($H1080="EMP",18*Z1080-100,18*Z1080-100+Y1080)</f>
        <v>287900</v>
      </c>
      <c r="AE1080" s="95">
        <v>49900</v>
      </c>
      <c r="AF1080" s="95">
        <v>26000</v>
      </c>
      <c r="AG1080" s="95">
        <f>IF(AF1080="No Disp","No Disp",(AF1080*18)+AE1080)</f>
        <v>517900</v>
      </c>
      <c r="AH1080" s="98">
        <f>IF($H1080="EMP",18*AF1080-100,18*AF1080-100+AE1080)</f>
        <v>467900</v>
      </c>
      <c r="AI1080" s="95" t="s">
        <v>4613</v>
      </c>
      <c r="AJ1080" s="99"/>
      <c r="AK1080" s="100" t="s">
        <v>43</v>
      </c>
      <c r="AL1080" s="100" t="s">
        <v>43</v>
      </c>
      <c r="AM1080" s="100" t="s">
        <v>43</v>
      </c>
      <c r="AN1080" s="100" t="s">
        <v>43</v>
      </c>
      <c r="AO1080" s="100" t="s">
        <v>43</v>
      </c>
      <c r="AP1080" s="100" t="s">
        <v>43</v>
      </c>
      <c r="AQ1080" s="100" t="s">
        <v>43</v>
      </c>
      <c r="AR1080" s="100" t="s">
        <v>43</v>
      </c>
      <c r="AS1080" s="100" t="s">
        <v>43</v>
      </c>
    </row>
    <row r="1081" spans="1:45" s="101" customFormat="1" x14ac:dyDescent="0.25">
      <c r="A1081" s="90" t="s">
        <v>38</v>
      </c>
      <c r="B1081" s="90" t="s">
        <v>40</v>
      </c>
      <c r="C1081" s="90" t="s">
        <v>39</v>
      </c>
      <c r="D1081" s="90" t="s">
        <v>4540</v>
      </c>
      <c r="E1081" s="90" t="s">
        <v>4542</v>
      </c>
      <c r="F1081" s="91"/>
      <c r="G1081" s="92">
        <v>70014136</v>
      </c>
      <c r="H1081" s="91" t="s">
        <v>4370</v>
      </c>
      <c r="I1081" s="93" t="s">
        <v>87</v>
      </c>
      <c r="J1081" s="94" t="s">
        <v>850</v>
      </c>
      <c r="K1081" s="94" t="s">
        <v>3044</v>
      </c>
      <c r="L1081" s="94" t="s">
        <v>3191</v>
      </c>
      <c r="M1081" s="95">
        <v>199900</v>
      </c>
      <c r="N1081" s="95">
        <v>4000</v>
      </c>
      <c r="O1081" s="95">
        <v>6000</v>
      </c>
      <c r="P1081" s="96"/>
      <c r="Q1081" s="152"/>
      <c r="R1081" s="95">
        <v>199900</v>
      </c>
      <c r="S1081" s="95">
        <v>8329.1666666666661</v>
      </c>
      <c r="T1081" s="95">
        <v>199900</v>
      </c>
      <c r="U1081" s="95">
        <v>8329.1666666666661</v>
      </c>
      <c r="V1081" s="95">
        <v>199900</v>
      </c>
      <c r="W1081" s="95">
        <v>8329.1666666666661</v>
      </c>
      <c r="X1081" s="128"/>
      <c r="Y1081" s="95">
        <v>799900</v>
      </c>
      <c r="Z1081" s="95">
        <v>20500</v>
      </c>
      <c r="AA1081" s="95">
        <f>IFERROR(IF(D1081="Premium",0.4*Y1081,0),"No Disp")</f>
        <v>319960</v>
      </c>
      <c r="AB1081" s="95">
        <f>IFERROR(IF(4*Y1081&gt;AC1081,1.5*Y1081,4*Y1081),"No Disp")</f>
        <v>1199850</v>
      </c>
      <c r="AC1081" s="95">
        <f>IF(Z1081="No Disp","No Disp",(Z1081*18)+Y1081)</f>
        <v>1168900</v>
      </c>
      <c r="AD1081" s="95">
        <f>IF($H1081="EMP",18*Z1081-100,18*Z1081-100+Y1081)</f>
        <v>368900</v>
      </c>
      <c r="AE1081" s="95">
        <v>19900</v>
      </c>
      <c r="AF1081" s="95">
        <v>13000</v>
      </c>
      <c r="AG1081" s="95">
        <f>IF(AF1081="No Disp","No Disp",(AF1081*18)+AE1081)</f>
        <v>253900</v>
      </c>
      <c r="AH1081" s="98">
        <f>IF($H1081="EMP",18*AF1081-100,18*AF1081-100+AE1081)</f>
        <v>233900</v>
      </c>
      <c r="AI1081" s="95" t="s">
        <v>4613</v>
      </c>
      <c r="AJ1081" s="99"/>
      <c r="AK1081" s="100" t="s">
        <v>43</v>
      </c>
      <c r="AL1081" s="100" t="s">
        <v>43</v>
      </c>
      <c r="AM1081" s="100" t="s">
        <v>43</v>
      </c>
      <c r="AN1081" s="100" t="s">
        <v>43</v>
      </c>
      <c r="AO1081" s="100" t="s">
        <v>43</v>
      </c>
      <c r="AP1081" s="100" t="s">
        <v>43</v>
      </c>
      <c r="AQ1081" s="100" t="s">
        <v>43</v>
      </c>
      <c r="AR1081" s="100" t="s">
        <v>43</v>
      </c>
      <c r="AS1081" s="100" t="s">
        <v>43</v>
      </c>
    </row>
    <row r="1082" spans="1:45" s="101" customFormat="1" x14ac:dyDescent="0.25">
      <c r="A1082" s="90" t="s">
        <v>38</v>
      </c>
      <c r="B1082" s="90" t="s">
        <v>40</v>
      </c>
      <c r="C1082" s="90" t="s">
        <v>40</v>
      </c>
      <c r="D1082" s="90" t="s">
        <v>4539</v>
      </c>
      <c r="E1082" s="90" t="s">
        <v>4542</v>
      </c>
      <c r="F1082" s="91"/>
      <c r="G1082" s="92">
        <v>70014330</v>
      </c>
      <c r="H1082" s="91" t="s">
        <v>4370</v>
      </c>
      <c r="I1082" s="93" t="s">
        <v>87</v>
      </c>
      <c r="J1082" s="94" t="s">
        <v>842</v>
      </c>
      <c r="K1082" s="94" t="s">
        <v>3310</v>
      </c>
      <c r="L1082" s="94" t="s">
        <v>4435</v>
      </c>
      <c r="M1082" s="95">
        <v>99900</v>
      </c>
      <c r="N1082" s="95">
        <v>2500</v>
      </c>
      <c r="O1082" s="95">
        <v>4000</v>
      </c>
      <c r="P1082" s="96"/>
      <c r="Q1082" s="152"/>
      <c r="R1082" s="95">
        <v>99900</v>
      </c>
      <c r="S1082" s="95">
        <v>4162.5</v>
      </c>
      <c r="T1082" s="95">
        <v>99900</v>
      </c>
      <c r="U1082" s="95">
        <v>4162.5</v>
      </c>
      <c r="V1082" s="95">
        <v>99900</v>
      </c>
      <c r="W1082" s="95">
        <v>4162.5</v>
      </c>
      <c r="X1082" s="128"/>
      <c r="Y1082" s="95">
        <v>499900</v>
      </c>
      <c r="Z1082" s="95">
        <v>16000</v>
      </c>
      <c r="AA1082" s="95">
        <f>IFERROR(IF(D1082="Premium",0.4*Y1082,0),"No Disp")</f>
        <v>0</v>
      </c>
      <c r="AB1082" s="95">
        <f>IFERROR(IF(4*Y1082&gt;AC1082,1.5*Y1082,4*Y1082),"No Disp")</f>
        <v>749850</v>
      </c>
      <c r="AC1082" s="95">
        <f>IF(Z1082="No Disp","No Disp",(Z1082*18)+Y1082)</f>
        <v>787900</v>
      </c>
      <c r="AD1082" s="95">
        <f>IF($H1082="EMP",18*Z1082-100,18*Z1082-100+Y1082)</f>
        <v>287900</v>
      </c>
      <c r="AE1082" s="95">
        <v>19900</v>
      </c>
      <c r="AF1082" s="95">
        <v>8000</v>
      </c>
      <c r="AG1082" s="95">
        <f>IF(AF1082="No Disp","No Disp",(AF1082*18)+AE1082)</f>
        <v>163900</v>
      </c>
      <c r="AH1082" s="98">
        <f>IF($H1082="EMP",18*AF1082-100,18*AF1082-100+AE1082)</f>
        <v>143900</v>
      </c>
      <c r="AI1082" s="95" t="s">
        <v>4613</v>
      </c>
      <c r="AJ1082" s="99"/>
      <c r="AK1082" s="100" t="s">
        <v>43</v>
      </c>
      <c r="AL1082" s="100" t="s">
        <v>43</v>
      </c>
      <c r="AM1082" s="100" t="s">
        <v>43</v>
      </c>
      <c r="AN1082" s="100" t="s">
        <v>43</v>
      </c>
      <c r="AO1082" s="100" t="s">
        <v>43</v>
      </c>
      <c r="AP1082" s="100" t="s">
        <v>43</v>
      </c>
      <c r="AQ1082" s="100" t="s">
        <v>43</v>
      </c>
      <c r="AR1082" s="100" t="s">
        <v>43</v>
      </c>
      <c r="AS1082" s="100" t="s">
        <v>43</v>
      </c>
    </row>
    <row r="1083" spans="1:45" s="101" customFormat="1" x14ac:dyDescent="0.25">
      <c r="A1083" s="90" t="s">
        <v>38</v>
      </c>
      <c r="B1083" s="90" t="s">
        <v>40</v>
      </c>
      <c r="C1083" s="90" t="s">
        <v>39</v>
      </c>
      <c r="D1083" s="90" t="s">
        <v>4541</v>
      </c>
      <c r="E1083" s="90" t="s">
        <v>4542</v>
      </c>
      <c r="F1083" s="91"/>
      <c r="G1083" s="92">
        <v>70013998</v>
      </c>
      <c r="H1083" s="91" t="s">
        <v>4370</v>
      </c>
      <c r="I1083" s="93" t="s">
        <v>46</v>
      </c>
      <c r="J1083" s="94" t="s">
        <v>764</v>
      </c>
      <c r="K1083" s="94" t="s">
        <v>3014</v>
      </c>
      <c r="L1083" s="94" t="s">
        <v>3161</v>
      </c>
      <c r="M1083" s="95">
        <v>104900</v>
      </c>
      <c r="N1083" s="95">
        <v>2500</v>
      </c>
      <c r="O1083" s="95">
        <v>4000</v>
      </c>
      <c r="P1083" s="96"/>
      <c r="Q1083" s="152"/>
      <c r="R1083" s="95">
        <v>104900</v>
      </c>
      <c r="S1083" s="95">
        <v>4370.833333333333</v>
      </c>
      <c r="T1083" s="95">
        <v>104900</v>
      </c>
      <c r="U1083" s="95">
        <v>4370.833333333333</v>
      </c>
      <c r="V1083" s="95">
        <v>104900</v>
      </c>
      <c r="W1083" s="95">
        <v>4370.833333333333</v>
      </c>
      <c r="X1083" s="128"/>
      <c r="Y1083" s="95">
        <v>29900</v>
      </c>
      <c r="Z1083" s="95">
        <v>7000</v>
      </c>
      <c r="AA1083" s="95">
        <f>IFERROR(IF(D1083="Premium",0.4*Y1083,0),"No Disp")</f>
        <v>0</v>
      </c>
      <c r="AB1083" s="95">
        <f>IFERROR(IF(4*Y1083&gt;AC1083,1.5*Y1083,4*Y1083),"No Disp")</f>
        <v>119600</v>
      </c>
      <c r="AC1083" s="95">
        <f>IF(Z1083="No Disp","No Disp",(Z1083*18)+Y1083)</f>
        <v>155900</v>
      </c>
      <c r="AD1083" s="95">
        <f>IF($H1083="EMP",18*Z1083-100,18*Z1083-100+Y1083)</f>
        <v>125900</v>
      </c>
      <c r="AE1083" s="95">
        <v>19900</v>
      </c>
      <c r="AF1083" s="95">
        <v>6000</v>
      </c>
      <c r="AG1083" s="95">
        <f>IF(AF1083="No Disp","No Disp",(AF1083*18)+AE1083)</f>
        <v>127900</v>
      </c>
      <c r="AH1083" s="98">
        <f>IF($H1083="EMP",18*AF1083-100,18*AF1083-100+AE1083)</f>
        <v>107900</v>
      </c>
      <c r="AI1083" s="95" t="s">
        <v>4613</v>
      </c>
      <c r="AJ1083" s="99"/>
      <c r="AK1083" s="100" t="s">
        <v>43</v>
      </c>
      <c r="AL1083" s="100" t="s">
        <v>43</v>
      </c>
      <c r="AM1083" s="100" t="s">
        <v>43</v>
      </c>
      <c r="AN1083" s="100" t="s">
        <v>43</v>
      </c>
      <c r="AO1083" s="100" t="s">
        <v>43</v>
      </c>
      <c r="AP1083" s="100" t="s">
        <v>43</v>
      </c>
      <c r="AQ1083" s="100" t="s">
        <v>43</v>
      </c>
      <c r="AR1083" s="100" t="s">
        <v>43</v>
      </c>
      <c r="AS1083" s="100" t="s">
        <v>43</v>
      </c>
    </row>
    <row r="1084" spans="1:45" s="101" customFormat="1" x14ac:dyDescent="0.25">
      <c r="A1084" s="90" t="s">
        <v>38</v>
      </c>
      <c r="B1084" s="90" t="s">
        <v>40</v>
      </c>
      <c r="C1084" s="90" t="s">
        <v>39</v>
      </c>
      <c r="D1084" s="90" t="s">
        <v>4541</v>
      </c>
      <c r="E1084" s="90" t="s">
        <v>4542</v>
      </c>
      <c r="F1084" s="91"/>
      <c r="G1084" s="92">
        <v>70014188</v>
      </c>
      <c r="H1084" s="91" t="s">
        <v>4370</v>
      </c>
      <c r="I1084" s="93" t="s">
        <v>46</v>
      </c>
      <c r="J1084" s="94" t="s">
        <v>620</v>
      </c>
      <c r="K1084" s="94" t="s">
        <v>3032</v>
      </c>
      <c r="L1084" s="94" t="s">
        <v>3179</v>
      </c>
      <c r="M1084" s="95">
        <v>159900</v>
      </c>
      <c r="N1084" s="95">
        <v>2500</v>
      </c>
      <c r="O1084" s="95">
        <v>4000</v>
      </c>
      <c r="P1084" s="96"/>
      <c r="Q1084" s="152"/>
      <c r="R1084" s="95">
        <v>159900</v>
      </c>
      <c r="S1084" s="95">
        <v>6662.5</v>
      </c>
      <c r="T1084" s="95">
        <v>159900</v>
      </c>
      <c r="U1084" s="95">
        <v>6662.5</v>
      </c>
      <c r="V1084" s="95">
        <v>159900</v>
      </c>
      <c r="W1084" s="95">
        <v>6662.5</v>
      </c>
      <c r="X1084" s="128"/>
      <c r="Y1084" s="95">
        <v>54900</v>
      </c>
      <c r="Z1084" s="95">
        <v>10000</v>
      </c>
      <c r="AA1084" s="95">
        <f>IFERROR(IF(D1084="Premium",0.4*Y1084,0),"No Disp")</f>
        <v>0</v>
      </c>
      <c r="AB1084" s="95">
        <f>IFERROR(IF(4*Y1084&gt;AC1084,1.5*Y1084,4*Y1084),"No Disp")</f>
        <v>219600</v>
      </c>
      <c r="AC1084" s="95">
        <f>IF(Z1084="No Disp","No Disp",(Z1084*18)+Y1084)</f>
        <v>234900</v>
      </c>
      <c r="AD1084" s="95">
        <f>IF($H1084="EMP",18*Z1084-100,18*Z1084-100+Y1084)</f>
        <v>179900</v>
      </c>
      <c r="AE1084" s="95">
        <v>19900</v>
      </c>
      <c r="AF1084" s="95">
        <v>10000</v>
      </c>
      <c r="AG1084" s="95">
        <f>IF(AF1084="No Disp","No Disp",(AF1084*18)+AE1084)</f>
        <v>199900</v>
      </c>
      <c r="AH1084" s="98">
        <f>IF($H1084="EMP",18*AF1084-100,18*AF1084-100+AE1084)</f>
        <v>179900</v>
      </c>
      <c r="AI1084" s="95" t="s">
        <v>4613</v>
      </c>
      <c r="AJ1084" s="99"/>
      <c r="AK1084" s="100" t="s">
        <v>43</v>
      </c>
      <c r="AL1084" s="100" t="s">
        <v>43</v>
      </c>
      <c r="AM1084" s="100" t="s">
        <v>43</v>
      </c>
      <c r="AN1084" s="100" t="s">
        <v>43</v>
      </c>
      <c r="AO1084" s="100" t="s">
        <v>43</v>
      </c>
      <c r="AP1084" s="100" t="s">
        <v>43</v>
      </c>
      <c r="AQ1084" s="100" t="s">
        <v>43</v>
      </c>
      <c r="AR1084" s="100" t="s">
        <v>43</v>
      </c>
      <c r="AS1084" s="100" t="s">
        <v>43</v>
      </c>
    </row>
    <row r="1085" spans="1:45" s="101" customFormat="1" x14ac:dyDescent="0.25">
      <c r="A1085" s="90" t="s">
        <v>38</v>
      </c>
      <c r="B1085" s="90" t="s">
        <v>40</v>
      </c>
      <c r="C1085" s="90" t="s">
        <v>39</v>
      </c>
      <c r="D1085" s="90" t="s">
        <v>4541</v>
      </c>
      <c r="E1085" s="90" t="s">
        <v>4542</v>
      </c>
      <c r="F1085" s="91"/>
      <c r="G1085" s="92">
        <v>70014137</v>
      </c>
      <c r="H1085" s="91" t="s">
        <v>4370</v>
      </c>
      <c r="I1085" s="93" t="s">
        <v>46</v>
      </c>
      <c r="J1085" s="94" t="s">
        <v>862</v>
      </c>
      <c r="K1085" s="94" t="s">
        <v>2992</v>
      </c>
      <c r="L1085" s="94" t="s">
        <v>3139</v>
      </c>
      <c r="M1085" s="95">
        <v>39900</v>
      </c>
      <c r="N1085" s="95">
        <v>2500</v>
      </c>
      <c r="O1085" s="95">
        <v>4000</v>
      </c>
      <c r="P1085" s="96"/>
      <c r="Q1085" s="152"/>
      <c r="R1085" s="95">
        <v>39900</v>
      </c>
      <c r="S1085" s="95">
        <v>1662.5</v>
      </c>
      <c r="T1085" s="95">
        <v>39900</v>
      </c>
      <c r="U1085" s="95">
        <v>1662.5</v>
      </c>
      <c r="V1085" s="95">
        <v>39900</v>
      </c>
      <c r="W1085" s="95">
        <v>1662.5</v>
      </c>
      <c r="X1085" s="128"/>
      <c r="Y1085" s="95">
        <v>64900</v>
      </c>
      <c r="Z1085" s="95">
        <v>8000</v>
      </c>
      <c r="AA1085" s="95">
        <f>IFERROR(IF(D1085="Premium",0.4*Y1085,0),"No Disp")</f>
        <v>0</v>
      </c>
      <c r="AB1085" s="95">
        <f>IFERROR(IF(4*Y1085&gt;AC1085,1.5*Y1085,4*Y1085),"No Disp")</f>
        <v>97350</v>
      </c>
      <c r="AC1085" s="95">
        <f>IF(Z1085="No Disp","No Disp",(Z1085*18)+Y1085)</f>
        <v>208900</v>
      </c>
      <c r="AD1085" s="95">
        <f>IF($H1085="EMP",18*Z1085-100,18*Z1085-100+Y1085)</f>
        <v>143900</v>
      </c>
      <c r="AE1085" s="95">
        <v>19900</v>
      </c>
      <c r="AF1085" s="95">
        <v>1000</v>
      </c>
      <c r="AG1085" s="95">
        <f>IF(AF1085="No Disp","No Disp",(AF1085*18)+AE1085)</f>
        <v>37900</v>
      </c>
      <c r="AH1085" s="98">
        <f>IF($H1085="EMP",18*AF1085-100,18*AF1085-100+AE1085)</f>
        <v>17900</v>
      </c>
      <c r="AI1085" s="95" t="s">
        <v>4613</v>
      </c>
      <c r="AJ1085" s="99"/>
      <c r="AK1085" s="100" t="s">
        <v>43</v>
      </c>
      <c r="AL1085" s="100" t="s">
        <v>43</v>
      </c>
      <c r="AM1085" s="100" t="s">
        <v>43</v>
      </c>
      <c r="AN1085" s="100" t="s">
        <v>43</v>
      </c>
      <c r="AO1085" s="100" t="s">
        <v>43</v>
      </c>
      <c r="AP1085" s="100" t="s">
        <v>43</v>
      </c>
      <c r="AQ1085" s="100" t="s">
        <v>43</v>
      </c>
      <c r="AR1085" s="100" t="s">
        <v>43</v>
      </c>
      <c r="AS1085" s="100" t="s">
        <v>43</v>
      </c>
    </row>
    <row r="1086" spans="1:45" s="101" customFormat="1" x14ac:dyDescent="0.25">
      <c r="A1086" s="90" t="s">
        <v>38</v>
      </c>
      <c r="B1086" s="90" t="s">
        <v>40</v>
      </c>
      <c r="C1086" s="90" t="s">
        <v>39</v>
      </c>
      <c r="D1086" s="90" t="s">
        <v>4539</v>
      </c>
      <c r="E1086" s="90" t="s">
        <v>4542</v>
      </c>
      <c r="F1086" s="91"/>
      <c r="G1086" s="92">
        <v>70014000</v>
      </c>
      <c r="H1086" s="91" t="s">
        <v>4370</v>
      </c>
      <c r="I1086" s="93" t="s">
        <v>46</v>
      </c>
      <c r="J1086" s="94" t="s">
        <v>800</v>
      </c>
      <c r="K1086" s="94" t="s">
        <v>3056</v>
      </c>
      <c r="L1086" s="94" t="s">
        <v>3203</v>
      </c>
      <c r="M1086" s="95">
        <v>249900</v>
      </c>
      <c r="N1086" s="95">
        <v>4000</v>
      </c>
      <c r="O1086" s="95">
        <v>6000</v>
      </c>
      <c r="P1086" s="96"/>
      <c r="Q1086" s="152"/>
      <c r="R1086" s="95">
        <v>249900</v>
      </c>
      <c r="S1086" s="95">
        <v>10412.5</v>
      </c>
      <c r="T1086" s="95">
        <v>249900</v>
      </c>
      <c r="U1086" s="95">
        <v>10412.5</v>
      </c>
      <c r="V1086" s="95">
        <v>249900</v>
      </c>
      <c r="W1086" s="95">
        <v>10412.5</v>
      </c>
      <c r="X1086" s="128"/>
      <c r="Y1086" s="95">
        <v>99900</v>
      </c>
      <c r="Z1086" s="95">
        <v>18000</v>
      </c>
      <c r="AA1086" s="95">
        <f>IFERROR(IF(D1086="Premium",0.4*Y1086,0),"No Disp")</f>
        <v>0</v>
      </c>
      <c r="AB1086" s="95">
        <f>IFERROR(IF(4*Y1086&gt;AC1086,1.5*Y1086,4*Y1086),"No Disp")</f>
        <v>399600</v>
      </c>
      <c r="AC1086" s="95">
        <f>IF(Z1086="No Disp","No Disp",(Z1086*18)+Y1086)</f>
        <v>423900</v>
      </c>
      <c r="AD1086" s="95">
        <f>IF($H1086="EMP",18*Z1086-100,18*Z1086-100+Y1086)</f>
        <v>323900</v>
      </c>
      <c r="AE1086" s="95">
        <v>19900</v>
      </c>
      <c r="AF1086" s="95">
        <v>18000</v>
      </c>
      <c r="AG1086" s="95">
        <f>IF(AF1086="No Disp","No Disp",(AF1086*18)+AE1086)</f>
        <v>343900</v>
      </c>
      <c r="AH1086" s="98">
        <f>IF($H1086="EMP",18*AF1086-100,18*AF1086-100+AE1086)</f>
        <v>323900</v>
      </c>
      <c r="AI1086" s="95" t="s">
        <v>4613</v>
      </c>
      <c r="AJ1086" s="99"/>
      <c r="AK1086" s="100" t="s">
        <v>43</v>
      </c>
      <c r="AL1086" s="100" t="s">
        <v>43</v>
      </c>
      <c r="AM1086" s="100" t="s">
        <v>43</v>
      </c>
      <c r="AN1086" s="100" t="s">
        <v>43</v>
      </c>
      <c r="AO1086" s="100" t="s">
        <v>43</v>
      </c>
      <c r="AP1086" s="100" t="s">
        <v>43</v>
      </c>
      <c r="AQ1086" s="100" t="s">
        <v>43</v>
      </c>
      <c r="AR1086" s="100" t="s">
        <v>43</v>
      </c>
      <c r="AS1086" s="100" t="s">
        <v>43</v>
      </c>
    </row>
    <row r="1087" spans="1:45" s="101" customFormat="1" x14ac:dyDescent="0.25">
      <c r="A1087" s="90" t="s">
        <v>38</v>
      </c>
      <c r="B1087" s="90" t="s">
        <v>40</v>
      </c>
      <c r="C1087" s="90" t="s">
        <v>39</v>
      </c>
      <c r="D1087" s="90" t="s">
        <v>4537</v>
      </c>
      <c r="E1087" s="90" t="s">
        <v>4542</v>
      </c>
      <c r="F1087" s="91"/>
      <c r="G1087" s="92">
        <v>70014001</v>
      </c>
      <c r="H1087" s="91" t="s">
        <v>4370</v>
      </c>
      <c r="I1087" s="93" t="s">
        <v>46</v>
      </c>
      <c r="J1087" s="94" t="s">
        <v>870</v>
      </c>
      <c r="K1087" s="94" t="s">
        <v>3003</v>
      </c>
      <c r="L1087" s="94" t="s">
        <v>3150</v>
      </c>
      <c r="M1087" s="95">
        <v>79900</v>
      </c>
      <c r="N1087" s="95">
        <v>2500</v>
      </c>
      <c r="O1087" s="95">
        <v>4000</v>
      </c>
      <c r="P1087" s="96"/>
      <c r="Q1087" s="152"/>
      <c r="R1087" s="95">
        <v>79900</v>
      </c>
      <c r="S1087" s="95">
        <v>3329.1666666666665</v>
      </c>
      <c r="T1087" s="95">
        <v>79900</v>
      </c>
      <c r="U1087" s="95">
        <v>3329.1666666666665</v>
      </c>
      <c r="V1087" s="95">
        <v>79900</v>
      </c>
      <c r="W1087" s="95">
        <v>3329.1666666666665</v>
      </c>
      <c r="X1087" s="128"/>
      <c r="Y1087" s="95">
        <v>119900</v>
      </c>
      <c r="Z1087" s="95">
        <v>15500</v>
      </c>
      <c r="AA1087" s="95">
        <f>IFERROR(IF(D1087="Premium",0.4*Y1087,0),"No Disp")</f>
        <v>0</v>
      </c>
      <c r="AB1087" s="95">
        <f>IFERROR(IF(4*Y1087&gt;AC1087,1.5*Y1087,4*Y1087),"No Disp")</f>
        <v>179850</v>
      </c>
      <c r="AC1087" s="95">
        <f>IF(Z1087="No Disp","No Disp",(Z1087*18)+Y1087)</f>
        <v>398900</v>
      </c>
      <c r="AD1087" s="95">
        <f>IF($H1087="EMP",18*Z1087-100,18*Z1087-100+Y1087)</f>
        <v>278900</v>
      </c>
      <c r="AE1087" s="95">
        <v>19900</v>
      </c>
      <c r="AF1087" s="95">
        <v>4000</v>
      </c>
      <c r="AG1087" s="95">
        <f>IF(AF1087="No Disp","No Disp",(AF1087*18)+AE1087)</f>
        <v>91900</v>
      </c>
      <c r="AH1087" s="98">
        <f>IF($H1087="EMP",18*AF1087-100,18*AF1087-100+AE1087)</f>
        <v>71900</v>
      </c>
      <c r="AI1087" s="95" t="s">
        <v>4613</v>
      </c>
      <c r="AJ1087" s="99"/>
      <c r="AK1087" s="100" t="s">
        <v>43</v>
      </c>
      <c r="AL1087" s="100" t="s">
        <v>43</v>
      </c>
      <c r="AM1087" s="100" t="s">
        <v>43</v>
      </c>
      <c r="AN1087" s="100" t="s">
        <v>43</v>
      </c>
      <c r="AO1087" s="100" t="s">
        <v>43</v>
      </c>
      <c r="AP1087" s="100" t="s">
        <v>43</v>
      </c>
      <c r="AQ1087" s="100" t="s">
        <v>43</v>
      </c>
      <c r="AR1087" s="100" t="s">
        <v>43</v>
      </c>
      <c r="AS1087" s="100" t="s">
        <v>43</v>
      </c>
    </row>
    <row r="1088" spans="1:45" s="101" customFormat="1" x14ac:dyDescent="0.25">
      <c r="A1088" s="90" t="s">
        <v>38</v>
      </c>
      <c r="B1088" s="90" t="s">
        <v>40</v>
      </c>
      <c r="C1088" s="90" t="s">
        <v>39</v>
      </c>
      <c r="D1088" s="90" t="s">
        <v>4537</v>
      </c>
      <c r="E1088" s="90" t="s">
        <v>4542</v>
      </c>
      <c r="F1088" s="91"/>
      <c r="G1088" s="92">
        <v>70014134</v>
      </c>
      <c r="H1088" s="91" t="s">
        <v>4370</v>
      </c>
      <c r="I1088" s="93" t="s">
        <v>229</v>
      </c>
      <c r="J1088" s="94" t="s">
        <v>891</v>
      </c>
      <c r="K1088" s="94" t="s">
        <v>2991</v>
      </c>
      <c r="L1088" s="94" t="s">
        <v>3138</v>
      </c>
      <c r="M1088" s="95">
        <v>39900</v>
      </c>
      <c r="N1088" s="95">
        <v>2500</v>
      </c>
      <c r="O1088" s="95">
        <v>4000</v>
      </c>
      <c r="P1088" s="96"/>
      <c r="Q1088" s="152"/>
      <c r="R1088" s="95">
        <v>39900</v>
      </c>
      <c r="S1088" s="95">
        <v>1662.5</v>
      </c>
      <c r="T1088" s="95">
        <v>39900</v>
      </c>
      <c r="U1088" s="95">
        <v>1662.5</v>
      </c>
      <c r="V1088" s="95">
        <v>39900</v>
      </c>
      <c r="W1088" s="95">
        <v>1662.5</v>
      </c>
      <c r="X1088" s="128"/>
      <c r="Y1088" s="95">
        <v>19900</v>
      </c>
      <c r="Z1088" s="95">
        <v>2500</v>
      </c>
      <c r="AA1088" s="95">
        <f>IFERROR(IF(D1088="Premium",0.4*Y1088,0),"No Disp")</f>
        <v>0</v>
      </c>
      <c r="AB1088" s="95">
        <f>IFERROR(IF(4*Y1088&gt;AC1088,1.5*Y1088,4*Y1088),"No Disp")</f>
        <v>29850</v>
      </c>
      <c r="AC1088" s="95">
        <f>IF(Z1088="No Disp","No Disp",(Z1088*18)+Y1088)</f>
        <v>64900</v>
      </c>
      <c r="AD1088" s="95">
        <f>IF($H1088="EMP",18*Z1088-100,18*Z1088-100+Y1088)</f>
        <v>44900</v>
      </c>
      <c r="AE1088" s="95">
        <v>19900</v>
      </c>
      <c r="AF1088" s="95">
        <v>1000</v>
      </c>
      <c r="AG1088" s="95">
        <f>IF(AF1088="No Disp","No Disp",(AF1088*18)+AE1088)</f>
        <v>37900</v>
      </c>
      <c r="AH1088" s="98">
        <f>IF($H1088="EMP",18*AF1088-100,18*AF1088-100+AE1088)</f>
        <v>17900</v>
      </c>
      <c r="AI1088" s="95" t="s">
        <v>4613</v>
      </c>
      <c r="AJ1088" s="99"/>
      <c r="AK1088" s="100" t="s">
        <v>43</v>
      </c>
      <c r="AL1088" s="100" t="s">
        <v>43</v>
      </c>
      <c r="AM1088" s="100" t="s">
        <v>43</v>
      </c>
      <c r="AN1088" s="100" t="s">
        <v>43</v>
      </c>
      <c r="AO1088" s="100" t="s">
        <v>43</v>
      </c>
      <c r="AP1088" s="100" t="s">
        <v>43</v>
      </c>
      <c r="AQ1088" s="100" t="s">
        <v>43</v>
      </c>
      <c r="AR1088" s="100" t="s">
        <v>43</v>
      </c>
      <c r="AS1088" s="100" t="s">
        <v>43</v>
      </c>
    </row>
    <row r="1089" spans="1:45" s="101" customFormat="1" x14ac:dyDescent="0.25">
      <c r="A1089" s="90" t="s">
        <v>38</v>
      </c>
      <c r="B1089" s="90" t="s">
        <v>40</v>
      </c>
      <c r="C1089" s="90" t="s">
        <v>39</v>
      </c>
      <c r="D1089" s="90" t="s">
        <v>4537</v>
      </c>
      <c r="E1089" s="90" t="s">
        <v>4542</v>
      </c>
      <c r="F1089" s="91"/>
      <c r="G1089" s="92">
        <v>70013995</v>
      </c>
      <c r="H1089" s="91" t="s">
        <v>4370</v>
      </c>
      <c r="I1089" s="93" t="s">
        <v>46</v>
      </c>
      <c r="J1089" s="94" t="s">
        <v>671</v>
      </c>
      <c r="K1089" s="94" t="s">
        <v>3095</v>
      </c>
      <c r="L1089" s="94" t="s">
        <v>3243</v>
      </c>
      <c r="M1089" s="95">
        <v>467900</v>
      </c>
      <c r="N1089" s="95">
        <v>6000</v>
      </c>
      <c r="O1089" s="95">
        <v>8500</v>
      </c>
      <c r="P1089" s="96"/>
      <c r="Q1089" s="152"/>
      <c r="R1089" s="95">
        <v>467900</v>
      </c>
      <c r="S1089" s="95">
        <v>19495.833333333332</v>
      </c>
      <c r="T1089" s="95">
        <v>467900</v>
      </c>
      <c r="U1089" s="95">
        <v>19495.833333333332</v>
      </c>
      <c r="V1089" s="95">
        <v>467900</v>
      </c>
      <c r="W1089" s="95">
        <v>19495.833333333332</v>
      </c>
      <c r="X1089" s="128"/>
      <c r="Y1089" s="95">
        <v>0</v>
      </c>
      <c r="Z1089" s="95">
        <v>29000</v>
      </c>
      <c r="AA1089" s="95">
        <f>IFERROR(IF(D1089="Premium",0.4*Y1089,0),"No Disp")</f>
        <v>0</v>
      </c>
      <c r="AB1089" s="95">
        <f>IFERROR(IF(4*Y1089&gt;AC1089,1.5*Y1089,4*Y1089),"No Disp")</f>
        <v>0</v>
      </c>
      <c r="AC1089" s="95">
        <f>IF(Z1089="No Disp","No Disp",(Z1089*18)+Y1089)</f>
        <v>522000</v>
      </c>
      <c r="AD1089" s="95">
        <f>IF($H1089="EMP",18*Z1089-100,18*Z1089-100+Y1089)</f>
        <v>521900</v>
      </c>
      <c r="AE1089" s="95">
        <v>107900</v>
      </c>
      <c r="AF1089" s="95">
        <v>29900</v>
      </c>
      <c r="AG1089" s="95">
        <f>IF(AF1089="No Disp","No Disp",(AF1089*18)+AE1089)</f>
        <v>646100</v>
      </c>
      <c r="AH1089" s="98">
        <f>IF($H1089="EMP",18*AF1089-100,18*AF1089-100+AE1089)</f>
        <v>538100</v>
      </c>
      <c r="AI1089" s="95" t="s">
        <v>4613</v>
      </c>
      <c r="AJ1089" s="99"/>
      <c r="AK1089" s="100" t="s">
        <v>43</v>
      </c>
      <c r="AL1089" s="100" t="s">
        <v>43</v>
      </c>
      <c r="AM1089" s="100" t="s">
        <v>43</v>
      </c>
      <c r="AN1089" s="100" t="s">
        <v>43</v>
      </c>
      <c r="AO1089" s="100" t="s">
        <v>43</v>
      </c>
      <c r="AP1089" s="100" t="s">
        <v>43</v>
      </c>
      <c r="AQ1089" s="100" t="s">
        <v>43</v>
      </c>
      <c r="AR1089" s="100" t="s">
        <v>43</v>
      </c>
      <c r="AS1089" s="100" t="s">
        <v>43</v>
      </c>
    </row>
    <row r="1090" spans="1:45" s="101" customFormat="1" x14ac:dyDescent="0.25">
      <c r="A1090" s="90" t="s">
        <v>38</v>
      </c>
      <c r="B1090" s="90" t="s">
        <v>40</v>
      </c>
      <c r="C1090" s="90" t="s">
        <v>39</v>
      </c>
      <c r="D1090" s="90" t="s">
        <v>4539</v>
      </c>
      <c r="E1090" s="90" t="s">
        <v>4542</v>
      </c>
      <c r="F1090" s="91"/>
      <c r="G1090" s="92">
        <v>70013945</v>
      </c>
      <c r="H1090" s="91" t="s">
        <v>4370</v>
      </c>
      <c r="I1090" s="93" t="s">
        <v>131</v>
      </c>
      <c r="J1090" s="94" t="s">
        <v>511</v>
      </c>
      <c r="K1090" s="94" t="s">
        <v>3013</v>
      </c>
      <c r="L1090" s="94" t="s">
        <v>3160</v>
      </c>
      <c r="M1090" s="95">
        <v>99900</v>
      </c>
      <c r="N1090" s="95">
        <v>2500</v>
      </c>
      <c r="O1090" s="95">
        <v>4000</v>
      </c>
      <c r="P1090" s="96"/>
      <c r="Q1090" s="152"/>
      <c r="R1090" s="95">
        <v>99900</v>
      </c>
      <c r="S1090" s="95">
        <v>4162.5</v>
      </c>
      <c r="T1090" s="95">
        <v>99900</v>
      </c>
      <c r="U1090" s="95">
        <v>4162.5</v>
      </c>
      <c r="V1090" s="95">
        <v>99900</v>
      </c>
      <c r="W1090" s="95">
        <v>4162.5</v>
      </c>
      <c r="X1090" s="128"/>
      <c r="Y1090" s="95">
        <v>69900</v>
      </c>
      <c r="Z1090" s="95">
        <v>9000</v>
      </c>
      <c r="AA1090" s="95">
        <f>IFERROR(IF(D1090="Premium",0.4*Y1090,0),"No Disp")</f>
        <v>0</v>
      </c>
      <c r="AB1090" s="95">
        <f>IFERROR(IF(4*Y1090&gt;AC1090,1.5*Y1090,4*Y1090),"No Disp")</f>
        <v>104850</v>
      </c>
      <c r="AC1090" s="95">
        <f>IF(Z1090="No Disp","No Disp",(Z1090*18)+Y1090)</f>
        <v>231900</v>
      </c>
      <c r="AD1090" s="95">
        <f>IF($H1090="EMP",18*Z1090-100,18*Z1090-100+Y1090)</f>
        <v>161900</v>
      </c>
      <c r="AE1090" s="95">
        <v>9900</v>
      </c>
      <c r="AF1090" s="95">
        <v>11000</v>
      </c>
      <c r="AG1090" s="95">
        <f>IF(AF1090="No Disp","No Disp",(AF1090*18)+AE1090)</f>
        <v>207900</v>
      </c>
      <c r="AH1090" s="98">
        <f>IF($H1090="EMP",18*AF1090-100,18*AF1090-100+AE1090)</f>
        <v>197900</v>
      </c>
      <c r="AI1090" s="95" t="s">
        <v>4613</v>
      </c>
      <c r="AJ1090" s="99"/>
      <c r="AK1090" s="100" t="s">
        <v>43</v>
      </c>
      <c r="AL1090" s="100" t="s">
        <v>43</v>
      </c>
      <c r="AM1090" s="100" t="s">
        <v>43</v>
      </c>
      <c r="AN1090" s="100" t="s">
        <v>43</v>
      </c>
      <c r="AO1090" s="100" t="s">
        <v>43</v>
      </c>
      <c r="AP1090" s="100" t="s">
        <v>43</v>
      </c>
      <c r="AQ1090" s="100" t="s">
        <v>43</v>
      </c>
      <c r="AR1090" s="100" t="s">
        <v>43</v>
      </c>
      <c r="AS1090" s="100" t="s">
        <v>43</v>
      </c>
    </row>
    <row r="1091" spans="1:45" s="101" customFormat="1" x14ac:dyDescent="0.25">
      <c r="A1091" s="90" t="s">
        <v>38</v>
      </c>
      <c r="B1091" s="90" t="s">
        <v>40</v>
      </c>
      <c r="C1091" s="90" t="s">
        <v>39</v>
      </c>
      <c r="D1091" s="90" t="s">
        <v>4539</v>
      </c>
      <c r="E1091" s="90" t="s">
        <v>4542</v>
      </c>
      <c r="F1091" s="91"/>
      <c r="G1091" s="92">
        <v>70013946</v>
      </c>
      <c r="H1091" s="91" t="s">
        <v>4370</v>
      </c>
      <c r="I1091" s="93" t="s">
        <v>131</v>
      </c>
      <c r="J1091" s="94" t="s">
        <v>433</v>
      </c>
      <c r="K1091" s="94" t="s">
        <v>3036</v>
      </c>
      <c r="L1091" s="94" t="s">
        <v>3183</v>
      </c>
      <c r="M1091" s="95">
        <v>182900</v>
      </c>
      <c r="N1091" s="95">
        <v>4000</v>
      </c>
      <c r="O1091" s="95">
        <v>6000</v>
      </c>
      <c r="P1091" s="96"/>
      <c r="Q1091" s="152"/>
      <c r="R1091" s="95">
        <v>182900</v>
      </c>
      <c r="S1091" s="95">
        <v>7620.833333333333</v>
      </c>
      <c r="T1091" s="95">
        <v>182900</v>
      </c>
      <c r="U1091" s="95">
        <v>7620.833333333333</v>
      </c>
      <c r="V1091" s="95">
        <v>182900</v>
      </c>
      <c r="W1091" s="95">
        <v>7620.833333333333</v>
      </c>
      <c r="X1091" s="128"/>
      <c r="Y1091" s="95">
        <v>82900</v>
      </c>
      <c r="Z1091" s="95">
        <v>10000</v>
      </c>
      <c r="AA1091" s="95">
        <f>IFERROR(IF(D1091="Premium",0.4*Y1091,0),"No Disp")</f>
        <v>0</v>
      </c>
      <c r="AB1091" s="95">
        <f>IFERROR(IF(4*Y1091&gt;AC1091,1.5*Y1091,4*Y1091),"No Disp")</f>
        <v>124350</v>
      </c>
      <c r="AC1091" s="95">
        <f>IF(Z1091="No Disp","No Disp",(Z1091*18)+Y1091)</f>
        <v>262900</v>
      </c>
      <c r="AD1091" s="95">
        <f>IF($H1091="EMP",18*Z1091-100,18*Z1091-100+Y1091)</f>
        <v>179900</v>
      </c>
      <c r="AE1091" s="95">
        <v>19900</v>
      </c>
      <c r="AF1091" s="95">
        <v>13000</v>
      </c>
      <c r="AG1091" s="95">
        <f>IF(AF1091="No Disp","No Disp",(AF1091*18)+AE1091)</f>
        <v>253900</v>
      </c>
      <c r="AH1091" s="98">
        <f>IF($H1091="EMP",18*AF1091-100,18*AF1091-100+AE1091)</f>
        <v>233900</v>
      </c>
      <c r="AI1091" s="95" t="s">
        <v>4613</v>
      </c>
      <c r="AJ1091" s="99"/>
      <c r="AK1091" s="100" t="s">
        <v>43</v>
      </c>
      <c r="AL1091" s="100" t="s">
        <v>43</v>
      </c>
      <c r="AM1091" s="100" t="s">
        <v>43</v>
      </c>
      <c r="AN1091" s="100" t="s">
        <v>43</v>
      </c>
      <c r="AO1091" s="100" t="s">
        <v>43</v>
      </c>
      <c r="AP1091" s="100" t="s">
        <v>43</v>
      </c>
      <c r="AQ1091" s="100" t="s">
        <v>43</v>
      </c>
      <c r="AR1091" s="100" t="s">
        <v>43</v>
      </c>
      <c r="AS1091" s="100" t="s">
        <v>43</v>
      </c>
    </row>
    <row r="1092" spans="1:45" s="101" customFormat="1" x14ac:dyDescent="0.25">
      <c r="A1092" s="90" t="s">
        <v>38</v>
      </c>
      <c r="B1092" s="90" t="s">
        <v>40</v>
      </c>
      <c r="C1092" s="90" t="s">
        <v>39</v>
      </c>
      <c r="D1092" s="90" t="s">
        <v>4540</v>
      </c>
      <c r="E1092" s="90" t="s">
        <v>4542</v>
      </c>
      <c r="F1092" s="91"/>
      <c r="G1092" s="92">
        <v>70014132</v>
      </c>
      <c r="H1092" s="91" t="s">
        <v>4370</v>
      </c>
      <c r="I1092" s="93" t="s">
        <v>63</v>
      </c>
      <c r="J1092" s="94" t="s">
        <v>971</v>
      </c>
      <c r="K1092" s="94" t="s">
        <v>3071</v>
      </c>
      <c r="L1092" s="94" t="s">
        <v>3218</v>
      </c>
      <c r="M1092" s="95">
        <v>299900</v>
      </c>
      <c r="N1092" s="95">
        <v>4000</v>
      </c>
      <c r="O1092" s="95">
        <v>6000</v>
      </c>
      <c r="P1092" s="96"/>
      <c r="Q1092" s="152"/>
      <c r="R1092" s="95">
        <v>299900</v>
      </c>
      <c r="S1092" s="95">
        <v>12495.833333333334</v>
      </c>
      <c r="T1092" s="95">
        <v>299900</v>
      </c>
      <c r="U1092" s="95">
        <v>12495.833333333334</v>
      </c>
      <c r="V1092" s="95">
        <v>299900</v>
      </c>
      <c r="W1092" s="95">
        <v>12495.833333333334</v>
      </c>
      <c r="X1092" s="128"/>
      <c r="Y1092" s="95">
        <v>499900</v>
      </c>
      <c r="Z1092" s="95">
        <v>26000</v>
      </c>
      <c r="AA1092" s="95">
        <f>IFERROR(IF(D1092="Premium",0.4*Y1092,0),"No Disp")</f>
        <v>199960</v>
      </c>
      <c r="AB1092" s="95">
        <f>IFERROR(IF(4*Y1092&gt;AC1092,1.5*Y1092,4*Y1092),"No Disp")</f>
        <v>749850</v>
      </c>
      <c r="AC1092" s="95">
        <f>IF(Z1092="No Disp","No Disp",(Z1092*18)+Y1092)</f>
        <v>967900</v>
      </c>
      <c r="AD1092" s="95">
        <f>IF($H1092="EMP",18*Z1092-100,18*Z1092-100+Y1092)</f>
        <v>467900</v>
      </c>
      <c r="AE1092" s="95">
        <v>249900</v>
      </c>
      <c r="AF1092" s="95">
        <v>35000</v>
      </c>
      <c r="AG1092" s="95">
        <f>IF(AF1092="No Disp","No Disp",(AF1092*18)+AE1092)</f>
        <v>879900</v>
      </c>
      <c r="AH1092" s="98">
        <f>IF($H1092="EMP",18*AF1092-100,18*AF1092-100+AE1092)</f>
        <v>629900</v>
      </c>
      <c r="AI1092" s="95" t="s">
        <v>4613</v>
      </c>
      <c r="AJ1092" s="99"/>
      <c r="AK1092" s="100" t="s">
        <v>43</v>
      </c>
      <c r="AL1092" s="100" t="s">
        <v>43</v>
      </c>
      <c r="AM1092" s="100" t="s">
        <v>43</v>
      </c>
      <c r="AN1092" s="100" t="s">
        <v>43</v>
      </c>
      <c r="AO1092" s="100" t="s">
        <v>43</v>
      </c>
      <c r="AP1092" s="100" t="s">
        <v>43</v>
      </c>
      <c r="AQ1092" s="100" t="s">
        <v>43</v>
      </c>
      <c r="AR1092" s="100" t="s">
        <v>43</v>
      </c>
      <c r="AS1092" s="100" t="s">
        <v>43</v>
      </c>
    </row>
    <row r="1093" spans="1:45" s="101" customFormat="1" x14ac:dyDescent="0.25">
      <c r="A1093" s="90" t="s">
        <v>38</v>
      </c>
      <c r="B1093" s="90" t="s">
        <v>40</v>
      </c>
      <c r="C1093" s="90" t="s">
        <v>39</v>
      </c>
      <c r="D1093" s="90" t="s">
        <v>4540</v>
      </c>
      <c r="E1093" s="90" t="s">
        <v>4542</v>
      </c>
      <c r="F1093" s="91"/>
      <c r="G1093" s="92">
        <v>70014165</v>
      </c>
      <c r="H1093" s="91" t="s">
        <v>4370</v>
      </c>
      <c r="I1093" s="93" t="s">
        <v>63</v>
      </c>
      <c r="J1093" s="94" t="s">
        <v>811</v>
      </c>
      <c r="K1093" s="94" t="s">
        <v>3101</v>
      </c>
      <c r="L1093" s="94" t="s">
        <v>3249</v>
      </c>
      <c r="M1093" s="95">
        <v>499900</v>
      </c>
      <c r="N1093" s="95">
        <v>6000</v>
      </c>
      <c r="O1093" s="95">
        <v>8500</v>
      </c>
      <c r="P1093" s="96"/>
      <c r="Q1093" s="152"/>
      <c r="R1093" s="95">
        <v>499900</v>
      </c>
      <c r="S1093" s="95">
        <v>20829.166666666668</v>
      </c>
      <c r="T1093" s="95">
        <v>499900</v>
      </c>
      <c r="U1093" s="95">
        <v>20829.166666666668</v>
      </c>
      <c r="V1093" s="95">
        <v>499900</v>
      </c>
      <c r="W1093" s="95">
        <v>20829.166666666668</v>
      </c>
      <c r="X1093" s="128"/>
      <c r="Y1093" s="95">
        <v>1129900</v>
      </c>
      <c r="Z1093" s="95">
        <v>41000</v>
      </c>
      <c r="AA1093" s="95">
        <f>IFERROR(IF(D1093="Premium",0.4*Y1093,0),"No Disp")</f>
        <v>451960</v>
      </c>
      <c r="AB1093" s="95">
        <f>IFERROR(IF(4*Y1093&gt;AC1093,1.5*Y1093,4*Y1093),"No Disp")</f>
        <v>1694850</v>
      </c>
      <c r="AC1093" s="95">
        <f>IF(Z1093="No Disp","No Disp",(Z1093*18)+Y1093)</f>
        <v>1867900</v>
      </c>
      <c r="AD1093" s="95">
        <f>IF($H1093="EMP",18*Z1093-100,18*Z1093-100+Y1093)</f>
        <v>737900</v>
      </c>
      <c r="AE1093" s="95">
        <v>529900</v>
      </c>
      <c r="AF1093" s="95">
        <v>66000</v>
      </c>
      <c r="AG1093" s="95">
        <f>IF(AF1093="No Disp","No Disp",(AF1093*18)+AE1093)</f>
        <v>1717900</v>
      </c>
      <c r="AH1093" s="98">
        <f>IF($H1093="EMP",18*AF1093-100,18*AF1093-100+AE1093)</f>
        <v>1187900</v>
      </c>
      <c r="AI1093" s="95" t="s">
        <v>4613</v>
      </c>
      <c r="AJ1093" s="99"/>
      <c r="AK1093" s="100" t="s">
        <v>43</v>
      </c>
      <c r="AL1093" s="100" t="s">
        <v>43</v>
      </c>
      <c r="AM1093" s="100" t="s">
        <v>43</v>
      </c>
      <c r="AN1093" s="100" t="s">
        <v>43</v>
      </c>
      <c r="AO1093" s="100" t="s">
        <v>43</v>
      </c>
      <c r="AP1093" s="100" t="s">
        <v>43</v>
      </c>
      <c r="AQ1093" s="100" t="s">
        <v>43</v>
      </c>
      <c r="AR1093" s="100" t="s">
        <v>43</v>
      </c>
      <c r="AS1093" s="100" t="s">
        <v>43</v>
      </c>
    </row>
    <row r="1094" spans="1:45" s="101" customFormat="1" x14ac:dyDescent="0.25">
      <c r="A1094" s="90" t="s">
        <v>38</v>
      </c>
      <c r="B1094" s="90" t="s">
        <v>40</v>
      </c>
      <c r="C1094" s="90" t="s">
        <v>39</v>
      </c>
      <c r="D1094" s="90" t="s">
        <v>4540</v>
      </c>
      <c r="E1094" s="90" t="s">
        <v>4542</v>
      </c>
      <c r="F1094" s="91"/>
      <c r="G1094" s="92">
        <v>70014166</v>
      </c>
      <c r="H1094" s="91" t="s">
        <v>4370</v>
      </c>
      <c r="I1094" s="93" t="s">
        <v>63</v>
      </c>
      <c r="J1094" s="94" t="s">
        <v>754</v>
      </c>
      <c r="K1094" s="94" t="s">
        <v>3136</v>
      </c>
      <c r="L1094" s="94" t="s">
        <v>3284</v>
      </c>
      <c r="M1094" s="95">
        <v>1419900</v>
      </c>
      <c r="N1094" s="95">
        <v>9500</v>
      </c>
      <c r="O1094" s="95">
        <v>13500</v>
      </c>
      <c r="P1094" s="96"/>
      <c r="Q1094" s="152"/>
      <c r="R1094" s="95">
        <v>1419900</v>
      </c>
      <c r="S1094" s="95">
        <v>59162.5</v>
      </c>
      <c r="T1094" s="95">
        <v>1419900</v>
      </c>
      <c r="U1094" s="95">
        <v>59162.5</v>
      </c>
      <c r="V1094" s="95">
        <v>1419900</v>
      </c>
      <c r="W1094" s="95">
        <v>59162.5</v>
      </c>
      <c r="X1094" s="128"/>
      <c r="Y1094" s="95">
        <v>1249900</v>
      </c>
      <c r="Z1094" s="95">
        <v>28000</v>
      </c>
      <c r="AA1094" s="95">
        <f>IFERROR(IF(D1094="Premium",0.4*Y1094,0),"No Disp")</f>
        <v>499960</v>
      </c>
      <c r="AB1094" s="95">
        <f>IFERROR(IF(4*Y1094&gt;AC1094,1.5*Y1094,4*Y1094),"No Disp")</f>
        <v>1874850</v>
      </c>
      <c r="AC1094" s="95">
        <f>IF(Z1094="No Disp","No Disp",(Z1094*18)+Y1094)</f>
        <v>1753900</v>
      </c>
      <c r="AD1094" s="95">
        <f>IF($H1094="EMP",18*Z1094-100,18*Z1094-100+Y1094)</f>
        <v>503900</v>
      </c>
      <c r="AE1094" s="95">
        <v>809900</v>
      </c>
      <c r="AF1094" s="95">
        <v>45000</v>
      </c>
      <c r="AG1094" s="95">
        <f>IF(AF1094="No Disp","No Disp",(AF1094*18)+AE1094)</f>
        <v>1619900</v>
      </c>
      <c r="AH1094" s="98">
        <f>IF($H1094="EMP",18*AF1094-100,18*AF1094-100+AE1094)</f>
        <v>809900</v>
      </c>
      <c r="AI1094" s="95" t="s">
        <v>4613</v>
      </c>
      <c r="AJ1094" s="99"/>
      <c r="AK1094" s="100" t="s">
        <v>43</v>
      </c>
      <c r="AL1094" s="100" t="s">
        <v>43</v>
      </c>
      <c r="AM1094" s="100" t="s">
        <v>43</v>
      </c>
      <c r="AN1094" s="100" t="s">
        <v>43</v>
      </c>
      <c r="AO1094" s="100" t="s">
        <v>43</v>
      </c>
      <c r="AP1094" s="100" t="s">
        <v>43</v>
      </c>
      <c r="AQ1094" s="100" t="s">
        <v>43</v>
      </c>
      <c r="AR1094" s="100" t="s">
        <v>43</v>
      </c>
      <c r="AS1094" s="100" t="s">
        <v>43</v>
      </c>
    </row>
    <row r="1095" spans="1:45" s="101" customFormat="1" x14ac:dyDescent="0.25">
      <c r="A1095" s="90" t="s">
        <v>38</v>
      </c>
      <c r="B1095" s="90" t="s">
        <v>40</v>
      </c>
      <c r="C1095" s="90" t="s">
        <v>39</v>
      </c>
      <c r="D1095" s="90" t="s">
        <v>4540</v>
      </c>
      <c r="E1095" s="90" t="s">
        <v>4542</v>
      </c>
      <c r="F1095" s="91"/>
      <c r="G1095" s="92">
        <v>70013962</v>
      </c>
      <c r="H1095" s="91" t="s">
        <v>4370</v>
      </c>
      <c r="I1095" s="93" t="s">
        <v>63</v>
      </c>
      <c r="J1095" s="94" t="s">
        <v>490</v>
      </c>
      <c r="K1095" s="94" t="s">
        <v>3121</v>
      </c>
      <c r="L1095" s="94" t="s">
        <v>3269</v>
      </c>
      <c r="M1095" s="95">
        <v>1192900</v>
      </c>
      <c r="N1095" s="95">
        <v>9500</v>
      </c>
      <c r="O1095" s="95">
        <v>13500</v>
      </c>
      <c r="P1095" s="96"/>
      <c r="Q1095" s="152"/>
      <c r="R1095" s="95">
        <v>1192900</v>
      </c>
      <c r="S1095" s="95">
        <v>49704.166666666664</v>
      </c>
      <c r="T1095" s="95">
        <v>1192900</v>
      </c>
      <c r="U1095" s="95">
        <v>49704.166666666664</v>
      </c>
      <c r="V1095" s="95">
        <v>1192900</v>
      </c>
      <c r="W1095" s="95">
        <v>49704.166666666664</v>
      </c>
      <c r="X1095" s="128"/>
      <c r="Y1095" s="95">
        <v>399900</v>
      </c>
      <c r="Z1095" s="95">
        <v>56000</v>
      </c>
      <c r="AA1095" s="95">
        <f>IFERROR(IF(D1095="Premium",0.4*Y1095,0),"No Disp")</f>
        <v>159960</v>
      </c>
      <c r="AB1095" s="95">
        <f>IFERROR(IF(4*Y1095&gt;AC1095,1.5*Y1095,4*Y1095),"No Disp")</f>
        <v>599850</v>
      </c>
      <c r="AC1095" s="95">
        <f>IF(Z1095="No Disp","No Disp",(Z1095*18)+Y1095)</f>
        <v>1407900</v>
      </c>
      <c r="AD1095" s="95">
        <f>IF($H1095="EMP",18*Z1095-100,18*Z1095-100+Y1095)</f>
        <v>1007900</v>
      </c>
      <c r="AE1095" s="95">
        <v>449900</v>
      </c>
      <c r="AF1095" s="95">
        <v>67000</v>
      </c>
      <c r="AG1095" s="95">
        <f>IF(AF1095="No Disp","No Disp",(AF1095*18)+AE1095)</f>
        <v>1655900</v>
      </c>
      <c r="AH1095" s="98">
        <f>IF($H1095="EMP",18*AF1095-100,18*AF1095-100+AE1095)</f>
        <v>1205900</v>
      </c>
      <c r="AI1095" s="95" t="s">
        <v>4613</v>
      </c>
      <c r="AJ1095" s="99"/>
      <c r="AK1095" s="100" t="s">
        <v>43</v>
      </c>
      <c r="AL1095" s="100" t="s">
        <v>43</v>
      </c>
      <c r="AM1095" s="100" t="s">
        <v>43</v>
      </c>
      <c r="AN1095" s="100" t="s">
        <v>43</v>
      </c>
      <c r="AO1095" s="100" t="s">
        <v>43</v>
      </c>
      <c r="AP1095" s="100" t="s">
        <v>43</v>
      </c>
      <c r="AQ1095" s="100" t="s">
        <v>43</v>
      </c>
      <c r="AR1095" s="100" t="s">
        <v>43</v>
      </c>
      <c r="AS1095" s="100" t="s">
        <v>43</v>
      </c>
    </row>
    <row r="1096" spans="1:45" s="101" customFormat="1" x14ac:dyDescent="0.25">
      <c r="A1096" s="90" t="s">
        <v>38</v>
      </c>
      <c r="B1096" s="90" t="s">
        <v>40</v>
      </c>
      <c r="C1096" s="90" t="s">
        <v>39</v>
      </c>
      <c r="D1096" s="90" t="s">
        <v>4540</v>
      </c>
      <c r="E1096" s="90" t="s">
        <v>4542</v>
      </c>
      <c r="F1096" s="91"/>
      <c r="G1096" s="92">
        <v>70014189</v>
      </c>
      <c r="H1096" s="91" t="s">
        <v>4370</v>
      </c>
      <c r="I1096" s="93" t="s">
        <v>63</v>
      </c>
      <c r="J1096" s="94" t="s">
        <v>490</v>
      </c>
      <c r="K1096" s="94" t="s">
        <v>3122</v>
      </c>
      <c r="L1096" s="94" t="s">
        <v>3270</v>
      </c>
      <c r="M1096" s="95">
        <v>1192900</v>
      </c>
      <c r="N1096" s="95">
        <v>9500</v>
      </c>
      <c r="O1096" s="95">
        <v>13500</v>
      </c>
      <c r="P1096" s="96"/>
      <c r="Q1096" s="152"/>
      <c r="R1096" s="95">
        <v>1192900</v>
      </c>
      <c r="S1096" s="95">
        <v>49704.166666666664</v>
      </c>
      <c r="T1096" s="95">
        <v>1192900</v>
      </c>
      <c r="U1096" s="95">
        <v>49704.166666666664</v>
      </c>
      <c r="V1096" s="95">
        <v>1192900</v>
      </c>
      <c r="W1096" s="95">
        <v>49704.166666666664</v>
      </c>
      <c r="X1096" s="128"/>
      <c r="Y1096" s="95">
        <v>399900</v>
      </c>
      <c r="Z1096" s="95">
        <v>56000</v>
      </c>
      <c r="AA1096" s="95">
        <f>IFERROR(IF(D1096="Premium",0.4*Y1096,0),"No Disp")</f>
        <v>159960</v>
      </c>
      <c r="AB1096" s="95">
        <f>IFERROR(IF(4*Y1096&gt;AC1096,1.5*Y1096,4*Y1096),"No Disp")</f>
        <v>599850</v>
      </c>
      <c r="AC1096" s="95">
        <f>IF(Z1096="No Disp","No Disp",(Z1096*18)+Y1096)</f>
        <v>1407900</v>
      </c>
      <c r="AD1096" s="95">
        <f>IF($H1096="EMP",18*Z1096-100,18*Z1096-100+Y1096)</f>
        <v>1007900</v>
      </c>
      <c r="AE1096" s="95">
        <v>449900</v>
      </c>
      <c r="AF1096" s="95">
        <v>67000</v>
      </c>
      <c r="AG1096" s="95">
        <f>IF(AF1096="No Disp","No Disp",(AF1096*18)+AE1096)</f>
        <v>1655900</v>
      </c>
      <c r="AH1096" s="98">
        <f>IF($H1096="EMP",18*AF1096-100,18*AF1096-100+AE1096)</f>
        <v>1205900</v>
      </c>
      <c r="AI1096" s="95" t="s">
        <v>4613</v>
      </c>
      <c r="AJ1096" s="99"/>
      <c r="AK1096" s="100" t="s">
        <v>43</v>
      </c>
      <c r="AL1096" s="100" t="s">
        <v>43</v>
      </c>
      <c r="AM1096" s="100" t="s">
        <v>43</v>
      </c>
      <c r="AN1096" s="100" t="s">
        <v>43</v>
      </c>
      <c r="AO1096" s="100" t="s">
        <v>43</v>
      </c>
      <c r="AP1096" s="100" t="s">
        <v>43</v>
      </c>
      <c r="AQ1096" s="100" t="s">
        <v>43</v>
      </c>
      <c r="AR1096" s="100" t="s">
        <v>43</v>
      </c>
      <c r="AS1096" s="100" t="s">
        <v>43</v>
      </c>
    </row>
    <row r="1097" spans="1:45" s="101" customFormat="1" x14ac:dyDescent="0.25">
      <c r="A1097" s="90" t="s">
        <v>38</v>
      </c>
      <c r="B1097" s="90" t="s">
        <v>40</v>
      </c>
      <c r="C1097" s="90" t="s">
        <v>39</v>
      </c>
      <c r="D1097" s="90" t="s">
        <v>4540</v>
      </c>
      <c r="E1097" s="90" t="s">
        <v>4542</v>
      </c>
      <c r="F1097" s="91"/>
      <c r="G1097" s="92">
        <v>70013963</v>
      </c>
      <c r="H1097" s="91" t="s">
        <v>4370</v>
      </c>
      <c r="I1097" s="93" t="s">
        <v>63</v>
      </c>
      <c r="J1097" s="94" t="s">
        <v>457</v>
      </c>
      <c r="K1097" s="94" t="s">
        <v>3132</v>
      </c>
      <c r="L1097" s="94" t="s">
        <v>3280</v>
      </c>
      <c r="M1097" s="95">
        <v>1310900</v>
      </c>
      <c r="N1097" s="95">
        <v>9500</v>
      </c>
      <c r="O1097" s="95">
        <v>13500</v>
      </c>
      <c r="P1097" s="96"/>
      <c r="Q1097" s="152"/>
      <c r="R1097" s="95">
        <v>1310900</v>
      </c>
      <c r="S1097" s="95">
        <v>54620.833333333336</v>
      </c>
      <c r="T1097" s="95">
        <v>1310900</v>
      </c>
      <c r="U1097" s="95">
        <v>54620.833333333336</v>
      </c>
      <c r="V1097" s="95">
        <v>1310900</v>
      </c>
      <c r="W1097" s="95">
        <v>54620.833333333336</v>
      </c>
      <c r="X1097" s="128"/>
      <c r="Y1097" s="95">
        <v>301900</v>
      </c>
      <c r="Z1097" s="95">
        <v>67000</v>
      </c>
      <c r="AA1097" s="95">
        <f>IFERROR(IF(D1097="Premium",0.4*Y1097,0),"No Disp")</f>
        <v>120760</v>
      </c>
      <c r="AB1097" s="95">
        <f>IFERROR(IF(4*Y1097&gt;AC1097,1.5*Y1097,4*Y1097),"No Disp")</f>
        <v>1207600</v>
      </c>
      <c r="AC1097" s="95">
        <f>IF(Z1097="No Disp","No Disp",(Z1097*18)+Y1097)</f>
        <v>1507900</v>
      </c>
      <c r="AD1097" s="95">
        <f>IF($H1097="EMP",18*Z1097-100,18*Z1097-100+Y1097)</f>
        <v>1205900</v>
      </c>
      <c r="AE1097" s="95">
        <v>452900</v>
      </c>
      <c r="AF1097" s="95">
        <v>83900</v>
      </c>
      <c r="AG1097" s="95">
        <f>IF(AF1097="No Disp","No Disp",(AF1097*18)+AE1097)</f>
        <v>1963100</v>
      </c>
      <c r="AH1097" s="98">
        <f>IF($H1097="EMP",18*AF1097-100,18*AF1097-100+AE1097)</f>
        <v>1510100</v>
      </c>
      <c r="AI1097" s="95" t="s">
        <v>4613</v>
      </c>
      <c r="AJ1097" s="99"/>
      <c r="AK1097" s="100" t="s">
        <v>43</v>
      </c>
      <c r="AL1097" s="100" t="s">
        <v>43</v>
      </c>
      <c r="AM1097" s="100" t="s">
        <v>43</v>
      </c>
      <c r="AN1097" s="100" t="s">
        <v>43</v>
      </c>
      <c r="AO1097" s="100" t="s">
        <v>43</v>
      </c>
      <c r="AP1097" s="100" t="s">
        <v>43</v>
      </c>
      <c r="AQ1097" s="100" t="s">
        <v>43</v>
      </c>
      <c r="AR1097" s="100" t="s">
        <v>43</v>
      </c>
      <c r="AS1097" s="100" t="s">
        <v>43</v>
      </c>
    </row>
    <row r="1098" spans="1:45" s="101" customFormat="1" x14ac:dyDescent="0.25">
      <c r="A1098" s="90" t="s">
        <v>38</v>
      </c>
      <c r="B1098" s="90" t="s">
        <v>40</v>
      </c>
      <c r="C1098" s="90" t="s">
        <v>39</v>
      </c>
      <c r="D1098" s="90" t="s">
        <v>4540</v>
      </c>
      <c r="E1098" s="90" t="s">
        <v>4542</v>
      </c>
      <c r="F1098" s="91"/>
      <c r="G1098" s="92">
        <v>70014199</v>
      </c>
      <c r="H1098" s="91" t="s">
        <v>4370</v>
      </c>
      <c r="I1098" s="93" t="s">
        <v>63</v>
      </c>
      <c r="J1098" s="94" t="s">
        <v>552</v>
      </c>
      <c r="K1098" s="94" t="s">
        <v>3133</v>
      </c>
      <c r="L1098" s="94" t="s">
        <v>3281</v>
      </c>
      <c r="M1098" s="95">
        <v>1339900</v>
      </c>
      <c r="N1098" s="95">
        <v>9500</v>
      </c>
      <c r="O1098" s="95">
        <v>13500</v>
      </c>
      <c r="P1098" s="96"/>
      <c r="Q1098" s="152"/>
      <c r="R1098" s="95">
        <v>1339900</v>
      </c>
      <c r="S1098" s="95">
        <v>55829.166666666664</v>
      </c>
      <c r="T1098" s="95">
        <v>1339900</v>
      </c>
      <c r="U1098" s="95">
        <v>55829.166666666664</v>
      </c>
      <c r="V1098" s="95">
        <v>1339900</v>
      </c>
      <c r="W1098" s="95">
        <v>55829.166666666664</v>
      </c>
      <c r="X1098" s="128"/>
      <c r="Y1098" s="95">
        <v>1299900</v>
      </c>
      <c r="Z1098" s="95">
        <v>33000</v>
      </c>
      <c r="AA1098" s="95">
        <f>IFERROR(IF(D1098="Premium",0.4*Y1098,0),"No Disp")</f>
        <v>519960</v>
      </c>
      <c r="AB1098" s="95">
        <f>IFERROR(IF(4*Y1098&gt;AC1098,1.5*Y1098,4*Y1098),"No Disp")</f>
        <v>1949850</v>
      </c>
      <c r="AC1098" s="95">
        <f>IF(Z1098="No Disp","No Disp",(Z1098*18)+Y1098)</f>
        <v>1893900</v>
      </c>
      <c r="AD1098" s="95">
        <f>IF($H1098="EMP",18*Z1098-100,18*Z1098-100+Y1098)</f>
        <v>593900</v>
      </c>
      <c r="AE1098" s="95">
        <v>529900</v>
      </c>
      <c r="AF1098" s="95">
        <v>70000</v>
      </c>
      <c r="AG1098" s="95">
        <f>IF(AF1098="No Disp","No Disp",(AF1098*18)+AE1098)</f>
        <v>1789900</v>
      </c>
      <c r="AH1098" s="98">
        <f>IF($H1098="EMP",18*AF1098-100,18*AF1098-100+AE1098)</f>
        <v>1259900</v>
      </c>
      <c r="AI1098" s="95" t="s">
        <v>4613</v>
      </c>
      <c r="AJ1098" s="99"/>
      <c r="AK1098" s="100" t="s">
        <v>43</v>
      </c>
      <c r="AL1098" s="100" t="s">
        <v>43</v>
      </c>
      <c r="AM1098" s="100" t="s">
        <v>43</v>
      </c>
      <c r="AN1098" s="100" t="s">
        <v>43</v>
      </c>
      <c r="AO1098" s="100" t="s">
        <v>43</v>
      </c>
      <c r="AP1098" s="100" t="s">
        <v>43</v>
      </c>
      <c r="AQ1098" s="100" t="s">
        <v>43</v>
      </c>
      <c r="AR1098" s="100" t="s">
        <v>43</v>
      </c>
      <c r="AS1098" s="100" t="s">
        <v>43</v>
      </c>
    </row>
    <row r="1099" spans="1:45" s="101" customFormat="1" x14ac:dyDescent="0.25">
      <c r="A1099" s="90" t="s">
        <v>38</v>
      </c>
      <c r="B1099" s="90" t="s">
        <v>39</v>
      </c>
      <c r="C1099" s="90" t="s">
        <v>40</v>
      </c>
      <c r="D1099" s="90" t="s">
        <v>4539</v>
      </c>
      <c r="E1099" s="90" t="s">
        <v>4542</v>
      </c>
      <c r="F1099" s="91"/>
      <c r="G1099" s="92">
        <v>70012132</v>
      </c>
      <c r="H1099" s="91" t="s">
        <v>4370</v>
      </c>
      <c r="I1099" s="93" t="s">
        <v>46</v>
      </c>
      <c r="J1099" s="94" t="s">
        <v>3300</v>
      </c>
      <c r="K1099" s="94" t="s">
        <v>2093</v>
      </c>
      <c r="L1099" s="94" t="s">
        <v>2094</v>
      </c>
      <c r="M1099" s="95">
        <v>281900</v>
      </c>
      <c r="N1099" s="95">
        <v>4000</v>
      </c>
      <c r="O1099" s="95">
        <v>6000</v>
      </c>
      <c r="P1099" s="96"/>
      <c r="Q1099" s="152"/>
      <c r="R1099" s="95">
        <v>281900</v>
      </c>
      <c r="S1099" s="95">
        <v>11745.833333333334</v>
      </c>
      <c r="T1099" s="95">
        <v>281900</v>
      </c>
      <c r="U1099" s="95">
        <v>11745.833333333334</v>
      </c>
      <c r="V1099" s="95">
        <v>281900</v>
      </c>
      <c r="W1099" s="95">
        <v>11745.833333333334</v>
      </c>
      <c r="X1099" s="128"/>
      <c r="Y1099" s="95">
        <v>79900</v>
      </c>
      <c r="Z1099" s="95">
        <v>10000</v>
      </c>
      <c r="AA1099" s="95">
        <f>IFERROR(IF(D1099="Premium",0.4*Y1099,0),"No Disp")</f>
        <v>0</v>
      </c>
      <c r="AB1099" s="95">
        <f>IFERROR(IF(4*Y1099&gt;AC1099,1.5*Y1099,4*Y1099),"No Disp")</f>
        <v>119850</v>
      </c>
      <c r="AC1099" s="95">
        <f>IF(Z1099="No Disp","No Disp",(Z1099*18)+Y1099)</f>
        <v>259900</v>
      </c>
      <c r="AD1099" s="95">
        <f>IF($H1099="EMP",18*Z1099-100,18*Z1099-100+Y1099)</f>
        <v>179900</v>
      </c>
      <c r="AE1099" s="95">
        <v>79900</v>
      </c>
      <c r="AF1099" s="95">
        <v>9000</v>
      </c>
      <c r="AG1099" s="95">
        <f>IF(AF1099="No Disp","No Disp",(AF1099*18)+AE1099)</f>
        <v>241900</v>
      </c>
      <c r="AH1099" s="98">
        <f>IF($H1099="EMP",18*AF1099-100,18*AF1099-100+AE1099)</f>
        <v>161900</v>
      </c>
      <c r="AI1099" s="95" t="s">
        <v>4613</v>
      </c>
      <c r="AJ1099" s="99"/>
      <c r="AK1099" s="100" t="s">
        <v>43</v>
      </c>
      <c r="AL1099" s="100" t="s">
        <v>43</v>
      </c>
      <c r="AM1099" s="100" t="s">
        <v>43</v>
      </c>
      <c r="AN1099" s="100" t="s">
        <v>43</v>
      </c>
      <c r="AO1099" s="100" t="s">
        <v>43</v>
      </c>
      <c r="AP1099" s="100" t="s">
        <v>43</v>
      </c>
      <c r="AQ1099" s="100" t="s">
        <v>43</v>
      </c>
      <c r="AR1099" s="100" t="s">
        <v>43</v>
      </c>
      <c r="AS1099" s="100" t="s">
        <v>43</v>
      </c>
    </row>
    <row r="1100" spans="1:45" s="101" customFormat="1" x14ac:dyDescent="0.25">
      <c r="A1100" s="90" t="s">
        <v>38</v>
      </c>
      <c r="B1100" s="90" t="s">
        <v>39</v>
      </c>
      <c r="C1100" s="90" t="s">
        <v>40</v>
      </c>
      <c r="D1100" s="90" t="s">
        <v>4539</v>
      </c>
      <c r="E1100" s="90" t="s">
        <v>4542</v>
      </c>
      <c r="F1100" s="91"/>
      <c r="G1100" s="92">
        <v>70014040</v>
      </c>
      <c r="H1100" s="91" t="s">
        <v>4370</v>
      </c>
      <c r="I1100" s="93" t="s">
        <v>46</v>
      </c>
      <c r="J1100" s="94" t="s">
        <v>3300</v>
      </c>
      <c r="K1100" s="94" t="s">
        <v>3307</v>
      </c>
      <c r="L1100" s="94" t="s">
        <v>4438</v>
      </c>
      <c r="M1100" s="95">
        <v>281900</v>
      </c>
      <c r="N1100" s="95">
        <v>4000</v>
      </c>
      <c r="O1100" s="95">
        <v>6000</v>
      </c>
      <c r="P1100" s="96"/>
      <c r="Q1100" s="152"/>
      <c r="R1100" s="95">
        <v>281900</v>
      </c>
      <c r="S1100" s="95">
        <v>11745.833333333334</v>
      </c>
      <c r="T1100" s="95">
        <v>281900</v>
      </c>
      <c r="U1100" s="95">
        <v>11745.833333333334</v>
      </c>
      <c r="V1100" s="95">
        <v>281900</v>
      </c>
      <c r="W1100" s="95">
        <v>11745.833333333334</v>
      </c>
      <c r="X1100" s="128"/>
      <c r="Y1100" s="95">
        <v>79900</v>
      </c>
      <c r="Z1100" s="95">
        <v>10000</v>
      </c>
      <c r="AA1100" s="95">
        <f>IFERROR(IF(D1100="Premium",0.4*Y1100,0),"No Disp")</f>
        <v>0</v>
      </c>
      <c r="AB1100" s="95">
        <f>IFERROR(IF(4*Y1100&gt;AC1100,1.5*Y1100,4*Y1100),"No Disp")</f>
        <v>119850</v>
      </c>
      <c r="AC1100" s="95">
        <f>IF(Z1100="No Disp","No Disp",(Z1100*18)+Y1100)</f>
        <v>259900</v>
      </c>
      <c r="AD1100" s="95">
        <f>IF($H1100="EMP",18*Z1100-100,18*Z1100-100+Y1100)</f>
        <v>179900</v>
      </c>
      <c r="AE1100" s="95">
        <v>79900</v>
      </c>
      <c r="AF1100" s="95">
        <v>9000</v>
      </c>
      <c r="AG1100" s="95">
        <f>IF(AF1100="No Disp","No Disp",(AF1100*18)+AE1100)</f>
        <v>241900</v>
      </c>
      <c r="AH1100" s="98">
        <f>IF($H1100="EMP",18*AF1100-100,18*AF1100-100+AE1100)</f>
        <v>161900</v>
      </c>
      <c r="AI1100" s="95" t="s">
        <v>4613</v>
      </c>
      <c r="AJ1100" s="99"/>
      <c r="AK1100" s="100" t="s">
        <v>43</v>
      </c>
      <c r="AL1100" s="100" t="s">
        <v>43</v>
      </c>
      <c r="AM1100" s="100" t="s">
        <v>43</v>
      </c>
      <c r="AN1100" s="100" t="s">
        <v>43</v>
      </c>
      <c r="AO1100" s="100" t="s">
        <v>43</v>
      </c>
      <c r="AP1100" s="100" t="s">
        <v>43</v>
      </c>
      <c r="AQ1100" s="100" t="s">
        <v>43</v>
      </c>
      <c r="AR1100" s="100" t="s">
        <v>43</v>
      </c>
      <c r="AS1100" s="100" t="s">
        <v>43</v>
      </c>
    </row>
    <row r="1101" spans="1:45" s="101" customFormat="1" x14ac:dyDescent="0.25">
      <c r="A1101" s="90" t="s">
        <v>38</v>
      </c>
      <c r="B1101" s="90" t="s">
        <v>40</v>
      </c>
      <c r="C1101" s="90" t="s">
        <v>39</v>
      </c>
      <c r="D1101" s="90" t="s">
        <v>4539</v>
      </c>
      <c r="E1101" s="90" t="s">
        <v>4542</v>
      </c>
      <c r="F1101" s="91"/>
      <c r="G1101" s="92">
        <v>70014192</v>
      </c>
      <c r="H1101" s="91" t="s">
        <v>4370</v>
      </c>
      <c r="I1101" s="93" t="s">
        <v>87</v>
      </c>
      <c r="J1101" s="94" t="s">
        <v>917</v>
      </c>
      <c r="K1101" s="94" t="s">
        <v>3040</v>
      </c>
      <c r="L1101" s="94" t="s">
        <v>3187</v>
      </c>
      <c r="M1101" s="95">
        <v>194900</v>
      </c>
      <c r="N1101" s="95">
        <v>4000</v>
      </c>
      <c r="O1101" s="95">
        <v>6000</v>
      </c>
      <c r="P1101" s="96"/>
      <c r="Q1101" s="152"/>
      <c r="R1101" s="95">
        <v>194900</v>
      </c>
      <c r="S1101" s="95">
        <v>8120.833333333333</v>
      </c>
      <c r="T1101" s="95">
        <v>194900</v>
      </c>
      <c r="U1101" s="95">
        <v>8120.833333333333</v>
      </c>
      <c r="V1101" s="95">
        <v>194900</v>
      </c>
      <c r="W1101" s="95">
        <v>8120.833333333333</v>
      </c>
      <c r="X1101" s="128"/>
      <c r="Y1101" s="95">
        <v>74900</v>
      </c>
      <c r="Z1101" s="95">
        <v>10500</v>
      </c>
      <c r="AA1101" s="95">
        <f>IFERROR(IF(D1101="Premium",0.4*Y1101,0),"No Disp")</f>
        <v>0</v>
      </c>
      <c r="AB1101" s="95">
        <f>IFERROR(IF(4*Y1101&gt;AC1101,1.5*Y1101,4*Y1101),"No Disp")</f>
        <v>112350</v>
      </c>
      <c r="AC1101" s="95">
        <f>IF(Z1101="No Disp","No Disp",(Z1101*18)+Y1101)</f>
        <v>263900</v>
      </c>
      <c r="AD1101" s="95">
        <f>IF($H1101="EMP",18*Z1101-100,18*Z1101-100+Y1101)</f>
        <v>188900</v>
      </c>
      <c r="AE1101" s="95">
        <v>19900</v>
      </c>
      <c r="AF1101" s="95">
        <v>12000</v>
      </c>
      <c r="AG1101" s="95">
        <f>IF(AF1101="No Disp","No Disp",(AF1101*18)+AE1101)</f>
        <v>235900</v>
      </c>
      <c r="AH1101" s="98">
        <f>IF($H1101="EMP",18*AF1101-100,18*AF1101-100+AE1101)</f>
        <v>215900</v>
      </c>
      <c r="AI1101" s="95" t="s">
        <v>4613</v>
      </c>
      <c r="AJ1101" s="99"/>
      <c r="AK1101" s="100" t="s">
        <v>43</v>
      </c>
      <c r="AL1101" s="100" t="s">
        <v>43</v>
      </c>
      <c r="AM1101" s="100" t="s">
        <v>43</v>
      </c>
      <c r="AN1101" s="100" t="s">
        <v>43</v>
      </c>
      <c r="AO1101" s="100" t="s">
        <v>43</v>
      </c>
      <c r="AP1101" s="100" t="s">
        <v>43</v>
      </c>
      <c r="AQ1101" s="100" t="s">
        <v>43</v>
      </c>
      <c r="AR1101" s="100" t="s">
        <v>43</v>
      </c>
      <c r="AS1101" s="100" t="s">
        <v>43</v>
      </c>
    </row>
    <row r="1102" spans="1:45" s="101" customFormat="1" x14ac:dyDescent="0.25">
      <c r="A1102" s="90" t="s">
        <v>38</v>
      </c>
      <c r="B1102" s="90" t="s">
        <v>40</v>
      </c>
      <c r="C1102" s="90" t="s">
        <v>39</v>
      </c>
      <c r="D1102" s="90" t="s">
        <v>4539</v>
      </c>
      <c r="E1102" s="90" t="s">
        <v>4542</v>
      </c>
      <c r="F1102" s="91"/>
      <c r="G1102" s="92">
        <v>70014196</v>
      </c>
      <c r="H1102" s="91" t="s">
        <v>4370</v>
      </c>
      <c r="I1102" s="93" t="s">
        <v>87</v>
      </c>
      <c r="J1102" s="94" t="s">
        <v>791</v>
      </c>
      <c r="K1102" s="94" t="s">
        <v>3026</v>
      </c>
      <c r="L1102" s="94" t="s">
        <v>3173</v>
      </c>
      <c r="M1102" s="95">
        <v>89900</v>
      </c>
      <c r="N1102" s="95">
        <v>2500</v>
      </c>
      <c r="O1102" s="95">
        <v>4000</v>
      </c>
      <c r="P1102" s="96"/>
      <c r="Q1102" s="152"/>
      <c r="R1102" s="95">
        <v>89900</v>
      </c>
      <c r="S1102" s="95">
        <v>3745.8333333333335</v>
      </c>
      <c r="T1102" s="95">
        <v>89900</v>
      </c>
      <c r="U1102" s="95">
        <v>3745.8333333333335</v>
      </c>
      <c r="V1102" s="95">
        <v>89900</v>
      </c>
      <c r="W1102" s="95">
        <v>3745.8333333333335</v>
      </c>
      <c r="X1102" s="128"/>
      <c r="Y1102" s="95">
        <v>59900</v>
      </c>
      <c r="Z1102" s="95">
        <v>6500</v>
      </c>
      <c r="AA1102" s="95">
        <f>IFERROR(IF(D1102="Premium",0.4*Y1102,0),"No Disp")</f>
        <v>0</v>
      </c>
      <c r="AB1102" s="95">
        <f>IFERROR(IF(4*Y1102&gt;AC1102,1.5*Y1102,4*Y1102),"No Disp")</f>
        <v>89850</v>
      </c>
      <c r="AC1102" s="95">
        <f>IF(Z1102="No Disp","No Disp",(Z1102*18)+Y1102)</f>
        <v>176900</v>
      </c>
      <c r="AD1102" s="95">
        <f>IF($H1102="EMP",18*Z1102-100,18*Z1102-100+Y1102)</f>
        <v>116900</v>
      </c>
      <c r="AE1102" s="95">
        <v>19900</v>
      </c>
      <c r="AF1102" s="95">
        <v>5000</v>
      </c>
      <c r="AG1102" s="95">
        <f>IF(AF1102="No Disp","No Disp",(AF1102*18)+AE1102)</f>
        <v>109900</v>
      </c>
      <c r="AH1102" s="98">
        <f>IF($H1102="EMP",18*AF1102-100,18*AF1102-100+AE1102)</f>
        <v>89900</v>
      </c>
      <c r="AI1102" s="95" t="s">
        <v>4613</v>
      </c>
      <c r="AJ1102" s="99"/>
      <c r="AK1102" s="100" t="s">
        <v>43</v>
      </c>
      <c r="AL1102" s="100" t="s">
        <v>43</v>
      </c>
      <c r="AM1102" s="100" t="s">
        <v>43</v>
      </c>
      <c r="AN1102" s="100" t="s">
        <v>43</v>
      </c>
      <c r="AO1102" s="100" t="s">
        <v>43</v>
      </c>
      <c r="AP1102" s="100" t="s">
        <v>43</v>
      </c>
      <c r="AQ1102" s="100" t="s">
        <v>43</v>
      </c>
      <c r="AR1102" s="100" t="s">
        <v>43</v>
      </c>
      <c r="AS1102" s="100" t="s">
        <v>43</v>
      </c>
    </row>
    <row r="1103" spans="1:45" s="101" customFormat="1" x14ac:dyDescent="0.25">
      <c r="A1103" s="90" t="s">
        <v>38</v>
      </c>
      <c r="B1103" s="90" t="s">
        <v>40</v>
      </c>
      <c r="C1103" s="90" t="s">
        <v>39</v>
      </c>
      <c r="D1103" s="90" t="s">
        <v>4541</v>
      </c>
      <c r="E1103" s="90" t="s">
        <v>4542</v>
      </c>
      <c r="F1103" s="91"/>
      <c r="G1103" s="92">
        <v>70014195</v>
      </c>
      <c r="H1103" s="91" t="s">
        <v>4370</v>
      </c>
      <c r="I1103" s="93" t="s">
        <v>87</v>
      </c>
      <c r="J1103" s="94" t="s">
        <v>847</v>
      </c>
      <c r="K1103" s="94" t="s">
        <v>2993</v>
      </c>
      <c r="L1103" s="94" t="s">
        <v>3140</v>
      </c>
      <c r="M1103" s="95">
        <v>39900</v>
      </c>
      <c r="N1103" s="95">
        <v>2500</v>
      </c>
      <c r="O1103" s="95">
        <v>4000</v>
      </c>
      <c r="P1103" s="96"/>
      <c r="Q1103" s="152"/>
      <c r="R1103" s="95">
        <v>39900</v>
      </c>
      <c r="S1103" s="95">
        <v>1662.5</v>
      </c>
      <c r="T1103" s="95">
        <v>39900</v>
      </c>
      <c r="U1103" s="95">
        <v>1662.5</v>
      </c>
      <c r="V1103" s="95">
        <v>39900</v>
      </c>
      <c r="W1103" s="95">
        <v>1662.5</v>
      </c>
      <c r="X1103" s="128"/>
      <c r="Y1103" s="95">
        <v>99900</v>
      </c>
      <c r="Z1103" s="95">
        <v>10000</v>
      </c>
      <c r="AA1103" s="95">
        <f>IFERROR(IF(D1103="Premium",0.4*Y1103,0),"No Disp")</f>
        <v>0</v>
      </c>
      <c r="AB1103" s="95">
        <f>IFERROR(IF(4*Y1103&gt;AC1103,1.5*Y1103,4*Y1103),"No Disp")</f>
        <v>149850</v>
      </c>
      <c r="AC1103" s="95">
        <f>IF(Z1103="No Disp","No Disp",(Z1103*18)+Y1103)</f>
        <v>279900</v>
      </c>
      <c r="AD1103" s="95">
        <f>IF($H1103="EMP",18*Z1103-100,18*Z1103-100+Y1103)</f>
        <v>179900</v>
      </c>
      <c r="AE1103" s="95">
        <v>19900</v>
      </c>
      <c r="AF1103" s="95">
        <v>1000</v>
      </c>
      <c r="AG1103" s="95">
        <f>IF(AF1103="No Disp","No Disp",(AF1103*18)+AE1103)</f>
        <v>37900</v>
      </c>
      <c r="AH1103" s="98">
        <f>IF($H1103="EMP",18*AF1103-100,18*AF1103-100+AE1103)</f>
        <v>17900</v>
      </c>
      <c r="AI1103" s="95" t="s">
        <v>4613</v>
      </c>
      <c r="AJ1103" s="99"/>
      <c r="AK1103" s="100" t="s">
        <v>43</v>
      </c>
      <c r="AL1103" s="100" t="s">
        <v>43</v>
      </c>
      <c r="AM1103" s="100" t="s">
        <v>43</v>
      </c>
      <c r="AN1103" s="100" t="s">
        <v>43</v>
      </c>
      <c r="AO1103" s="100" t="s">
        <v>43</v>
      </c>
      <c r="AP1103" s="100" t="s">
        <v>43</v>
      </c>
      <c r="AQ1103" s="100" t="s">
        <v>43</v>
      </c>
      <c r="AR1103" s="100" t="s">
        <v>43</v>
      </c>
      <c r="AS1103" s="100" t="s">
        <v>43</v>
      </c>
    </row>
    <row r="1104" spans="1:45" s="101" customFormat="1" x14ac:dyDescent="0.25">
      <c r="A1104" s="90" t="s">
        <v>38</v>
      </c>
      <c r="B1104" s="90" t="s">
        <v>40</v>
      </c>
      <c r="C1104" s="90" t="s">
        <v>39</v>
      </c>
      <c r="D1104" s="90" t="s">
        <v>4541</v>
      </c>
      <c r="E1104" s="90" t="s">
        <v>4542</v>
      </c>
      <c r="F1104" s="91"/>
      <c r="G1104" s="92">
        <v>70014167</v>
      </c>
      <c r="H1104" s="91" t="s">
        <v>4370</v>
      </c>
      <c r="I1104" s="93" t="s">
        <v>87</v>
      </c>
      <c r="J1104" s="94" t="s">
        <v>695</v>
      </c>
      <c r="K1104" s="94" t="s">
        <v>3000</v>
      </c>
      <c r="L1104" s="94" t="s">
        <v>3147</v>
      </c>
      <c r="M1104" s="95">
        <v>69900</v>
      </c>
      <c r="N1104" s="95">
        <v>2500</v>
      </c>
      <c r="O1104" s="95">
        <v>4000</v>
      </c>
      <c r="P1104" s="96"/>
      <c r="Q1104" s="152"/>
      <c r="R1104" s="95">
        <v>69900</v>
      </c>
      <c r="S1104" s="95">
        <v>2912.5</v>
      </c>
      <c r="T1104" s="95">
        <v>69900</v>
      </c>
      <c r="U1104" s="95">
        <v>2912.5</v>
      </c>
      <c r="V1104" s="95">
        <v>69900</v>
      </c>
      <c r="W1104" s="95">
        <v>2912.5</v>
      </c>
      <c r="X1104" s="128"/>
      <c r="Y1104" s="95">
        <v>89900</v>
      </c>
      <c r="Z1104" s="95">
        <v>9000</v>
      </c>
      <c r="AA1104" s="95">
        <f>IFERROR(IF(D1104="Premium",0.4*Y1104,0),"No Disp")</f>
        <v>0</v>
      </c>
      <c r="AB1104" s="95">
        <f>IFERROR(IF(4*Y1104&gt;AC1104,1.5*Y1104,4*Y1104),"No Disp")</f>
        <v>134850</v>
      </c>
      <c r="AC1104" s="95">
        <f>IF(Z1104="No Disp","No Disp",(Z1104*18)+Y1104)</f>
        <v>251900</v>
      </c>
      <c r="AD1104" s="95">
        <f>IF($H1104="EMP",18*Z1104-100,18*Z1104-100+Y1104)</f>
        <v>161900</v>
      </c>
      <c r="AE1104" s="95">
        <v>19900</v>
      </c>
      <c r="AF1104" s="95">
        <v>4000</v>
      </c>
      <c r="AG1104" s="95">
        <f>IF(AF1104="No Disp","No Disp",(AF1104*18)+AE1104)</f>
        <v>91900</v>
      </c>
      <c r="AH1104" s="98">
        <f>IF($H1104="EMP",18*AF1104-100,18*AF1104-100+AE1104)</f>
        <v>71900</v>
      </c>
      <c r="AI1104" s="95" t="s">
        <v>4613</v>
      </c>
      <c r="AJ1104" s="99"/>
      <c r="AK1104" s="100" t="s">
        <v>43</v>
      </c>
      <c r="AL1104" s="100" t="s">
        <v>43</v>
      </c>
      <c r="AM1104" s="100" t="s">
        <v>43</v>
      </c>
      <c r="AN1104" s="100" t="s">
        <v>43</v>
      </c>
      <c r="AO1104" s="100" t="s">
        <v>43</v>
      </c>
      <c r="AP1104" s="100" t="s">
        <v>43</v>
      </c>
      <c r="AQ1104" s="100" t="s">
        <v>43</v>
      </c>
      <c r="AR1104" s="100" t="s">
        <v>43</v>
      </c>
      <c r="AS1104" s="100" t="s">
        <v>43</v>
      </c>
    </row>
    <row r="1105" spans="1:45" s="101" customFormat="1" x14ac:dyDescent="0.25">
      <c r="A1105" s="90" t="s">
        <v>38</v>
      </c>
      <c r="B1105" s="90" t="s">
        <v>40</v>
      </c>
      <c r="C1105" s="90" t="s">
        <v>39</v>
      </c>
      <c r="D1105" s="90" t="s">
        <v>4537</v>
      </c>
      <c r="E1105" s="90" t="s">
        <v>4542</v>
      </c>
      <c r="F1105" s="91"/>
      <c r="G1105" s="92">
        <v>70014051</v>
      </c>
      <c r="H1105" s="91" t="s">
        <v>4370</v>
      </c>
      <c r="I1105" s="93" t="s">
        <v>87</v>
      </c>
      <c r="J1105" s="94" t="s">
        <v>653</v>
      </c>
      <c r="K1105" s="94" t="s">
        <v>3047</v>
      </c>
      <c r="L1105" s="94" t="s">
        <v>3194</v>
      </c>
      <c r="M1105" s="95">
        <v>431900</v>
      </c>
      <c r="N1105" s="95">
        <v>6000</v>
      </c>
      <c r="O1105" s="95">
        <v>8500</v>
      </c>
      <c r="P1105" s="96"/>
      <c r="Q1105" s="152"/>
      <c r="R1105" s="95">
        <v>431900</v>
      </c>
      <c r="S1105" s="95">
        <v>17995.833333333332</v>
      </c>
      <c r="T1105" s="95">
        <v>431900</v>
      </c>
      <c r="U1105" s="95">
        <v>17995.833333333332</v>
      </c>
      <c r="V1105" s="95">
        <v>431900</v>
      </c>
      <c r="W1105" s="95">
        <v>17995.833333333332</v>
      </c>
      <c r="X1105" s="128"/>
      <c r="Y1105" s="95">
        <v>299900</v>
      </c>
      <c r="Z1105" s="95">
        <v>16000</v>
      </c>
      <c r="AA1105" s="95">
        <f>IFERROR(IF(D1105="Premium",0.4*Y1105,0),"No Disp")</f>
        <v>0</v>
      </c>
      <c r="AB1105" s="95">
        <f>IFERROR(IF(4*Y1105&gt;AC1105,1.5*Y1105,4*Y1105),"No Disp")</f>
        <v>449850</v>
      </c>
      <c r="AC1105" s="95">
        <f>IF(Z1105="No Disp","No Disp",(Z1105*18)+Y1105)</f>
        <v>587900</v>
      </c>
      <c r="AD1105" s="95">
        <f>IF($H1105="EMP",18*Z1105-100,18*Z1105-100+Y1105)</f>
        <v>287900</v>
      </c>
      <c r="AE1105" s="95">
        <v>19900</v>
      </c>
      <c r="AF1105" s="95">
        <v>16000</v>
      </c>
      <c r="AG1105" s="95">
        <f>IF(AF1105="No Disp","No Disp",(AF1105*18)+AE1105)</f>
        <v>307900</v>
      </c>
      <c r="AH1105" s="98">
        <f>IF($H1105="EMP",18*AF1105-100,18*AF1105-100+AE1105)</f>
        <v>287900</v>
      </c>
      <c r="AI1105" s="95" t="s">
        <v>4613</v>
      </c>
      <c r="AJ1105" s="99"/>
      <c r="AK1105" s="100" t="s">
        <v>43</v>
      </c>
      <c r="AL1105" s="100" t="s">
        <v>43</v>
      </c>
      <c r="AM1105" s="100" t="s">
        <v>43</v>
      </c>
      <c r="AN1105" s="100" t="s">
        <v>43</v>
      </c>
      <c r="AO1105" s="100" t="s">
        <v>43</v>
      </c>
      <c r="AP1105" s="100" t="s">
        <v>43</v>
      </c>
      <c r="AQ1105" s="100" t="s">
        <v>43</v>
      </c>
      <c r="AR1105" s="100" t="s">
        <v>43</v>
      </c>
      <c r="AS1105" s="100" t="s">
        <v>43</v>
      </c>
    </row>
    <row r="1106" spans="1:45" s="101" customFormat="1" x14ac:dyDescent="0.25">
      <c r="A1106" s="90" t="s">
        <v>38</v>
      </c>
      <c r="B1106" s="90" t="s">
        <v>40</v>
      </c>
      <c r="C1106" s="90" t="s">
        <v>39</v>
      </c>
      <c r="D1106" s="90" t="s">
        <v>4537</v>
      </c>
      <c r="E1106" s="90" t="s">
        <v>4542</v>
      </c>
      <c r="F1106" s="91"/>
      <c r="G1106" s="92">
        <v>70014198</v>
      </c>
      <c r="H1106" s="91" t="s">
        <v>4370</v>
      </c>
      <c r="I1106" s="93" t="s">
        <v>87</v>
      </c>
      <c r="J1106" s="94" t="s">
        <v>653</v>
      </c>
      <c r="K1106" s="94" t="s">
        <v>3048</v>
      </c>
      <c r="L1106" s="94" t="s">
        <v>3195</v>
      </c>
      <c r="M1106" s="95">
        <v>431900</v>
      </c>
      <c r="N1106" s="95">
        <v>6000</v>
      </c>
      <c r="O1106" s="95">
        <v>8500</v>
      </c>
      <c r="P1106" s="96"/>
      <c r="Q1106" s="152"/>
      <c r="R1106" s="95">
        <v>431900</v>
      </c>
      <c r="S1106" s="95">
        <v>17995.833333333332</v>
      </c>
      <c r="T1106" s="95">
        <v>431900</v>
      </c>
      <c r="U1106" s="95">
        <v>17995.833333333332</v>
      </c>
      <c r="V1106" s="95">
        <v>431900</v>
      </c>
      <c r="W1106" s="95">
        <v>17995.833333333332</v>
      </c>
      <c r="X1106" s="128"/>
      <c r="Y1106" s="95">
        <v>299900</v>
      </c>
      <c r="Z1106" s="95">
        <v>16000</v>
      </c>
      <c r="AA1106" s="95">
        <f>IFERROR(IF(D1106="Premium",0.4*Y1106,0),"No Disp")</f>
        <v>0</v>
      </c>
      <c r="AB1106" s="95">
        <f>IFERROR(IF(4*Y1106&gt;AC1106,1.5*Y1106,4*Y1106),"No Disp")</f>
        <v>449850</v>
      </c>
      <c r="AC1106" s="95">
        <f>IF(Z1106="No Disp","No Disp",(Z1106*18)+Y1106)</f>
        <v>587900</v>
      </c>
      <c r="AD1106" s="95">
        <f>IF($H1106="EMP",18*Z1106-100,18*Z1106-100+Y1106)</f>
        <v>287900</v>
      </c>
      <c r="AE1106" s="95">
        <v>19900</v>
      </c>
      <c r="AF1106" s="95">
        <v>16000</v>
      </c>
      <c r="AG1106" s="95">
        <f>IF(AF1106="No Disp","No Disp",(AF1106*18)+AE1106)</f>
        <v>307900</v>
      </c>
      <c r="AH1106" s="98">
        <f>IF($H1106="EMP",18*AF1106-100,18*AF1106-100+AE1106)</f>
        <v>287900</v>
      </c>
      <c r="AI1106" s="95" t="s">
        <v>4613</v>
      </c>
      <c r="AJ1106" s="99"/>
      <c r="AK1106" s="100" t="s">
        <v>43</v>
      </c>
      <c r="AL1106" s="100" t="s">
        <v>43</v>
      </c>
      <c r="AM1106" s="100" t="s">
        <v>43</v>
      </c>
      <c r="AN1106" s="100" t="s">
        <v>43</v>
      </c>
      <c r="AO1106" s="100" t="s">
        <v>43</v>
      </c>
      <c r="AP1106" s="100" t="s">
        <v>43</v>
      </c>
      <c r="AQ1106" s="100" t="s">
        <v>43</v>
      </c>
      <c r="AR1106" s="100" t="s">
        <v>43</v>
      </c>
      <c r="AS1106" s="100" t="s">
        <v>43</v>
      </c>
    </row>
    <row r="1107" spans="1:45" s="101" customFormat="1" x14ac:dyDescent="0.25">
      <c r="A1107" s="90" t="s">
        <v>38</v>
      </c>
      <c r="B1107" s="90" t="s">
        <v>40</v>
      </c>
      <c r="C1107" s="90" t="s">
        <v>39</v>
      </c>
      <c r="D1107" s="90" t="s">
        <v>4537</v>
      </c>
      <c r="E1107" s="90" t="s">
        <v>4538</v>
      </c>
      <c r="F1107" s="91"/>
      <c r="G1107" s="92">
        <v>70014026</v>
      </c>
      <c r="H1107" s="91" t="s">
        <v>4370</v>
      </c>
      <c r="I1107" s="93" t="s">
        <v>87</v>
      </c>
      <c r="J1107" s="94" t="s">
        <v>4441</v>
      </c>
      <c r="K1107" s="94" t="s">
        <v>3086</v>
      </c>
      <c r="L1107" s="94" t="s">
        <v>3233</v>
      </c>
      <c r="M1107" s="95">
        <v>395760</v>
      </c>
      <c r="N1107" s="95">
        <v>6000</v>
      </c>
      <c r="O1107" s="95">
        <v>8500</v>
      </c>
      <c r="P1107" s="96"/>
      <c r="Q1107" s="152"/>
      <c r="R1107" s="95">
        <v>395760</v>
      </c>
      <c r="S1107" s="95">
        <v>16490</v>
      </c>
      <c r="T1107" s="95">
        <v>395760</v>
      </c>
      <c r="U1107" s="95">
        <v>16490</v>
      </c>
      <c r="V1107" s="95">
        <v>395760</v>
      </c>
      <c r="W1107" s="95">
        <v>16490</v>
      </c>
      <c r="X1107" s="128"/>
      <c r="Y1107" s="95">
        <v>69900</v>
      </c>
      <c r="Z1107" s="95">
        <v>30000</v>
      </c>
      <c r="AA1107" s="95">
        <f>IFERROR(IF(D1107="Premium",0.4*Y1107,0),"No Disp")</f>
        <v>0</v>
      </c>
      <c r="AB1107" s="95">
        <f>IFERROR(IF(4*Y1107&gt;AC1107,1.5*Y1107,4*Y1107),"No Disp")</f>
        <v>279600</v>
      </c>
      <c r="AC1107" s="95">
        <f>IF(Z1107="No Disp","No Disp",(Z1107*18)+Y1107)</f>
        <v>609900</v>
      </c>
      <c r="AD1107" s="95">
        <f>IF($H1107="EMP",18*Z1107-100,18*Z1107-100+Y1107)</f>
        <v>539900</v>
      </c>
      <c r="AE1107" s="95">
        <v>39900</v>
      </c>
      <c r="AF1107" s="95">
        <v>14000</v>
      </c>
      <c r="AG1107" s="95">
        <f>IF(AF1107="No Disp","No Disp",(AF1107*18)+AE1107)</f>
        <v>291900</v>
      </c>
      <c r="AH1107" s="98">
        <f>IF($H1107="EMP",18*AF1107-100,18*AF1107-100+AE1107)</f>
        <v>251900</v>
      </c>
      <c r="AI1107" s="95" t="s">
        <v>4613</v>
      </c>
      <c r="AJ1107" s="99"/>
      <c r="AK1107" s="100" t="s">
        <v>43</v>
      </c>
      <c r="AL1107" s="100" t="s">
        <v>43</v>
      </c>
      <c r="AM1107" s="100" t="s">
        <v>43</v>
      </c>
      <c r="AN1107" s="100" t="s">
        <v>43</v>
      </c>
      <c r="AO1107" s="100" t="s">
        <v>43</v>
      </c>
      <c r="AP1107" s="100" t="s">
        <v>43</v>
      </c>
      <c r="AQ1107" s="100" t="s">
        <v>43</v>
      </c>
      <c r="AR1107" s="100" t="s">
        <v>43</v>
      </c>
      <c r="AS1107" s="100" t="s">
        <v>43</v>
      </c>
    </row>
    <row r="1108" spans="1:45" s="101" customFormat="1" x14ac:dyDescent="0.25">
      <c r="A1108" s="90" t="s">
        <v>38</v>
      </c>
      <c r="B1108" s="90" t="s">
        <v>40</v>
      </c>
      <c r="C1108" s="90" t="s">
        <v>39</v>
      </c>
      <c r="D1108" s="90" t="s">
        <v>4540</v>
      </c>
      <c r="E1108" s="90" t="s">
        <v>4542</v>
      </c>
      <c r="F1108" s="91"/>
      <c r="G1108" s="92">
        <v>70014130</v>
      </c>
      <c r="H1108" s="91" t="s">
        <v>4370</v>
      </c>
      <c r="I1108" s="93" t="s">
        <v>46</v>
      </c>
      <c r="J1108" s="94" t="s">
        <v>853</v>
      </c>
      <c r="K1108" s="94" t="s">
        <v>3043</v>
      </c>
      <c r="L1108" s="94" t="s">
        <v>3190</v>
      </c>
      <c r="M1108" s="95">
        <v>199900</v>
      </c>
      <c r="N1108" s="95">
        <v>4000</v>
      </c>
      <c r="O1108" s="95">
        <v>6000</v>
      </c>
      <c r="P1108" s="96"/>
      <c r="Q1108" s="152"/>
      <c r="R1108" s="95">
        <v>199900</v>
      </c>
      <c r="S1108" s="95">
        <v>8329.1666666666661</v>
      </c>
      <c r="T1108" s="95">
        <v>199900</v>
      </c>
      <c r="U1108" s="95">
        <v>8329.1666666666661</v>
      </c>
      <c r="V1108" s="95">
        <v>199900</v>
      </c>
      <c r="W1108" s="95">
        <v>8329.1666666666661</v>
      </c>
      <c r="X1108" s="128"/>
      <c r="Y1108" s="95">
        <v>289900</v>
      </c>
      <c r="Z1108" s="95">
        <v>18000</v>
      </c>
      <c r="AA1108" s="95">
        <f>IFERROR(IF(D1108="Premium",0.4*Y1108,0),"No Disp")</f>
        <v>115960</v>
      </c>
      <c r="AB1108" s="95">
        <f>IFERROR(IF(4*Y1108&gt;AC1108,1.5*Y1108,4*Y1108),"No Disp")</f>
        <v>434850</v>
      </c>
      <c r="AC1108" s="95">
        <f>IF(Z1108="No Disp","No Disp",(Z1108*18)+Y1108)</f>
        <v>613900</v>
      </c>
      <c r="AD1108" s="95">
        <f>IF($H1108="EMP",18*Z1108-100,18*Z1108-100+Y1108)</f>
        <v>323900</v>
      </c>
      <c r="AE1108" s="95">
        <v>79900</v>
      </c>
      <c r="AF1108" s="95">
        <v>26000</v>
      </c>
      <c r="AG1108" s="95">
        <f>IF(AF1108="No Disp","No Disp",(AF1108*18)+AE1108)</f>
        <v>547900</v>
      </c>
      <c r="AH1108" s="98">
        <f>IF($H1108="EMP",18*AF1108-100,18*AF1108-100+AE1108)</f>
        <v>467900</v>
      </c>
      <c r="AI1108" s="95" t="s">
        <v>4613</v>
      </c>
      <c r="AJ1108" s="99"/>
      <c r="AK1108" s="100" t="s">
        <v>43</v>
      </c>
      <c r="AL1108" s="100" t="s">
        <v>43</v>
      </c>
      <c r="AM1108" s="100" t="s">
        <v>43</v>
      </c>
      <c r="AN1108" s="100" t="s">
        <v>43</v>
      </c>
      <c r="AO1108" s="100" t="s">
        <v>43</v>
      </c>
      <c r="AP1108" s="100" t="s">
        <v>43</v>
      </c>
      <c r="AQ1108" s="100" t="s">
        <v>43</v>
      </c>
      <c r="AR1108" s="100" t="s">
        <v>43</v>
      </c>
      <c r="AS1108" s="100" t="s">
        <v>43</v>
      </c>
    </row>
    <row r="1109" spans="1:45" s="101" customFormat="1" x14ac:dyDescent="0.25">
      <c r="A1109" s="90" t="s">
        <v>38</v>
      </c>
      <c r="B1109" s="90" t="s">
        <v>40</v>
      </c>
      <c r="C1109" s="90" t="s">
        <v>40</v>
      </c>
      <c r="D1109" s="90" t="s">
        <v>4540</v>
      </c>
      <c r="E1109" s="90" t="s">
        <v>4542</v>
      </c>
      <c r="F1109" s="91"/>
      <c r="G1109" s="92">
        <v>70014290</v>
      </c>
      <c r="H1109" s="91" t="s">
        <v>4370</v>
      </c>
      <c r="I1109" s="93" t="s">
        <v>46</v>
      </c>
      <c r="J1109" s="94" t="s">
        <v>533</v>
      </c>
      <c r="K1109" s="94" t="s">
        <v>3309</v>
      </c>
      <c r="L1109" s="94" t="s">
        <v>4442</v>
      </c>
      <c r="M1109" s="95">
        <v>899900</v>
      </c>
      <c r="N1109" s="95">
        <v>7000</v>
      </c>
      <c r="O1109" s="95">
        <v>10000</v>
      </c>
      <c r="P1109" s="96"/>
      <c r="Q1109" s="152"/>
      <c r="R1109" s="95">
        <v>899900</v>
      </c>
      <c r="S1109" s="95">
        <v>37495.833333333336</v>
      </c>
      <c r="T1109" s="95">
        <v>899900</v>
      </c>
      <c r="U1109" s="95">
        <v>37495.833333333336</v>
      </c>
      <c r="V1109" s="95">
        <v>899900</v>
      </c>
      <c r="W1109" s="95">
        <v>37495.833333333336</v>
      </c>
      <c r="X1109" s="128"/>
      <c r="Y1109" s="95">
        <v>599900</v>
      </c>
      <c r="Z1109" s="95">
        <v>33000</v>
      </c>
      <c r="AA1109" s="95">
        <f>IFERROR(IF(D1109="Premium",0.4*Y1109,0),"No Disp")</f>
        <v>239960</v>
      </c>
      <c r="AB1109" s="95">
        <f>IFERROR(IF(4*Y1109&gt;AC1109,1.5*Y1109,4*Y1109),"No Disp")</f>
        <v>899850</v>
      </c>
      <c r="AC1109" s="95">
        <f>IF(Z1109="No Disp","No Disp",(Z1109*18)+Y1109)</f>
        <v>1193900</v>
      </c>
      <c r="AD1109" s="95">
        <f>IF($H1109="EMP",18*Z1109-100,18*Z1109-100+Y1109)</f>
        <v>593900</v>
      </c>
      <c r="AE1109" s="95">
        <v>199900</v>
      </c>
      <c r="AF1109" s="95">
        <v>49000</v>
      </c>
      <c r="AG1109" s="95">
        <f>IF(AF1109="No Disp","No Disp",(AF1109*18)+AE1109)</f>
        <v>1081900</v>
      </c>
      <c r="AH1109" s="98">
        <f>IF($H1109="EMP",18*AF1109-100,18*AF1109-100+AE1109)</f>
        <v>881900</v>
      </c>
      <c r="AI1109" s="95" t="s">
        <v>4613</v>
      </c>
      <c r="AJ1109" s="99"/>
      <c r="AK1109" s="100" t="s">
        <v>43</v>
      </c>
      <c r="AL1109" s="100" t="s">
        <v>43</v>
      </c>
      <c r="AM1109" s="100" t="s">
        <v>43</v>
      </c>
      <c r="AN1109" s="100" t="s">
        <v>43</v>
      </c>
      <c r="AO1109" s="100" t="s">
        <v>43</v>
      </c>
      <c r="AP1109" s="100" t="s">
        <v>43</v>
      </c>
      <c r="AQ1109" s="100" t="s">
        <v>43</v>
      </c>
      <c r="AR1109" s="100" t="s">
        <v>43</v>
      </c>
      <c r="AS1109" s="100" t="s">
        <v>43</v>
      </c>
    </row>
    <row r="1110" spans="1:45" s="101" customFormat="1" x14ac:dyDescent="0.25">
      <c r="A1110" s="90" t="s">
        <v>38</v>
      </c>
      <c r="B1110" s="90" t="s">
        <v>40</v>
      </c>
      <c r="C1110" s="90" t="s">
        <v>39</v>
      </c>
      <c r="D1110" s="90" t="s">
        <v>4540</v>
      </c>
      <c r="E1110" s="90" t="s">
        <v>4542</v>
      </c>
      <c r="F1110" s="91"/>
      <c r="G1110" s="92">
        <v>70014019</v>
      </c>
      <c r="H1110" s="91" t="s">
        <v>4370</v>
      </c>
      <c r="I1110" s="93" t="s">
        <v>46</v>
      </c>
      <c r="J1110" s="94" t="s">
        <v>526</v>
      </c>
      <c r="K1110" s="94" t="s">
        <v>3104</v>
      </c>
      <c r="L1110" s="94" t="s">
        <v>3252</v>
      </c>
      <c r="M1110" s="95">
        <v>742900</v>
      </c>
      <c r="N1110" s="95">
        <v>7000</v>
      </c>
      <c r="O1110" s="95">
        <v>10000</v>
      </c>
      <c r="P1110" s="96"/>
      <c r="Q1110" s="152"/>
      <c r="R1110" s="95">
        <v>742900</v>
      </c>
      <c r="S1110" s="95">
        <v>30954.166666666668</v>
      </c>
      <c r="T1110" s="95">
        <v>742900</v>
      </c>
      <c r="U1110" s="95">
        <v>30954.166666666668</v>
      </c>
      <c r="V1110" s="95">
        <v>742900</v>
      </c>
      <c r="W1110" s="95">
        <v>30954.166666666668</v>
      </c>
      <c r="X1110" s="128"/>
      <c r="Y1110" s="95">
        <v>0</v>
      </c>
      <c r="Z1110" s="95">
        <v>47000</v>
      </c>
      <c r="AA1110" s="95">
        <f>IFERROR(IF(D1110="Premium",0.4*Y1110,0),"No Disp")</f>
        <v>0</v>
      </c>
      <c r="AB1110" s="95">
        <f>IFERROR(IF(4*Y1110&gt;AC1110,1.5*Y1110,4*Y1110),"No Disp")</f>
        <v>0</v>
      </c>
      <c r="AC1110" s="95">
        <f>IF(Z1110="No Disp","No Disp",(Z1110*18)+Y1110)</f>
        <v>846000</v>
      </c>
      <c r="AD1110" s="95">
        <f>IF($H1110="EMP",18*Z1110-100,18*Z1110-100+Y1110)</f>
        <v>845900</v>
      </c>
      <c r="AE1110" s="95">
        <v>213900</v>
      </c>
      <c r="AF1110" s="95">
        <v>47900</v>
      </c>
      <c r="AG1110" s="95">
        <f>IF(AF1110="No Disp","No Disp",(AF1110*18)+AE1110)</f>
        <v>1076100</v>
      </c>
      <c r="AH1110" s="98">
        <f>IF($H1110="EMP",18*AF1110-100,18*AF1110-100+AE1110)</f>
        <v>862100</v>
      </c>
      <c r="AI1110" s="95" t="s">
        <v>4613</v>
      </c>
      <c r="AJ1110" s="99"/>
      <c r="AK1110" s="100" t="s">
        <v>43</v>
      </c>
      <c r="AL1110" s="100" t="s">
        <v>43</v>
      </c>
      <c r="AM1110" s="100" t="s">
        <v>43</v>
      </c>
      <c r="AN1110" s="100" t="s">
        <v>43</v>
      </c>
      <c r="AO1110" s="100" t="s">
        <v>43</v>
      </c>
      <c r="AP1110" s="100" t="s">
        <v>43</v>
      </c>
      <c r="AQ1110" s="100" t="s">
        <v>43</v>
      </c>
      <c r="AR1110" s="100" t="s">
        <v>43</v>
      </c>
      <c r="AS1110" s="100" t="s">
        <v>43</v>
      </c>
    </row>
    <row r="1111" spans="1:45" s="101" customFormat="1" x14ac:dyDescent="0.25">
      <c r="A1111" s="90" t="s">
        <v>38</v>
      </c>
      <c r="B1111" s="90" t="s">
        <v>40</v>
      </c>
      <c r="C1111" s="90" t="s">
        <v>39</v>
      </c>
      <c r="D1111" s="90" t="s">
        <v>4540</v>
      </c>
      <c r="E1111" s="90" t="s">
        <v>4542</v>
      </c>
      <c r="F1111" s="91"/>
      <c r="G1111" s="92">
        <v>70014020</v>
      </c>
      <c r="H1111" s="91" t="s">
        <v>4370</v>
      </c>
      <c r="I1111" s="93" t="s">
        <v>46</v>
      </c>
      <c r="J1111" s="94" t="s">
        <v>526</v>
      </c>
      <c r="K1111" s="94" t="s">
        <v>3102</v>
      </c>
      <c r="L1111" s="94" t="s">
        <v>3250</v>
      </c>
      <c r="M1111" s="95">
        <v>742900</v>
      </c>
      <c r="N1111" s="95">
        <v>7000</v>
      </c>
      <c r="O1111" s="95">
        <v>10000</v>
      </c>
      <c r="P1111" s="96"/>
      <c r="Q1111" s="152"/>
      <c r="R1111" s="95">
        <v>742900</v>
      </c>
      <c r="S1111" s="95">
        <v>30954.166666666668</v>
      </c>
      <c r="T1111" s="95">
        <v>742900</v>
      </c>
      <c r="U1111" s="95">
        <v>30954.166666666668</v>
      </c>
      <c r="V1111" s="95">
        <v>742900</v>
      </c>
      <c r="W1111" s="95">
        <v>30954.166666666668</v>
      </c>
      <c r="X1111" s="128"/>
      <c r="Y1111" s="95">
        <v>0</v>
      </c>
      <c r="Z1111" s="95">
        <v>47000</v>
      </c>
      <c r="AA1111" s="95">
        <f>IFERROR(IF(D1111="Premium",0.4*Y1111,0),"No Disp")</f>
        <v>0</v>
      </c>
      <c r="AB1111" s="95">
        <f>IFERROR(IF(4*Y1111&gt;AC1111,1.5*Y1111,4*Y1111),"No Disp")</f>
        <v>0</v>
      </c>
      <c r="AC1111" s="95">
        <f>IF(Z1111="No Disp","No Disp",(Z1111*18)+Y1111)</f>
        <v>846000</v>
      </c>
      <c r="AD1111" s="95">
        <f>IF($H1111="EMP",18*Z1111-100,18*Z1111-100+Y1111)</f>
        <v>845900</v>
      </c>
      <c r="AE1111" s="95">
        <v>213900</v>
      </c>
      <c r="AF1111" s="95">
        <v>47900</v>
      </c>
      <c r="AG1111" s="95">
        <f>IF(AF1111="No Disp","No Disp",(AF1111*18)+AE1111)</f>
        <v>1076100</v>
      </c>
      <c r="AH1111" s="98">
        <f>IF($H1111="EMP",18*AF1111-100,18*AF1111-100+AE1111)</f>
        <v>862100</v>
      </c>
      <c r="AI1111" s="95" t="s">
        <v>4613</v>
      </c>
      <c r="AJ1111" s="99"/>
      <c r="AK1111" s="100" t="s">
        <v>43</v>
      </c>
      <c r="AL1111" s="100" t="s">
        <v>43</v>
      </c>
      <c r="AM1111" s="100" t="s">
        <v>43</v>
      </c>
      <c r="AN1111" s="100" t="s">
        <v>43</v>
      </c>
      <c r="AO1111" s="100" t="s">
        <v>43</v>
      </c>
      <c r="AP1111" s="100" t="s">
        <v>43</v>
      </c>
      <c r="AQ1111" s="100" t="s">
        <v>43</v>
      </c>
      <c r="AR1111" s="100" t="s">
        <v>43</v>
      </c>
      <c r="AS1111" s="100" t="s">
        <v>43</v>
      </c>
    </row>
    <row r="1112" spans="1:45" s="101" customFormat="1" x14ac:dyDescent="0.25">
      <c r="A1112" s="90" t="s">
        <v>38</v>
      </c>
      <c r="B1112" s="90" t="s">
        <v>40</v>
      </c>
      <c r="C1112" s="90" t="s">
        <v>39</v>
      </c>
      <c r="D1112" s="90" t="s">
        <v>4540</v>
      </c>
      <c r="E1112" s="90" t="s">
        <v>4542</v>
      </c>
      <c r="F1112" s="91"/>
      <c r="G1112" s="92">
        <v>70014140</v>
      </c>
      <c r="H1112" s="91" t="s">
        <v>4370</v>
      </c>
      <c r="I1112" s="93" t="s">
        <v>46</v>
      </c>
      <c r="J1112" s="94" t="s">
        <v>735</v>
      </c>
      <c r="K1112" s="94" t="s">
        <v>3078</v>
      </c>
      <c r="L1112" s="94" t="s">
        <v>3225</v>
      </c>
      <c r="M1112" s="95">
        <v>339900</v>
      </c>
      <c r="N1112" s="95">
        <v>6000</v>
      </c>
      <c r="O1112" s="95">
        <v>8500</v>
      </c>
      <c r="P1112" s="96"/>
      <c r="Q1112" s="152"/>
      <c r="R1112" s="95">
        <v>339900</v>
      </c>
      <c r="S1112" s="95">
        <v>14162.5</v>
      </c>
      <c r="T1112" s="95">
        <v>339900</v>
      </c>
      <c r="U1112" s="95">
        <v>14162.5</v>
      </c>
      <c r="V1112" s="95">
        <v>339900</v>
      </c>
      <c r="W1112" s="95">
        <v>14162.5</v>
      </c>
      <c r="X1112" s="128"/>
      <c r="Y1112" s="95">
        <v>769900</v>
      </c>
      <c r="Z1112" s="95">
        <v>28000</v>
      </c>
      <c r="AA1112" s="95">
        <f>IFERROR(IF(D1112="Premium",0.4*Y1112,0),"No Disp")</f>
        <v>307960</v>
      </c>
      <c r="AB1112" s="95">
        <f>IFERROR(IF(4*Y1112&gt;AC1112,1.5*Y1112,4*Y1112),"No Disp")</f>
        <v>1154850</v>
      </c>
      <c r="AC1112" s="95">
        <f>IF(Z1112="No Disp","No Disp",(Z1112*18)+Y1112)</f>
        <v>1273900</v>
      </c>
      <c r="AD1112" s="95">
        <f>IF($H1112="EMP",18*Z1112-100,18*Z1112-100+Y1112)</f>
        <v>503900</v>
      </c>
      <c r="AE1112" s="95">
        <v>279900</v>
      </c>
      <c r="AF1112" s="95">
        <v>49000</v>
      </c>
      <c r="AG1112" s="95">
        <f>IF(AF1112="No Disp","No Disp",(AF1112*18)+AE1112)</f>
        <v>1161900</v>
      </c>
      <c r="AH1112" s="98">
        <f>IF($H1112="EMP",18*AF1112-100,18*AF1112-100+AE1112)</f>
        <v>881900</v>
      </c>
      <c r="AI1112" s="95" t="s">
        <v>4613</v>
      </c>
      <c r="AJ1112" s="99"/>
      <c r="AK1112" s="100" t="s">
        <v>43</v>
      </c>
      <c r="AL1112" s="100" t="s">
        <v>43</v>
      </c>
      <c r="AM1112" s="100" t="s">
        <v>43</v>
      </c>
      <c r="AN1112" s="100" t="s">
        <v>43</v>
      </c>
      <c r="AO1112" s="100" t="s">
        <v>43</v>
      </c>
      <c r="AP1112" s="100" t="s">
        <v>43</v>
      </c>
      <c r="AQ1112" s="100" t="s">
        <v>43</v>
      </c>
      <c r="AR1112" s="100" t="s">
        <v>43</v>
      </c>
      <c r="AS1112" s="100" t="s">
        <v>43</v>
      </c>
    </row>
    <row r="1113" spans="1:45" s="101" customFormat="1" x14ac:dyDescent="0.25">
      <c r="A1113" s="90" t="s">
        <v>38</v>
      </c>
      <c r="B1113" s="90" t="s">
        <v>40</v>
      </c>
      <c r="C1113" s="90" t="s">
        <v>39</v>
      </c>
      <c r="D1113" s="90" t="s">
        <v>4540</v>
      </c>
      <c r="E1113" s="90" t="s">
        <v>4542</v>
      </c>
      <c r="F1113" s="91"/>
      <c r="G1113" s="92">
        <v>70014139</v>
      </c>
      <c r="H1113" s="91" t="s">
        <v>4370</v>
      </c>
      <c r="I1113" s="93" t="s">
        <v>46</v>
      </c>
      <c r="J1113" s="94" t="s">
        <v>828</v>
      </c>
      <c r="K1113" s="94" t="s">
        <v>3057</v>
      </c>
      <c r="L1113" s="94" t="s">
        <v>3204</v>
      </c>
      <c r="M1113" s="95">
        <v>249900</v>
      </c>
      <c r="N1113" s="95">
        <v>4000</v>
      </c>
      <c r="O1113" s="95">
        <v>6000</v>
      </c>
      <c r="P1113" s="96"/>
      <c r="Q1113" s="152"/>
      <c r="R1113" s="95">
        <v>249900</v>
      </c>
      <c r="S1113" s="95">
        <v>10412.5</v>
      </c>
      <c r="T1113" s="95">
        <v>249900</v>
      </c>
      <c r="U1113" s="95">
        <v>10412.5</v>
      </c>
      <c r="V1113" s="95">
        <v>249900</v>
      </c>
      <c r="W1113" s="95">
        <v>10412.5</v>
      </c>
      <c r="X1113" s="128"/>
      <c r="Y1113" s="95">
        <v>539900</v>
      </c>
      <c r="Z1113" s="95">
        <v>12000</v>
      </c>
      <c r="AA1113" s="95">
        <f>IFERROR(IF(D1113="Premium",0.4*Y1113,0),"No Disp")</f>
        <v>215960</v>
      </c>
      <c r="AB1113" s="95">
        <f>IFERROR(IF(4*Y1113&gt;AC1113,1.5*Y1113,4*Y1113),"No Disp")</f>
        <v>809850</v>
      </c>
      <c r="AC1113" s="95">
        <f>IF(Z1113="No Disp","No Disp",(Z1113*18)+Y1113)</f>
        <v>755900</v>
      </c>
      <c r="AD1113" s="95">
        <f>IF($H1113="EMP",18*Z1113-100,18*Z1113-100+Y1113)</f>
        <v>215900</v>
      </c>
      <c r="AE1113" s="95">
        <v>19900</v>
      </c>
      <c r="AF1113" s="95">
        <v>17000</v>
      </c>
      <c r="AG1113" s="95">
        <f>IF(AF1113="No Disp","No Disp",(AF1113*18)+AE1113)</f>
        <v>325900</v>
      </c>
      <c r="AH1113" s="98">
        <f>IF($H1113="EMP",18*AF1113-100,18*AF1113-100+AE1113)</f>
        <v>305900</v>
      </c>
      <c r="AI1113" s="95" t="s">
        <v>4613</v>
      </c>
      <c r="AJ1113" s="99"/>
      <c r="AK1113" s="100" t="s">
        <v>43</v>
      </c>
      <c r="AL1113" s="100" t="s">
        <v>43</v>
      </c>
      <c r="AM1113" s="100" t="s">
        <v>43</v>
      </c>
      <c r="AN1113" s="100" t="s">
        <v>43</v>
      </c>
      <c r="AO1113" s="100" t="s">
        <v>43</v>
      </c>
      <c r="AP1113" s="100" t="s">
        <v>43</v>
      </c>
      <c r="AQ1113" s="100" t="s">
        <v>43</v>
      </c>
      <c r="AR1113" s="100" t="s">
        <v>43</v>
      </c>
      <c r="AS1113" s="100" t="s">
        <v>43</v>
      </c>
    </row>
    <row r="1114" spans="1:45" s="101" customFormat="1" x14ac:dyDescent="0.25">
      <c r="A1114" s="90" t="s">
        <v>38</v>
      </c>
      <c r="B1114" s="90" t="s">
        <v>40</v>
      </c>
      <c r="C1114" s="90" t="s">
        <v>39</v>
      </c>
      <c r="D1114" s="90" t="s">
        <v>4539</v>
      </c>
      <c r="E1114" s="90" t="s">
        <v>4538</v>
      </c>
      <c r="F1114" s="91">
        <v>745</v>
      </c>
      <c r="G1114" s="92">
        <v>70014769</v>
      </c>
      <c r="H1114" s="91" t="s">
        <v>4370</v>
      </c>
      <c r="I1114" s="93" t="s">
        <v>4074</v>
      </c>
      <c r="J1114" s="94" t="s">
        <v>4375</v>
      </c>
      <c r="K1114" s="94" t="s">
        <v>4366</v>
      </c>
      <c r="L1114" s="94" t="s">
        <v>4395</v>
      </c>
      <c r="M1114" s="95">
        <v>173900</v>
      </c>
      <c r="N1114" s="95">
        <v>4000</v>
      </c>
      <c r="O1114" s="95">
        <v>6000</v>
      </c>
      <c r="P1114" s="96">
        <v>219990</v>
      </c>
      <c r="Q1114" s="152"/>
      <c r="R1114" s="95">
        <v>173900</v>
      </c>
      <c r="S1114" s="95">
        <f>R1114/24</f>
        <v>7245.833333333333</v>
      </c>
      <c r="T1114" s="95">
        <v>173900</v>
      </c>
      <c r="U1114" s="95">
        <f>T1114/24</f>
        <v>7245.833333333333</v>
      </c>
      <c r="V1114" s="95">
        <v>173900</v>
      </c>
      <c r="W1114" s="95">
        <f>V1114/24</f>
        <v>7245.833333333333</v>
      </c>
      <c r="X1114" s="128"/>
      <c r="Y1114" s="95">
        <v>0</v>
      </c>
      <c r="Z1114" s="95">
        <v>12000</v>
      </c>
      <c r="AA1114" s="95">
        <f>IFERROR(IF(D1114="Premium",0.4*Y1114,0),"No Disp")</f>
        <v>0</v>
      </c>
      <c r="AB1114" s="95">
        <f>IFERROR(IF(4*Y1114&gt;AC1114,1.5*Y1114,4*Y1114),"No Disp")</f>
        <v>0</v>
      </c>
      <c r="AC1114" s="95">
        <f>IF(Z1114="No Disp","No Disp",(Z1114*18)+Y1114)</f>
        <v>216000</v>
      </c>
      <c r="AD1114" s="95">
        <f>IF($H1114="EMP",18*Z1114-100,18*Z1114-100+Y1114)</f>
        <v>215900</v>
      </c>
      <c r="AE1114" s="95">
        <v>0</v>
      </c>
      <c r="AF1114" s="95">
        <v>12000</v>
      </c>
      <c r="AG1114" s="95">
        <f>IF(AF1114="No Disp","No Disp",(AF1114*18)+AE1114)</f>
        <v>216000</v>
      </c>
      <c r="AH1114" s="98">
        <f>IF($H1114="EMP",18*AF1114-100,18*AF1114-100+AE1114)</f>
        <v>215900</v>
      </c>
      <c r="AI1114" s="95">
        <v>12000</v>
      </c>
      <c r="AJ1114" s="99"/>
      <c r="AK1114" s="100" t="s">
        <v>43</v>
      </c>
      <c r="AL1114" s="100" t="s">
        <v>43</v>
      </c>
      <c r="AM1114" s="100" t="str">
        <f>IF(AL1114&lt;&gt;"No Disp",AK1114+12*AL1114,"No Disp")</f>
        <v>No Disp</v>
      </c>
      <c r="AN1114" s="100" t="s">
        <v>43</v>
      </c>
      <c r="AO1114" s="100" t="s">
        <v>43</v>
      </c>
      <c r="AP1114" s="100" t="str">
        <f>IF(AO1114&lt;&gt;"No Disp",AN1114+12*AO1114,"No Disp")</f>
        <v>No Disp</v>
      </c>
      <c r="AQ1114" s="100" t="s">
        <v>43</v>
      </c>
      <c r="AR1114" s="100" t="s">
        <v>43</v>
      </c>
      <c r="AS1114" s="100" t="str">
        <f>IF(AR1114&lt;&gt;"No Disp",AQ1114+12*AR1114,"No Disp")</f>
        <v>No Disp</v>
      </c>
    </row>
    <row r="1115" spans="1:45" s="101" customFormat="1" x14ac:dyDescent="0.25">
      <c r="A1115" s="90" t="s">
        <v>38</v>
      </c>
      <c r="B1115" s="90" t="s">
        <v>40</v>
      </c>
      <c r="C1115" s="90" t="s">
        <v>39</v>
      </c>
      <c r="D1115" s="90" t="s">
        <v>4539</v>
      </c>
      <c r="E1115" s="90" t="s">
        <v>4538</v>
      </c>
      <c r="F1115" s="91">
        <v>743</v>
      </c>
      <c r="G1115" s="92">
        <v>70014775</v>
      </c>
      <c r="H1115" s="91" t="s">
        <v>4370</v>
      </c>
      <c r="I1115" s="93" t="s">
        <v>4074</v>
      </c>
      <c r="J1115" s="94" t="s">
        <v>4375</v>
      </c>
      <c r="K1115" s="94" t="s">
        <v>4368</v>
      </c>
      <c r="L1115" s="94" t="s">
        <v>4397</v>
      </c>
      <c r="M1115" s="95">
        <v>173900</v>
      </c>
      <c r="N1115" s="95">
        <v>4000</v>
      </c>
      <c r="O1115" s="95">
        <v>6000</v>
      </c>
      <c r="P1115" s="96">
        <v>219990</v>
      </c>
      <c r="Q1115" s="152"/>
      <c r="R1115" s="95">
        <v>173900</v>
      </c>
      <c r="S1115" s="95">
        <f>R1115/24</f>
        <v>7245.833333333333</v>
      </c>
      <c r="T1115" s="95">
        <v>173900</v>
      </c>
      <c r="U1115" s="95">
        <f>T1115/24</f>
        <v>7245.833333333333</v>
      </c>
      <c r="V1115" s="95">
        <v>173900</v>
      </c>
      <c r="W1115" s="95">
        <f>V1115/24</f>
        <v>7245.833333333333</v>
      </c>
      <c r="X1115" s="128"/>
      <c r="Y1115" s="95">
        <v>0</v>
      </c>
      <c r="Z1115" s="95">
        <v>12000</v>
      </c>
      <c r="AA1115" s="95">
        <f>IFERROR(IF(D1115="Premium",0.4*Y1115,0),"No Disp")</f>
        <v>0</v>
      </c>
      <c r="AB1115" s="95">
        <f>IFERROR(IF(4*Y1115&gt;AC1115,1.5*Y1115,4*Y1115),"No Disp")</f>
        <v>0</v>
      </c>
      <c r="AC1115" s="95">
        <f>IF(Z1115="No Disp","No Disp",(Z1115*18)+Y1115)</f>
        <v>216000</v>
      </c>
      <c r="AD1115" s="95">
        <f>IF($H1115="EMP",18*Z1115-100,18*Z1115-100+Y1115)</f>
        <v>215900</v>
      </c>
      <c r="AE1115" s="95">
        <v>0</v>
      </c>
      <c r="AF1115" s="95">
        <v>12000</v>
      </c>
      <c r="AG1115" s="95">
        <f>IF(AF1115="No Disp","No Disp",(AF1115*18)+AE1115)</f>
        <v>216000</v>
      </c>
      <c r="AH1115" s="98">
        <f>IF($H1115="EMP",18*AF1115-100,18*AF1115-100+AE1115)</f>
        <v>215900</v>
      </c>
      <c r="AI1115" s="95">
        <v>12000</v>
      </c>
      <c r="AJ1115" s="99"/>
      <c r="AK1115" s="100" t="s">
        <v>43</v>
      </c>
      <c r="AL1115" s="100" t="s">
        <v>43</v>
      </c>
      <c r="AM1115" s="100" t="str">
        <f>IF(AL1115&lt;&gt;"No Disp",AK1115+12*AL1115,"No Disp")</f>
        <v>No Disp</v>
      </c>
      <c r="AN1115" s="100" t="s">
        <v>43</v>
      </c>
      <c r="AO1115" s="100" t="s">
        <v>43</v>
      </c>
      <c r="AP1115" s="100" t="str">
        <f>IF(AO1115&lt;&gt;"No Disp",AN1115+12*AO1115,"No Disp")</f>
        <v>No Disp</v>
      </c>
      <c r="AQ1115" s="100" t="s">
        <v>43</v>
      </c>
      <c r="AR1115" s="100" t="s">
        <v>43</v>
      </c>
      <c r="AS1115" s="100" t="str">
        <f>IF(AR1115&lt;&gt;"No Disp",AQ1115+12*AR1115,"No Disp")</f>
        <v>No Disp</v>
      </c>
    </row>
    <row r="1116" spans="1:45" s="101" customFormat="1" x14ac:dyDescent="0.25">
      <c r="A1116" s="90" t="s">
        <v>38</v>
      </c>
      <c r="B1116" s="90" t="s">
        <v>40</v>
      </c>
      <c r="C1116" s="90" t="s">
        <v>39</v>
      </c>
      <c r="D1116" s="90" t="s">
        <v>4541</v>
      </c>
      <c r="E1116" s="90" t="s">
        <v>4542</v>
      </c>
      <c r="F1116" s="91"/>
      <c r="G1116" s="92">
        <v>70013943</v>
      </c>
      <c r="H1116" s="91" t="s">
        <v>4370</v>
      </c>
      <c r="I1116" s="93" t="s">
        <v>131</v>
      </c>
      <c r="J1116" s="94" t="s">
        <v>205</v>
      </c>
      <c r="K1116" s="94" t="s">
        <v>3019</v>
      </c>
      <c r="L1116" s="94" t="s">
        <v>3166</v>
      </c>
      <c r="M1116" s="95">
        <v>122900</v>
      </c>
      <c r="N1116" s="95">
        <v>2500</v>
      </c>
      <c r="O1116" s="95">
        <v>4000</v>
      </c>
      <c r="P1116" s="96">
        <v>149990</v>
      </c>
      <c r="Q1116" s="152"/>
      <c r="R1116" s="95">
        <v>122900</v>
      </c>
      <c r="S1116" s="95">
        <v>5079.166666666667</v>
      </c>
      <c r="T1116" s="95">
        <v>122900</v>
      </c>
      <c r="U1116" s="95">
        <v>5079.166666666667</v>
      </c>
      <c r="V1116" s="95">
        <v>122900</v>
      </c>
      <c r="W1116" s="95">
        <v>5079.166666666667</v>
      </c>
      <c r="X1116" s="128"/>
      <c r="Y1116" s="95">
        <v>0</v>
      </c>
      <c r="Z1116" s="95">
        <v>8000</v>
      </c>
      <c r="AA1116" s="95">
        <f>IFERROR(IF(D1116="Premium",0.4*Y1116,0),"No Disp")</f>
        <v>0</v>
      </c>
      <c r="AB1116" s="95">
        <f>IFERROR(IF(4*Y1116&gt;AC1116,1.5*Y1116,4*Y1116),"No Disp")</f>
        <v>0</v>
      </c>
      <c r="AC1116" s="95">
        <f>IF(Z1116="No Disp","No Disp",(Z1116*18)+Y1116)</f>
        <v>144000</v>
      </c>
      <c r="AD1116" s="95">
        <f>IF($H1116="EMP",18*Z1116-100,18*Z1116-100+Y1116)</f>
        <v>143900</v>
      </c>
      <c r="AE1116" s="95">
        <v>0</v>
      </c>
      <c r="AF1116" s="95">
        <v>8000</v>
      </c>
      <c r="AG1116" s="95">
        <f>IF(AF1116="No Disp","No Disp",(AF1116*18)+AE1116)</f>
        <v>144000</v>
      </c>
      <c r="AH1116" s="98">
        <f>IF($H1116="EMP",18*AF1116-100,18*AF1116-100+AE1116)</f>
        <v>143900</v>
      </c>
      <c r="AI1116" s="95">
        <v>8000</v>
      </c>
      <c r="AJ1116" s="99"/>
      <c r="AK1116" s="100" t="s">
        <v>43</v>
      </c>
      <c r="AL1116" s="100" t="s">
        <v>43</v>
      </c>
      <c r="AM1116" s="100" t="s">
        <v>43</v>
      </c>
      <c r="AN1116" s="100" t="s">
        <v>43</v>
      </c>
      <c r="AO1116" s="100" t="s">
        <v>43</v>
      </c>
      <c r="AP1116" s="100" t="s">
        <v>43</v>
      </c>
      <c r="AQ1116" s="100" t="s">
        <v>43</v>
      </c>
      <c r="AR1116" s="100" t="s">
        <v>43</v>
      </c>
      <c r="AS1116" s="100" t="s">
        <v>43</v>
      </c>
    </row>
    <row r="1117" spans="1:45" s="101" customFormat="1" x14ac:dyDescent="0.25">
      <c r="A1117" s="90" t="s">
        <v>38</v>
      </c>
      <c r="B1117" s="90" t="s">
        <v>40</v>
      </c>
      <c r="C1117" s="90" t="s">
        <v>39</v>
      </c>
      <c r="D1117" s="90" t="s">
        <v>4539</v>
      </c>
      <c r="E1117" s="90" t="s">
        <v>4542</v>
      </c>
      <c r="F1117" s="91"/>
      <c r="G1117" s="92">
        <v>70013985</v>
      </c>
      <c r="H1117" s="91" t="s">
        <v>4370</v>
      </c>
      <c r="I1117" s="93" t="s">
        <v>41</v>
      </c>
      <c r="J1117" s="94" t="s">
        <v>447</v>
      </c>
      <c r="K1117" s="94" t="s">
        <v>3028</v>
      </c>
      <c r="L1117" s="94" t="s">
        <v>3175</v>
      </c>
      <c r="M1117" s="95">
        <v>137900</v>
      </c>
      <c r="N1117" s="95">
        <v>2500</v>
      </c>
      <c r="O1117" s="95">
        <v>4000</v>
      </c>
      <c r="P1117" s="96">
        <v>199990</v>
      </c>
      <c r="Q1117" s="152"/>
      <c r="R1117" s="95">
        <v>137900</v>
      </c>
      <c r="S1117" s="95">
        <v>5829.166666666667</v>
      </c>
      <c r="T1117" s="95">
        <v>137900</v>
      </c>
      <c r="U1117" s="95">
        <v>5829.166666666667</v>
      </c>
      <c r="V1117" s="95">
        <v>137900</v>
      </c>
      <c r="W1117" s="95">
        <v>5829.166666666667</v>
      </c>
      <c r="X1117" s="128"/>
      <c r="Y1117" s="95">
        <v>0</v>
      </c>
      <c r="Z1117" s="95">
        <v>8000</v>
      </c>
      <c r="AA1117" s="95">
        <f>IFERROR(IF(D1117="Premium",0.4*Y1117,0),"No Disp")</f>
        <v>0</v>
      </c>
      <c r="AB1117" s="95">
        <f>IFERROR(IF(4*Y1117&gt;AC1117,1.5*Y1117,4*Y1117),"No Disp")</f>
        <v>0</v>
      </c>
      <c r="AC1117" s="95">
        <f>IF(Z1117="No Disp","No Disp",(Z1117*18)+Y1117)</f>
        <v>144000</v>
      </c>
      <c r="AD1117" s="95">
        <f>IF($H1117="EMP",18*Z1117-100,18*Z1117-100+Y1117)</f>
        <v>143900</v>
      </c>
      <c r="AE1117" s="95">
        <v>0</v>
      </c>
      <c r="AF1117" s="95">
        <v>8000</v>
      </c>
      <c r="AG1117" s="95">
        <f>IF(AF1117="No Disp","No Disp",(AF1117*18)+AE1117)</f>
        <v>144000</v>
      </c>
      <c r="AH1117" s="98">
        <f>IF($H1117="EMP",18*AF1117-100,18*AF1117-100+AE1117)</f>
        <v>143900</v>
      </c>
      <c r="AI1117" s="95">
        <v>8000</v>
      </c>
      <c r="AJ1117" s="99"/>
      <c r="AK1117" s="100" t="s">
        <v>43</v>
      </c>
      <c r="AL1117" s="100" t="s">
        <v>43</v>
      </c>
      <c r="AM1117" s="100" t="s">
        <v>43</v>
      </c>
      <c r="AN1117" s="100" t="s">
        <v>43</v>
      </c>
      <c r="AO1117" s="100" t="s">
        <v>43</v>
      </c>
      <c r="AP1117" s="100" t="s">
        <v>43</v>
      </c>
      <c r="AQ1117" s="100" t="s">
        <v>43</v>
      </c>
      <c r="AR1117" s="100" t="s">
        <v>43</v>
      </c>
      <c r="AS1117" s="100" t="s">
        <v>43</v>
      </c>
    </row>
    <row r="1118" spans="1:45" s="101" customFormat="1" x14ac:dyDescent="0.25">
      <c r="A1118" s="90" t="s">
        <v>38</v>
      </c>
      <c r="B1118" s="90" t="s">
        <v>39</v>
      </c>
      <c r="C1118" s="90" t="s">
        <v>40</v>
      </c>
      <c r="D1118" s="90" t="s">
        <v>4541</v>
      </c>
      <c r="E1118" s="90" t="s">
        <v>4542</v>
      </c>
      <c r="F1118" s="91"/>
      <c r="G1118" s="92">
        <v>70014173</v>
      </c>
      <c r="H1118" s="91" t="s">
        <v>4370</v>
      </c>
      <c r="I1118" s="93" t="s">
        <v>41</v>
      </c>
      <c r="J1118" s="94" t="s">
        <v>2795</v>
      </c>
      <c r="K1118" s="94" t="s">
        <v>3315</v>
      </c>
      <c r="L1118" s="94" t="s">
        <v>3316</v>
      </c>
      <c r="M1118" s="95">
        <v>92900</v>
      </c>
      <c r="N1118" s="95">
        <v>2500</v>
      </c>
      <c r="O1118" s="95">
        <v>4000</v>
      </c>
      <c r="P1118" s="96">
        <v>119990</v>
      </c>
      <c r="Q1118" s="152"/>
      <c r="R1118" s="95">
        <v>92900</v>
      </c>
      <c r="S1118" s="95">
        <v>4037.5</v>
      </c>
      <c r="T1118" s="95">
        <v>92900</v>
      </c>
      <c r="U1118" s="95">
        <v>4037.5</v>
      </c>
      <c r="V1118" s="95">
        <v>92900</v>
      </c>
      <c r="W1118" s="95">
        <v>4037.5</v>
      </c>
      <c r="X1118" s="128"/>
      <c r="Y1118" s="95">
        <v>0</v>
      </c>
      <c r="Z1118" s="95">
        <v>6000</v>
      </c>
      <c r="AA1118" s="95">
        <f>IFERROR(IF(D1118="Premium",0.4*Y1118,0),"No Disp")</f>
        <v>0</v>
      </c>
      <c r="AB1118" s="95">
        <f>IFERROR(IF(4*Y1118&gt;AC1118,1.5*Y1118,4*Y1118),"No Disp")</f>
        <v>0</v>
      </c>
      <c r="AC1118" s="95">
        <f>IF(Z1118="No Disp","No Disp",(Z1118*18)+Y1118)</f>
        <v>108000</v>
      </c>
      <c r="AD1118" s="95">
        <f>IF($H1118="EMP",18*Z1118-100,18*Z1118-100+Y1118)</f>
        <v>107900</v>
      </c>
      <c r="AE1118" s="95">
        <v>0</v>
      </c>
      <c r="AF1118" s="95">
        <v>6000</v>
      </c>
      <c r="AG1118" s="95">
        <f>IF(AF1118="No Disp","No Disp",(AF1118*18)+AE1118)</f>
        <v>108000</v>
      </c>
      <c r="AH1118" s="98">
        <f>IF($H1118="EMP",18*AF1118-100,18*AF1118-100+AE1118)</f>
        <v>107900</v>
      </c>
      <c r="AI1118" s="95">
        <v>6000</v>
      </c>
      <c r="AJ1118" s="99"/>
      <c r="AK1118" s="100" t="s">
        <v>43</v>
      </c>
      <c r="AL1118" s="100" t="s">
        <v>43</v>
      </c>
      <c r="AM1118" s="100" t="s">
        <v>43</v>
      </c>
      <c r="AN1118" s="100" t="s">
        <v>43</v>
      </c>
      <c r="AO1118" s="100" t="s">
        <v>43</v>
      </c>
      <c r="AP1118" s="100" t="s">
        <v>43</v>
      </c>
      <c r="AQ1118" s="100" t="s">
        <v>43</v>
      </c>
      <c r="AR1118" s="100" t="s">
        <v>43</v>
      </c>
      <c r="AS1118" s="100" t="s">
        <v>43</v>
      </c>
    </row>
    <row r="1119" spans="1:45" s="101" customFormat="1" x14ac:dyDescent="0.25">
      <c r="A1119" s="90" t="s">
        <v>38</v>
      </c>
      <c r="B1119" s="90" t="s">
        <v>40</v>
      </c>
      <c r="C1119" s="90" t="s">
        <v>39</v>
      </c>
      <c r="D1119" s="90" t="s">
        <v>4541</v>
      </c>
      <c r="E1119" s="90" t="s">
        <v>4538</v>
      </c>
      <c r="F1119" s="91"/>
      <c r="G1119" s="92">
        <v>70013989</v>
      </c>
      <c r="H1119" s="91" t="s">
        <v>4370</v>
      </c>
      <c r="I1119" s="93" t="s">
        <v>904</v>
      </c>
      <c r="J1119" s="94" t="s">
        <v>4430</v>
      </c>
      <c r="K1119" s="94" t="s">
        <v>3344</v>
      </c>
      <c r="L1119" s="94" t="s">
        <v>3348</v>
      </c>
      <c r="M1119" s="95">
        <v>38900</v>
      </c>
      <c r="N1119" s="95">
        <v>2500</v>
      </c>
      <c r="O1119" s="95">
        <v>4000</v>
      </c>
      <c r="P1119" s="96"/>
      <c r="Q1119" s="152"/>
      <c r="R1119" s="95">
        <v>38900</v>
      </c>
      <c r="S1119" s="95">
        <v>1537.5</v>
      </c>
      <c r="T1119" s="95">
        <v>38900</v>
      </c>
      <c r="U1119" s="95">
        <v>1537.5</v>
      </c>
      <c r="V1119" s="95">
        <v>38900</v>
      </c>
      <c r="W1119" s="95">
        <v>1537.5</v>
      </c>
      <c r="X1119" s="128"/>
      <c r="Y1119" s="95">
        <v>0</v>
      </c>
      <c r="Z1119" s="95">
        <v>3000</v>
      </c>
      <c r="AA1119" s="95">
        <f>IFERROR(IF(D1119="Premium",0.4*Y1119,0),"No Disp")</f>
        <v>0</v>
      </c>
      <c r="AB1119" s="95">
        <f>IFERROR(IF(4*Y1119&gt;AC1119,1.5*Y1119,4*Y1119),"No Disp")</f>
        <v>0</v>
      </c>
      <c r="AC1119" s="95">
        <f>IF(Z1119="No Disp","No Disp",(Z1119*18)+Y1119)</f>
        <v>54000</v>
      </c>
      <c r="AD1119" s="95">
        <f>IF($H1119="EMP",18*Z1119-100,18*Z1119-100+Y1119)</f>
        <v>53900</v>
      </c>
      <c r="AE1119" s="95">
        <v>0</v>
      </c>
      <c r="AF1119" s="95">
        <v>3000</v>
      </c>
      <c r="AG1119" s="95">
        <f>IF(AF1119="No Disp","No Disp",(AF1119*18)+AE1119)</f>
        <v>54000</v>
      </c>
      <c r="AH1119" s="98">
        <f>IF($H1119="EMP",18*AF1119-100,18*AF1119-100+AE1119)</f>
        <v>53900</v>
      </c>
      <c r="AI1119" s="95">
        <v>3000</v>
      </c>
      <c r="AJ1119" s="99"/>
      <c r="AK1119" s="100" t="s">
        <v>43</v>
      </c>
      <c r="AL1119" s="100" t="s">
        <v>43</v>
      </c>
      <c r="AM1119" s="100" t="s">
        <v>43</v>
      </c>
      <c r="AN1119" s="100" t="s">
        <v>43</v>
      </c>
      <c r="AO1119" s="100" t="s">
        <v>43</v>
      </c>
      <c r="AP1119" s="100" t="s">
        <v>43</v>
      </c>
      <c r="AQ1119" s="100" t="s">
        <v>43</v>
      </c>
      <c r="AR1119" s="100" t="s">
        <v>43</v>
      </c>
      <c r="AS1119" s="100" t="s">
        <v>43</v>
      </c>
    </row>
    <row r="1120" spans="1:45" s="101" customFormat="1" x14ac:dyDescent="0.25">
      <c r="A1120" s="90" t="s">
        <v>38</v>
      </c>
      <c r="B1120" s="90" t="s">
        <v>40</v>
      </c>
      <c r="C1120" s="90" t="s">
        <v>39</v>
      </c>
      <c r="D1120" s="90" t="s">
        <v>4541</v>
      </c>
      <c r="E1120" s="90" t="s">
        <v>4538</v>
      </c>
      <c r="F1120" s="91"/>
      <c r="G1120" s="92">
        <v>70014031</v>
      </c>
      <c r="H1120" s="91" t="s">
        <v>4370</v>
      </c>
      <c r="I1120" s="93" t="s">
        <v>112</v>
      </c>
      <c r="J1120" s="94" t="s">
        <v>4431</v>
      </c>
      <c r="K1120" s="94" t="s">
        <v>3343</v>
      </c>
      <c r="L1120" s="94" t="s">
        <v>3347</v>
      </c>
      <c r="M1120" s="95">
        <v>71900</v>
      </c>
      <c r="N1120" s="95">
        <v>2500</v>
      </c>
      <c r="O1120" s="95">
        <v>4000</v>
      </c>
      <c r="P1120" s="96"/>
      <c r="Q1120" s="152"/>
      <c r="R1120" s="95">
        <v>71900</v>
      </c>
      <c r="S1120" s="95">
        <v>2870.8333333333335</v>
      </c>
      <c r="T1120" s="95">
        <v>71900</v>
      </c>
      <c r="U1120" s="95">
        <v>2870.8333333333335</v>
      </c>
      <c r="V1120" s="95">
        <v>71900</v>
      </c>
      <c r="W1120" s="95">
        <v>2870.8333333333335</v>
      </c>
      <c r="X1120" s="128"/>
      <c r="Y1120" s="95">
        <v>0</v>
      </c>
      <c r="Z1120" s="95">
        <v>5000</v>
      </c>
      <c r="AA1120" s="95">
        <f>IFERROR(IF(D1120="Premium",0.4*Y1120,0),"No Disp")</f>
        <v>0</v>
      </c>
      <c r="AB1120" s="95">
        <f>IFERROR(IF(4*Y1120&gt;AC1120,1.5*Y1120,4*Y1120),"No Disp")</f>
        <v>0</v>
      </c>
      <c r="AC1120" s="95">
        <f>IF(Z1120="No Disp","No Disp",(Z1120*18)+Y1120)</f>
        <v>90000</v>
      </c>
      <c r="AD1120" s="95">
        <f>IF($H1120="EMP",18*Z1120-100,18*Z1120-100+Y1120)</f>
        <v>89900</v>
      </c>
      <c r="AE1120" s="95">
        <v>0</v>
      </c>
      <c r="AF1120" s="95">
        <v>5000</v>
      </c>
      <c r="AG1120" s="95">
        <f>IF(AF1120="No Disp","No Disp",(AF1120*18)+AE1120)</f>
        <v>90000</v>
      </c>
      <c r="AH1120" s="98">
        <f>IF($H1120="EMP",18*AF1120-100,18*AF1120-100+AE1120)</f>
        <v>89900</v>
      </c>
      <c r="AI1120" s="95">
        <v>5000</v>
      </c>
      <c r="AJ1120" s="99"/>
      <c r="AK1120" s="100" t="s">
        <v>43</v>
      </c>
      <c r="AL1120" s="100" t="s">
        <v>43</v>
      </c>
      <c r="AM1120" s="100" t="s">
        <v>43</v>
      </c>
      <c r="AN1120" s="100" t="s">
        <v>43</v>
      </c>
      <c r="AO1120" s="100" t="s">
        <v>43</v>
      </c>
      <c r="AP1120" s="100" t="s">
        <v>43</v>
      </c>
      <c r="AQ1120" s="100" t="s">
        <v>43</v>
      </c>
      <c r="AR1120" s="100" t="s">
        <v>43</v>
      </c>
      <c r="AS1120" s="100" t="s">
        <v>43</v>
      </c>
    </row>
    <row r="1121" spans="1:45" s="101" customFormat="1" x14ac:dyDescent="0.25">
      <c r="A1121" s="90" t="s">
        <v>38</v>
      </c>
      <c r="B1121" s="90" t="s">
        <v>40</v>
      </c>
      <c r="C1121" s="90" t="s">
        <v>39</v>
      </c>
      <c r="D1121" s="90" t="s">
        <v>4541</v>
      </c>
      <c r="E1121" s="90" t="s">
        <v>4538</v>
      </c>
      <c r="F1121" s="91"/>
      <c r="G1121" s="92">
        <v>70014032</v>
      </c>
      <c r="H1121" s="91" t="s">
        <v>4370</v>
      </c>
      <c r="I1121" s="93" t="s">
        <v>112</v>
      </c>
      <c r="J1121" s="94" t="s">
        <v>4432</v>
      </c>
      <c r="K1121" s="94" t="s">
        <v>3301</v>
      </c>
      <c r="L1121" s="94" t="s">
        <v>3345</v>
      </c>
      <c r="M1121" s="95">
        <v>28900</v>
      </c>
      <c r="N1121" s="95">
        <v>2500</v>
      </c>
      <c r="O1121" s="95">
        <v>4000</v>
      </c>
      <c r="P1121" s="96"/>
      <c r="Q1121" s="152"/>
      <c r="R1121" s="95">
        <v>28900</v>
      </c>
      <c r="S1121" s="95">
        <v>1162.5</v>
      </c>
      <c r="T1121" s="95">
        <v>28900</v>
      </c>
      <c r="U1121" s="95">
        <v>1162.5</v>
      </c>
      <c r="V1121" s="95">
        <v>28900</v>
      </c>
      <c r="W1121" s="95">
        <v>1162.5</v>
      </c>
      <c r="X1121" s="128"/>
      <c r="Y1121" s="95">
        <v>0</v>
      </c>
      <c r="Z1121" s="95">
        <v>2000</v>
      </c>
      <c r="AA1121" s="95">
        <f>IFERROR(IF(D1121="Premium",0.4*Y1121,0),"No Disp")</f>
        <v>0</v>
      </c>
      <c r="AB1121" s="95">
        <f>IFERROR(IF(4*Y1121&gt;AC1121,1.5*Y1121,4*Y1121),"No Disp")</f>
        <v>0</v>
      </c>
      <c r="AC1121" s="95">
        <f>IF(Z1121="No Disp","No Disp",(Z1121*18)+Y1121)</f>
        <v>36000</v>
      </c>
      <c r="AD1121" s="95">
        <f>IF($H1121="EMP",18*Z1121-100,18*Z1121-100+Y1121)</f>
        <v>35900</v>
      </c>
      <c r="AE1121" s="95">
        <v>0</v>
      </c>
      <c r="AF1121" s="95">
        <v>2000</v>
      </c>
      <c r="AG1121" s="95">
        <f>IF(AF1121="No Disp","No Disp",(AF1121*18)+AE1121)</f>
        <v>36000</v>
      </c>
      <c r="AH1121" s="98">
        <f>IF($H1121="EMP",18*AF1121-100,18*AF1121-100+AE1121)</f>
        <v>35900</v>
      </c>
      <c r="AI1121" s="95">
        <v>2000</v>
      </c>
      <c r="AJ1121" s="99"/>
      <c r="AK1121" s="100" t="s">
        <v>43</v>
      </c>
      <c r="AL1121" s="100" t="s">
        <v>43</v>
      </c>
      <c r="AM1121" s="100" t="s">
        <v>43</v>
      </c>
      <c r="AN1121" s="100" t="s">
        <v>43</v>
      </c>
      <c r="AO1121" s="100" t="s">
        <v>43</v>
      </c>
      <c r="AP1121" s="100" t="s">
        <v>43</v>
      </c>
      <c r="AQ1121" s="100" t="s">
        <v>43</v>
      </c>
      <c r="AR1121" s="100" t="s">
        <v>43</v>
      </c>
      <c r="AS1121" s="100" t="s">
        <v>43</v>
      </c>
    </row>
    <row r="1122" spans="1:45" s="101" customFormat="1" x14ac:dyDescent="0.25">
      <c r="A1122" s="90" t="s">
        <v>38</v>
      </c>
      <c r="B1122" s="90" t="s">
        <v>40</v>
      </c>
      <c r="C1122" s="90" t="s">
        <v>39</v>
      </c>
      <c r="D1122" s="90" t="s">
        <v>4541</v>
      </c>
      <c r="E1122" s="90" t="s">
        <v>4538</v>
      </c>
      <c r="F1122" s="91"/>
      <c r="G1122" s="92">
        <v>70014035</v>
      </c>
      <c r="H1122" s="91" t="s">
        <v>4370</v>
      </c>
      <c r="I1122" s="93" t="s">
        <v>112</v>
      </c>
      <c r="J1122" s="94" t="s">
        <v>4433</v>
      </c>
      <c r="K1122" s="94" t="s">
        <v>3304</v>
      </c>
      <c r="L1122" s="94" t="s">
        <v>3346</v>
      </c>
      <c r="M1122" s="95">
        <v>37900</v>
      </c>
      <c r="N1122" s="95">
        <v>2500</v>
      </c>
      <c r="O1122" s="95">
        <v>4000</v>
      </c>
      <c r="P1122" s="96"/>
      <c r="Q1122" s="152"/>
      <c r="R1122" s="95">
        <v>37900</v>
      </c>
      <c r="S1122" s="95">
        <v>1537.5</v>
      </c>
      <c r="T1122" s="95">
        <v>37900</v>
      </c>
      <c r="U1122" s="95">
        <v>1537.5</v>
      </c>
      <c r="V1122" s="95">
        <v>37900</v>
      </c>
      <c r="W1122" s="95">
        <v>1537.5</v>
      </c>
      <c r="X1122" s="128"/>
      <c r="Y1122" s="95">
        <v>0</v>
      </c>
      <c r="Z1122" s="95">
        <v>3000</v>
      </c>
      <c r="AA1122" s="95">
        <f>IFERROR(IF(D1122="Premium",0.4*Y1122,0),"No Disp")</f>
        <v>0</v>
      </c>
      <c r="AB1122" s="95">
        <f>IFERROR(IF(4*Y1122&gt;AC1122,1.5*Y1122,4*Y1122),"No Disp")</f>
        <v>0</v>
      </c>
      <c r="AC1122" s="95">
        <f>IF(Z1122="No Disp","No Disp",(Z1122*18)+Y1122)</f>
        <v>54000</v>
      </c>
      <c r="AD1122" s="95">
        <f>IF($H1122="EMP",18*Z1122-100,18*Z1122-100+Y1122)</f>
        <v>53900</v>
      </c>
      <c r="AE1122" s="95">
        <v>0</v>
      </c>
      <c r="AF1122" s="95">
        <v>3000</v>
      </c>
      <c r="AG1122" s="95">
        <f>IF(AF1122="No Disp","No Disp",(AF1122*18)+AE1122)</f>
        <v>54000</v>
      </c>
      <c r="AH1122" s="98">
        <f>IF($H1122="EMP",18*AF1122-100,18*AF1122-100+AE1122)</f>
        <v>53900</v>
      </c>
      <c r="AI1122" s="95">
        <v>3000</v>
      </c>
      <c r="AJ1122" s="99"/>
      <c r="AK1122" s="100" t="s">
        <v>43</v>
      </c>
      <c r="AL1122" s="100" t="s">
        <v>43</v>
      </c>
      <c r="AM1122" s="100" t="s">
        <v>43</v>
      </c>
      <c r="AN1122" s="100" t="s">
        <v>43</v>
      </c>
      <c r="AO1122" s="100" t="s">
        <v>43</v>
      </c>
      <c r="AP1122" s="100" t="s">
        <v>43</v>
      </c>
      <c r="AQ1122" s="100" t="s">
        <v>43</v>
      </c>
      <c r="AR1122" s="100" t="s">
        <v>43</v>
      </c>
      <c r="AS1122" s="100" t="s">
        <v>43</v>
      </c>
    </row>
    <row r="1123" spans="1:45" s="101" customFormat="1" x14ac:dyDescent="0.25">
      <c r="A1123" s="90" t="s">
        <v>38</v>
      </c>
      <c r="B1123" s="90" t="s">
        <v>40</v>
      </c>
      <c r="C1123" s="90" t="s">
        <v>39</v>
      </c>
      <c r="D1123" s="90" t="s">
        <v>4541</v>
      </c>
      <c r="E1123" s="90" t="s">
        <v>4542</v>
      </c>
      <c r="F1123" s="91"/>
      <c r="G1123" s="92">
        <v>70013987</v>
      </c>
      <c r="H1123" s="91" t="s">
        <v>4370</v>
      </c>
      <c r="I1123" s="93" t="s">
        <v>41</v>
      </c>
      <c r="J1123" s="94" t="s">
        <v>638</v>
      </c>
      <c r="K1123" s="94" t="s">
        <v>2998</v>
      </c>
      <c r="L1123" s="94" t="s">
        <v>3145</v>
      </c>
      <c r="M1123" s="95">
        <v>118900</v>
      </c>
      <c r="N1123" s="95">
        <v>2500</v>
      </c>
      <c r="O1123" s="95">
        <v>4000</v>
      </c>
      <c r="P1123" s="96"/>
      <c r="Q1123" s="152"/>
      <c r="R1123" s="95">
        <v>118900</v>
      </c>
      <c r="S1123" s="95">
        <v>4954.166666666667</v>
      </c>
      <c r="T1123" s="95">
        <v>118900</v>
      </c>
      <c r="U1123" s="95">
        <v>4954.166666666667</v>
      </c>
      <c r="V1123" s="95">
        <v>118900</v>
      </c>
      <c r="W1123" s="95">
        <v>4954.166666666667</v>
      </c>
      <c r="X1123" s="128"/>
      <c r="Y1123" s="95">
        <v>0</v>
      </c>
      <c r="Z1123" s="95">
        <v>8000</v>
      </c>
      <c r="AA1123" s="95">
        <f>IFERROR(IF(D1123="Premium",0.4*Y1123,0),"No Disp")</f>
        <v>0</v>
      </c>
      <c r="AB1123" s="95">
        <f>IFERROR(IF(4*Y1123&gt;AC1123,1.5*Y1123,4*Y1123),"No Disp")</f>
        <v>0</v>
      </c>
      <c r="AC1123" s="95">
        <f>IF(Z1123="No Disp","No Disp",(Z1123*18)+Y1123)</f>
        <v>144000</v>
      </c>
      <c r="AD1123" s="95">
        <f>IF($H1123="EMP",18*Z1123-100,18*Z1123-100+Y1123)</f>
        <v>143900</v>
      </c>
      <c r="AE1123" s="95">
        <v>0</v>
      </c>
      <c r="AF1123" s="95">
        <v>8000</v>
      </c>
      <c r="AG1123" s="95">
        <f>IF(AF1123="No Disp","No Disp",(AF1123*18)+AE1123)</f>
        <v>144000</v>
      </c>
      <c r="AH1123" s="98">
        <f>IF($H1123="EMP",18*AF1123-100,18*AF1123-100+AE1123)</f>
        <v>143900</v>
      </c>
      <c r="AI1123" s="95" t="s">
        <v>4613</v>
      </c>
      <c r="AJ1123" s="99"/>
      <c r="AK1123" s="100" t="s">
        <v>43</v>
      </c>
      <c r="AL1123" s="100" t="s">
        <v>43</v>
      </c>
      <c r="AM1123" s="100" t="s">
        <v>43</v>
      </c>
      <c r="AN1123" s="100" t="s">
        <v>43</v>
      </c>
      <c r="AO1123" s="100" t="s">
        <v>43</v>
      </c>
      <c r="AP1123" s="100" t="s">
        <v>43</v>
      </c>
      <c r="AQ1123" s="100" t="s">
        <v>43</v>
      </c>
      <c r="AR1123" s="100" t="s">
        <v>43</v>
      </c>
      <c r="AS1123" s="100" t="s">
        <v>43</v>
      </c>
    </row>
    <row r="1124" spans="1:45" s="101" customFormat="1" x14ac:dyDescent="0.25">
      <c r="A1124" s="90" t="s">
        <v>38</v>
      </c>
      <c r="B1124" s="90" t="s">
        <v>40</v>
      </c>
      <c r="C1124" s="90" t="s">
        <v>39</v>
      </c>
      <c r="D1124" s="90" t="s">
        <v>4541</v>
      </c>
      <c r="E1124" s="90" t="s">
        <v>4542</v>
      </c>
      <c r="F1124" s="91"/>
      <c r="G1124" s="92">
        <v>70014133</v>
      </c>
      <c r="H1124" s="91" t="s">
        <v>4370</v>
      </c>
      <c r="I1124" s="93" t="s">
        <v>46</v>
      </c>
      <c r="J1124" s="94" t="s">
        <v>959</v>
      </c>
      <c r="K1124" s="94" t="s">
        <v>3010</v>
      </c>
      <c r="L1124" s="94" t="s">
        <v>3157</v>
      </c>
      <c r="M1124" s="95">
        <v>89900</v>
      </c>
      <c r="N1124" s="95">
        <v>2500</v>
      </c>
      <c r="O1124" s="95">
        <v>4000</v>
      </c>
      <c r="P1124" s="96"/>
      <c r="Q1124" s="152"/>
      <c r="R1124" s="95">
        <v>89900</v>
      </c>
      <c r="S1124" s="95">
        <v>3745.8333333333335</v>
      </c>
      <c r="T1124" s="95">
        <v>89900</v>
      </c>
      <c r="U1124" s="95">
        <v>3745.8333333333335</v>
      </c>
      <c r="V1124" s="95">
        <v>89900</v>
      </c>
      <c r="W1124" s="95">
        <v>3745.8333333333335</v>
      </c>
      <c r="X1124" s="128"/>
      <c r="Y1124" s="95">
        <v>44900</v>
      </c>
      <c r="Z1124" s="95">
        <v>4000</v>
      </c>
      <c r="AA1124" s="95">
        <f>IFERROR(IF(D1124="Premium",0.4*Y1124,0),"No Disp")</f>
        <v>0</v>
      </c>
      <c r="AB1124" s="95">
        <f>IFERROR(IF(4*Y1124&gt;AC1124,1.5*Y1124,4*Y1124),"No Disp")</f>
        <v>67350</v>
      </c>
      <c r="AC1124" s="95">
        <f>IF(Z1124="No Disp","No Disp",(Z1124*18)+Y1124)</f>
        <v>116900</v>
      </c>
      <c r="AD1124" s="95">
        <f>IF($H1124="EMP",18*Z1124-100,18*Z1124-100+Y1124)</f>
        <v>71900</v>
      </c>
      <c r="AE1124" s="95">
        <v>0</v>
      </c>
      <c r="AF1124" s="95">
        <v>4000</v>
      </c>
      <c r="AG1124" s="95">
        <f>IF(AF1124="No Disp","No Disp",(AF1124*18)+AE1124)</f>
        <v>72000</v>
      </c>
      <c r="AH1124" s="98">
        <f>IF($H1124="EMP",18*AF1124-100,18*AF1124-100+AE1124)</f>
        <v>71900</v>
      </c>
      <c r="AI1124" s="95" t="s">
        <v>4613</v>
      </c>
      <c r="AJ1124" s="99"/>
      <c r="AK1124" s="100" t="s">
        <v>43</v>
      </c>
      <c r="AL1124" s="100" t="s">
        <v>43</v>
      </c>
      <c r="AM1124" s="100" t="s">
        <v>43</v>
      </c>
      <c r="AN1124" s="100" t="s">
        <v>43</v>
      </c>
      <c r="AO1124" s="100" t="s">
        <v>43</v>
      </c>
      <c r="AP1124" s="100" t="s">
        <v>43</v>
      </c>
      <c r="AQ1124" s="100" t="s">
        <v>43</v>
      </c>
      <c r="AR1124" s="100" t="s">
        <v>43</v>
      </c>
      <c r="AS1124" s="100" t="s">
        <v>43</v>
      </c>
    </row>
    <row r="1125" spans="1:45" s="101" customFormat="1" x14ac:dyDescent="0.25">
      <c r="A1125" s="90" t="s">
        <v>102</v>
      </c>
      <c r="B1125" s="90" t="s">
        <v>39</v>
      </c>
      <c r="C1125" s="90" t="s">
        <v>40</v>
      </c>
      <c r="D1125" s="90" t="s">
        <v>4541</v>
      </c>
      <c r="E1125" s="90" t="s">
        <v>4542</v>
      </c>
      <c r="F1125" s="91"/>
      <c r="G1125" s="92">
        <v>70013999</v>
      </c>
      <c r="H1125" s="91" t="s">
        <v>4370</v>
      </c>
      <c r="I1125" s="93" t="s">
        <v>46</v>
      </c>
      <c r="J1125" s="94" t="s">
        <v>590</v>
      </c>
      <c r="K1125" s="94" t="s">
        <v>3306</v>
      </c>
      <c r="L1125" s="94" t="s">
        <v>4436</v>
      </c>
      <c r="M1125" s="95">
        <v>169900</v>
      </c>
      <c r="N1125" s="95">
        <v>2500</v>
      </c>
      <c r="O1125" s="95">
        <v>4000</v>
      </c>
      <c r="P1125" s="96"/>
      <c r="Q1125" s="152"/>
      <c r="R1125" s="95">
        <v>169900</v>
      </c>
      <c r="S1125" s="95">
        <v>7079.166666666667</v>
      </c>
      <c r="T1125" s="95">
        <v>169900</v>
      </c>
      <c r="U1125" s="95">
        <v>7079.166666666667</v>
      </c>
      <c r="V1125" s="95">
        <v>169900</v>
      </c>
      <c r="W1125" s="95">
        <v>7079.166666666667</v>
      </c>
      <c r="X1125" s="128"/>
      <c r="Y1125" s="95">
        <v>0</v>
      </c>
      <c r="Z1125" s="95">
        <v>11000</v>
      </c>
      <c r="AA1125" s="95">
        <f>IFERROR(IF(D1125="Premium",0.4*Y1125,0),"No Disp")</f>
        <v>0</v>
      </c>
      <c r="AB1125" s="95">
        <f>IFERROR(IF(4*Y1125&gt;AC1125,1.5*Y1125,4*Y1125),"No Disp")</f>
        <v>0</v>
      </c>
      <c r="AC1125" s="95">
        <f>IF(Z1125="No Disp","No Disp",(Z1125*18)+Y1125)</f>
        <v>198000</v>
      </c>
      <c r="AD1125" s="95">
        <f>IF($H1125="EMP",18*Z1125-100,18*Z1125-100+Y1125)</f>
        <v>197900</v>
      </c>
      <c r="AE1125" s="95">
        <v>0</v>
      </c>
      <c r="AF1125" s="95">
        <v>10900</v>
      </c>
      <c r="AG1125" s="95">
        <f>IF(AF1125="No Disp","No Disp",(AF1125*18)+AE1125)</f>
        <v>196200</v>
      </c>
      <c r="AH1125" s="98">
        <f>IF($H1125="EMP",18*AF1125-100,18*AF1125-100+AE1125)</f>
        <v>196100</v>
      </c>
      <c r="AI1125" s="95" t="s">
        <v>4613</v>
      </c>
      <c r="AJ1125" s="99"/>
      <c r="AK1125" s="100" t="s">
        <v>43</v>
      </c>
      <c r="AL1125" s="100" t="s">
        <v>43</v>
      </c>
      <c r="AM1125" s="100" t="s">
        <v>43</v>
      </c>
      <c r="AN1125" s="100" t="s">
        <v>43</v>
      </c>
      <c r="AO1125" s="100" t="s">
        <v>43</v>
      </c>
      <c r="AP1125" s="100" t="s">
        <v>43</v>
      </c>
      <c r="AQ1125" s="100" t="s">
        <v>43</v>
      </c>
      <c r="AR1125" s="100" t="s">
        <v>43</v>
      </c>
      <c r="AS1125" s="100" t="s">
        <v>43</v>
      </c>
    </row>
    <row r="1126" spans="1:45" s="101" customFormat="1" x14ac:dyDescent="0.25">
      <c r="A1126" s="90" t="s">
        <v>38</v>
      </c>
      <c r="B1126" s="90" t="s">
        <v>40</v>
      </c>
      <c r="C1126" s="90" t="s">
        <v>39</v>
      </c>
      <c r="D1126" s="90" t="s">
        <v>4539</v>
      </c>
      <c r="E1126" s="90" t="s">
        <v>4542</v>
      </c>
      <c r="F1126" s="91"/>
      <c r="G1126" s="92">
        <v>70014193</v>
      </c>
      <c r="H1126" s="91" t="s">
        <v>4370</v>
      </c>
      <c r="I1126" s="93" t="s">
        <v>46</v>
      </c>
      <c r="J1126" s="94" t="s">
        <v>898</v>
      </c>
      <c r="K1126" s="94" t="s">
        <v>3039</v>
      </c>
      <c r="L1126" s="94" t="s">
        <v>3186</v>
      </c>
      <c r="M1126" s="95">
        <v>189900</v>
      </c>
      <c r="N1126" s="95">
        <v>4000</v>
      </c>
      <c r="O1126" s="95">
        <v>6000</v>
      </c>
      <c r="P1126" s="96"/>
      <c r="Q1126" s="152"/>
      <c r="R1126" s="95">
        <v>189900</v>
      </c>
      <c r="S1126" s="95">
        <v>7912.5</v>
      </c>
      <c r="T1126" s="95">
        <v>189900</v>
      </c>
      <c r="U1126" s="95">
        <v>7912.5</v>
      </c>
      <c r="V1126" s="95">
        <v>189900</v>
      </c>
      <c r="W1126" s="95">
        <v>7912.5</v>
      </c>
      <c r="X1126" s="128"/>
      <c r="Y1126" s="95">
        <v>79900</v>
      </c>
      <c r="Z1126" s="95">
        <v>7500</v>
      </c>
      <c r="AA1126" s="95">
        <f>IFERROR(IF(D1126="Premium",0.4*Y1126,0),"No Disp")</f>
        <v>0</v>
      </c>
      <c r="AB1126" s="95">
        <f>IFERROR(IF(4*Y1126&gt;AC1126,1.5*Y1126,4*Y1126),"No Disp")</f>
        <v>119850</v>
      </c>
      <c r="AC1126" s="95">
        <f>IF(Z1126="No Disp","No Disp",(Z1126*18)+Y1126)</f>
        <v>214900</v>
      </c>
      <c r="AD1126" s="95">
        <f>IF($H1126="EMP",18*Z1126-100,18*Z1126-100+Y1126)</f>
        <v>134900</v>
      </c>
      <c r="AE1126" s="95">
        <v>0</v>
      </c>
      <c r="AF1126" s="95">
        <v>9000</v>
      </c>
      <c r="AG1126" s="95">
        <f>IF(AF1126="No Disp","No Disp",(AF1126*18)+AE1126)</f>
        <v>162000</v>
      </c>
      <c r="AH1126" s="98">
        <f>IF($H1126="EMP",18*AF1126-100,18*AF1126-100+AE1126)</f>
        <v>161900</v>
      </c>
      <c r="AI1126" s="95" t="s">
        <v>4613</v>
      </c>
      <c r="AJ1126" s="99"/>
      <c r="AK1126" s="100" t="s">
        <v>43</v>
      </c>
      <c r="AL1126" s="100" t="s">
        <v>43</v>
      </c>
      <c r="AM1126" s="100" t="s">
        <v>43</v>
      </c>
      <c r="AN1126" s="100" t="s">
        <v>43</v>
      </c>
      <c r="AO1126" s="100" t="s">
        <v>43</v>
      </c>
      <c r="AP1126" s="100" t="s">
        <v>43</v>
      </c>
      <c r="AQ1126" s="100" t="s">
        <v>43</v>
      </c>
      <c r="AR1126" s="100" t="s">
        <v>43</v>
      </c>
      <c r="AS1126" s="100" t="s">
        <v>43</v>
      </c>
    </row>
    <row r="1127" spans="1:45" s="101" customFormat="1" x14ac:dyDescent="0.25">
      <c r="A1127" s="90" t="s">
        <v>38</v>
      </c>
      <c r="B1127" s="90" t="s">
        <v>40</v>
      </c>
      <c r="C1127" s="90" t="s">
        <v>39</v>
      </c>
      <c r="D1127" s="90" t="s">
        <v>4541</v>
      </c>
      <c r="E1127" s="90" t="s">
        <v>4538</v>
      </c>
      <c r="F1127" s="91"/>
      <c r="G1127" s="92">
        <v>70013990</v>
      </c>
      <c r="H1127" s="91" t="s">
        <v>4370</v>
      </c>
      <c r="I1127" s="93" t="s">
        <v>904</v>
      </c>
      <c r="J1127" s="94" t="s">
        <v>1048</v>
      </c>
      <c r="K1127" s="94" t="s">
        <v>3311</v>
      </c>
      <c r="L1127" s="94" t="s">
        <v>3348</v>
      </c>
      <c r="M1127" s="95">
        <v>41900</v>
      </c>
      <c r="N1127" s="95">
        <v>2500</v>
      </c>
      <c r="O1127" s="95">
        <v>4000</v>
      </c>
      <c r="P1127" s="96"/>
      <c r="Q1127" s="152"/>
      <c r="R1127" s="95">
        <v>41900</v>
      </c>
      <c r="S1127" s="95">
        <v>1745.8333333333333</v>
      </c>
      <c r="T1127" s="95">
        <v>41900</v>
      </c>
      <c r="U1127" s="95">
        <v>1745.8333333333333</v>
      </c>
      <c r="V1127" s="95">
        <v>41900</v>
      </c>
      <c r="W1127" s="95">
        <v>1745.8333333333333</v>
      </c>
      <c r="X1127" s="128"/>
      <c r="Y1127" s="95">
        <v>4900</v>
      </c>
      <c r="Z1127" s="95">
        <v>4000</v>
      </c>
      <c r="AA1127" s="95">
        <f>IFERROR(IF(D1127="Premium",0.4*Y1127,0),"No Disp")</f>
        <v>0</v>
      </c>
      <c r="AB1127" s="95">
        <f>IFERROR(IF(4*Y1127&gt;AC1127,1.5*Y1127,4*Y1127),"No Disp")</f>
        <v>19600</v>
      </c>
      <c r="AC1127" s="95">
        <f>IF(Z1127="No Disp","No Disp",(Z1127*18)+Y1127)</f>
        <v>76900</v>
      </c>
      <c r="AD1127" s="95">
        <f>IF($H1127="EMP",18*Z1127-100,18*Z1127-100+Y1127)</f>
        <v>71900</v>
      </c>
      <c r="AE1127" s="95">
        <v>0</v>
      </c>
      <c r="AF1127" s="95">
        <v>4000</v>
      </c>
      <c r="AG1127" s="95">
        <f>IF(AF1127="No Disp","No Disp",(AF1127*18)+AE1127)</f>
        <v>72000</v>
      </c>
      <c r="AH1127" s="98">
        <f>IF($H1127="EMP",18*AF1127-100,18*AF1127-100+AE1127)</f>
        <v>71900</v>
      </c>
      <c r="AI1127" s="95" t="s">
        <v>4613</v>
      </c>
      <c r="AJ1127" s="99"/>
      <c r="AK1127" s="100" t="s">
        <v>43</v>
      </c>
      <c r="AL1127" s="100" t="s">
        <v>43</v>
      </c>
      <c r="AM1127" s="100" t="s">
        <v>43</v>
      </c>
      <c r="AN1127" s="100" t="s">
        <v>43</v>
      </c>
      <c r="AO1127" s="100" t="s">
        <v>43</v>
      </c>
      <c r="AP1127" s="100" t="s">
        <v>43</v>
      </c>
      <c r="AQ1127" s="100" t="s">
        <v>43</v>
      </c>
      <c r="AR1127" s="100" t="s">
        <v>43</v>
      </c>
      <c r="AS1127" s="100" t="s">
        <v>43</v>
      </c>
    </row>
    <row r="1128" spans="1:45" s="101" customFormat="1" x14ac:dyDescent="0.25">
      <c r="A1128" s="90" t="s">
        <v>38</v>
      </c>
      <c r="B1128" s="90" t="s">
        <v>40</v>
      </c>
      <c r="C1128" s="90" t="s">
        <v>39</v>
      </c>
      <c r="D1128" s="90" t="s">
        <v>4541</v>
      </c>
      <c r="E1128" s="90" t="s">
        <v>4538</v>
      </c>
      <c r="F1128" s="91"/>
      <c r="G1128" s="92">
        <v>70014033</v>
      </c>
      <c r="H1128" s="91" t="s">
        <v>4370</v>
      </c>
      <c r="I1128" s="93" t="s">
        <v>112</v>
      </c>
      <c r="J1128" s="94" t="s">
        <v>4439</v>
      </c>
      <c r="K1128" s="94" t="s">
        <v>3302</v>
      </c>
      <c r="L1128" s="94" t="s">
        <v>3349</v>
      </c>
      <c r="M1128" s="95">
        <v>25900</v>
      </c>
      <c r="N1128" s="95">
        <v>2500</v>
      </c>
      <c r="O1128" s="95">
        <v>4000</v>
      </c>
      <c r="P1128" s="96"/>
      <c r="Q1128" s="152"/>
      <c r="R1128" s="95">
        <v>25900</v>
      </c>
      <c r="S1128" s="95">
        <v>1079.1666666666667</v>
      </c>
      <c r="T1128" s="95">
        <v>25900</v>
      </c>
      <c r="U1128" s="95">
        <v>1079.1666666666667</v>
      </c>
      <c r="V1128" s="95">
        <v>25900</v>
      </c>
      <c r="W1128" s="95">
        <v>1079.1666666666667</v>
      </c>
      <c r="X1128" s="128"/>
      <c r="Y1128" s="95">
        <v>4900</v>
      </c>
      <c r="Z1128" s="95">
        <v>2500</v>
      </c>
      <c r="AA1128" s="95">
        <f>IFERROR(IF(D1128="Premium",0.4*Y1128,0),"No Disp")</f>
        <v>0</v>
      </c>
      <c r="AB1128" s="95">
        <f>IFERROR(IF(4*Y1128&gt;AC1128,1.5*Y1128,4*Y1128),"No Disp")</f>
        <v>19600</v>
      </c>
      <c r="AC1128" s="95">
        <f>IF(Z1128="No Disp","No Disp",(Z1128*18)+Y1128)</f>
        <v>49900</v>
      </c>
      <c r="AD1128" s="95">
        <f>IF($H1128="EMP",18*Z1128-100,18*Z1128-100+Y1128)</f>
        <v>44900</v>
      </c>
      <c r="AE1128" s="95">
        <v>0</v>
      </c>
      <c r="AF1128" s="95">
        <v>2500</v>
      </c>
      <c r="AG1128" s="95">
        <f>IF(AF1128="No Disp","No Disp",(AF1128*18)+AE1128)</f>
        <v>45000</v>
      </c>
      <c r="AH1128" s="98">
        <f>IF($H1128="EMP",18*AF1128-100,18*AF1128-100+AE1128)</f>
        <v>44900</v>
      </c>
      <c r="AI1128" s="95" t="s">
        <v>4613</v>
      </c>
      <c r="AJ1128" s="99"/>
      <c r="AK1128" s="100" t="s">
        <v>43</v>
      </c>
      <c r="AL1128" s="100" t="s">
        <v>43</v>
      </c>
      <c r="AM1128" s="100" t="s">
        <v>43</v>
      </c>
      <c r="AN1128" s="100" t="s">
        <v>43</v>
      </c>
      <c r="AO1128" s="100" t="s">
        <v>43</v>
      </c>
      <c r="AP1128" s="100" t="s">
        <v>43</v>
      </c>
      <c r="AQ1128" s="100" t="s">
        <v>43</v>
      </c>
      <c r="AR1128" s="100" t="s">
        <v>43</v>
      </c>
      <c r="AS1128" s="100" t="s">
        <v>43</v>
      </c>
    </row>
    <row r="1129" spans="1:45" s="101" customFormat="1" x14ac:dyDescent="0.25">
      <c r="A1129" s="90" t="s">
        <v>38</v>
      </c>
      <c r="B1129" s="90" t="s">
        <v>40</v>
      </c>
      <c r="C1129" s="90" t="s">
        <v>39</v>
      </c>
      <c r="D1129" s="90" t="s">
        <v>4541</v>
      </c>
      <c r="E1129" s="90" t="s">
        <v>4538</v>
      </c>
      <c r="F1129" s="91"/>
      <c r="G1129" s="92">
        <v>70014034</v>
      </c>
      <c r="H1129" s="91" t="s">
        <v>4370</v>
      </c>
      <c r="I1129" s="93" t="s">
        <v>112</v>
      </c>
      <c r="J1129" s="94" t="s">
        <v>4440</v>
      </c>
      <c r="K1129" s="94" t="s">
        <v>3303</v>
      </c>
      <c r="L1129" s="94" t="s">
        <v>3350</v>
      </c>
      <c r="M1129" s="95">
        <v>20900</v>
      </c>
      <c r="N1129" s="95">
        <v>2500</v>
      </c>
      <c r="O1129" s="95">
        <v>4000</v>
      </c>
      <c r="P1129" s="96"/>
      <c r="Q1129" s="152"/>
      <c r="R1129" s="95">
        <v>20900</v>
      </c>
      <c r="S1129" s="95">
        <v>870.83333333333337</v>
      </c>
      <c r="T1129" s="95">
        <v>20900</v>
      </c>
      <c r="U1129" s="95">
        <v>870.83333333333337</v>
      </c>
      <c r="V1129" s="95">
        <v>20900</v>
      </c>
      <c r="W1129" s="95">
        <v>870.83333333333337</v>
      </c>
      <c r="X1129" s="128"/>
      <c r="Y1129" s="95">
        <v>4900</v>
      </c>
      <c r="Z1129" s="95">
        <v>2000</v>
      </c>
      <c r="AA1129" s="95">
        <f>IFERROR(IF(D1129="Premium",0.4*Y1129,0),"No Disp")</f>
        <v>0</v>
      </c>
      <c r="AB1129" s="95">
        <f>IFERROR(IF(4*Y1129&gt;AC1129,1.5*Y1129,4*Y1129),"No Disp")</f>
        <v>19600</v>
      </c>
      <c r="AC1129" s="95">
        <f>IF(Z1129="No Disp","No Disp",(Z1129*18)+Y1129)</f>
        <v>40900</v>
      </c>
      <c r="AD1129" s="95">
        <f>IF($H1129="EMP",18*Z1129-100,18*Z1129-100+Y1129)</f>
        <v>35900</v>
      </c>
      <c r="AE1129" s="95">
        <v>0</v>
      </c>
      <c r="AF1129" s="95">
        <v>2000</v>
      </c>
      <c r="AG1129" s="95">
        <f>IF(AF1129="No Disp","No Disp",(AF1129*18)+AE1129)</f>
        <v>36000</v>
      </c>
      <c r="AH1129" s="98">
        <f>IF($H1129="EMP",18*AF1129-100,18*AF1129-100+AE1129)</f>
        <v>35900</v>
      </c>
      <c r="AI1129" s="95" t="s">
        <v>4613</v>
      </c>
      <c r="AJ1129" s="99"/>
      <c r="AK1129" s="100" t="s">
        <v>43</v>
      </c>
      <c r="AL1129" s="100" t="s">
        <v>43</v>
      </c>
      <c r="AM1129" s="100" t="s">
        <v>43</v>
      </c>
      <c r="AN1129" s="100" t="s">
        <v>43</v>
      </c>
      <c r="AO1129" s="100" t="s">
        <v>43</v>
      </c>
      <c r="AP1129" s="100" t="s">
        <v>43</v>
      </c>
      <c r="AQ1129" s="100" t="s">
        <v>43</v>
      </c>
      <c r="AR1129" s="100" t="s">
        <v>43</v>
      </c>
      <c r="AS1129" s="100" t="s">
        <v>43</v>
      </c>
    </row>
    <row r="1130" spans="1:45" s="101" customFormat="1" x14ac:dyDescent="0.25">
      <c r="A1130" s="90" t="s">
        <v>38</v>
      </c>
      <c r="B1130" s="90" t="s">
        <v>39</v>
      </c>
      <c r="C1130" s="90" t="s">
        <v>39</v>
      </c>
      <c r="D1130" s="90" t="s">
        <v>4539</v>
      </c>
      <c r="E1130" s="90" t="s">
        <v>4538</v>
      </c>
      <c r="F1130" s="91">
        <v>661</v>
      </c>
      <c r="G1130" s="92">
        <v>70014821</v>
      </c>
      <c r="H1130" s="91" t="s">
        <v>4370</v>
      </c>
      <c r="I1130" s="93" t="s">
        <v>112</v>
      </c>
      <c r="J1130" s="94" t="s">
        <v>3989</v>
      </c>
      <c r="K1130" s="94" t="s">
        <v>3986</v>
      </c>
      <c r="L1130" s="94" t="s">
        <v>3991</v>
      </c>
      <c r="M1130" s="95">
        <v>339900</v>
      </c>
      <c r="N1130" s="95">
        <v>6000</v>
      </c>
      <c r="O1130" s="95">
        <v>8500</v>
      </c>
      <c r="P1130" s="96"/>
      <c r="Q1130" s="152"/>
      <c r="R1130" s="95">
        <v>459990</v>
      </c>
      <c r="S1130" s="95">
        <v>19166.25</v>
      </c>
      <c r="T1130" s="95">
        <v>339900</v>
      </c>
      <c r="U1130" s="95">
        <v>14162.5</v>
      </c>
      <c r="V1130" s="95">
        <v>339900</v>
      </c>
      <c r="W1130" s="95">
        <v>14162.5</v>
      </c>
      <c r="X1130" s="128"/>
      <c r="Y1130" s="95">
        <v>49900</v>
      </c>
      <c r="Z1130" s="95">
        <v>20000</v>
      </c>
      <c r="AA1130" s="95">
        <f>IFERROR(IF(D1130="Premium",0.4*Y1130,0),"No Disp")</f>
        <v>0</v>
      </c>
      <c r="AB1130" s="95">
        <f>IFERROR(IF(4*Y1130&gt;AC1130,1.5*Y1130,4*Y1130),"No Disp")</f>
        <v>199600</v>
      </c>
      <c r="AC1130" s="95">
        <f>IF(Z1130="No Disp","No Disp",(Z1130*18)+Y1130)</f>
        <v>409900</v>
      </c>
      <c r="AD1130" s="95">
        <f>IF($H1130="EMP",18*Z1130-100,18*Z1130-100+Y1130)</f>
        <v>359900</v>
      </c>
      <c r="AE1130" s="95">
        <v>19900</v>
      </c>
      <c r="AF1130" s="95">
        <v>20000</v>
      </c>
      <c r="AG1130" s="95">
        <f>IF(AF1130="No Disp","No Disp",(AF1130*18)+AE1130)</f>
        <v>379900</v>
      </c>
      <c r="AH1130" s="98">
        <f>IF($H1130="EMP",18*AF1130-100,18*AF1130-100+AE1130)</f>
        <v>359900</v>
      </c>
      <c r="AI1130" s="95" t="s">
        <v>4613</v>
      </c>
      <c r="AJ1130" s="99"/>
      <c r="AK1130" s="100" t="s">
        <v>43</v>
      </c>
      <c r="AL1130" s="100" t="s">
        <v>43</v>
      </c>
      <c r="AM1130" s="100" t="s">
        <v>43</v>
      </c>
      <c r="AN1130" s="100" t="s">
        <v>43</v>
      </c>
      <c r="AO1130" s="100" t="s">
        <v>43</v>
      </c>
      <c r="AP1130" s="100" t="s">
        <v>43</v>
      </c>
      <c r="AQ1130" s="100" t="s">
        <v>43</v>
      </c>
      <c r="AR1130" s="100" t="s">
        <v>43</v>
      </c>
      <c r="AS1130" s="100" t="s">
        <v>43</v>
      </c>
    </row>
    <row r="1131" spans="1:45" s="101" customFormat="1" x14ac:dyDescent="0.25">
      <c r="A1131" s="90" t="s">
        <v>38</v>
      </c>
      <c r="B1131" s="90" t="s">
        <v>39</v>
      </c>
      <c r="C1131" s="90" t="s">
        <v>39</v>
      </c>
      <c r="D1131" s="90" t="s">
        <v>4539</v>
      </c>
      <c r="E1131" s="90" t="s">
        <v>4538</v>
      </c>
      <c r="F1131" s="91">
        <v>659</v>
      </c>
      <c r="G1131" s="92">
        <v>70014789</v>
      </c>
      <c r="H1131" s="91" t="s">
        <v>4370</v>
      </c>
      <c r="I1131" s="93" t="s">
        <v>112</v>
      </c>
      <c r="J1131" s="94" t="s">
        <v>3989</v>
      </c>
      <c r="K1131" s="94" t="s">
        <v>3988</v>
      </c>
      <c r="L1131" s="94" t="s">
        <v>3993</v>
      </c>
      <c r="M1131" s="95">
        <v>339900</v>
      </c>
      <c r="N1131" s="95">
        <v>6000</v>
      </c>
      <c r="O1131" s="95">
        <v>8500</v>
      </c>
      <c r="P1131" s="96"/>
      <c r="Q1131" s="152"/>
      <c r="R1131" s="95">
        <v>459990</v>
      </c>
      <c r="S1131" s="95">
        <v>19166.25</v>
      </c>
      <c r="T1131" s="95">
        <v>339900</v>
      </c>
      <c r="U1131" s="95">
        <v>14162.5</v>
      </c>
      <c r="V1131" s="95">
        <v>339900</v>
      </c>
      <c r="W1131" s="95">
        <v>14162.5</v>
      </c>
      <c r="X1131" s="128"/>
      <c r="Y1131" s="95">
        <v>49900</v>
      </c>
      <c r="Z1131" s="95">
        <v>20000</v>
      </c>
      <c r="AA1131" s="95">
        <f>IFERROR(IF(D1131="Premium",0.4*Y1131,0),"No Disp")</f>
        <v>0</v>
      </c>
      <c r="AB1131" s="95">
        <f>IFERROR(IF(4*Y1131&gt;AC1131,1.5*Y1131,4*Y1131),"No Disp")</f>
        <v>199600</v>
      </c>
      <c r="AC1131" s="95">
        <f>IF(Z1131="No Disp","No Disp",(Z1131*18)+Y1131)</f>
        <v>409900</v>
      </c>
      <c r="AD1131" s="95">
        <f>IF($H1131="EMP",18*Z1131-100,18*Z1131-100+Y1131)</f>
        <v>359900</v>
      </c>
      <c r="AE1131" s="95">
        <v>19900</v>
      </c>
      <c r="AF1131" s="95">
        <v>20000</v>
      </c>
      <c r="AG1131" s="95">
        <f>IF(AF1131="No Disp","No Disp",(AF1131*18)+AE1131)</f>
        <v>379900</v>
      </c>
      <c r="AH1131" s="98">
        <f>IF($H1131="EMP",18*AF1131-100,18*AF1131-100+AE1131)</f>
        <v>359900</v>
      </c>
      <c r="AI1131" s="95" t="s">
        <v>4613</v>
      </c>
      <c r="AJ1131" s="99"/>
      <c r="AK1131" s="100" t="s">
        <v>43</v>
      </c>
      <c r="AL1131" s="100" t="s">
        <v>43</v>
      </c>
      <c r="AM1131" s="100" t="s">
        <v>43</v>
      </c>
      <c r="AN1131" s="100" t="s">
        <v>43</v>
      </c>
      <c r="AO1131" s="100" t="s">
        <v>43</v>
      </c>
      <c r="AP1131" s="100" t="s">
        <v>43</v>
      </c>
      <c r="AQ1131" s="100" t="s">
        <v>43</v>
      </c>
      <c r="AR1131" s="100" t="s">
        <v>43</v>
      </c>
      <c r="AS1131" s="100" t="s">
        <v>43</v>
      </c>
    </row>
    <row r="1132" spans="1:45" s="101" customFormat="1" x14ac:dyDescent="0.25">
      <c r="A1132" s="90" t="s">
        <v>38</v>
      </c>
      <c r="B1132" s="90" t="s">
        <v>39</v>
      </c>
      <c r="C1132" s="90" t="s">
        <v>40</v>
      </c>
      <c r="D1132" s="90" t="s">
        <v>4541</v>
      </c>
      <c r="E1132" s="90" t="s">
        <v>4538</v>
      </c>
      <c r="F1132" s="91"/>
      <c r="G1132" s="92">
        <v>70014694</v>
      </c>
      <c r="H1132" s="91" t="s">
        <v>4370</v>
      </c>
      <c r="I1132" s="93" t="s">
        <v>87</v>
      </c>
      <c r="J1132" s="102" t="s">
        <v>4346</v>
      </c>
      <c r="K1132" s="94" t="s">
        <v>3996</v>
      </c>
      <c r="L1132" s="94" t="s">
        <v>4703</v>
      </c>
      <c r="M1132" s="95">
        <v>109900</v>
      </c>
      <c r="N1132" s="95">
        <v>2500</v>
      </c>
      <c r="O1132" s="95">
        <v>4000</v>
      </c>
      <c r="P1132" s="96"/>
      <c r="Q1132" s="152"/>
      <c r="R1132" s="95">
        <v>119990</v>
      </c>
      <c r="S1132" s="95">
        <v>4999.583333333333</v>
      </c>
      <c r="T1132" s="95">
        <v>109900</v>
      </c>
      <c r="U1132" s="95">
        <v>4579.166666666667</v>
      </c>
      <c r="V1132" s="95">
        <v>109900</v>
      </c>
      <c r="W1132" s="95">
        <v>4579.166666666667</v>
      </c>
      <c r="X1132" s="128"/>
      <c r="Y1132" s="95">
        <v>0</v>
      </c>
      <c r="Z1132" s="97">
        <v>8000</v>
      </c>
      <c r="AA1132" s="95">
        <f>IFERROR(IF(D1132="Premium",0.4*Y1132,0),"No Disp")</f>
        <v>0</v>
      </c>
      <c r="AB1132" s="95">
        <f>IFERROR(IF(4*Y1132&gt;AC1132,1.5*Y1132,4*Y1132),"No Disp")</f>
        <v>0</v>
      </c>
      <c r="AC1132" s="95">
        <f>IF(Z1132="No Disp","No Disp",(Z1132*18)+Y1132)</f>
        <v>144000</v>
      </c>
      <c r="AD1132" s="95">
        <f>IF($H1132="EMP",18*Z1132-100,18*Z1132-100+Y1132)</f>
        <v>143900</v>
      </c>
      <c r="AE1132" s="95">
        <v>0</v>
      </c>
      <c r="AF1132" s="95">
        <v>8000</v>
      </c>
      <c r="AG1132" s="95">
        <f>IF(AF1132="No Disp","No Disp",(AF1132*18)+AE1132)</f>
        <v>144000</v>
      </c>
      <c r="AH1132" s="98">
        <f>IF($H1132="EMP",18*AF1132-100,18*AF1132-100+AE1132)</f>
        <v>143900</v>
      </c>
      <c r="AI1132" s="95" t="s">
        <v>4613</v>
      </c>
      <c r="AJ1132" s="99"/>
      <c r="AK1132" s="100" t="s">
        <v>43</v>
      </c>
      <c r="AL1132" s="100" t="s">
        <v>43</v>
      </c>
      <c r="AM1132" s="100" t="s">
        <v>43</v>
      </c>
      <c r="AN1132" s="100" t="s">
        <v>43</v>
      </c>
      <c r="AO1132" s="100" t="s">
        <v>43</v>
      </c>
      <c r="AP1132" s="100" t="s">
        <v>43</v>
      </c>
      <c r="AQ1132" s="100" t="s">
        <v>43</v>
      </c>
      <c r="AR1132" s="100" t="s">
        <v>43</v>
      </c>
      <c r="AS1132" s="100" t="s">
        <v>43</v>
      </c>
    </row>
    <row r="1133" spans="1:45" s="101" customFormat="1" x14ac:dyDescent="0.25">
      <c r="A1133" s="90" t="s">
        <v>38</v>
      </c>
      <c r="B1133" s="90" t="s">
        <v>39</v>
      </c>
      <c r="C1133" s="90" t="s">
        <v>40</v>
      </c>
      <c r="D1133" s="90" t="s">
        <v>4541</v>
      </c>
      <c r="E1133" s="90" t="s">
        <v>4538</v>
      </c>
      <c r="F1133" s="91"/>
      <c r="G1133" s="92">
        <v>70014706</v>
      </c>
      <c r="H1133" s="91" t="s">
        <v>4370</v>
      </c>
      <c r="I1133" s="93" t="s">
        <v>87</v>
      </c>
      <c r="J1133" s="102" t="s">
        <v>4346</v>
      </c>
      <c r="K1133" s="94" t="s">
        <v>4000</v>
      </c>
      <c r="L1133" s="94" t="s">
        <v>4704</v>
      </c>
      <c r="M1133" s="95">
        <v>109900</v>
      </c>
      <c r="N1133" s="95">
        <v>2500</v>
      </c>
      <c r="O1133" s="95">
        <v>4000</v>
      </c>
      <c r="P1133" s="96"/>
      <c r="Q1133" s="152"/>
      <c r="R1133" s="95">
        <v>119990</v>
      </c>
      <c r="S1133" s="95">
        <v>4999.583333333333</v>
      </c>
      <c r="T1133" s="95">
        <v>109900</v>
      </c>
      <c r="U1133" s="95">
        <v>4579.166666666667</v>
      </c>
      <c r="V1133" s="95">
        <v>109900</v>
      </c>
      <c r="W1133" s="95">
        <v>4579.166666666667</v>
      </c>
      <c r="X1133" s="128"/>
      <c r="Y1133" s="95">
        <v>0</v>
      </c>
      <c r="Z1133" s="97">
        <v>8000</v>
      </c>
      <c r="AA1133" s="95">
        <f>IFERROR(IF(D1133="Premium",0.4*Y1133,0),"No Disp")</f>
        <v>0</v>
      </c>
      <c r="AB1133" s="95">
        <f>IFERROR(IF(4*Y1133&gt;AC1133,1.5*Y1133,4*Y1133),"No Disp")</f>
        <v>0</v>
      </c>
      <c r="AC1133" s="95">
        <f>IF(Z1133="No Disp","No Disp",(Z1133*18)+Y1133)</f>
        <v>144000</v>
      </c>
      <c r="AD1133" s="95">
        <f>IF($H1133="EMP",18*Z1133-100,18*Z1133-100+Y1133)</f>
        <v>143900</v>
      </c>
      <c r="AE1133" s="95">
        <v>0</v>
      </c>
      <c r="AF1133" s="95">
        <v>8000</v>
      </c>
      <c r="AG1133" s="95">
        <f>IF(AF1133="No Disp","No Disp",(AF1133*18)+AE1133)</f>
        <v>144000</v>
      </c>
      <c r="AH1133" s="98">
        <f>IF($H1133="EMP",18*AF1133-100,18*AF1133-100+AE1133)</f>
        <v>143900</v>
      </c>
      <c r="AI1133" s="95" t="s">
        <v>4613</v>
      </c>
      <c r="AJ1133" s="99"/>
      <c r="AK1133" s="100" t="s">
        <v>43</v>
      </c>
      <c r="AL1133" s="100" t="s">
        <v>43</v>
      </c>
      <c r="AM1133" s="100" t="s">
        <v>43</v>
      </c>
      <c r="AN1133" s="100" t="s">
        <v>43</v>
      </c>
      <c r="AO1133" s="100" t="s">
        <v>43</v>
      </c>
      <c r="AP1133" s="100" t="s">
        <v>43</v>
      </c>
      <c r="AQ1133" s="100" t="s">
        <v>43</v>
      </c>
      <c r="AR1133" s="100" t="s">
        <v>43</v>
      </c>
      <c r="AS1133" s="100" t="s">
        <v>43</v>
      </c>
    </row>
    <row r="1134" spans="1:45" s="101" customFormat="1" x14ac:dyDescent="0.25">
      <c r="A1134" s="90" t="s">
        <v>38</v>
      </c>
      <c r="B1134" s="90" t="s">
        <v>39</v>
      </c>
      <c r="C1134" s="90" t="s">
        <v>40</v>
      </c>
      <c r="D1134" s="90" t="s">
        <v>4541</v>
      </c>
      <c r="E1134" s="90" t="s">
        <v>4538</v>
      </c>
      <c r="F1134" s="91"/>
      <c r="G1134" s="92">
        <v>70014700</v>
      </c>
      <c r="H1134" s="91" t="s">
        <v>4370</v>
      </c>
      <c r="I1134" s="93" t="s">
        <v>87</v>
      </c>
      <c r="J1134" s="102" t="s">
        <v>4346</v>
      </c>
      <c r="K1134" s="94" t="s">
        <v>4004</v>
      </c>
      <c r="L1134" s="94" t="s">
        <v>4705</v>
      </c>
      <c r="M1134" s="95">
        <v>109900</v>
      </c>
      <c r="N1134" s="95">
        <v>2500</v>
      </c>
      <c r="O1134" s="95">
        <v>4000</v>
      </c>
      <c r="P1134" s="96"/>
      <c r="Q1134" s="152"/>
      <c r="R1134" s="95">
        <v>119990</v>
      </c>
      <c r="S1134" s="95">
        <v>4999.583333333333</v>
      </c>
      <c r="T1134" s="95">
        <v>109900</v>
      </c>
      <c r="U1134" s="95">
        <v>4579.166666666667</v>
      </c>
      <c r="V1134" s="95">
        <v>109900</v>
      </c>
      <c r="W1134" s="95">
        <v>4579.166666666667</v>
      </c>
      <c r="X1134" s="128"/>
      <c r="Y1134" s="95">
        <v>0</v>
      </c>
      <c r="Z1134" s="97">
        <v>8000</v>
      </c>
      <c r="AA1134" s="95">
        <f>IFERROR(IF(D1134="Premium",0.4*Y1134,0),"No Disp")</f>
        <v>0</v>
      </c>
      <c r="AB1134" s="95">
        <f>IFERROR(IF(4*Y1134&gt;AC1134,1.5*Y1134,4*Y1134),"No Disp")</f>
        <v>0</v>
      </c>
      <c r="AC1134" s="95">
        <f>IF(Z1134="No Disp","No Disp",(Z1134*18)+Y1134)</f>
        <v>144000</v>
      </c>
      <c r="AD1134" s="95">
        <f>IF($H1134="EMP",18*Z1134-100,18*Z1134-100+Y1134)</f>
        <v>143900</v>
      </c>
      <c r="AE1134" s="95">
        <v>0</v>
      </c>
      <c r="AF1134" s="95">
        <v>8000</v>
      </c>
      <c r="AG1134" s="95">
        <f>IF(AF1134="No Disp","No Disp",(AF1134*18)+AE1134)</f>
        <v>144000</v>
      </c>
      <c r="AH1134" s="98">
        <f>IF($H1134="EMP",18*AF1134-100,18*AF1134-100+AE1134)</f>
        <v>143900</v>
      </c>
      <c r="AI1134" s="95" t="s">
        <v>4613</v>
      </c>
      <c r="AJ1134" s="99"/>
      <c r="AK1134" s="100" t="s">
        <v>43</v>
      </c>
      <c r="AL1134" s="100" t="s">
        <v>43</v>
      </c>
      <c r="AM1134" s="100" t="s">
        <v>43</v>
      </c>
      <c r="AN1134" s="100" t="s">
        <v>43</v>
      </c>
      <c r="AO1134" s="100" t="s">
        <v>43</v>
      </c>
      <c r="AP1134" s="100" t="s">
        <v>43</v>
      </c>
      <c r="AQ1134" s="100" t="s">
        <v>43</v>
      </c>
      <c r="AR1134" s="100" t="s">
        <v>43</v>
      </c>
      <c r="AS1134" s="100" t="s">
        <v>43</v>
      </c>
    </row>
  </sheetData>
  <autoFilter ref="A3:AS1134" xr:uid="{00000000-0001-0000-0000-000000000000}">
    <sortState xmlns:xlrd2="http://schemas.microsoft.com/office/spreadsheetml/2017/richdata2" ref="A4:AS1134">
      <sortCondition sortBy="cellColor" ref="H3:H1134" dxfId="4"/>
    </sortState>
  </autoFilter>
  <mergeCells count="12">
    <mergeCell ref="N2:O2"/>
    <mergeCell ref="AN2:AP2"/>
    <mergeCell ref="V2:W2"/>
    <mergeCell ref="AK2:AM2"/>
    <mergeCell ref="R1:W1"/>
    <mergeCell ref="AK1:AS1"/>
    <mergeCell ref="T2:U2"/>
    <mergeCell ref="R2:S2"/>
    <mergeCell ref="Y1:AH1"/>
    <mergeCell ref="AQ2:AS2"/>
    <mergeCell ref="Y2:AD2"/>
    <mergeCell ref="AE2:AH2"/>
  </mergeCells>
  <phoneticPr fontId="17" type="noConversion"/>
  <conditionalFormatting sqref="A1:B1 X1 Y1:Y2 M2:O2 A2:J2 N275:P275 W275 AK275:XFD275 Y273:Z273 P272 AT272:XFD272 AK273:XFD273 N273:P273 Y275:Z275 N240:O268 N239:P239 N203:P203 N189:P189 Y189:Z189 K663:L663 A664:C762 K763:L764 A634:C662 A624:C632 A492:C622 J490:L490 K485:L489 A484:C484 G472:L472 A275:C278 H273:L274 A201:C202 I200:L200 A199:C199 I198:L198 A197:C197 I196:L196 A195:C195 I194:L194 A193:C193 I192:L192 A189:C191 S189 AK189:AM189 AP189 AS189:XFD189 Y157:Z157 N157:P157 S157 U155 U157 U189 N154:P155 AK634:XFD862 S154:S155 N151:P151 S151 AK157:AM157 Y134:Z134 AL158:AL161 N134:P134 S134 N129:O133 H129:H133 A765:C862 X869:X1134 N106:P106 S106 N101:O105 N100:P100 S100 A93:C93 AE273:AF273 AE275:AF275 P93 N81:P81 AJ1:AJ3 N82:O97 A3:C3 F93:L93 F765:L862 F189:L191 F193:L193 F195:L195 F197:L197 F199:L199 F201:L202 F275:L278 F484:L484 F492:L622 F624:L632 N76:P76 N60:P60 R60:S60 R76:S76 D51:D52 E51:E59 D60:E75 N51:P51 AE2 AE634:AF862 Y634:Z862 F664:L762 AC3:AH3 D46:E49 R51:S51 Y282:Z471 A282:C471 AE282:AF471 AA51:AC1134 AG50:AG1134 F282:P471 D80:E710 AD47:AD1134 AH47:AH1134 AJ832:AJ844 R1134:W1134 N36:P36 F634:L662 R634:W831 R282:W471 R273:U273 M869:P1047 P1048:P1053 M1054:P1134 AI51:AI1134 AK282:XFD471 R2:X2 Q832:W862 Q869:Q1134 M634:P862 P863:S868 M1:R1 F3:Z3">
    <cfRule type="containsText" dxfId="4468" priority="34947" operator="containsText" text="FALSO">
      <formula>NOT(ISERROR(SEARCH("FALSO",A1)))</formula>
    </cfRule>
  </conditionalFormatting>
  <conditionalFormatting sqref="G471">
    <cfRule type="duplicateValues" dxfId="4467" priority="14078"/>
  </conditionalFormatting>
  <conditionalFormatting sqref="H1:J1">
    <cfRule type="containsText" dxfId="4466" priority="13599" operator="containsText" text="FALSO">
      <formula>NOT(ISERROR(SEARCH("FALSO",H1)))</formula>
    </cfRule>
  </conditionalFormatting>
  <conditionalFormatting sqref="AK1:AS1 AK2 AN2 AQ2">
    <cfRule type="containsText" dxfId="4465" priority="33798" operator="containsText" text="FALSO">
      <formula>NOT(ISERROR(SEARCH("FALSO",AK1)))</formula>
    </cfRule>
  </conditionalFormatting>
  <conditionalFormatting sqref="AK3:AS3">
    <cfRule type="containsText" dxfId="4464" priority="12825" operator="containsText" text="FALSO">
      <formula>NOT(ISERROR(SEARCH("FALSO",AK3)))</formula>
    </cfRule>
  </conditionalFormatting>
  <conditionalFormatting sqref="AT1:XFD3">
    <cfRule type="containsText" dxfId="4463" priority="12833" operator="containsText" text="FALSO">
      <formula>NOT(ISERROR(SEARCH("FALSO",AT1)))</formula>
    </cfRule>
  </conditionalFormatting>
  <conditionalFormatting sqref="AT492:XFD494 P492:P494 N475:O475 U475 R472:R474 R475:S475 W492:W511 N495:P502 Y492:Z504 Y621:Z622 Y624:Z632 Y508:Z619 AK624:XFD632 AK621:XFD622 AK495:XFD619 R492:U511 N506:P511 N503:O505 AE492:AF619 AE621:AF622 AE624:AF632 M512:P619 N484:P484 M624:P632 M621:P622 R621:W622 R624:W632 R484:U484 R512:W619">
    <cfRule type="containsText" dxfId="4462" priority="12526" operator="containsText" text="FALSO">
      <formula>NOT(ISERROR(SEARCH("FALSO",M472)))</formula>
    </cfRule>
  </conditionalFormatting>
  <conditionalFormatting sqref="A663:C663 A763:C764 F763:I764 F663:I663">
    <cfRule type="containsText" dxfId="4461" priority="12524" operator="containsText" text="FALSO">
      <formula>NOT(ISERROR(SEARCH("FALSO",A663)))</formula>
    </cfRule>
  </conditionalFormatting>
  <conditionalFormatting sqref="Y633:Z633 AK633:XFD633 AE633:AF633 M633:P633 R633:W633">
    <cfRule type="containsText" dxfId="4460" priority="12523" operator="containsText" text="FALSO">
      <formula>NOT(ISERROR(SEARCH("FALSO",M633)))</formula>
    </cfRule>
  </conditionalFormatting>
  <conditionalFormatting sqref="A633:C633 F633:K633">
    <cfRule type="containsText" dxfId="4459" priority="12521" operator="containsText" text="FALSO">
      <formula>NOT(ISERROR(SEARCH("FALSO",A633)))</formula>
    </cfRule>
  </conditionalFormatting>
  <conditionalFormatting sqref="G633">
    <cfRule type="duplicateValues" dxfId="4458" priority="12522"/>
  </conditionalFormatting>
  <conditionalFormatting sqref="L633">
    <cfRule type="containsText" dxfId="4457" priority="12520" operator="containsText" text="FALSO">
      <formula>NOT(ISERROR(SEARCH("FALSO",L633)))</formula>
    </cfRule>
  </conditionalFormatting>
  <conditionalFormatting sqref="AT490:XFD490 W490 Y490:Z490 AE490:AF490 P490 R490:U490">
    <cfRule type="containsText" dxfId="4456" priority="12519" operator="containsText" text="FALSO">
      <formula>NOT(ISERROR(SEARCH("FALSO",P490)))</formula>
    </cfRule>
  </conditionalFormatting>
  <conditionalFormatting sqref="A490:C490 F490:H490">
    <cfRule type="containsText" dxfId="4455" priority="12517" operator="containsText" text="FALSO">
      <formula>NOT(ISERROR(SEARCH("FALSO",A490)))</formula>
    </cfRule>
  </conditionalFormatting>
  <conditionalFormatting sqref="G490">
    <cfRule type="duplicateValues" dxfId="4454" priority="12518"/>
  </conditionalFormatting>
  <conditionalFormatting sqref="AT491:XFD491 W491 Y491:Z491 AE491:AF491 P491 R491:U491">
    <cfRule type="containsText" dxfId="4453" priority="12516" operator="containsText" text="FALSO">
      <formula>NOT(ISERROR(SEARCH("FALSO",P491)))</formula>
    </cfRule>
  </conditionalFormatting>
  <conditionalFormatting sqref="A491:C491 J491:K491 F491:H491">
    <cfRule type="containsText" dxfId="4452" priority="12514" operator="containsText" text="FALSO">
      <formula>NOT(ISERROR(SEARCH("FALSO",A491)))</formula>
    </cfRule>
  </conditionalFormatting>
  <conditionalFormatting sqref="G491">
    <cfRule type="duplicateValues" dxfId="4451" priority="12515"/>
  </conditionalFormatting>
  <conditionalFormatting sqref="AT489:XFD489 W489 Y489:Z489 AE489:AF489 P489 R489:U489">
    <cfRule type="containsText" dxfId="4450" priority="12513" operator="containsText" text="FALSO">
      <formula>NOT(ISERROR(SEARCH("FALSO",P489)))</formula>
    </cfRule>
  </conditionalFormatting>
  <conditionalFormatting sqref="A489:C489 F489:H489">
    <cfRule type="containsText" dxfId="4449" priority="12511" operator="containsText" text="FALSO">
      <formula>NOT(ISERROR(SEARCH("FALSO",A489)))</formula>
    </cfRule>
  </conditionalFormatting>
  <conditionalFormatting sqref="G489">
    <cfRule type="duplicateValues" dxfId="4448" priority="12512"/>
  </conditionalFormatting>
  <conditionalFormatting sqref="AT488:XFD488 W488 Y488:Z488 AE488:AF488 P488 R488:U488">
    <cfRule type="containsText" dxfId="4447" priority="12510" operator="containsText" text="FALSO">
      <formula>NOT(ISERROR(SEARCH("FALSO",P488)))</formula>
    </cfRule>
  </conditionalFormatting>
  <conditionalFormatting sqref="A488:C488 F488:H488">
    <cfRule type="containsText" dxfId="4446" priority="12508" operator="containsText" text="FALSO">
      <formula>NOT(ISERROR(SEARCH("FALSO",A488)))</formula>
    </cfRule>
  </conditionalFormatting>
  <conditionalFormatting sqref="G488">
    <cfRule type="duplicateValues" dxfId="4445" priority="12509"/>
  </conditionalFormatting>
  <conditionalFormatting sqref="AT487:XFD487 W487 Y487:Z487 AE487:AF487 P487 R487:U487">
    <cfRule type="containsText" dxfId="4444" priority="12507" operator="containsText" text="FALSO">
      <formula>NOT(ISERROR(SEARCH("FALSO",P487)))</formula>
    </cfRule>
  </conditionalFormatting>
  <conditionalFormatting sqref="A487:C487 F487:H487">
    <cfRule type="containsText" dxfId="4443" priority="12505" operator="containsText" text="FALSO">
      <formula>NOT(ISERROR(SEARCH("FALSO",A487)))</formula>
    </cfRule>
  </conditionalFormatting>
  <conditionalFormatting sqref="G487">
    <cfRule type="duplicateValues" dxfId="4442" priority="12506"/>
  </conditionalFormatting>
  <conditionalFormatting sqref="AT486:XFD486 W486 Y486:Z486 AE486:AF486 P486 R486:U486">
    <cfRule type="containsText" dxfId="4441" priority="12504" operator="containsText" text="FALSO">
      <formula>NOT(ISERROR(SEARCH("FALSO",P486)))</formula>
    </cfRule>
  </conditionalFormatting>
  <conditionalFormatting sqref="A486:C486 F486:I486">
    <cfRule type="containsText" dxfId="4440" priority="12502" operator="containsText" text="FALSO">
      <formula>NOT(ISERROR(SEARCH("FALSO",A486)))</formula>
    </cfRule>
  </conditionalFormatting>
  <conditionalFormatting sqref="G486">
    <cfRule type="duplicateValues" dxfId="4439" priority="12503"/>
  </conditionalFormatting>
  <conditionalFormatting sqref="AT485:XFD485 W485 Y485:Z485 AE485:AF485 P485 R485:U485">
    <cfRule type="containsText" dxfId="4438" priority="12501" operator="containsText" text="FALSO">
      <formula>NOT(ISERROR(SEARCH("FALSO",P485)))</formula>
    </cfRule>
  </conditionalFormatting>
  <conditionalFormatting sqref="A485:C485 F485:I485">
    <cfRule type="containsText" dxfId="4437" priority="12499" operator="containsText" text="FALSO">
      <formula>NOT(ISERROR(SEARCH("FALSO",A485)))</formula>
    </cfRule>
  </conditionalFormatting>
  <conditionalFormatting sqref="G485">
    <cfRule type="duplicateValues" dxfId="4436" priority="12500"/>
  </conditionalFormatting>
  <conditionalFormatting sqref="AK485:AS494 W484 N485:O494 Y484:Z484 AK484:XFD484 AE484:AF484">
    <cfRule type="containsText" dxfId="4435" priority="12498" operator="containsText" text="FALSO">
      <formula>NOT(ISERROR(SEARCH("FALSO",N484)))</formula>
    </cfRule>
  </conditionalFormatting>
  <conditionalFormatting sqref="G484">
    <cfRule type="duplicateValues" dxfId="4434" priority="12497"/>
  </conditionalFormatting>
  <conditionalFormatting sqref="L491">
    <cfRule type="containsText" dxfId="4433" priority="12495" operator="containsText" text="FALSO">
      <formula>NOT(ISERROR(SEARCH("FALSO",L491)))</formula>
    </cfRule>
  </conditionalFormatting>
  <conditionalFormatting sqref="J485">
    <cfRule type="containsText" dxfId="4432" priority="12494" operator="containsText" text="FALSO">
      <formula>NOT(ISERROR(SEARCH("FALSO",J485)))</formula>
    </cfRule>
  </conditionalFormatting>
  <conditionalFormatting sqref="J486">
    <cfRule type="containsText" dxfId="4431" priority="12493" operator="containsText" text="FALSO">
      <formula>NOT(ISERROR(SEARCH("FALSO",J486)))</formula>
    </cfRule>
  </conditionalFormatting>
  <conditionalFormatting sqref="J487">
    <cfRule type="containsText" dxfId="4430" priority="12492" operator="containsText" text="FALSO">
      <formula>NOT(ISERROR(SEARCH("FALSO",J487)))</formula>
    </cfRule>
  </conditionalFormatting>
  <conditionalFormatting sqref="J488">
    <cfRule type="containsText" dxfId="4429" priority="12491" operator="containsText" text="FALSO">
      <formula>NOT(ISERROR(SEARCH("FALSO",J488)))</formula>
    </cfRule>
  </conditionalFormatting>
  <conditionalFormatting sqref="J489">
    <cfRule type="containsText" dxfId="4428" priority="12490" operator="containsText" text="FALSO">
      <formula>NOT(ISERROR(SEARCH("FALSO",J489)))</formula>
    </cfRule>
  </conditionalFormatting>
  <conditionalFormatting sqref="Y623:Z623 AK623:XFD623 AE623:AF623 M623:P623 R623:W623">
    <cfRule type="containsText" dxfId="4427" priority="12489" operator="containsText" text="FALSO">
      <formula>NOT(ISERROR(SEARCH("FALSO",M623)))</formula>
    </cfRule>
  </conditionalFormatting>
  <conditionalFormatting sqref="A623:C623 F623:K623">
    <cfRule type="containsText" dxfId="4426" priority="12487" operator="containsText" text="FALSO">
      <formula>NOT(ISERROR(SEARCH("FALSO",A623)))</formula>
    </cfRule>
  </conditionalFormatting>
  <conditionalFormatting sqref="G623">
    <cfRule type="duplicateValues" dxfId="4425" priority="12488"/>
  </conditionalFormatting>
  <conditionalFormatting sqref="L623">
    <cfRule type="containsText" dxfId="4424" priority="12486" operator="containsText" text="FALSO">
      <formula>NOT(ISERROR(SEARCH("FALSO",L623)))</formula>
    </cfRule>
  </conditionalFormatting>
  <conditionalFormatting sqref="Y620:Z620 AK620:XFD620 AE620:AF620 M620:P620 R620:W620">
    <cfRule type="containsText" dxfId="4423" priority="12485" operator="containsText" text="FALSO">
      <formula>NOT(ISERROR(SEARCH("FALSO",M620)))</formula>
    </cfRule>
  </conditionalFormatting>
  <conditionalFormatting sqref="G620">
    <cfRule type="duplicateValues" dxfId="4422" priority="12484"/>
  </conditionalFormatting>
  <conditionalFormatting sqref="N474:O474 S474 U474">
    <cfRule type="containsText" dxfId="4421" priority="12474" operator="containsText" text="FALSO">
      <formula>NOT(ISERROR(SEARCH("FALSO",N474)))</formula>
    </cfRule>
  </conditionalFormatting>
  <conditionalFormatting sqref="W474 AK474:XFD474">
    <cfRule type="containsText" dxfId="4420" priority="12473" operator="containsText" text="FALSO">
      <formula>NOT(ISERROR(SEARCH("FALSO",W474)))</formula>
    </cfRule>
  </conditionalFormatting>
  <conditionalFormatting sqref="A474:C474 G474:H474 K474">
    <cfRule type="containsText" dxfId="4419" priority="12471" operator="containsText" text="FALSO">
      <formula>NOT(ISERROR(SEARCH("FALSO",A474)))</formula>
    </cfRule>
  </conditionalFormatting>
  <conditionalFormatting sqref="W475 Y472:Z475 AK475:XFD475 AE472:AF475">
    <cfRule type="containsText" dxfId="4418" priority="12477" operator="containsText" text="FALSO">
      <formula>NOT(ISERROR(SEARCH("FALSO",W472)))</formula>
    </cfRule>
  </conditionalFormatting>
  <conditionalFormatting sqref="A475:C475 K475 F475:H475">
    <cfRule type="containsText" dxfId="4417" priority="12475" operator="containsText" text="FALSO">
      <formula>NOT(ISERROR(SEARCH("FALSO",A475)))</formula>
    </cfRule>
  </conditionalFormatting>
  <conditionalFormatting sqref="I487">
    <cfRule type="containsText" dxfId="4416" priority="12482" operator="containsText" text="FALSO">
      <formula>NOT(ISERROR(SEARCH("FALSO",I487)))</formula>
    </cfRule>
  </conditionalFormatting>
  <conditionalFormatting sqref="I488">
    <cfRule type="containsText" dxfId="4415" priority="12481" operator="containsText" text="FALSO">
      <formula>NOT(ISERROR(SEARCH("FALSO",I488)))</formula>
    </cfRule>
  </conditionalFormatting>
  <conditionalFormatting sqref="I489">
    <cfRule type="containsText" dxfId="4414" priority="12480" operator="containsText" text="FALSO">
      <formula>NOT(ISERROR(SEARCH("FALSO",I489)))</formula>
    </cfRule>
  </conditionalFormatting>
  <conditionalFormatting sqref="I490">
    <cfRule type="containsText" dxfId="4413" priority="12479" operator="containsText" text="FALSO">
      <formula>NOT(ISERROR(SEARCH("FALSO",I490)))</formula>
    </cfRule>
  </conditionalFormatting>
  <conditionalFormatting sqref="I491">
    <cfRule type="containsText" dxfId="4412" priority="12478" operator="containsText" text="FALSO">
      <formula>NOT(ISERROR(SEARCH("FALSO",I491)))</formula>
    </cfRule>
  </conditionalFormatting>
  <conditionalFormatting sqref="G475">
    <cfRule type="duplicateValues" dxfId="4411" priority="12476"/>
  </conditionalFormatting>
  <conditionalFormatting sqref="G474">
    <cfRule type="duplicateValues" dxfId="4410" priority="12472"/>
  </conditionalFormatting>
  <conditionalFormatting sqref="N473:O473 S473 U473">
    <cfRule type="containsText" dxfId="4409" priority="12470" operator="containsText" text="FALSO">
      <formula>NOT(ISERROR(SEARCH("FALSO",N473)))</formula>
    </cfRule>
  </conditionalFormatting>
  <conditionalFormatting sqref="W473 AK473:XFD473">
    <cfRule type="containsText" dxfId="4408" priority="12469" operator="containsText" text="FALSO">
      <formula>NOT(ISERROR(SEARCH("FALSO",W473)))</formula>
    </cfRule>
  </conditionalFormatting>
  <conditionalFormatting sqref="A473:C473 G473:H473 K473">
    <cfRule type="containsText" dxfId="4407" priority="12467" operator="containsText" text="FALSO">
      <formula>NOT(ISERROR(SEARCH("FALSO",A473)))</formula>
    </cfRule>
  </conditionalFormatting>
  <conditionalFormatting sqref="G473">
    <cfRule type="duplicateValues" dxfId="4406" priority="12468"/>
  </conditionalFormatting>
  <conditionalFormatting sqref="N472:P472 P473:P483 S472 U472">
    <cfRule type="containsText" dxfId="4405" priority="12466" operator="containsText" text="FALSO">
      <formula>NOT(ISERROR(SEARCH("FALSO",N472)))</formula>
    </cfRule>
  </conditionalFormatting>
  <conditionalFormatting sqref="W472 AK472:XFD472">
    <cfRule type="containsText" dxfId="4404" priority="12465" operator="containsText" text="FALSO">
      <formula>NOT(ISERROR(SEARCH("FALSO",W472)))</formula>
    </cfRule>
  </conditionalFormatting>
  <conditionalFormatting sqref="A472:C472 I473:I483 L473:L483 J473:J479">
    <cfRule type="containsText" dxfId="4403" priority="12463" operator="containsText" text="FALSO">
      <formula>NOT(ISERROR(SEARCH("FALSO",A472)))</formula>
    </cfRule>
  </conditionalFormatting>
  <conditionalFormatting sqref="G472">
    <cfRule type="duplicateValues" dxfId="4402" priority="12464"/>
  </conditionalFormatting>
  <conditionalFormatting sqref="AT483:XFD483 R483:U483 W483 Y483:Z483 AE483:AF483">
    <cfRule type="containsText" dxfId="4401" priority="12462" operator="containsText" text="FALSO">
      <formula>NOT(ISERROR(SEARCH("FALSO",R483)))</formula>
    </cfRule>
  </conditionalFormatting>
  <conditionalFormatting sqref="A483:C483 K483 F483:H483">
    <cfRule type="containsText" dxfId="4400" priority="12460" operator="containsText" text="FALSO">
      <formula>NOT(ISERROR(SEARCH("FALSO",A483)))</formula>
    </cfRule>
  </conditionalFormatting>
  <conditionalFormatting sqref="G483">
    <cfRule type="duplicateValues" dxfId="4399" priority="12461"/>
  </conditionalFormatting>
  <conditionalFormatting sqref="AK483:AS483">
    <cfRule type="containsText" dxfId="4398" priority="12459" operator="containsText" text="FALSO">
      <formula>NOT(ISERROR(SEARCH("FALSO",AK483)))</formula>
    </cfRule>
  </conditionalFormatting>
  <conditionalFormatting sqref="A481:C481 K481 F481:H481">
    <cfRule type="containsText" dxfId="4397" priority="12452" operator="containsText" text="FALSO">
      <formula>NOT(ISERROR(SEARCH("FALSO",A481)))</formula>
    </cfRule>
  </conditionalFormatting>
  <conditionalFormatting sqref="AT482:XFD482 R482:U482 W482 Y482:Z482 AE482:AF482">
    <cfRule type="containsText" dxfId="4396" priority="12458" operator="containsText" text="FALSO">
      <formula>NOT(ISERROR(SEARCH("FALSO",R482)))</formula>
    </cfRule>
  </conditionalFormatting>
  <conditionalFormatting sqref="A482:C482 K482 F482:H482">
    <cfRule type="containsText" dxfId="4395" priority="12456" operator="containsText" text="FALSO">
      <formula>NOT(ISERROR(SEARCH("FALSO",A482)))</formula>
    </cfRule>
  </conditionalFormatting>
  <conditionalFormatting sqref="G482">
    <cfRule type="duplicateValues" dxfId="4394" priority="12457"/>
  </conditionalFormatting>
  <conditionalFormatting sqref="AK482:AS482">
    <cfRule type="containsText" dxfId="4393" priority="12455" operator="containsText" text="FALSO">
      <formula>NOT(ISERROR(SEARCH("FALSO",AK482)))</formula>
    </cfRule>
  </conditionalFormatting>
  <conditionalFormatting sqref="A480:C480 K480 F480:H480">
    <cfRule type="containsText" dxfId="4392" priority="12448" operator="containsText" text="FALSO">
      <formula>NOT(ISERROR(SEARCH("FALSO",A480)))</formula>
    </cfRule>
  </conditionalFormatting>
  <conditionalFormatting sqref="AT481:XFD481 R481:U481 W481 Y481:Z481 AE481:AF481">
    <cfRule type="containsText" dxfId="4391" priority="12454" operator="containsText" text="FALSO">
      <formula>NOT(ISERROR(SEARCH("FALSO",R481)))</formula>
    </cfRule>
  </conditionalFormatting>
  <conditionalFormatting sqref="G481">
    <cfRule type="duplicateValues" dxfId="4390" priority="12453"/>
  </conditionalFormatting>
  <conditionalFormatting sqref="AK481:AS481">
    <cfRule type="containsText" dxfId="4389" priority="12451" operator="containsText" text="FALSO">
      <formula>NOT(ISERROR(SEARCH("FALSO",AK481)))</formula>
    </cfRule>
  </conditionalFormatting>
  <conditionalFormatting sqref="A479:C479 K479 F479:H479">
    <cfRule type="containsText" dxfId="4388" priority="12444" operator="containsText" text="FALSO">
      <formula>NOT(ISERROR(SEARCH("FALSO",A479)))</formula>
    </cfRule>
  </conditionalFormatting>
  <conditionalFormatting sqref="AT480:XFD480 R480:U480 W480 Y480:Z480 AE480:AF480">
    <cfRule type="containsText" dxfId="4387" priority="12450" operator="containsText" text="FALSO">
      <formula>NOT(ISERROR(SEARCH("FALSO",R480)))</formula>
    </cfRule>
  </conditionalFormatting>
  <conditionalFormatting sqref="G480">
    <cfRule type="duplicateValues" dxfId="4386" priority="12449"/>
  </conditionalFormatting>
  <conditionalFormatting sqref="AK480:AS480 N480:O483">
    <cfRule type="containsText" dxfId="4385" priority="12447" operator="containsText" text="FALSO">
      <formula>NOT(ISERROR(SEARCH("FALSO",N480)))</formula>
    </cfRule>
  </conditionalFormatting>
  <conditionalFormatting sqref="A478:C478 K478 F478:H478">
    <cfRule type="containsText" dxfId="4384" priority="12440" operator="containsText" text="FALSO">
      <formula>NOT(ISERROR(SEARCH("FALSO",A478)))</formula>
    </cfRule>
  </conditionalFormatting>
  <conditionalFormatting sqref="AT479:XFD479 S479 W479 U479">
    <cfRule type="containsText" dxfId="4383" priority="12446" operator="containsText" text="FALSO">
      <formula>NOT(ISERROR(SEARCH("FALSO",S479)))</formula>
    </cfRule>
  </conditionalFormatting>
  <conditionalFormatting sqref="G479">
    <cfRule type="duplicateValues" dxfId="4382" priority="12445"/>
  </conditionalFormatting>
  <conditionalFormatting sqref="AK479:AS479 N479:O479">
    <cfRule type="containsText" dxfId="4381" priority="12443" operator="containsText" text="FALSO">
      <formula>NOT(ISERROR(SEARCH("FALSO",N479)))</formula>
    </cfRule>
  </conditionalFormatting>
  <conditionalFormatting sqref="AT478:XFD478 S478 W478 U478">
    <cfRule type="containsText" dxfId="4380" priority="12442" operator="containsText" text="FALSO">
      <formula>NOT(ISERROR(SEARCH("FALSO",S478)))</formula>
    </cfRule>
  </conditionalFormatting>
  <conditionalFormatting sqref="G478">
    <cfRule type="duplicateValues" dxfId="4379" priority="12441"/>
  </conditionalFormatting>
  <conditionalFormatting sqref="AK478:AS478 N478:O478">
    <cfRule type="containsText" dxfId="4378" priority="12439" operator="containsText" text="FALSO">
      <formula>NOT(ISERROR(SEARCH("FALSO",N478)))</formula>
    </cfRule>
  </conditionalFormatting>
  <conditionalFormatting sqref="AT477:XFD477 S477 W477 U477">
    <cfRule type="containsText" dxfId="4377" priority="12438" operator="containsText" text="FALSO">
      <formula>NOT(ISERROR(SEARCH("FALSO",S477)))</formula>
    </cfRule>
  </conditionalFormatting>
  <conditionalFormatting sqref="A477:C477 K477 F477:H477">
    <cfRule type="containsText" dxfId="4376" priority="12436" operator="containsText" text="FALSO">
      <formula>NOT(ISERROR(SEARCH("FALSO",A477)))</formula>
    </cfRule>
  </conditionalFormatting>
  <conditionalFormatting sqref="G477">
    <cfRule type="duplicateValues" dxfId="4375" priority="12437"/>
  </conditionalFormatting>
  <conditionalFormatting sqref="AK477:AS477 N477:O477">
    <cfRule type="containsText" dxfId="4374" priority="12435" operator="containsText" text="FALSO">
      <formula>NOT(ISERROR(SEARCH("FALSO",N477)))</formula>
    </cfRule>
  </conditionalFormatting>
  <conditionalFormatting sqref="AT476:XFD476 R476:S476 W476 U476 R477:R479 Y476:Z479 AE476:AF479">
    <cfRule type="containsText" dxfId="4373" priority="12434" operator="containsText" text="FALSO">
      <formula>NOT(ISERROR(SEARCH("FALSO",R476)))</formula>
    </cfRule>
  </conditionalFormatting>
  <conditionalFormatting sqref="A476:C476 K476 F476:H476">
    <cfRule type="containsText" dxfId="4372" priority="12432" operator="containsText" text="FALSO">
      <formula>NOT(ISERROR(SEARCH("FALSO",A476)))</formula>
    </cfRule>
  </conditionalFormatting>
  <conditionalFormatting sqref="G476">
    <cfRule type="duplicateValues" dxfId="4371" priority="12433"/>
  </conditionalFormatting>
  <conditionalFormatting sqref="AK476:AS476 N476:O476">
    <cfRule type="containsText" dxfId="4370" priority="12431" operator="containsText" text="FALSO">
      <formula>NOT(ISERROR(SEARCH("FALSO",N476)))</formula>
    </cfRule>
  </conditionalFormatting>
  <conditionalFormatting sqref="F472">
    <cfRule type="containsText" dxfId="4369" priority="12428" operator="containsText" text="FALSO">
      <formula>NOT(ISERROR(SEARCH("FALSO",F472)))</formula>
    </cfRule>
  </conditionalFormatting>
  <conditionalFormatting sqref="F473">
    <cfRule type="containsText" dxfId="4368" priority="12429" operator="containsText" text="FALSO">
      <formula>NOT(ISERROR(SEARCH("FALSO",F473)))</formula>
    </cfRule>
  </conditionalFormatting>
  <conditionalFormatting sqref="F474">
    <cfRule type="containsText" dxfId="4367" priority="12430" operator="containsText" text="FALSO">
      <formula>NOT(ISERROR(SEARCH("FALSO",F474)))</formula>
    </cfRule>
  </conditionalFormatting>
  <conditionalFormatting sqref="J480:J483">
    <cfRule type="containsText" dxfId="4366" priority="12427" operator="containsText" text="FALSO">
      <formula>NOT(ISERROR(SEARCH("FALSO",J480)))</formula>
    </cfRule>
  </conditionalFormatting>
  <conditionalFormatting sqref="M484 M492:M511">
    <cfRule type="containsText" dxfId="4365" priority="12410" operator="containsText" text="FALSO">
      <formula>NOT(ISERROR(SEARCH("FALSO",M484)))</formula>
    </cfRule>
  </conditionalFormatting>
  <conditionalFormatting sqref="M490">
    <cfRule type="containsText" dxfId="4364" priority="12409" operator="containsText" text="FALSO">
      <formula>NOT(ISERROR(SEARCH("FALSO",M490)))</formula>
    </cfRule>
  </conditionalFormatting>
  <conditionalFormatting sqref="M491">
    <cfRule type="containsText" dxfId="4363" priority="12408" operator="containsText" text="FALSO">
      <formula>NOT(ISERROR(SEARCH("FALSO",M491)))</formula>
    </cfRule>
  </conditionalFormatting>
  <conditionalFormatting sqref="M489">
    <cfRule type="containsText" dxfId="4362" priority="12407" operator="containsText" text="FALSO">
      <formula>NOT(ISERROR(SEARCH("FALSO",M489)))</formula>
    </cfRule>
  </conditionalFormatting>
  <conditionalFormatting sqref="V488">
    <cfRule type="containsText" dxfId="4361" priority="12420" operator="containsText" text="FALSO">
      <formula>NOT(ISERROR(SEARCH("FALSO",V488)))</formula>
    </cfRule>
  </conditionalFormatting>
  <conditionalFormatting sqref="V487">
    <cfRule type="containsText" dxfId="4360" priority="12419" operator="containsText" text="FALSO">
      <formula>NOT(ISERROR(SEARCH("FALSO",V487)))</formula>
    </cfRule>
  </conditionalFormatting>
  <conditionalFormatting sqref="V486">
    <cfRule type="containsText" dxfId="4359" priority="12418" operator="containsText" text="FALSO">
      <formula>NOT(ISERROR(SEARCH("FALSO",V486)))</formula>
    </cfRule>
  </conditionalFormatting>
  <conditionalFormatting sqref="V485">
    <cfRule type="containsText" dxfId="4358" priority="12417" operator="containsText" text="FALSO">
      <formula>NOT(ISERROR(SEARCH("FALSO",V485)))</formula>
    </cfRule>
  </conditionalFormatting>
  <conditionalFormatting sqref="T472:T475">
    <cfRule type="containsText" dxfId="4357" priority="12426" operator="containsText" text="FALSO">
      <formula>NOT(ISERROR(SEARCH("FALSO",T472)))</formula>
    </cfRule>
  </conditionalFormatting>
  <conditionalFormatting sqref="T476:T479">
    <cfRule type="containsText" dxfId="4356" priority="12425" operator="containsText" text="FALSO">
      <formula>NOT(ISERROR(SEARCH("FALSO",T476)))</formula>
    </cfRule>
  </conditionalFormatting>
  <conditionalFormatting sqref="M481">
    <cfRule type="containsText" dxfId="4355" priority="12400" operator="containsText" text="FALSO">
      <formula>NOT(ISERROR(SEARCH("FALSO",M481)))</formula>
    </cfRule>
  </conditionalFormatting>
  <conditionalFormatting sqref="M480">
    <cfRule type="containsText" dxfId="4354" priority="12399" operator="containsText" text="FALSO">
      <formula>NOT(ISERROR(SEARCH("FALSO",M480)))</formula>
    </cfRule>
  </conditionalFormatting>
  <conditionalFormatting sqref="V472:V475">
    <cfRule type="containsText" dxfId="4353" priority="12412" operator="containsText" text="FALSO">
      <formula>NOT(ISERROR(SEARCH("FALSO",V472)))</formula>
    </cfRule>
  </conditionalFormatting>
  <conditionalFormatting sqref="V476:V479">
    <cfRule type="containsText" dxfId="4352" priority="12411" operator="containsText" text="FALSO">
      <formula>NOT(ISERROR(SEARCH("FALSO",V476)))</formula>
    </cfRule>
  </conditionalFormatting>
  <conditionalFormatting sqref="V484 V492:V511">
    <cfRule type="containsText" dxfId="4351" priority="12424" operator="containsText" text="FALSO">
      <formula>NOT(ISERROR(SEARCH("FALSO",V484)))</formula>
    </cfRule>
  </conditionalFormatting>
  <conditionalFormatting sqref="V490">
    <cfRule type="containsText" dxfId="4350" priority="12423" operator="containsText" text="FALSO">
      <formula>NOT(ISERROR(SEARCH("FALSO",V490)))</formula>
    </cfRule>
  </conditionalFormatting>
  <conditionalFormatting sqref="V491">
    <cfRule type="containsText" dxfId="4349" priority="12422" operator="containsText" text="FALSO">
      <formula>NOT(ISERROR(SEARCH("FALSO",V491)))</formula>
    </cfRule>
  </conditionalFormatting>
  <conditionalFormatting sqref="V489">
    <cfRule type="containsText" dxfId="4348" priority="12421" operator="containsText" text="FALSO">
      <formula>NOT(ISERROR(SEARCH("FALSO",V489)))</formula>
    </cfRule>
  </conditionalFormatting>
  <conditionalFormatting sqref="V483">
    <cfRule type="containsText" dxfId="4347" priority="12416" operator="containsText" text="FALSO">
      <formula>NOT(ISERROR(SEARCH("FALSO",V483)))</formula>
    </cfRule>
  </conditionalFormatting>
  <conditionalFormatting sqref="V482">
    <cfRule type="containsText" dxfId="4346" priority="12415" operator="containsText" text="FALSO">
      <formula>NOT(ISERROR(SEARCH("FALSO",V482)))</formula>
    </cfRule>
  </conditionalFormatting>
  <conditionalFormatting sqref="V481">
    <cfRule type="containsText" dxfId="4345" priority="12414" operator="containsText" text="FALSO">
      <formula>NOT(ISERROR(SEARCH("FALSO",V481)))</formula>
    </cfRule>
  </conditionalFormatting>
  <conditionalFormatting sqref="V480">
    <cfRule type="containsText" dxfId="4344" priority="12413" operator="containsText" text="FALSO">
      <formula>NOT(ISERROR(SEARCH("FALSO",V480)))</formula>
    </cfRule>
  </conditionalFormatting>
  <conditionalFormatting sqref="M476:M479">
    <cfRule type="containsText" dxfId="4343" priority="12397" operator="containsText" text="FALSO">
      <formula>NOT(ISERROR(SEARCH("FALSO",M476)))</formula>
    </cfRule>
  </conditionalFormatting>
  <conditionalFormatting sqref="M488">
    <cfRule type="containsText" dxfId="4342" priority="12406" operator="containsText" text="FALSO">
      <formula>NOT(ISERROR(SEARCH("FALSO",M488)))</formula>
    </cfRule>
  </conditionalFormatting>
  <conditionalFormatting sqref="M487">
    <cfRule type="containsText" dxfId="4341" priority="12405" operator="containsText" text="FALSO">
      <formula>NOT(ISERROR(SEARCH("FALSO",M487)))</formula>
    </cfRule>
  </conditionalFormatting>
  <conditionalFormatting sqref="M486">
    <cfRule type="containsText" dxfId="4340" priority="12404" operator="containsText" text="FALSO">
      <formula>NOT(ISERROR(SEARCH("FALSO",M486)))</formula>
    </cfRule>
  </conditionalFormatting>
  <conditionalFormatting sqref="M485">
    <cfRule type="containsText" dxfId="4339" priority="12403" operator="containsText" text="FALSO">
      <formula>NOT(ISERROR(SEARCH("FALSO",M485)))</formula>
    </cfRule>
  </conditionalFormatting>
  <conditionalFormatting sqref="M483">
    <cfRule type="containsText" dxfId="4338" priority="12402" operator="containsText" text="FALSO">
      <formula>NOT(ISERROR(SEARCH("FALSO",M483)))</formula>
    </cfRule>
  </conditionalFormatting>
  <conditionalFormatting sqref="M482">
    <cfRule type="containsText" dxfId="4337" priority="12401" operator="containsText" text="FALSO">
      <formula>NOT(ISERROR(SEARCH("FALSO",M482)))</formula>
    </cfRule>
  </conditionalFormatting>
  <conditionalFormatting sqref="M472:M475">
    <cfRule type="containsText" dxfId="4336" priority="12398" operator="containsText" text="FALSO">
      <formula>NOT(ISERROR(SEARCH("FALSO",M472)))</formula>
    </cfRule>
  </conditionalFormatting>
  <conditionalFormatting sqref="A281:C281 H281:J281 L281 W281 N281:P281 AK281:XFD281 AE281:AF281 F281 R281:U281">
    <cfRule type="containsText" dxfId="4335" priority="12395" operator="containsText" text="FALSO">
      <formula>NOT(ISERROR(SEARCH("FALSO",A281)))</formula>
    </cfRule>
  </conditionalFormatting>
  <conditionalFormatting sqref="A280:C280 H280:I280 N280:O280 S280 U280 W280 AK280:XFD280 F280">
    <cfRule type="containsText" dxfId="4334" priority="12393" operator="containsText" text="FALSO">
      <formula>NOT(ISERROR(SEARCH("FALSO",A280)))</formula>
    </cfRule>
  </conditionalFormatting>
  <conditionalFormatting sqref="A279:C279 H279:J279 L279 W279 N279:P279 Y279:Z279 AK279:XFD279 AE279:AF279 F279 R279:U279">
    <cfRule type="containsText" dxfId="4333" priority="12391" operator="containsText" text="FALSO">
      <formula>NOT(ISERROR(SEARCH("FALSO",A279)))</formula>
    </cfRule>
  </conditionalFormatting>
  <conditionalFormatting sqref="J280">
    <cfRule type="containsText" dxfId="4332" priority="12364" operator="containsText" text="FALSO">
      <formula>NOT(ISERROR(SEARCH("FALSO",J280)))</formula>
    </cfRule>
  </conditionalFormatting>
  <conditionalFormatting sqref="L280">
    <cfRule type="containsText" dxfId="4331" priority="12363" operator="containsText" text="FALSO">
      <formula>NOT(ISERROR(SEARCH("FALSO",L280)))</formula>
    </cfRule>
  </conditionalFormatting>
  <conditionalFormatting sqref="AE280:AF280">
    <cfRule type="containsText" dxfId="4330" priority="12356" operator="containsText" text="FALSO">
      <formula>NOT(ISERROR(SEARCH("FALSO",AE280)))</formula>
    </cfRule>
  </conditionalFormatting>
  <conditionalFormatting sqref="P280">
    <cfRule type="containsText" dxfId="4329" priority="12361" operator="containsText" text="FALSO">
      <formula>NOT(ISERROR(SEARCH("FALSO",P280)))</formula>
    </cfRule>
  </conditionalFormatting>
  <conditionalFormatting sqref="R280">
    <cfRule type="containsText" dxfId="4328" priority="12360" operator="containsText" text="FALSO">
      <formula>NOT(ISERROR(SEARCH("FALSO",R280)))</formula>
    </cfRule>
  </conditionalFormatting>
  <conditionalFormatting sqref="T280">
    <cfRule type="containsText" dxfId="4327" priority="12359" operator="containsText" text="FALSO">
      <formula>NOT(ISERROR(SEARCH("FALSO",T280)))</formula>
    </cfRule>
  </conditionalFormatting>
  <conditionalFormatting sqref="Y280:Z280">
    <cfRule type="containsText" dxfId="4326" priority="12357" operator="containsText" text="FALSO">
      <formula>NOT(ISERROR(SEARCH("FALSO",Y280)))</formula>
    </cfRule>
  </conditionalFormatting>
  <conditionalFormatting sqref="Y281:Z281">
    <cfRule type="containsText" dxfId="4325" priority="12354" operator="containsText" text="FALSO">
      <formula>NOT(ISERROR(SEARCH("FALSO",Y281)))</formula>
    </cfRule>
  </conditionalFormatting>
  <conditionalFormatting sqref="G279:G280">
    <cfRule type="containsText" dxfId="4324" priority="12352" operator="containsText" text="FALSO">
      <formula>NOT(ISERROR(SEARCH("FALSO",G279)))</formula>
    </cfRule>
  </conditionalFormatting>
  <conditionalFormatting sqref="G279:G280">
    <cfRule type="duplicateValues" dxfId="4323" priority="12353"/>
  </conditionalFormatting>
  <conditionalFormatting sqref="Y277:Z278 N277:P278 W277:W278 AK277:XFD278 AE277:AF278 R277:U278">
    <cfRule type="containsText" dxfId="4322" priority="12349" operator="containsText" text="FALSO">
      <formula>NOT(ISERROR(SEARCH("FALSO",N277)))</formula>
    </cfRule>
  </conditionalFormatting>
  <conditionalFormatting sqref="G277:G278">
    <cfRule type="duplicateValues" dxfId="4321" priority="12348"/>
  </conditionalFormatting>
  <conditionalFormatting sqref="S247 U247 W247 AE247:AF247">
    <cfRule type="containsText" dxfId="4320" priority="12083" operator="containsText" text="FALSO">
      <formula>NOT(ISERROR(SEARCH("FALSO",S247)))</formula>
    </cfRule>
  </conditionalFormatting>
  <conditionalFormatting sqref="R275:U276 N276:P276 W276 Y276:Z276 AK276:XFD276 AE276:AF276">
    <cfRule type="containsText" dxfId="4319" priority="12342" operator="containsText" text="FALSO">
      <formula>NOT(ISERROR(SEARCH("FALSO",N275)))</formula>
    </cfRule>
  </conditionalFormatting>
  <conditionalFormatting sqref="G275:G276">
    <cfRule type="duplicateValues" dxfId="4318" priority="12343"/>
  </conditionalFormatting>
  <conditionalFormatting sqref="A273:C273 H272 L272 J272 F272:F273">
    <cfRule type="containsText" dxfId="4317" priority="12306" operator="containsText" text="FALSO">
      <formula>NOT(ISERROR(SEARCH("FALSO",A272)))</formula>
    </cfRule>
  </conditionalFormatting>
  <conditionalFormatting sqref="W273">
    <cfRule type="containsText" dxfId="4316" priority="12307" operator="containsText" text="FALSO">
      <formula>NOT(ISERROR(SEARCH("FALSO",W273)))</formula>
    </cfRule>
  </conditionalFormatting>
  <conditionalFormatting sqref="Y274:Z274 N274:P274 W274 AK274:XFD274 AE274:AF274 R274:U274">
    <cfRule type="containsText" dxfId="4315" priority="12315" operator="containsText" text="FALSO">
      <formula>NOT(ISERROR(SEARCH("FALSO",N274)))</formula>
    </cfRule>
  </conditionalFormatting>
  <conditionalFormatting sqref="A274:C274 F274">
    <cfRule type="containsText" dxfId="4314" priority="12313" operator="containsText" text="FALSO">
      <formula>NOT(ISERROR(SEARCH("FALSO",A274)))</formula>
    </cfRule>
  </conditionalFormatting>
  <conditionalFormatting sqref="A244:C244">
    <cfRule type="containsText" dxfId="4313" priority="12060" operator="containsText" text="FALSO">
      <formula>NOT(ISERROR(SEARCH("FALSO",A244)))</formula>
    </cfRule>
  </conditionalFormatting>
  <conditionalFormatting sqref="A267:C267">
    <cfRule type="containsText" dxfId="4312" priority="12220" operator="containsText" text="FALSO">
      <formula>NOT(ISERROR(SEARCH("FALSO",A267)))</formula>
    </cfRule>
  </conditionalFormatting>
  <conditionalFormatting sqref="S266 U266 W266 AE266:AF266">
    <cfRule type="containsText" dxfId="4311" priority="12219" operator="containsText" text="FALSO">
      <formula>NOT(ISERROR(SEARCH("FALSO",S266)))</formula>
    </cfRule>
  </conditionalFormatting>
  <conditionalFormatting sqref="Y266:Z266 AT266:XFD266 P266 R266">
    <cfRule type="containsText" dxfId="4310" priority="12218" operator="containsText" text="FALSO">
      <formula>NOT(ISERROR(SEARCH("FALSO",P266)))</formula>
    </cfRule>
  </conditionalFormatting>
  <conditionalFormatting sqref="F266 I266:J266 L266">
    <cfRule type="containsText" dxfId="4309" priority="12217" operator="containsText" text="FALSO">
      <formula>NOT(ISERROR(SEARCH("FALSO",F266)))</formula>
    </cfRule>
  </conditionalFormatting>
  <conditionalFormatting sqref="K259">
    <cfRule type="containsText" dxfId="4308" priority="12174" operator="containsText" text="FALSO">
      <formula>NOT(ISERROR(SEARCH("FALSO",K259)))</formula>
    </cfRule>
  </conditionalFormatting>
  <conditionalFormatting sqref="W269:W272">
    <cfRule type="containsText" dxfId="4307" priority="12251" operator="containsText" text="FALSO">
      <formula>NOT(ISERROR(SEARCH("FALSO",W269)))</formula>
    </cfRule>
  </conditionalFormatting>
  <conditionalFormatting sqref="Y270">
    <cfRule type="containsText" dxfId="4306" priority="12250" operator="containsText" text="FALSO">
      <formula>NOT(ISERROR(SEARCH("FALSO",Y270)))</formula>
    </cfRule>
  </conditionalFormatting>
  <conditionalFormatting sqref="Y271">
    <cfRule type="containsText" dxfId="4305" priority="12249" operator="containsText" text="FALSO">
      <formula>NOT(ISERROR(SEARCH("FALSO",Y271)))</formula>
    </cfRule>
  </conditionalFormatting>
  <conditionalFormatting sqref="Y272">
    <cfRule type="containsText" dxfId="4304" priority="12248" operator="containsText" text="FALSO">
      <formula>NOT(ISERROR(SEARCH("FALSO",Y272)))</formula>
    </cfRule>
  </conditionalFormatting>
  <conditionalFormatting sqref="P271 AT271:XFD271">
    <cfRule type="containsText" dxfId="4303" priority="12288" operator="containsText" text="FALSO">
      <formula>NOT(ISERROR(SEARCH("FALSO",P271)))</formula>
    </cfRule>
  </conditionalFormatting>
  <conditionalFormatting sqref="F271 H271 L271 J271">
    <cfRule type="containsText" dxfId="4302" priority="12286" operator="containsText" text="FALSO">
      <formula>NOT(ISERROR(SEARCH("FALSO",F271)))</formula>
    </cfRule>
  </conditionalFormatting>
  <conditionalFormatting sqref="P270 AT270:XFD270">
    <cfRule type="containsText" dxfId="4301" priority="12282" operator="containsText" text="FALSO">
      <formula>NOT(ISERROR(SEARCH("FALSO",P270)))</formula>
    </cfRule>
  </conditionalFormatting>
  <conditionalFormatting sqref="F270 H270 L270 J270">
    <cfRule type="containsText" dxfId="4300" priority="12280" operator="containsText" text="FALSO">
      <formula>NOT(ISERROR(SEARCH("FALSO",F270)))</formula>
    </cfRule>
  </conditionalFormatting>
  <conditionalFormatting sqref="Y269:Z269 N270:O272 AE269:AF272 AT269:XFD269 N269:P269 R269">
    <cfRule type="containsText" dxfId="4299" priority="12276" operator="containsText" text="FALSO">
      <formula>NOT(ISERROR(SEARCH("FALSO",N269)))</formula>
    </cfRule>
  </conditionalFormatting>
  <conditionalFormatting sqref="F269 H269:J269 L269">
    <cfRule type="containsText" dxfId="4298" priority="12274" operator="containsText" text="FALSO">
      <formula>NOT(ISERROR(SEARCH("FALSO",F269)))</formula>
    </cfRule>
  </conditionalFormatting>
  <conditionalFormatting sqref="K268">
    <cfRule type="containsText" dxfId="4297" priority="12230" operator="containsText" text="FALSO">
      <formula>NOT(ISERROR(SEARCH("FALSO",K268)))</formula>
    </cfRule>
  </conditionalFormatting>
  <conditionalFormatting sqref="K272">
    <cfRule type="containsText" dxfId="4296" priority="12270" operator="containsText" text="FALSO">
      <formula>NOT(ISERROR(SEARCH("FALSO",K272)))</formula>
    </cfRule>
  </conditionalFormatting>
  <conditionalFormatting sqref="K271">
    <cfRule type="containsText" dxfId="4295" priority="12269" operator="containsText" text="FALSO">
      <formula>NOT(ISERROR(SEARCH("FALSO",K271)))</formula>
    </cfRule>
  </conditionalFormatting>
  <conditionalFormatting sqref="K270">
    <cfRule type="containsText" dxfId="4294" priority="12268" operator="containsText" text="FALSO">
      <formula>NOT(ISERROR(SEARCH("FALSO",K270)))</formula>
    </cfRule>
  </conditionalFormatting>
  <conditionalFormatting sqref="K269">
    <cfRule type="containsText" dxfId="4293" priority="12267" operator="containsText" text="FALSO">
      <formula>NOT(ISERROR(SEARCH("FALSO",K269)))</formula>
    </cfRule>
  </conditionalFormatting>
  <conditionalFormatting sqref="F267 I267:J267 L267">
    <cfRule type="containsText" dxfId="4292" priority="12225" operator="containsText" text="FALSO">
      <formula>NOT(ISERROR(SEARCH("FALSO",F267)))</formula>
    </cfRule>
  </conditionalFormatting>
  <conditionalFormatting sqref="R270">
    <cfRule type="containsText" dxfId="4291" priority="12263" operator="containsText" text="FALSO">
      <formula>NOT(ISERROR(SEARCH("FALSO",R270)))</formula>
    </cfRule>
  </conditionalFormatting>
  <conditionalFormatting sqref="R271">
    <cfRule type="containsText" dxfId="4290" priority="12262" operator="containsText" text="FALSO">
      <formula>NOT(ISERROR(SEARCH("FALSO",R271)))</formula>
    </cfRule>
  </conditionalFormatting>
  <conditionalFormatting sqref="R272">
    <cfRule type="containsText" dxfId="4289" priority="12261" operator="containsText" text="FALSO">
      <formula>NOT(ISERROR(SEARCH("FALSO",R272)))</formula>
    </cfRule>
  </conditionalFormatting>
  <conditionalFormatting sqref="T271">
    <cfRule type="containsText" dxfId="4288" priority="12259" operator="containsText" text="FALSO">
      <formula>NOT(ISERROR(SEARCH("FALSO",T271)))</formula>
    </cfRule>
  </conditionalFormatting>
  <conditionalFormatting sqref="T272">
    <cfRule type="containsText" dxfId="4287" priority="12258" operator="containsText" text="FALSO">
      <formula>NOT(ISERROR(SEARCH("FALSO",T272)))</formula>
    </cfRule>
  </conditionalFormatting>
  <conditionalFormatting sqref="S269:S272">
    <cfRule type="containsText" dxfId="4286" priority="12257" operator="containsText" text="FALSO">
      <formula>NOT(ISERROR(SEARCH("FALSO",S269)))</formula>
    </cfRule>
  </conditionalFormatting>
  <conditionalFormatting sqref="U269:U272">
    <cfRule type="containsText" dxfId="4285" priority="12256" operator="containsText" text="FALSO">
      <formula>NOT(ISERROR(SEARCH("FALSO",U269)))</formula>
    </cfRule>
  </conditionalFormatting>
  <conditionalFormatting sqref="A259:C259">
    <cfRule type="containsText" dxfId="4284" priority="12172" operator="containsText" text="FALSO">
      <formula>NOT(ISERROR(SEARCH("FALSO",A259)))</formula>
    </cfRule>
  </conditionalFormatting>
  <conditionalFormatting sqref="S258 U258 W258 AK258:AS258 AE258:AF258">
    <cfRule type="containsText" dxfId="4283" priority="12171" operator="containsText" text="FALSO">
      <formula>NOT(ISERROR(SEARCH("FALSO",S258)))</formula>
    </cfRule>
  </conditionalFormatting>
  <conditionalFormatting sqref="Y258:Z258 AT258:XFD258 R258">
    <cfRule type="containsText" dxfId="4282" priority="12170" operator="containsText" text="FALSO">
      <formula>NOT(ISERROR(SEARCH("FALSO",R258)))</formula>
    </cfRule>
  </conditionalFormatting>
  <conditionalFormatting sqref="Z270">
    <cfRule type="containsText" dxfId="4281" priority="12247" operator="containsText" text="FALSO">
      <formula>NOT(ISERROR(SEARCH("FALSO",Z270)))</formula>
    </cfRule>
  </conditionalFormatting>
  <conditionalFormatting sqref="Z271">
    <cfRule type="containsText" dxfId="4280" priority="12246" operator="containsText" text="FALSO">
      <formula>NOT(ISERROR(SEARCH("FALSO",Z271)))</formula>
    </cfRule>
  </conditionalFormatting>
  <conditionalFormatting sqref="Z272">
    <cfRule type="containsText" dxfId="4279" priority="12245" operator="containsText" text="FALSO">
      <formula>NOT(ISERROR(SEARCH("FALSO",Z272)))</formula>
    </cfRule>
  </conditionalFormatting>
  <conditionalFormatting sqref="AK269:AS272">
    <cfRule type="containsText" dxfId="4278" priority="12242" operator="containsText" text="FALSO">
      <formula>NOT(ISERROR(SEARCH("FALSO",AK269)))</formula>
    </cfRule>
  </conditionalFormatting>
  <conditionalFormatting sqref="A271:C272">
    <cfRule type="containsText" dxfId="4277" priority="12241" operator="containsText" text="FALSO">
      <formula>NOT(ISERROR(SEARCH("FALSO",A271)))</formula>
    </cfRule>
  </conditionalFormatting>
  <conditionalFormatting sqref="A269:C269">
    <cfRule type="containsText" dxfId="4276" priority="12239" operator="containsText" text="FALSO">
      <formula>NOT(ISERROR(SEARCH("FALSO",A269)))</formula>
    </cfRule>
  </conditionalFormatting>
  <conditionalFormatting sqref="A270:C270">
    <cfRule type="containsText" dxfId="4275" priority="12240" operator="containsText" text="FALSO">
      <formula>NOT(ISERROR(SEARCH("FALSO",A270)))</formula>
    </cfRule>
  </conditionalFormatting>
  <conditionalFormatting sqref="I270">
    <cfRule type="containsText" dxfId="4274" priority="12238" operator="containsText" text="FALSO">
      <formula>NOT(ISERROR(SEARCH("FALSO",I270)))</formula>
    </cfRule>
  </conditionalFormatting>
  <conditionalFormatting sqref="I271">
    <cfRule type="containsText" dxfId="4273" priority="12237" operator="containsText" text="FALSO">
      <formula>NOT(ISERROR(SEARCH("FALSO",I271)))</formula>
    </cfRule>
  </conditionalFormatting>
  <conditionalFormatting sqref="I272">
    <cfRule type="containsText" dxfId="4272" priority="12236" operator="containsText" text="FALSO">
      <formula>NOT(ISERROR(SEARCH("FALSO",I272)))</formula>
    </cfRule>
  </conditionalFormatting>
  <conditionalFormatting sqref="S268 U268 W268 AE268:AF268">
    <cfRule type="containsText" dxfId="4271" priority="12235" operator="containsText" text="FALSO">
      <formula>NOT(ISERROR(SEARCH("FALSO",S268)))</formula>
    </cfRule>
  </conditionalFormatting>
  <conditionalFormatting sqref="Y268:Z268 AT268:XFD268 P268 R268">
    <cfRule type="containsText" dxfId="4270" priority="12234" operator="containsText" text="FALSO">
      <formula>NOT(ISERROR(SEARCH("FALSO",P268)))</formula>
    </cfRule>
  </conditionalFormatting>
  <conditionalFormatting sqref="F268 I268:J268 L268">
    <cfRule type="containsText" dxfId="4269" priority="12233" operator="containsText" text="FALSO">
      <formula>NOT(ISERROR(SEARCH("FALSO",F268)))</formula>
    </cfRule>
  </conditionalFormatting>
  <conditionalFormatting sqref="S255 U255 W255 AK255:AS255 AE255:AF255">
    <cfRule type="containsText" dxfId="4268" priority="12147" operator="containsText" text="FALSO">
      <formula>NOT(ISERROR(SEARCH("FALSO",S255)))</formula>
    </cfRule>
  </conditionalFormatting>
  <conditionalFormatting sqref="A268:C268">
    <cfRule type="containsText" dxfId="4267" priority="12228" operator="containsText" text="FALSO">
      <formula>NOT(ISERROR(SEARCH("FALSO",A268)))</formula>
    </cfRule>
  </conditionalFormatting>
  <conditionalFormatting sqref="S267 U267 W267 AE267:AF267">
    <cfRule type="containsText" dxfId="4266" priority="12227" operator="containsText" text="FALSO">
      <formula>NOT(ISERROR(SEARCH("FALSO",S267)))</formula>
    </cfRule>
  </conditionalFormatting>
  <conditionalFormatting sqref="Y267:Z267 AT267:XFD267 P267 R267">
    <cfRule type="containsText" dxfId="4265" priority="12226" operator="containsText" text="FALSO">
      <formula>NOT(ISERROR(SEARCH("FALSO",P267)))</formula>
    </cfRule>
  </conditionalFormatting>
  <conditionalFormatting sqref="K267">
    <cfRule type="containsText" dxfId="4264" priority="12222" operator="containsText" text="FALSO">
      <formula>NOT(ISERROR(SEARCH("FALSO",K267)))</formula>
    </cfRule>
  </conditionalFormatting>
  <conditionalFormatting sqref="S254 U254 W254">
    <cfRule type="containsText" dxfId="4263" priority="12139" operator="containsText" text="FALSO">
      <formula>NOT(ISERROR(SEARCH("FALSO",S254)))</formula>
    </cfRule>
  </conditionalFormatting>
  <conditionalFormatting sqref="K266">
    <cfRule type="containsText" dxfId="4262" priority="12214" operator="containsText" text="FALSO">
      <formula>NOT(ISERROR(SEARCH("FALSO",K266)))</formula>
    </cfRule>
  </conditionalFormatting>
  <conditionalFormatting sqref="A266:C266">
    <cfRule type="containsText" dxfId="4261" priority="12212" operator="containsText" text="FALSO">
      <formula>NOT(ISERROR(SEARCH("FALSO",A266)))</formula>
    </cfRule>
  </conditionalFormatting>
  <conditionalFormatting sqref="S264 U264 W264 AE264:AF264">
    <cfRule type="containsText" dxfId="4260" priority="12211" operator="containsText" text="FALSO">
      <formula>NOT(ISERROR(SEARCH("FALSO",S264)))</formula>
    </cfRule>
  </conditionalFormatting>
  <conditionalFormatting sqref="Y264:Z264 AT264:XFD264 P264 R264">
    <cfRule type="containsText" dxfId="4259" priority="12210" operator="containsText" text="FALSO">
      <formula>NOT(ISERROR(SEARCH("FALSO",P264)))</formula>
    </cfRule>
  </conditionalFormatting>
  <conditionalFormatting sqref="F264 I264:J264 L264">
    <cfRule type="containsText" dxfId="4258" priority="12209" operator="containsText" text="FALSO">
      <formula>NOT(ISERROR(SEARCH("FALSO",F264)))</formula>
    </cfRule>
  </conditionalFormatting>
  <conditionalFormatting sqref="K264">
    <cfRule type="containsText" dxfId="4257" priority="12206" operator="containsText" text="FALSO">
      <formula>NOT(ISERROR(SEARCH("FALSO",K264)))</formula>
    </cfRule>
  </conditionalFormatting>
  <conditionalFormatting sqref="A264:C264">
    <cfRule type="containsText" dxfId="4256" priority="12204" operator="containsText" text="FALSO">
      <formula>NOT(ISERROR(SEARCH("FALSO",A264)))</formula>
    </cfRule>
  </conditionalFormatting>
  <conditionalFormatting sqref="S263 U263 W263 AE263:AF263">
    <cfRule type="containsText" dxfId="4255" priority="12203" operator="containsText" text="FALSO">
      <formula>NOT(ISERROR(SEARCH("FALSO",S263)))</formula>
    </cfRule>
  </conditionalFormatting>
  <conditionalFormatting sqref="Y263:Z263 AT263:XFD263 P263 R263">
    <cfRule type="containsText" dxfId="4254" priority="12202" operator="containsText" text="FALSO">
      <formula>NOT(ISERROR(SEARCH("FALSO",P263)))</formula>
    </cfRule>
  </conditionalFormatting>
  <conditionalFormatting sqref="F263 I263:J263 L263">
    <cfRule type="containsText" dxfId="4253" priority="12201" operator="containsText" text="FALSO">
      <formula>NOT(ISERROR(SEARCH("FALSO",F263)))</formula>
    </cfRule>
  </conditionalFormatting>
  <conditionalFormatting sqref="K263">
    <cfRule type="containsText" dxfId="4252" priority="12198" operator="containsText" text="FALSO">
      <formula>NOT(ISERROR(SEARCH("FALSO",K263)))</formula>
    </cfRule>
  </conditionalFormatting>
  <conditionalFormatting sqref="A263:C263">
    <cfRule type="containsText" dxfId="4251" priority="12196" operator="containsText" text="FALSO">
      <formula>NOT(ISERROR(SEARCH("FALSO",A263)))</formula>
    </cfRule>
  </conditionalFormatting>
  <conditionalFormatting sqref="S262 U262 W262 AE262:AF262">
    <cfRule type="containsText" dxfId="4250" priority="12195" operator="containsText" text="FALSO">
      <formula>NOT(ISERROR(SEARCH("FALSO",S262)))</formula>
    </cfRule>
  </conditionalFormatting>
  <conditionalFormatting sqref="Y262:Z262 AT262:XFD262 P262 R262">
    <cfRule type="containsText" dxfId="4249" priority="12194" operator="containsText" text="FALSO">
      <formula>NOT(ISERROR(SEARCH("FALSO",P262)))</formula>
    </cfRule>
  </conditionalFormatting>
  <conditionalFormatting sqref="F262 I262:J262 L262">
    <cfRule type="containsText" dxfId="4248" priority="12193" operator="containsText" text="FALSO">
      <formula>NOT(ISERROR(SEARCH("FALSO",F262)))</formula>
    </cfRule>
  </conditionalFormatting>
  <conditionalFormatting sqref="K262">
    <cfRule type="containsText" dxfId="4247" priority="12190" operator="containsText" text="FALSO">
      <formula>NOT(ISERROR(SEARCH("FALSO",K262)))</formula>
    </cfRule>
  </conditionalFormatting>
  <conditionalFormatting sqref="A262:C262">
    <cfRule type="containsText" dxfId="4246" priority="12188" operator="containsText" text="FALSO">
      <formula>NOT(ISERROR(SEARCH("FALSO",A262)))</formula>
    </cfRule>
  </conditionalFormatting>
  <conditionalFormatting sqref="S261 U261 W261 AK261:AS261 AE261:AF261">
    <cfRule type="containsText" dxfId="4245" priority="12187" operator="containsText" text="FALSO">
      <formula>NOT(ISERROR(SEARCH("FALSO",S261)))</formula>
    </cfRule>
  </conditionalFormatting>
  <conditionalFormatting sqref="Y261:Z261 AT261:XFD261 P261 R261">
    <cfRule type="containsText" dxfId="4244" priority="12186" operator="containsText" text="FALSO">
      <formula>NOT(ISERROR(SEARCH("FALSO",P261)))</formula>
    </cfRule>
  </conditionalFormatting>
  <conditionalFormatting sqref="F261 I261:J261 L261">
    <cfRule type="containsText" dxfId="4243" priority="12185" operator="containsText" text="FALSO">
      <formula>NOT(ISERROR(SEARCH("FALSO",F261)))</formula>
    </cfRule>
  </conditionalFormatting>
  <conditionalFormatting sqref="K261">
    <cfRule type="containsText" dxfId="4242" priority="12182" operator="containsText" text="FALSO">
      <formula>NOT(ISERROR(SEARCH("FALSO",K261)))</formula>
    </cfRule>
  </conditionalFormatting>
  <conditionalFormatting sqref="A261:C261">
    <cfRule type="containsText" dxfId="4241" priority="12180" operator="containsText" text="FALSO">
      <formula>NOT(ISERROR(SEARCH("FALSO",A261)))</formula>
    </cfRule>
  </conditionalFormatting>
  <conditionalFormatting sqref="S259 U259 W259 AK259:AS259 AE259:AF259">
    <cfRule type="containsText" dxfId="4240" priority="12179" operator="containsText" text="FALSO">
      <formula>NOT(ISERROR(SEARCH("FALSO",S259)))</formula>
    </cfRule>
  </conditionalFormatting>
  <conditionalFormatting sqref="Y259:Z259 AT259:XFD259 R259">
    <cfRule type="containsText" dxfId="4239" priority="12178" operator="containsText" text="FALSO">
      <formula>NOT(ISERROR(SEARCH("FALSO",R259)))</formula>
    </cfRule>
  </conditionalFormatting>
  <conditionalFormatting sqref="F259 I259:J259 L259">
    <cfRule type="containsText" dxfId="4238" priority="12177" operator="containsText" text="FALSO">
      <formula>NOT(ISERROR(SEARCH("FALSO",F259)))</formula>
    </cfRule>
  </conditionalFormatting>
  <conditionalFormatting sqref="F258 I258:J258 L258">
    <cfRule type="containsText" dxfId="4237" priority="12169" operator="containsText" text="FALSO">
      <formula>NOT(ISERROR(SEARCH("FALSO",F258)))</formula>
    </cfRule>
  </conditionalFormatting>
  <conditionalFormatting sqref="K258">
    <cfRule type="containsText" dxfId="4236" priority="12166" operator="containsText" text="FALSO">
      <formula>NOT(ISERROR(SEARCH("FALSO",K258)))</formula>
    </cfRule>
  </conditionalFormatting>
  <conditionalFormatting sqref="A258:C258">
    <cfRule type="containsText" dxfId="4235" priority="12164" operator="containsText" text="FALSO">
      <formula>NOT(ISERROR(SEARCH("FALSO",A258)))</formula>
    </cfRule>
  </conditionalFormatting>
  <conditionalFormatting sqref="S257 U257 W257 AK257:AS257 AE257:AF257">
    <cfRule type="containsText" dxfId="4234" priority="12163" operator="containsText" text="FALSO">
      <formula>NOT(ISERROR(SEARCH("FALSO",S257)))</formula>
    </cfRule>
  </conditionalFormatting>
  <conditionalFormatting sqref="Y257:Z257 AT257:XFD257 R257">
    <cfRule type="containsText" dxfId="4233" priority="12162" operator="containsText" text="FALSO">
      <formula>NOT(ISERROR(SEARCH("FALSO",R257)))</formula>
    </cfRule>
  </conditionalFormatting>
  <conditionalFormatting sqref="F257 I257:J257 L257">
    <cfRule type="containsText" dxfId="4232" priority="12161" operator="containsText" text="FALSO">
      <formula>NOT(ISERROR(SEARCH("FALSO",F257)))</formula>
    </cfRule>
  </conditionalFormatting>
  <conditionalFormatting sqref="K257">
    <cfRule type="containsText" dxfId="4231" priority="12158" operator="containsText" text="FALSO">
      <formula>NOT(ISERROR(SEARCH("FALSO",K257)))</formula>
    </cfRule>
  </conditionalFormatting>
  <conditionalFormatting sqref="A257:C257">
    <cfRule type="containsText" dxfId="4230" priority="12156" operator="containsText" text="FALSO">
      <formula>NOT(ISERROR(SEARCH("FALSO",A257)))</formula>
    </cfRule>
  </conditionalFormatting>
  <conditionalFormatting sqref="S256 U256 W256 AK256:AS256 AE256:AF256">
    <cfRule type="containsText" dxfId="4229" priority="12155" operator="containsText" text="FALSO">
      <formula>NOT(ISERROR(SEARCH("FALSO",S256)))</formula>
    </cfRule>
  </conditionalFormatting>
  <conditionalFormatting sqref="Y256:Z256 AT256:XFD256 R256">
    <cfRule type="containsText" dxfId="4228" priority="12154" operator="containsText" text="FALSO">
      <formula>NOT(ISERROR(SEARCH("FALSO",R256)))</formula>
    </cfRule>
  </conditionalFormatting>
  <conditionalFormatting sqref="F256 I256:J256 L256">
    <cfRule type="containsText" dxfId="4227" priority="12153" operator="containsText" text="FALSO">
      <formula>NOT(ISERROR(SEARCH("FALSO",F256)))</formula>
    </cfRule>
  </conditionalFormatting>
  <conditionalFormatting sqref="K256">
    <cfRule type="containsText" dxfId="4226" priority="12150" operator="containsText" text="FALSO">
      <formula>NOT(ISERROR(SEARCH("FALSO",K256)))</formula>
    </cfRule>
  </conditionalFormatting>
  <conditionalFormatting sqref="A256:C256">
    <cfRule type="containsText" dxfId="4225" priority="12148" operator="containsText" text="FALSO">
      <formula>NOT(ISERROR(SEARCH("FALSO",A256)))</formula>
    </cfRule>
  </conditionalFormatting>
  <conditionalFormatting sqref="Y255:Z255 AT255:XFD255 R255">
    <cfRule type="containsText" dxfId="4224" priority="12146" operator="containsText" text="FALSO">
      <formula>NOT(ISERROR(SEARCH("FALSO",R255)))</formula>
    </cfRule>
  </conditionalFormatting>
  <conditionalFormatting sqref="F255 I255:J255 L255">
    <cfRule type="containsText" dxfId="4223" priority="12145" operator="containsText" text="FALSO">
      <formula>NOT(ISERROR(SEARCH("FALSO",F255)))</formula>
    </cfRule>
  </conditionalFormatting>
  <conditionalFormatting sqref="K255">
    <cfRule type="containsText" dxfId="4222" priority="12142" operator="containsText" text="FALSO">
      <formula>NOT(ISERROR(SEARCH("FALSO",K255)))</formula>
    </cfRule>
  </conditionalFormatting>
  <conditionalFormatting sqref="A255:C255">
    <cfRule type="containsText" dxfId="4221" priority="12140" operator="containsText" text="FALSO">
      <formula>NOT(ISERROR(SEARCH("FALSO",A255)))</formula>
    </cfRule>
  </conditionalFormatting>
  <conditionalFormatting sqref="P254 AT254:XFD254">
    <cfRule type="containsText" dxfId="4220" priority="12138" operator="containsText" text="FALSO">
      <formula>NOT(ISERROR(SEARCH("FALSO",P254)))</formula>
    </cfRule>
  </conditionalFormatting>
  <conditionalFormatting sqref="F254 I254:J254 L254">
    <cfRule type="containsText" dxfId="4219" priority="12137" operator="containsText" text="FALSO">
      <formula>NOT(ISERROR(SEARCH("FALSO",F254)))</formula>
    </cfRule>
  </conditionalFormatting>
  <conditionalFormatting sqref="F253 I253:J253 L253">
    <cfRule type="containsText" dxfId="4218" priority="12129" operator="containsText" text="FALSO">
      <formula>NOT(ISERROR(SEARCH("FALSO",F253)))</formula>
    </cfRule>
  </conditionalFormatting>
  <conditionalFormatting sqref="K254">
    <cfRule type="containsText" dxfId="4217" priority="12134" operator="containsText" text="FALSO">
      <formula>NOT(ISERROR(SEARCH("FALSO",K254)))</formula>
    </cfRule>
  </conditionalFormatting>
  <conditionalFormatting sqref="A254:C254">
    <cfRule type="containsText" dxfId="4216" priority="12132" operator="containsText" text="FALSO">
      <formula>NOT(ISERROR(SEARCH("FALSO",A254)))</formula>
    </cfRule>
  </conditionalFormatting>
  <conditionalFormatting sqref="S253 U253 W253">
    <cfRule type="containsText" dxfId="4215" priority="12131" operator="containsText" text="FALSO">
      <formula>NOT(ISERROR(SEARCH("FALSO",S253)))</formula>
    </cfRule>
  </conditionalFormatting>
  <conditionalFormatting sqref="P253 AT253:XFD253">
    <cfRule type="containsText" dxfId="4214" priority="12130" operator="containsText" text="FALSO">
      <formula>NOT(ISERROR(SEARCH("FALSO",P253)))</formula>
    </cfRule>
  </conditionalFormatting>
  <conditionalFormatting sqref="F252 I252:J252 L252">
    <cfRule type="containsText" dxfId="4213" priority="12121" operator="containsText" text="FALSO">
      <formula>NOT(ISERROR(SEARCH("FALSO",F252)))</formula>
    </cfRule>
  </conditionalFormatting>
  <conditionalFormatting sqref="K253">
    <cfRule type="containsText" dxfId="4212" priority="12126" operator="containsText" text="FALSO">
      <formula>NOT(ISERROR(SEARCH("FALSO",K253)))</formula>
    </cfRule>
  </conditionalFormatting>
  <conditionalFormatting sqref="A253:C253">
    <cfRule type="containsText" dxfId="4211" priority="12124" operator="containsText" text="FALSO">
      <formula>NOT(ISERROR(SEARCH("FALSO",A253)))</formula>
    </cfRule>
  </conditionalFormatting>
  <conditionalFormatting sqref="S252 U252 W252 AE252:AF252">
    <cfRule type="containsText" dxfId="4210" priority="12123" operator="containsText" text="FALSO">
      <formula>NOT(ISERROR(SEARCH("FALSO",S252)))</formula>
    </cfRule>
  </conditionalFormatting>
  <conditionalFormatting sqref="Y252:Z252 AT252:XFD252 P252 R252">
    <cfRule type="containsText" dxfId="4209" priority="12122" operator="containsText" text="FALSO">
      <formula>NOT(ISERROR(SEARCH("FALSO",P252)))</formula>
    </cfRule>
  </conditionalFormatting>
  <conditionalFormatting sqref="K252">
    <cfRule type="containsText" dxfId="4208" priority="12118" operator="containsText" text="FALSO">
      <formula>NOT(ISERROR(SEARCH("FALSO",K252)))</formula>
    </cfRule>
  </conditionalFormatting>
  <conditionalFormatting sqref="A252:C252">
    <cfRule type="containsText" dxfId="4207" priority="12116" operator="containsText" text="FALSO">
      <formula>NOT(ISERROR(SEARCH("FALSO",A252)))</formula>
    </cfRule>
  </conditionalFormatting>
  <conditionalFormatting sqref="S251 U251 W251 AE251:AF251">
    <cfRule type="containsText" dxfId="4206" priority="12115" operator="containsText" text="FALSO">
      <formula>NOT(ISERROR(SEARCH("FALSO",S251)))</formula>
    </cfRule>
  </conditionalFormatting>
  <conditionalFormatting sqref="Y251:Z251 AT251:XFD251 P251 R251">
    <cfRule type="containsText" dxfId="4205" priority="12114" operator="containsText" text="FALSO">
      <formula>NOT(ISERROR(SEARCH("FALSO",P251)))</formula>
    </cfRule>
  </conditionalFormatting>
  <conditionalFormatting sqref="F251 I251:J251 L251">
    <cfRule type="containsText" dxfId="4204" priority="12113" operator="containsText" text="FALSO">
      <formula>NOT(ISERROR(SEARCH("FALSO",F251)))</formula>
    </cfRule>
  </conditionalFormatting>
  <conditionalFormatting sqref="K251">
    <cfRule type="containsText" dxfId="4203" priority="12110" operator="containsText" text="FALSO">
      <formula>NOT(ISERROR(SEARCH("FALSO",K251)))</formula>
    </cfRule>
  </conditionalFormatting>
  <conditionalFormatting sqref="A251:C251">
    <cfRule type="containsText" dxfId="4202" priority="12108" operator="containsText" text="FALSO">
      <formula>NOT(ISERROR(SEARCH("FALSO",A251)))</formula>
    </cfRule>
  </conditionalFormatting>
  <conditionalFormatting sqref="S250 U250 W250 AE250:AF250">
    <cfRule type="containsText" dxfId="4201" priority="12107" operator="containsText" text="FALSO">
      <formula>NOT(ISERROR(SEARCH("FALSO",S250)))</formula>
    </cfRule>
  </conditionalFormatting>
  <conditionalFormatting sqref="Y250:Z250 AT250:XFD250 P250 R250">
    <cfRule type="containsText" dxfId="4200" priority="12106" operator="containsText" text="FALSO">
      <formula>NOT(ISERROR(SEARCH("FALSO",P250)))</formula>
    </cfRule>
  </conditionalFormatting>
  <conditionalFormatting sqref="F250 I250:J250 L250">
    <cfRule type="containsText" dxfId="4199" priority="12105" operator="containsText" text="FALSO">
      <formula>NOT(ISERROR(SEARCH("FALSO",F250)))</formula>
    </cfRule>
  </conditionalFormatting>
  <conditionalFormatting sqref="K250">
    <cfRule type="containsText" dxfId="4198" priority="12102" operator="containsText" text="FALSO">
      <formula>NOT(ISERROR(SEARCH("FALSO",K250)))</formula>
    </cfRule>
  </conditionalFormatting>
  <conditionalFormatting sqref="A250:C250">
    <cfRule type="containsText" dxfId="4197" priority="12100" operator="containsText" text="FALSO">
      <formula>NOT(ISERROR(SEARCH("FALSO",A250)))</formula>
    </cfRule>
  </conditionalFormatting>
  <conditionalFormatting sqref="S249 U249 W249 AE249:AF249">
    <cfRule type="containsText" dxfId="4196" priority="12099" operator="containsText" text="FALSO">
      <formula>NOT(ISERROR(SEARCH("FALSO",S249)))</formula>
    </cfRule>
  </conditionalFormatting>
  <conditionalFormatting sqref="Y249:Z249 AT249:XFD249 P249 R249">
    <cfRule type="containsText" dxfId="4195" priority="12098" operator="containsText" text="FALSO">
      <formula>NOT(ISERROR(SEARCH("FALSO",P249)))</formula>
    </cfRule>
  </conditionalFormatting>
  <conditionalFormatting sqref="F249 I249:J249 L249">
    <cfRule type="containsText" dxfId="4194" priority="12097" operator="containsText" text="FALSO">
      <formula>NOT(ISERROR(SEARCH("FALSO",F249)))</formula>
    </cfRule>
  </conditionalFormatting>
  <conditionalFormatting sqref="K249">
    <cfRule type="containsText" dxfId="4193" priority="12094" operator="containsText" text="FALSO">
      <formula>NOT(ISERROR(SEARCH("FALSO",K249)))</formula>
    </cfRule>
  </conditionalFormatting>
  <conditionalFormatting sqref="A249:C249">
    <cfRule type="containsText" dxfId="4192" priority="12092" operator="containsText" text="FALSO">
      <formula>NOT(ISERROR(SEARCH("FALSO",A249)))</formula>
    </cfRule>
  </conditionalFormatting>
  <conditionalFormatting sqref="S248 U248 W248 AE248:AF248">
    <cfRule type="containsText" dxfId="4191" priority="12091" operator="containsText" text="FALSO">
      <formula>NOT(ISERROR(SEARCH("FALSO",S248)))</formula>
    </cfRule>
  </conditionalFormatting>
  <conditionalFormatting sqref="Y248:Z248 AT248:XFD248 P248 R248">
    <cfRule type="containsText" dxfId="4190" priority="12090" operator="containsText" text="FALSO">
      <formula>NOT(ISERROR(SEARCH("FALSO",P248)))</formula>
    </cfRule>
  </conditionalFormatting>
  <conditionalFormatting sqref="F248 I248:J248 L248">
    <cfRule type="containsText" dxfId="4189" priority="12089" operator="containsText" text="FALSO">
      <formula>NOT(ISERROR(SEARCH("FALSO",F248)))</formula>
    </cfRule>
  </conditionalFormatting>
  <conditionalFormatting sqref="K248">
    <cfRule type="containsText" dxfId="4188" priority="12086" operator="containsText" text="FALSO">
      <formula>NOT(ISERROR(SEARCH("FALSO",K248)))</formula>
    </cfRule>
  </conditionalFormatting>
  <conditionalFormatting sqref="A248:C248">
    <cfRule type="containsText" dxfId="4187" priority="12084" operator="containsText" text="FALSO">
      <formula>NOT(ISERROR(SEARCH("FALSO",A248)))</formula>
    </cfRule>
  </conditionalFormatting>
  <conditionalFormatting sqref="Y247:Z247 AT247:XFD247 P247 R247">
    <cfRule type="containsText" dxfId="4186" priority="12082" operator="containsText" text="FALSO">
      <formula>NOT(ISERROR(SEARCH("FALSO",P247)))</formula>
    </cfRule>
  </conditionalFormatting>
  <conditionalFormatting sqref="F247 I247:J247 L247">
    <cfRule type="containsText" dxfId="4185" priority="12081" operator="containsText" text="FALSO">
      <formula>NOT(ISERROR(SEARCH("FALSO",F247)))</formula>
    </cfRule>
  </conditionalFormatting>
  <conditionalFormatting sqref="K247">
    <cfRule type="containsText" dxfId="4184" priority="12078" operator="containsText" text="FALSO">
      <formula>NOT(ISERROR(SEARCH("FALSO",K247)))</formula>
    </cfRule>
  </conditionalFormatting>
  <conditionalFormatting sqref="A247:C247">
    <cfRule type="containsText" dxfId="4183" priority="12076" operator="containsText" text="FALSO">
      <formula>NOT(ISERROR(SEARCH("FALSO",A247)))</formula>
    </cfRule>
  </conditionalFormatting>
  <conditionalFormatting sqref="S246 U246 W246 AE246:AF246">
    <cfRule type="containsText" dxfId="4182" priority="12075" operator="containsText" text="FALSO">
      <formula>NOT(ISERROR(SEARCH("FALSO",S246)))</formula>
    </cfRule>
  </conditionalFormatting>
  <conditionalFormatting sqref="Y246:Z246 AT246:XFD246 P246 R246">
    <cfRule type="containsText" dxfId="4181" priority="12074" operator="containsText" text="FALSO">
      <formula>NOT(ISERROR(SEARCH("FALSO",P246)))</formula>
    </cfRule>
  </conditionalFormatting>
  <conditionalFormatting sqref="F246 I246:J246 L246">
    <cfRule type="containsText" dxfId="4180" priority="12073" operator="containsText" text="FALSO">
      <formula>NOT(ISERROR(SEARCH("FALSO",F246)))</formula>
    </cfRule>
  </conditionalFormatting>
  <conditionalFormatting sqref="K246">
    <cfRule type="containsText" dxfId="4179" priority="12070" operator="containsText" text="FALSO">
      <formula>NOT(ISERROR(SEARCH("FALSO",K246)))</formula>
    </cfRule>
  </conditionalFormatting>
  <conditionalFormatting sqref="A246:C246">
    <cfRule type="containsText" dxfId="4178" priority="12068" operator="containsText" text="FALSO">
      <formula>NOT(ISERROR(SEARCH("FALSO",A246)))</formula>
    </cfRule>
  </conditionalFormatting>
  <conditionalFormatting sqref="S244 U244 W244 AE244:AF244">
    <cfRule type="containsText" dxfId="4177" priority="12067" operator="containsText" text="FALSO">
      <formula>NOT(ISERROR(SEARCH("FALSO",S244)))</formula>
    </cfRule>
  </conditionalFormatting>
  <conditionalFormatting sqref="Y244:Z244 AT244:XFD244 P244 R244">
    <cfRule type="containsText" dxfId="4176" priority="12066" operator="containsText" text="FALSO">
      <formula>NOT(ISERROR(SEARCH("FALSO",P244)))</formula>
    </cfRule>
  </conditionalFormatting>
  <conditionalFormatting sqref="F244 I244:J244 L244">
    <cfRule type="containsText" dxfId="4175" priority="12065" operator="containsText" text="FALSO">
      <formula>NOT(ISERROR(SEARCH("FALSO",F244)))</formula>
    </cfRule>
  </conditionalFormatting>
  <conditionalFormatting sqref="K244">
    <cfRule type="containsText" dxfId="4174" priority="12062" operator="containsText" text="FALSO">
      <formula>NOT(ISERROR(SEARCH("FALSO",K244)))</formula>
    </cfRule>
  </conditionalFormatting>
  <conditionalFormatting sqref="S243 U243 W243 AE243:AF243">
    <cfRule type="containsText" dxfId="4173" priority="12059" operator="containsText" text="FALSO">
      <formula>NOT(ISERROR(SEARCH("FALSO",S243)))</formula>
    </cfRule>
  </conditionalFormatting>
  <conditionalFormatting sqref="Y243:Z243 AT243:XFD243 P243 R243">
    <cfRule type="containsText" dxfId="4172" priority="12058" operator="containsText" text="FALSO">
      <formula>NOT(ISERROR(SEARCH("FALSO",P243)))</formula>
    </cfRule>
  </conditionalFormatting>
  <conditionalFormatting sqref="F243 I243:J243 L243">
    <cfRule type="containsText" dxfId="4171" priority="12057" operator="containsText" text="FALSO">
      <formula>NOT(ISERROR(SEARCH("FALSO",F243)))</formula>
    </cfRule>
  </conditionalFormatting>
  <conditionalFormatting sqref="K243">
    <cfRule type="containsText" dxfId="4170" priority="12054" operator="containsText" text="FALSO">
      <formula>NOT(ISERROR(SEARCH("FALSO",K243)))</formula>
    </cfRule>
  </conditionalFormatting>
  <conditionalFormatting sqref="A243:C243">
    <cfRule type="containsText" dxfId="4169" priority="12052" operator="containsText" text="FALSO">
      <formula>NOT(ISERROR(SEARCH("FALSO",A243)))</formula>
    </cfRule>
  </conditionalFormatting>
  <conditionalFormatting sqref="S242 U242 W242 AE242:AF242">
    <cfRule type="containsText" dxfId="4168" priority="12051" operator="containsText" text="FALSO">
      <formula>NOT(ISERROR(SEARCH("FALSO",S242)))</formula>
    </cfRule>
  </conditionalFormatting>
  <conditionalFormatting sqref="Y242:Z242 AT242:XFD242 P242 R242">
    <cfRule type="containsText" dxfId="4167" priority="12050" operator="containsText" text="FALSO">
      <formula>NOT(ISERROR(SEARCH("FALSO",P242)))</formula>
    </cfRule>
  </conditionalFormatting>
  <conditionalFormatting sqref="F242 I242:J242 L242">
    <cfRule type="containsText" dxfId="4166" priority="12049" operator="containsText" text="FALSO">
      <formula>NOT(ISERROR(SEARCH("FALSO",F242)))</formula>
    </cfRule>
  </conditionalFormatting>
  <conditionalFormatting sqref="K242">
    <cfRule type="containsText" dxfId="4165" priority="12046" operator="containsText" text="FALSO">
      <formula>NOT(ISERROR(SEARCH("FALSO",K242)))</formula>
    </cfRule>
  </conditionalFormatting>
  <conditionalFormatting sqref="AK248:AS248">
    <cfRule type="containsText" dxfId="4164" priority="12021" operator="containsText" text="FALSO">
      <formula>NOT(ISERROR(SEARCH("FALSO",AK248)))</formula>
    </cfRule>
  </conditionalFormatting>
  <conditionalFormatting sqref="A242:C242">
    <cfRule type="containsText" dxfId="4163" priority="12044" operator="containsText" text="FALSO">
      <formula>NOT(ISERROR(SEARCH("FALSO",A242)))</formula>
    </cfRule>
  </conditionalFormatting>
  <conditionalFormatting sqref="S241 U241 W241 AE241:AF241">
    <cfRule type="containsText" dxfId="4162" priority="12043" operator="containsText" text="FALSO">
      <formula>NOT(ISERROR(SEARCH("FALSO",S241)))</formula>
    </cfRule>
  </conditionalFormatting>
  <conditionalFormatting sqref="Y241:Z241 AT241:XFD241 P241 R241">
    <cfRule type="containsText" dxfId="4161" priority="12042" operator="containsText" text="FALSO">
      <formula>NOT(ISERROR(SEARCH("FALSO",P241)))</formula>
    </cfRule>
  </conditionalFormatting>
  <conditionalFormatting sqref="F241 I241:J241 L241">
    <cfRule type="containsText" dxfId="4160" priority="12041" operator="containsText" text="FALSO">
      <formula>NOT(ISERROR(SEARCH("FALSO",F241)))</formula>
    </cfRule>
  </conditionalFormatting>
  <conditionalFormatting sqref="K241">
    <cfRule type="containsText" dxfId="4159" priority="12038" operator="containsText" text="FALSO">
      <formula>NOT(ISERROR(SEARCH("FALSO",K241)))</formula>
    </cfRule>
  </conditionalFormatting>
  <conditionalFormatting sqref="R253">
    <cfRule type="containsText" dxfId="4158" priority="12013" operator="containsText" text="FALSO">
      <formula>NOT(ISERROR(SEARCH("FALSO",R253)))</formula>
    </cfRule>
  </conditionalFormatting>
  <conditionalFormatting sqref="A241:C241">
    <cfRule type="containsText" dxfId="4157" priority="12036" operator="containsText" text="FALSO">
      <formula>NOT(ISERROR(SEARCH("FALSO",A241)))</formula>
    </cfRule>
  </conditionalFormatting>
  <conditionalFormatting sqref="S239 U239 W239 AE239:AF239">
    <cfRule type="containsText" dxfId="4156" priority="12035" operator="containsText" text="FALSO">
      <formula>NOT(ISERROR(SEARCH("FALSO",S239)))</formula>
    </cfRule>
  </conditionalFormatting>
  <conditionalFormatting sqref="Y239:Z239 AT239:XFD239">
    <cfRule type="containsText" dxfId="4155" priority="12034" operator="containsText" text="FALSO">
      <formula>NOT(ISERROR(SEARCH("FALSO",Y239)))</formula>
    </cfRule>
  </conditionalFormatting>
  <conditionalFormatting sqref="F239 H239:J239 L239 H241:H244 H261:H264 H246:H259 H266:H268">
    <cfRule type="containsText" dxfId="4154" priority="12033" operator="containsText" text="FALSO">
      <formula>NOT(ISERROR(SEARCH("FALSO",F239)))</formula>
    </cfRule>
  </conditionalFormatting>
  <conditionalFormatting sqref="K239">
    <cfRule type="containsText" dxfId="4153" priority="12030" operator="containsText" text="FALSO">
      <formula>NOT(ISERROR(SEARCH("FALSO",K239)))</formula>
    </cfRule>
  </conditionalFormatting>
  <conditionalFormatting sqref="Y253:Z253">
    <cfRule type="containsText" dxfId="4152" priority="12005" operator="containsText" text="FALSO">
      <formula>NOT(ISERROR(SEARCH("FALSO",Y253)))</formula>
    </cfRule>
  </conditionalFormatting>
  <conditionalFormatting sqref="A239:C239">
    <cfRule type="containsText" dxfId="4151" priority="12028" operator="containsText" text="FALSO">
      <formula>NOT(ISERROR(SEARCH("FALSO",A239)))</formula>
    </cfRule>
  </conditionalFormatting>
  <conditionalFormatting sqref="AK254:AS254">
    <cfRule type="containsText" dxfId="4150" priority="12027" operator="containsText" text="FALSO">
      <formula>NOT(ISERROR(SEARCH("FALSO",AK254)))</formula>
    </cfRule>
  </conditionalFormatting>
  <conditionalFormatting sqref="AK253:AS253">
    <cfRule type="containsText" dxfId="4149" priority="12026" operator="containsText" text="FALSO">
      <formula>NOT(ISERROR(SEARCH("FALSO",AK253)))</formula>
    </cfRule>
  </conditionalFormatting>
  <conditionalFormatting sqref="AK252:AS252">
    <cfRule type="containsText" dxfId="4148" priority="12025" operator="containsText" text="FALSO">
      <formula>NOT(ISERROR(SEARCH("FALSO",AK252)))</formula>
    </cfRule>
  </conditionalFormatting>
  <conditionalFormatting sqref="AK251:AS251">
    <cfRule type="containsText" dxfId="4147" priority="12024" operator="containsText" text="FALSO">
      <formula>NOT(ISERROR(SEARCH("FALSO",AK251)))</formula>
    </cfRule>
  </conditionalFormatting>
  <conditionalFormatting sqref="AK250:AS250">
    <cfRule type="containsText" dxfId="4146" priority="12023" operator="containsText" text="FALSO">
      <formula>NOT(ISERROR(SEARCH("FALSO",AK250)))</formula>
    </cfRule>
  </conditionalFormatting>
  <conditionalFormatting sqref="AK249:AS249">
    <cfRule type="containsText" dxfId="4145" priority="12022" operator="containsText" text="FALSO">
      <formula>NOT(ISERROR(SEARCH("FALSO",AK249)))</formula>
    </cfRule>
  </conditionalFormatting>
  <conditionalFormatting sqref="AK247:AS247">
    <cfRule type="containsText" dxfId="4144" priority="12020" operator="containsText" text="FALSO">
      <formula>NOT(ISERROR(SEARCH("FALSO",AK247)))</formula>
    </cfRule>
  </conditionalFormatting>
  <conditionalFormatting sqref="AK246:AS246">
    <cfRule type="containsText" dxfId="4143" priority="12019" operator="containsText" text="FALSO">
      <formula>NOT(ISERROR(SEARCH("FALSO",AK246)))</formula>
    </cfRule>
  </conditionalFormatting>
  <conditionalFormatting sqref="AK244:AS244">
    <cfRule type="containsText" dxfId="4142" priority="12018" operator="containsText" text="FALSO">
      <formula>NOT(ISERROR(SEARCH("FALSO",AK244)))</formula>
    </cfRule>
  </conditionalFormatting>
  <conditionalFormatting sqref="AK243:AS243">
    <cfRule type="containsText" dxfId="4141" priority="12017" operator="containsText" text="FALSO">
      <formula>NOT(ISERROR(SEARCH("FALSO",AK243)))</formula>
    </cfRule>
  </conditionalFormatting>
  <conditionalFormatting sqref="AK242:AS242">
    <cfRule type="containsText" dxfId="4140" priority="12016" operator="containsText" text="FALSO">
      <formula>NOT(ISERROR(SEARCH("FALSO",AK242)))</formula>
    </cfRule>
  </conditionalFormatting>
  <conditionalFormatting sqref="AK241:AS241">
    <cfRule type="containsText" dxfId="4139" priority="12015" operator="containsText" text="FALSO">
      <formula>NOT(ISERROR(SEARCH("FALSO",AK241)))</formula>
    </cfRule>
  </conditionalFormatting>
  <conditionalFormatting sqref="AK239:AN239 AP239:AQ239 AS239">
    <cfRule type="containsText" dxfId="4138" priority="12014" operator="containsText" text="FALSO">
      <formula>NOT(ISERROR(SEARCH("FALSO",AK239)))</formula>
    </cfRule>
  </conditionalFormatting>
  <conditionalFormatting sqref="R254">
    <cfRule type="containsText" dxfId="4137" priority="12012" operator="containsText" text="FALSO">
      <formula>NOT(ISERROR(SEARCH("FALSO",R254)))</formula>
    </cfRule>
  </conditionalFormatting>
  <conditionalFormatting sqref="P225">
    <cfRule type="containsText" dxfId="4136" priority="11672" operator="containsText" text="FALSO">
      <formula>NOT(ISERROR(SEARCH("FALSO",P225)))</formula>
    </cfRule>
  </conditionalFormatting>
  <conditionalFormatting sqref="S225 U225 W225 AE225:AF225">
    <cfRule type="containsText" dxfId="4135" priority="11671" operator="containsText" text="FALSO">
      <formula>NOT(ISERROR(SEARCH("FALSO",S225)))</formula>
    </cfRule>
  </conditionalFormatting>
  <conditionalFormatting sqref="Y254">
    <cfRule type="containsText" dxfId="4134" priority="12004" operator="containsText" text="FALSO">
      <formula>NOT(ISERROR(SEARCH("FALSO",Y254)))</formula>
    </cfRule>
  </conditionalFormatting>
  <conditionalFormatting sqref="Z254">
    <cfRule type="containsText" dxfId="4133" priority="12003" operator="containsText" text="FALSO">
      <formula>NOT(ISERROR(SEARCH("FALSO",Z254)))</formula>
    </cfRule>
  </conditionalFormatting>
  <conditionalFormatting sqref="AE253:AF254">
    <cfRule type="containsText" dxfId="4132" priority="12002" operator="containsText" text="FALSO">
      <formula>NOT(ISERROR(SEARCH("FALSO",AE253)))</formula>
    </cfRule>
  </conditionalFormatting>
  <conditionalFormatting sqref="AK268:AS268">
    <cfRule type="containsText" dxfId="4131" priority="12001" operator="containsText" text="FALSO">
      <formula>NOT(ISERROR(SEARCH("FALSO",AK268)))</formula>
    </cfRule>
  </conditionalFormatting>
  <conditionalFormatting sqref="AK267:AS267">
    <cfRule type="containsText" dxfId="4130" priority="12000" operator="containsText" text="FALSO">
      <formula>NOT(ISERROR(SEARCH("FALSO",AK267)))</formula>
    </cfRule>
  </conditionalFormatting>
  <conditionalFormatting sqref="AK266:AS266">
    <cfRule type="containsText" dxfId="4129" priority="11999" operator="containsText" text="FALSO">
      <formula>NOT(ISERROR(SEARCH("FALSO",AK266)))</formula>
    </cfRule>
  </conditionalFormatting>
  <conditionalFormatting sqref="AK264:AS264">
    <cfRule type="containsText" dxfId="4128" priority="11998" operator="containsText" text="FALSO">
      <formula>NOT(ISERROR(SEARCH("FALSO",AK264)))</formula>
    </cfRule>
  </conditionalFormatting>
  <conditionalFormatting sqref="AK263:AS263">
    <cfRule type="containsText" dxfId="4127" priority="11997" operator="containsText" text="FALSO">
      <formula>NOT(ISERROR(SEARCH("FALSO",AK263)))</formula>
    </cfRule>
  </conditionalFormatting>
  <conditionalFormatting sqref="AK262:AS262">
    <cfRule type="containsText" dxfId="4126" priority="11996" operator="containsText" text="FALSO">
      <formula>NOT(ISERROR(SEARCH("FALSO",AK262)))</formula>
    </cfRule>
  </conditionalFormatting>
  <conditionalFormatting sqref="Y223:Z223 AT223:XFD223">
    <cfRule type="containsText" dxfId="4125" priority="11650" operator="containsText" text="FALSO">
      <formula>NOT(ISERROR(SEARCH("FALSO",Y223)))</formula>
    </cfRule>
  </conditionalFormatting>
  <conditionalFormatting sqref="J223">
    <cfRule type="containsText" dxfId="4124" priority="11649" operator="containsText" text="FALSO">
      <formula>NOT(ISERROR(SEARCH("FALSO",J223)))</formula>
    </cfRule>
  </conditionalFormatting>
  <conditionalFormatting sqref="K223">
    <cfRule type="containsText" dxfId="4123" priority="11647" operator="containsText" text="FALSO">
      <formula>NOT(ISERROR(SEARCH("FALSO",K223)))</formula>
    </cfRule>
  </conditionalFormatting>
  <conditionalFormatting sqref="A223:C223">
    <cfRule type="containsText" dxfId="4122" priority="11646" operator="containsText" text="FALSO">
      <formula>NOT(ISERROR(SEARCH("FALSO",A223)))</formula>
    </cfRule>
  </conditionalFormatting>
  <conditionalFormatting sqref="AK223 AM223:AN223 AP223:AQ223 AS223">
    <cfRule type="containsText" dxfId="4121" priority="11645" operator="containsText" text="FALSO">
      <formula>NOT(ISERROR(SEARCH("FALSO",AK223)))</formula>
    </cfRule>
  </conditionalFormatting>
  <conditionalFormatting sqref="S240 U240 W240 AE240:AF240">
    <cfRule type="containsText" dxfId="4120" priority="11970" operator="containsText" text="FALSO">
      <formula>NOT(ISERROR(SEARCH("FALSO",S240)))</formula>
    </cfRule>
  </conditionalFormatting>
  <conditionalFormatting sqref="P240 Y240:Z240 AT240:XFD240">
    <cfRule type="containsText" dxfId="4119" priority="11969" operator="containsText" text="FALSO">
      <formula>NOT(ISERROR(SEARCH("FALSO",P240)))</formula>
    </cfRule>
  </conditionalFormatting>
  <conditionalFormatting sqref="F240 I240:J240 L240">
    <cfRule type="containsText" dxfId="4118" priority="11968" operator="containsText" text="FALSO">
      <formula>NOT(ISERROR(SEARCH("FALSO",F240)))</formula>
    </cfRule>
  </conditionalFormatting>
  <conditionalFormatting sqref="K240">
    <cfRule type="containsText" dxfId="4117" priority="11965" operator="containsText" text="FALSO">
      <formula>NOT(ISERROR(SEARCH("FALSO",K240)))</formula>
    </cfRule>
  </conditionalFormatting>
  <conditionalFormatting sqref="A240:C240">
    <cfRule type="containsText" dxfId="4116" priority="11964" operator="containsText" text="FALSO">
      <formula>NOT(ISERROR(SEARCH("FALSO",A240)))</formula>
    </cfRule>
  </conditionalFormatting>
  <conditionalFormatting sqref="Y260:Z260 AT260:XFD260 R260">
    <cfRule type="containsText" dxfId="4115" priority="11957" operator="containsText" text="FALSO">
      <formula>NOT(ISERROR(SEARCH("FALSO",R260)))</formula>
    </cfRule>
  </conditionalFormatting>
  <conditionalFormatting sqref="H240">
    <cfRule type="containsText" dxfId="4114" priority="11962" operator="containsText" text="FALSO">
      <formula>NOT(ISERROR(SEARCH("FALSO",H240)))</formula>
    </cfRule>
  </conditionalFormatting>
  <conditionalFormatting sqref="AK240:AN240 AP240:AQ240 AS240">
    <cfRule type="containsText" dxfId="4113" priority="11961" operator="containsText" text="FALSO">
      <formula>NOT(ISERROR(SEARCH("FALSO",AK240)))</formula>
    </cfRule>
  </conditionalFormatting>
  <conditionalFormatting sqref="S260 U260 W260 AK260:AS260 AE260:AF260">
    <cfRule type="containsText" dxfId="4112" priority="11958" operator="containsText" text="FALSO">
      <formula>NOT(ISERROR(SEARCH("FALSO",S260)))</formula>
    </cfRule>
  </conditionalFormatting>
  <conditionalFormatting sqref="F260 I260:J260 L260">
    <cfRule type="containsText" dxfId="4111" priority="11956" operator="containsText" text="FALSO">
      <formula>NOT(ISERROR(SEARCH("FALSO",F260)))</formula>
    </cfRule>
  </conditionalFormatting>
  <conditionalFormatting sqref="K260">
    <cfRule type="containsText" dxfId="4110" priority="11953" operator="containsText" text="FALSO">
      <formula>NOT(ISERROR(SEARCH("FALSO",K260)))</formula>
    </cfRule>
  </conditionalFormatting>
  <conditionalFormatting sqref="A260:C260">
    <cfRule type="containsText" dxfId="4109" priority="11952" operator="containsText" text="FALSO">
      <formula>NOT(ISERROR(SEARCH("FALSO",A260)))</formula>
    </cfRule>
  </conditionalFormatting>
  <conditionalFormatting sqref="F245 I245:J245 L245">
    <cfRule type="containsText" dxfId="4108" priority="11945" operator="containsText" text="FALSO">
      <formula>NOT(ISERROR(SEARCH("FALSO",F245)))</formula>
    </cfRule>
  </conditionalFormatting>
  <conditionalFormatting sqref="H260">
    <cfRule type="containsText" dxfId="4107" priority="11950" operator="containsText" text="FALSO">
      <formula>NOT(ISERROR(SEARCH("FALSO",H260)))</formula>
    </cfRule>
  </conditionalFormatting>
  <conditionalFormatting sqref="P220">
    <cfRule type="containsText" dxfId="4106" priority="11622" operator="containsText" text="FALSO">
      <formula>NOT(ISERROR(SEARCH("FALSO",P220)))</formula>
    </cfRule>
  </conditionalFormatting>
  <conditionalFormatting sqref="S245 U245 W245 AE245:AF245">
    <cfRule type="containsText" dxfId="4105" priority="11947" operator="containsText" text="FALSO">
      <formula>NOT(ISERROR(SEARCH("FALSO",S245)))</formula>
    </cfRule>
  </conditionalFormatting>
  <conditionalFormatting sqref="Y245:Z245 AT245:XFD245 P245 R245">
    <cfRule type="containsText" dxfId="4104" priority="11946" operator="containsText" text="FALSO">
      <formula>NOT(ISERROR(SEARCH("FALSO",P245)))</formula>
    </cfRule>
  </conditionalFormatting>
  <conditionalFormatting sqref="K245">
    <cfRule type="containsText" dxfId="4103" priority="11942" operator="containsText" text="FALSO">
      <formula>NOT(ISERROR(SEARCH("FALSO",K245)))</formula>
    </cfRule>
  </conditionalFormatting>
  <conditionalFormatting sqref="A245:C245">
    <cfRule type="containsText" dxfId="4102" priority="11941" operator="containsText" text="FALSO">
      <formula>NOT(ISERROR(SEARCH("FALSO",A245)))</formula>
    </cfRule>
  </conditionalFormatting>
  <conditionalFormatting sqref="Y265:Z265 AT265:XFD265 P265 R265">
    <cfRule type="containsText" dxfId="4101" priority="11934" operator="containsText" text="FALSO">
      <formula>NOT(ISERROR(SEARCH("FALSO",P265)))</formula>
    </cfRule>
  </conditionalFormatting>
  <conditionalFormatting sqref="H245">
    <cfRule type="containsText" dxfId="4100" priority="11939" operator="containsText" text="FALSO">
      <formula>NOT(ISERROR(SEARCH("FALSO",H245)))</formula>
    </cfRule>
  </conditionalFormatting>
  <conditionalFormatting sqref="AK245:AS245">
    <cfRule type="containsText" dxfId="4099" priority="11938" operator="containsText" text="FALSO">
      <formula>NOT(ISERROR(SEARCH("FALSO",AK245)))</formula>
    </cfRule>
  </conditionalFormatting>
  <conditionalFormatting sqref="S219 U219 W219 AE219:AF219">
    <cfRule type="containsText" dxfId="4098" priority="11611" operator="containsText" text="FALSO">
      <formula>NOT(ISERROR(SEARCH("FALSO",S219)))</formula>
    </cfRule>
  </conditionalFormatting>
  <conditionalFormatting sqref="Y219:Z219 AT219:XFD219">
    <cfRule type="containsText" dxfId="4097" priority="11610" operator="containsText" text="FALSO">
      <formula>NOT(ISERROR(SEARCH("FALSO",Y219)))</formula>
    </cfRule>
  </conditionalFormatting>
  <conditionalFormatting sqref="S265 U265 W265 AE265:AF265">
    <cfRule type="containsText" dxfId="4096" priority="11935" operator="containsText" text="FALSO">
      <formula>NOT(ISERROR(SEARCH("FALSO",S265)))</formula>
    </cfRule>
  </conditionalFormatting>
  <conditionalFormatting sqref="F265 I265:J265 L265">
    <cfRule type="containsText" dxfId="4095" priority="11933" operator="containsText" text="FALSO">
      <formula>NOT(ISERROR(SEARCH("FALSO",F265)))</formula>
    </cfRule>
  </conditionalFormatting>
  <conditionalFormatting sqref="K265">
    <cfRule type="containsText" dxfId="4094" priority="11930" operator="containsText" text="FALSO">
      <formula>NOT(ISERROR(SEARCH("FALSO",K265)))</formula>
    </cfRule>
  </conditionalFormatting>
  <conditionalFormatting sqref="A265:C265">
    <cfRule type="containsText" dxfId="4093" priority="11929" operator="containsText" text="FALSO">
      <formula>NOT(ISERROR(SEARCH("FALSO",A265)))</formula>
    </cfRule>
  </conditionalFormatting>
  <conditionalFormatting sqref="H265">
    <cfRule type="containsText" dxfId="4092" priority="11927" operator="containsText" text="FALSO">
      <formula>NOT(ISERROR(SEARCH("FALSO",H265)))</formula>
    </cfRule>
  </conditionalFormatting>
  <conditionalFormatting sqref="AK265:AS265">
    <cfRule type="containsText" dxfId="4091" priority="11926" operator="containsText" text="FALSO">
      <formula>NOT(ISERROR(SEARCH("FALSO",AK265)))</formula>
    </cfRule>
  </conditionalFormatting>
  <conditionalFormatting sqref="S230 U230 W230 AE230:AF230">
    <cfRule type="containsText" dxfId="4090" priority="11721" operator="containsText" text="FALSO">
      <formula>NOT(ISERROR(SEARCH("FALSO",S230)))</formula>
    </cfRule>
  </conditionalFormatting>
  <conditionalFormatting sqref="J222">
    <cfRule type="containsText" dxfId="4089" priority="11639" operator="containsText" text="FALSO">
      <formula>NOT(ISERROR(SEARCH("FALSO",J222)))</formula>
    </cfRule>
  </conditionalFormatting>
  <conditionalFormatting sqref="K222">
    <cfRule type="containsText" dxfId="4088" priority="11637" operator="containsText" text="FALSO">
      <formula>NOT(ISERROR(SEARCH("FALSO",K222)))</formula>
    </cfRule>
  </conditionalFormatting>
  <conditionalFormatting sqref="A222:C222">
    <cfRule type="containsText" dxfId="4087" priority="11636" operator="containsText" text="FALSO">
      <formula>NOT(ISERROR(SEARCH("FALSO",A222)))</formula>
    </cfRule>
  </conditionalFormatting>
  <conditionalFormatting sqref="P221">
    <cfRule type="containsText" dxfId="4086" priority="11632" operator="containsText" text="FALSO">
      <formula>NOT(ISERROR(SEARCH("FALSO",P221)))</formula>
    </cfRule>
  </conditionalFormatting>
  <conditionalFormatting sqref="S221 U221 W221 AE221:AF221">
    <cfRule type="containsText" dxfId="4085" priority="11631" operator="containsText" text="FALSO">
      <formula>NOT(ISERROR(SEARCH("FALSO",S221)))</formula>
    </cfRule>
  </conditionalFormatting>
  <conditionalFormatting sqref="Y221:Z221 AT221:XFD221">
    <cfRule type="containsText" dxfId="4084" priority="11630" operator="containsText" text="FALSO">
      <formula>NOT(ISERROR(SEARCH("FALSO",Y221)))</formula>
    </cfRule>
  </conditionalFormatting>
  <conditionalFormatting sqref="J221">
    <cfRule type="containsText" dxfId="4083" priority="11629" operator="containsText" text="FALSO">
      <formula>NOT(ISERROR(SEARCH("FALSO",J221)))</formula>
    </cfRule>
  </conditionalFormatting>
  <conditionalFormatting sqref="K221">
    <cfRule type="containsText" dxfId="4082" priority="11627" operator="containsText" text="FALSO">
      <formula>NOT(ISERROR(SEARCH("FALSO",K221)))</formula>
    </cfRule>
  </conditionalFormatting>
  <conditionalFormatting sqref="A221:C221">
    <cfRule type="containsText" dxfId="4081" priority="11626" operator="containsText" text="FALSO">
      <formula>NOT(ISERROR(SEARCH("FALSO",A221)))</formula>
    </cfRule>
  </conditionalFormatting>
  <conditionalFormatting sqref="AK221 AM221:AN221 AP221:AQ221 AS221">
    <cfRule type="containsText" dxfId="4080" priority="11625" operator="containsText" text="FALSO">
      <formula>NOT(ISERROR(SEARCH("FALSO",AK221)))</formula>
    </cfRule>
  </conditionalFormatting>
  <conditionalFormatting sqref="S220 U220 W220 AE220:AF220">
    <cfRule type="containsText" dxfId="4079" priority="11621" operator="containsText" text="FALSO">
      <formula>NOT(ISERROR(SEARCH("FALSO",S220)))</formula>
    </cfRule>
  </conditionalFormatting>
  <conditionalFormatting sqref="Y220:Z220 AT220:XFD220">
    <cfRule type="containsText" dxfId="4078" priority="11620" operator="containsText" text="FALSO">
      <formula>NOT(ISERROR(SEARCH("FALSO",Y220)))</formula>
    </cfRule>
  </conditionalFormatting>
  <conditionalFormatting sqref="J220">
    <cfRule type="containsText" dxfId="4077" priority="11619" operator="containsText" text="FALSO">
      <formula>NOT(ISERROR(SEARCH("FALSO",J220)))</formula>
    </cfRule>
  </conditionalFormatting>
  <conditionalFormatting sqref="K220">
    <cfRule type="containsText" dxfId="4076" priority="11617" operator="containsText" text="FALSO">
      <formula>NOT(ISERROR(SEARCH("FALSO",K220)))</formula>
    </cfRule>
  </conditionalFormatting>
  <conditionalFormatting sqref="A220:C220">
    <cfRule type="containsText" dxfId="4075" priority="11616" operator="containsText" text="FALSO">
      <formula>NOT(ISERROR(SEARCH("FALSO",A220)))</formula>
    </cfRule>
  </conditionalFormatting>
  <conditionalFormatting sqref="P219">
    <cfRule type="containsText" dxfId="4074" priority="11612" operator="containsText" text="FALSO">
      <formula>NOT(ISERROR(SEARCH("FALSO",P219)))</formula>
    </cfRule>
  </conditionalFormatting>
  <conditionalFormatting sqref="P222">
    <cfRule type="containsText" dxfId="4073" priority="11642" operator="containsText" text="FALSO">
      <formula>NOT(ISERROR(SEARCH("FALSO",P222)))</formula>
    </cfRule>
  </conditionalFormatting>
  <conditionalFormatting sqref="S222 U222 W222 AE222:AF222">
    <cfRule type="containsText" dxfId="4072" priority="11641" operator="containsText" text="FALSO">
      <formula>NOT(ISERROR(SEARCH("FALSO",S222)))</formula>
    </cfRule>
  </conditionalFormatting>
  <conditionalFormatting sqref="Y222:Z222 AT222:XFD222">
    <cfRule type="containsText" dxfId="4071" priority="11640" operator="containsText" text="FALSO">
      <formula>NOT(ISERROR(SEARCH("FALSO",Y222)))</formula>
    </cfRule>
  </conditionalFormatting>
  <conditionalFormatting sqref="S231 U231 W231 AE231:AF231">
    <cfRule type="containsText" dxfId="4070" priority="11731" operator="containsText" text="FALSO">
      <formula>NOT(ISERROR(SEARCH("FALSO",S231)))</formula>
    </cfRule>
  </conditionalFormatting>
  <conditionalFormatting sqref="Y231:Z231 AT231:XFD231">
    <cfRule type="containsText" dxfId="4069" priority="11730" operator="containsText" text="FALSO">
      <formula>NOT(ISERROR(SEARCH("FALSO",Y231)))</formula>
    </cfRule>
  </conditionalFormatting>
  <conditionalFormatting sqref="J231">
    <cfRule type="containsText" dxfId="4068" priority="11729" operator="containsText" text="FALSO">
      <formula>NOT(ISERROR(SEARCH("FALSO",J231)))</formula>
    </cfRule>
  </conditionalFormatting>
  <conditionalFormatting sqref="K231">
    <cfRule type="containsText" dxfId="4067" priority="11727" operator="containsText" text="FALSO">
      <formula>NOT(ISERROR(SEARCH("FALSO",K231)))</formula>
    </cfRule>
  </conditionalFormatting>
  <conditionalFormatting sqref="A231:C231">
    <cfRule type="containsText" dxfId="4066" priority="11726" operator="containsText" text="FALSO">
      <formula>NOT(ISERROR(SEARCH("FALSO",A231)))</formula>
    </cfRule>
  </conditionalFormatting>
  <conditionalFormatting sqref="AK231 AM231:AN231 AP231:AQ231 AS231">
    <cfRule type="containsText" dxfId="4065" priority="11725" operator="containsText" text="FALSO">
      <formula>NOT(ISERROR(SEARCH("FALSO",AK231)))</formula>
    </cfRule>
  </conditionalFormatting>
  <conditionalFormatting sqref="P230">
    <cfRule type="containsText" dxfId="4064" priority="11722" operator="containsText" text="FALSO">
      <formula>NOT(ISERROR(SEARCH("FALSO",P230)))</formula>
    </cfRule>
  </conditionalFormatting>
  <conditionalFormatting sqref="Y230:Z230 AT230:XFD230">
    <cfRule type="containsText" dxfId="4063" priority="11720" operator="containsText" text="FALSO">
      <formula>NOT(ISERROR(SEARCH("FALSO",Y230)))</formula>
    </cfRule>
  </conditionalFormatting>
  <conditionalFormatting sqref="J230">
    <cfRule type="containsText" dxfId="4062" priority="11719" operator="containsText" text="FALSO">
      <formula>NOT(ISERROR(SEARCH("FALSO",J230)))</formula>
    </cfRule>
  </conditionalFormatting>
  <conditionalFormatting sqref="K230">
    <cfRule type="containsText" dxfId="4061" priority="11717" operator="containsText" text="FALSO">
      <formula>NOT(ISERROR(SEARCH("FALSO",K230)))</formula>
    </cfRule>
  </conditionalFormatting>
  <conditionalFormatting sqref="A230:C230">
    <cfRule type="containsText" dxfId="4060" priority="11716" operator="containsText" text="FALSO">
      <formula>NOT(ISERROR(SEARCH("FALSO",A230)))</formula>
    </cfRule>
  </conditionalFormatting>
  <conditionalFormatting sqref="P229">
    <cfRule type="containsText" dxfId="4059" priority="11712" operator="containsText" text="FALSO">
      <formula>NOT(ISERROR(SEARCH("FALSO",P229)))</formula>
    </cfRule>
  </conditionalFormatting>
  <conditionalFormatting sqref="S229 U229 W229 AE229:AF229">
    <cfRule type="containsText" dxfId="4058" priority="11711" operator="containsText" text="FALSO">
      <formula>NOT(ISERROR(SEARCH("FALSO",S229)))</formula>
    </cfRule>
  </conditionalFormatting>
  <conditionalFormatting sqref="Y229:Z229 AT229:XFD229">
    <cfRule type="containsText" dxfId="4057" priority="11710" operator="containsText" text="FALSO">
      <formula>NOT(ISERROR(SEARCH("FALSO",Y229)))</formula>
    </cfRule>
  </conditionalFormatting>
  <conditionalFormatting sqref="J229">
    <cfRule type="containsText" dxfId="4056" priority="11709" operator="containsText" text="FALSO">
      <formula>NOT(ISERROR(SEARCH("FALSO",J229)))</formula>
    </cfRule>
  </conditionalFormatting>
  <conditionalFormatting sqref="K229">
    <cfRule type="containsText" dxfId="4055" priority="11707" operator="containsText" text="FALSO">
      <formula>NOT(ISERROR(SEARCH("FALSO",K229)))</formula>
    </cfRule>
  </conditionalFormatting>
  <conditionalFormatting sqref="A229:C229">
    <cfRule type="containsText" dxfId="4054" priority="11706" operator="containsText" text="FALSO">
      <formula>NOT(ISERROR(SEARCH("FALSO",A229)))</formula>
    </cfRule>
  </conditionalFormatting>
  <conditionalFormatting sqref="AK229 AM229:AN229 AP229:AQ229 AS229">
    <cfRule type="containsText" dxfId="4053" priority="11705" operator="containsText" text="FALSO">
      <formula>NOT(ISERROR(SEARCH("FALSO",AK229)))</formula>
    </cfRule>
  </conditionalFormatting>
  <conditionalFormatting sqref="P228">
    <cfRule type="containsText" dxfId="4052" priority="11702" operator="containsText" text="FALSO">
      <formula>NOT(ISERROR(SEARCH("FALSO",P228)))</formula>
    </cfRule>
  </conditionalFormatting>
  <conditionalFormatting sqref="S228 U228 W228 AE228:AF228">
    <cfRule type="containsText" dxfId="4051" priority="11701" operator="containsText" text="FALSO">
      <formula>NOT(ISERROR(SEARCH("FALSO",S228)))</formula>
    </cfRule>
  </conditionalFormatting>
  <conditionalFormatting sqref="Y228:Z228 AT228:XFD228">
    <cfRule type="containsText" dxfId="4050" priority="11700" operator="containsText" text="FALSO">
      <formula>NOT(ISERROR(SEARCH("FALSO",Y228)))</formula>
    </cfRule>
  </conditionalFormatting>
  <conditionalFormatting sqref="J228">
    <cfRule type="containsText" dxfId="4049" priority="11699" operator="containsText" text="FALSO">
      <formula>NOT(ISERROR(SEARCH("FALSO",J228)))</formula>
    </cfRule>
  </conditionalFormatting>
  <conditionalFormatting sqref="K228">
    <cfRule type="containsText" dxfId="4048" priority="11697" operator="containsText" text="FALSO">
      <formula>NOT(ISERROR(SEARCH("FALSO",K228)))</formula>
    </cfRule>
  </conditionalFormatting>
  <conditionalFormatting sqref="A228:C228">
    <cfRule type="containsText" dxfId="4047" priority="11696" operator="containsText" text="FALSO">
      <formula>NOT(ISERROR(SEARCH("FALSO",A228)))</formula>
    </cfRule>
  </conditionalFormatting>
  <conditionalFormatting sqref="P227">
    <cfRule type="containsText" dxfId="4046" priority="11692" operator="containsText" text="FALSO">
      <formula>NOT(ISERROR(SEARCH("FALSO",P227)))</formula>
    </cfRule>
  </conditionalFormatting>
  <conditionalFormatting sqref="S227 U227 W227 AE227:AF227">
    <cfRule type="containsText" dxfId="4045" priority="11691" operator="containsText" text="FALSO">
      <formula>NOT(ISERROR(SEARCH("FALSO",S227)))</formula>
    </cfRule>
  </conditionalFormatting>
  <conditionalFormatting sqref="P238">
    <cfRule type="containsText" dxfId="4044" priority="11802" operator="containsText" text="FALSO">
      <formula>NOT(ISERROR(SEARCH("FALSO",P238)))</formula>
    </cfRule>
  </conditionalFormatting>
  <conditionalFormatting sqref="S238 U238 W238 AE238:AF238">
    <cfRule type="containsText" dxfId="4043" priority="11801" operator="containsText" text="FALSO">
      <formula>NOT(ISERROR(SEARCH("FALSO",S238)))</formula>
    </cfRule>
  </conditionalFormatting>
  <conditionalFormatting sqref="Y238:Z238 AT238:XFD238">
    <cfRule type="containsText" dxfId="4042" priority="11800" operator="containsText" text="FALSO">
      <formula>NOT(ISERROR(SEARCH("FALSO",Y238)))</formula>
    </cfRule>
  </conditionalFormatting>
  <conditionalFormatting sqref="J238">
    <cfRule type="containsText" dxfId="4041" priority="11799" operator="containsText" text="FALSO">
      <formula>NOT(ISERROR(SEARCH("FALSO",J238)))</formula>
    </cfRule>
  </conditionalFormatting>
  <conditionalFormatting sqref="K238">
    <cfRule type="containsText" dxfId="4040" priority="11797" operator="containsText" text="FALSO">
      <formula>NOT(ISERROR(SEARCH("FALSO",K238)))</formula>
    </cfRule>
  </conditionalFormatting>
  <conditionalFormatting sqref="A238:C238">
    <cfRule type="containsText" dxfId="4039" priority="11796" operator="containsText" text="FALSO">
      <formula>NOT(ISERROR(SEARCH("FALSO",A238)))</formula>
    </cfRule>
  </conditionalFormatting>
  <conditionalFormatting sqref="K234">
    <cfRule type="containsText" dxfId="4038" priority="11757" operator="containsText" text="FALSO">
      <formula>NOT(ISERROR(SEARCH("FALSO",K234)))</formula>
    </cfRule>
  </conditionalFormatting>
  <conditionalFormatting sqref="P237">
    <cfRule type="containsText" dxfId="4037" priority="11792" operator="containsText" text="FALSO">
      <formula>NOT(ISERROR(SEARCH("FALSO",P237)))</formula>
    </cfRule>
  </conditionalFormatting>
  <conditionalFormatting sqref="S237 U237 W237 AE237:AF237">
    <cfRule type="containsText" dxfId="4036" priority="11791" operator="containsText" text="FALSO">
      <formula>NOT(ISERROR(SEARCH("FALSO",S237)))</formula>
    </cfRule>
  </conditionalFormatting>
  <conditionalFormatting sqref="Y237:Z237 AT237:XFD237">
    <cfRule type="containsText" dxfId="4035" priority="11790" operator="containsText" text="FALSO">
      <formula>NOT(ISERROR(SEARCH("FALSO",Y237)))</formula>
    </cfRule>
  </conditionalFormatting>
  <conditionalFormatting sqref="J237">
    <cfRule type="containsText" dxfId="4034" priority="11789" operator="containsText" text="FALSO">
      <formula>NOT(ISERROR(SEARCH("FALSO",J237)))</formula>
    </cfRule>
  </conditionalFormatting>
  <conditionalFormatting sqref="K237">
    <cfRule type="containsText" dxfId="4033" priority="11787" operator="containsText" text="FALSO">
      <formula>NOT(ISERROR(SEARCH("FALSO",K237)))</formula>
    </cfRule>
  </conditionalFormatting>
  <conditionalFormatting sqref="A237:C237">
    <cfRule type="containsText" dxfId="4032" priority="11786" operator="containsText" text="FALSO">
      <formula>NOT(ISERROR(SEARCH("FALSO",A237)))</formula>
    </cfRule>
  </conditionalFormatting>
  <conditionalFormatting sqref="AK237 AM237:AN237 AP237:AQ237 AS237">
    <cfRule type="containsText" dxfId="4031" priority="11785" operator="containsText" text="FALSO">
      <formula>NOT(ISERROR(SEARCH("FALSO",AK237)))</formula>
    </cfRule>
  </conditionalFormatting>
  <conditionalFormatting sqref="K233">
    <cfRule type="containsText" dxfId="4030" priority="11747" operator="containsText" text="FALSO">
      <formula>NOT(ISERROR(SEARCH("FALSO",K233)))</formula>
    </cfRule>
  </conditionalFormatting>
  <conditionalFormatting sqref="P236">
    <cfRule type="containsText" dxfId="4029" priority="11782" operator="containsText" text="FALSO">
      <formula>NOT(ISERROR(SEARCH("FALSO",P236)))</formula>
    </cfRule>
  </conditionalFormatting>
  <conditionalFormatting sqref="S236 U236 W236 AE236:AF236">
    <cfRule type="containsText" dxfId="4028" priority="11781" operator="containsText" text="FALSO">
      <formula>NOT(ISERROR(SEARCH("FALSO",S236)))</formula>
    </cfRule>
  </conditionalFormatting>
  <conditionalFormatting sqref="Y236:Z236 AT236:XFD236">
    <cfRule type="containsText" dxfId="4027" priority="11780" operator="containsText" text="FALSO">
      <formula>NOT(ISERROR(SEARCH("FALSO",Y236)))</formula>
    </cfRule>
  </conditionalFormatting>
  <conditionalFormatting sqref="J236">
    <cfRule type="containsText" dxfId="4026" priority="11779" operator="containsText" text="FALSO">
      <formula>NOT(ISERROR(SEARCH("FALSO",J236)))</formula>
    </cfRule>
  </conditionalFormatting>
  <conditionalFormatting sqref="K236">
    <cfRule type="containsText" dxfId="4025" priority="11777" operator="containsText" text="FALSO">
      <formula>NOT(ISERROR(SEARCH("FALSO",K236)))</formula>
    </cfRule>
  </conditionalFormatting>
  <conditionalFormatting sqref="A236:C236">
    <cfRule type="containsText" dxfId="4024" priority="11776" operator="containsText" text="FALSO">
      <formula>NOT(ISERROR(SEARCH("FALSO",A236)))</formula>
    </cfRule>
  </conditionalFormatting>
  <conditionalFormatting sqref="K232">
    <cfRule type="containsText" dxfId="4023" priority="11737" operator="containsText" text="FALSO">
      <formula>NOT(ISERROR(SEARCH("FALSO",K232)))</formula>
    </cfRule>
  </conditionalFormatting>
  <conditionalFormatting sqref="P235">
    <cfRule type="containsText" dxfId="4022" priority="11772" operator="containsText" text="FALSO">
      <formula>NOT(ISERROR(SEARCH("FALSO",P235)))</formula>
    </cfRule>
  </conditionalFormatting>
  <conditionalFormatting sqref="S235 U235 W235 AE235:AF235">
    <cfRule type="containsText" dxfId="4021" priority="11771" operator="containsText" text="FALSO">
      <formula>NOT(ISERROR(SEARCH("FALSO",S235)))</formula>
    </cfRule>
  </conditionalFormatting>
  <conditionalFormatting sqref="Y235:Z235 AT235:XFD235">
    <cfRule type="containsText" dxfId="4020" priority="11770" operator="containsText" text="FALSO">
      <formula>NOT(ISERROR(SEARCH("FALSO",Y235)))</formula>
    </cfRule>
  </conditionalFormatting>
  <conditionalFormatting sqref="J235">
    <cfRule type="containsText" dxfId="4019" priority="11769" operator="containsText" text="FALSO">
      <formula>NOT(ISERROR(SEARCH("FALSO",J235)))</formula>
    </cfRule>
  </conditionalFormatting>
  <conditionalFormatting sqref="K235">
    <cfRule type="containsText" dxfId="4018" priority="11767" operator="containsText" text="FALSO">
      <formula>NOT(ISERROR(SEARCH("FALSO",K235)))</formula>
    </cfRule>
  </conditionalFormatting>
  <conditionalFormatting sqref="A235:C235">
    <cfRule type="containsText" dxfId="4017" priority="11766" operator="containsText" text="FALSO">
      <formula>NOT(ISERROR(SEARCH("FALSO",A235)))</formula>
    </cfRule>
  </conditionalFormatting>
  <conditionalFormatting sqref="AK235 AM235:AN235 AP235:AQ235 AS235">
    <cfRule type="containsText" dxfId="4016" priority="11765" operator="containsText" text="FALSO">
      <formula>NOT(ISERROR(SEARCH("FALSO",AK235)))</formula>
    </cfRule>
  </conditionalFormatting>
  <conditionalFormatting sqref="P234">
    <cfRule type="containsText" dxfId="4015" priority="11762" operator="containsText" text="FALSO">
      <formula>NOT(ISERROR(SEARCH("FALSO",P234)))</formula>
    </cfRule>
  </conditionalFormatting>
  <conditionalFormatting sqref="S234 U234 W234 AE234:AF234">
    <cfRule type="containsText" dxfId="4014" priority="11761" operator="containsText" text="FALSO">
      <formula>NOT(ISERROR(SEARCH("FALSO",S234)))</formula>
    </cfRule>
  </conditionalFormatting>
  <conditionalFormatting sqref="Y234:Z234 AT234:XFD234">
    <cfRule type="containsText" dxfId="4013" priority="11760" operator="containsText" text="FALSO">
      <formula>NOT(ISERROR(SEARCH("FALSO",Y234)))</formula>
    </cfRule>
  </conditionalFormatting>
  <conditionalFormatting sqref="J234">
    <cfRule type="containsText" dxfId="4012" priority="11759" operator="containsText" text="FALSO">
      <formula>NOT(ISERROR(SEARCH("FALSO",J234)))</formula>
    </cfRule>
  </conditionalFormatting>
  <conditionalFormatting sqref="A234:C234">
    <cfRule type="containsText" dxfId="4011" priority="11756" operator="containsText" text="FALSO">
      <formula>NOT(ISERROR(SEARCH("FALSO",A234)))</formula>
    </cfRule>
  </conditionalFormatting>
  <conditionalFormatting sqref="P233">
    <cfRule type="containsText" dxfId="4010" priority="11752" operator="containsText" text="FALSO">
      <formula>NOT(ISERROR(SEARCH("FALSO",P233)))</formula>
    </cfRule>
  </conditionalFormatting>
  <conditionalFormatting sqref="P226">
    <cfRule type="containsText" dxfId="4009" priority="11682" operator="containsText" text="FALSO">
      <formula>NOT(ISERROR(SEARCH("FALSO",P226)))</formula>
    </cfRule>
  </conditionalFormatting>
  <conditionalFormatting sqref="S233 U233 W233 AE233:AF233">
    <cfRule type="containsText" dxfId="4008" priority="11751" operator="containsText" text="FALSO">
      <formula>NOT(ISERROR(SEARCH("FALSO",S233)))</formula>
    </cfRule>
  </conditionalFormatting>
  <conditionalFormatting sqref="Y233:Z233 AT233:XFD233">
    <cfRule type="containsText" dxfId="4007" priority="11750" operator="containsText" text="FALSO">
      <formula>NOT(ISERROR(SEARCH("FALSO",Y233)))</formula>
    </cfRule>
  </conditionalFormatting>
  <conditionalFormatting sqref="J233">
    <cfRule type="containsText" dxfId="4006" priority="11749" operator="containsText" text="FALSO">
      <formula>NOT(ISERROR(SEARCH("FALSO",J233)))</formula>
    </cfRule>
  </conditionalFormatting>
  <conditionalFormatting sqref="A233:C233">
    <cfRule type="containsText" dxfId="4005" priority="11746" operator="containsText" text="FALSO">
      <formula>NOT(ISERROR(SEARCH("FALSO",A233)))</formula>
    </cfRule>
  </conditionalFormatting>
  <conditionalFormatting sqref="AK233 AM233:AN233 AP233:AQ233 AS233">
    <cfRule type="containsText" dxfId="4004" priority="11745" operator="containsText" text="FALSO">
      <formula>NOT(ISERROR(SEARCH("FALSO",AK233)))</formula>
    </cfRule>
  </conditionalFormatting>
  <conditionalFormatting sqref="P232">
    <cfRule type="containsText" dxfId="4003" priority="11742" operator="containsText" text="FALSO">
      <formula>NOT(ISERROR(SEARCH("FALSO",P232)))</formula>
    </cfRule>
  </conditionalFormatting>
  <conditionalFormatting sqref="S232 U232 W232 AE232:AF232">
    <cfRule type="containsText" dxfId="4002" priority="11741" operator="containsText" text="FALSO">
      <formula>NOT(ISERROR(SEARCH("FALSO",S232)))</formula>
    </cfRule>
  </conditionalFormatting>
  <conditionalFormatting sqref="Y232:Z232 AT232:XFD232">
    <cfRule type="containsText" dxfId="4001" priority="11740" operator="containsText" text="FALSO">
      <formula>NOT(ISERROR(SEARCH("FALSO",Y232)))</formula>
    </cfRule>
  </conditionalFormatting>
  <conditionalFormatting sqref="J232">
    <cfRule type="containsText" dxfId="4000" priority="11739" operator="containsText" text="FALSO">
      <formula>NOT(ISERROR(SEARCH("FALSO",J232)))</formula>
    </cfRule>
  </conditionalFormatting>
  <conditionalFormatting sqref="A232:C232">
    <cfRule type="containsText" dxfId="3999" priority="11736" operator="containsText" text="FALSO">
      <formula>NOT(ISERROR(SEARCH("FALSO",A232)))</formula>
    </cfRule>
  </conditionalFormatting>
  <conditionalFormatting sqref="P224">
    <cfRule type="containsText" dxfId="3998" priority="11662" operator="containsText" text="FALSO">
      <formula>NOT(ISERROR(SEARCH("FALSO",P224)))</formula>
    </cfRule>
  </conditionalFormatting>
  <conditionalFormatting sqref="P231">
    <cfRule type="containsText" dxfId="3997" priority="11732" operator="containsText" text="FALSO">
      <formula>NOT(ISERROR(SEARCH("FALSO",P231)))</formula>
    </cfRule>
  </conditionalFormatting>
  <conditionalFormatting sqref="P223">
    <cfRule type="containsText" dxfId="3996" priority="11652" operator="containsText" text="FALSO">
      <formula>NOT(ISERROR(SEARCH("FALSO",P223)))</formula>
    </cfRule>
  </conditionalFormatting>
  <conditionalFormatting sqref="K227">
    <cfRule type="containsText" dxfId="3995" priority="11687" operator="containsText" text="FALSO">
      <formula>NOT(ISERROR(SEARCH("FALSO",K227)))</formula>
    </cfRule>
  </conditionalFormatting>
  <conditionalFormatting sqref="K226">
    <cfRule type="containsText" dxfId="3994" priority="11677" operator="containsText" text="FALSO">
      <formula>NOT(ISERROR(SEARCH("FALSO",K226)))</formula>
    </cfRule>
  </conditionalFormatting>
  <conditionalFormatting sqref="K225">
    <cfRule type="containsText" dxfId="3993" priority="11667" operator="containsText" text="FALSO">
      <formula>NOT(ISERROR(SEARCH("FALSO",K225)))</formula>
    </cfRule>
  </conditionalFormatting>
  <conditionalFormatting sqref="J227">
    <cfRule type="containsText" dxfId="3992" priority="11689" operator="containsText" text="FALSO">
      <formula>NOT(ISERROR(SEARCH("FALSO",J227)))</formula>
    </cfRule>
  </conditionalFormatting>
  <conditionalFormatting sqref="K224">
    <cfRule type="containsText" dxfId="3991" priority="11657" operator="containsText" text="FALSO">
      <formula>NOT(ISERROR(SEARCH("FALSO",K224)))</formula>
    </cfRule>
  </conditionalFormatting>
  <conditionalFormatting sqref="Y227:Z227 AT227:XFD227">
    <cfRule type="containsText" dxfId="3990" priority="11690" operator="containsText" text="FALSO">
      <formula>NOT(ISERROR(SEARCH("FALSO",Y227)))</formula>
    </cfRule>
  </conditionalFormatting>
  <conditionalFormatting sqref="A227:C227">
    <cfRule type="containsText" dxfId="3989" priority="11686" operator="containsText" text="FALSO">
      <formula>NOT(ISERROR(SEARCH("FALSO",A227)))</formula>
    </cfRule>
  </conditionalFormatting>
  <conditionalFormatting sqref="AK227 AM227:AN227 AP227:AQ227 AS227">
    <cfRule type="containsText" dxfId="3988" priority="11685" operator="containsText" text="FALSO">
      <formula>NOT(ISERROR(SEARCH("FALSO",AK227)))</formula>
    </cfRule>
  </conditionalFormatting>
  <conditionalFormatting sqref="S226 U226 W226 AE226:AF226">
    <cfRule type="containsText" dxfId="3987" priority="11681" operator="containsText" text="FALSO">
      <formula>NOT(ISERROR(SEARCH("FALSO",S226)))</formula>
    </cfRule>
  </conditionalFormatting>
  <conditionalFormatting sqref="Y226:Z226 AT226:XFD226">
    <cfRule type="containsText" dxfId="3986" priority="11680" operator="containsText" text="FALSO">
      <formula>NOT(ISERROR(SEARCH("FALSO",Y226)))</formula>
    </cfRule>
  </conditionalFormatting>
  <conditionalFormatting sqref="J226">
    <cfRule type="containsText" dxfId="3985" priority="11679" operator="containsText" text="FALSO">
      <formula>NOT(ISERROR(SEARCH("FALSO",J226)))</formula>
    </cfRule>
  </conditionalFormatting>
  <conditionalFormatting sqref="A226:C226">
    <cfRule type="containsText" dxfId="3984" priority="11676" operator="containsText" text="FALSO">
      <formula>NOT(ISERROR(SEARCH("FALSO",A226)))</formula>
    </cfRule>
  </conditionalFormatting>
  <conditionalFormatting sqref="P218">
    <cfRule type="containsText" dxfId="3983" priority="11602" operator="containsText" text="FALSO">
      <formula>NOT(ISERROR(SEARCH("FALSO",P218)))</formula>
    </cfRule>
  </conditionalFormatting>
  <conditionalFormatting sqref="Y225:Z225 AT225:XFD225">
    <cfRule type="containsText" dxfId="3982" priority="11670" operator="containsText" text="FALSO">
      <formula>NOT(ISERROR(SEARCH("FALSO",Y225)))</formula>
    </cfRule>
  </conditionalFormatting>
  <conditionalFormatting sqref="J225">
    <cfRule type="containsText" dxfId="3981" priority="11669" operator="containsText" text="FALSO">
      <formula>NOT(ISERROR(SEARCH("FALSO",J225)))</formula>
    </cfRule>
  </conditionalFormatting>
  <conditionalFormatting sqref="A225:C225">
    <cfRule type="containsText" dxfId="3980" priority="11666" operator="containsText" text="FALSO">
      <formula>NOT(ISERROR(SEARCH("FALSO",A225)))</formula>
    </cfRule>
  </conditionalFormatting>
  <conditionalFormatting sqref="AK225 AM225:AN225 AP225:AQ225 AS225">
    <cfRule type="containsText" dxfId="3979" priority="11665" operator="containsText" text="FALSO">
      <formula>NOT(ISERROR(SEARCH("FALSO",AK225)))</formula>
    </cfRule>
  </conditionalFormatting>
  <conditionalFormatting sqref="P217">
    <cfRule type="containsText" dxfId="3978" priority="11592" operator="containsText" text="FALSO">
      <formula>NOT(ISERROR(SEARCH("FALSO",P217)))</formula>
    </cfRule>
  </conditionalFormatting>
  <conditionalFormatting sqref="S224 U224 W224 AE224:AF224">
    <cfRule type="containsText" dxfId="3977" priority="11661" operator="containsText" text="FALSO">
      <formula>NOT(ISERROR(SEARCH("FALSO",S224)))</formula>
    </cfRule>
  </conditionalFormatting>
  <conditionalFormatting sqref="Y224:Z224 AT224:XFD224">
    <cfRule type="containsText" dxfId="3976" priority="11660" operator="containsText" text="FALSO">
      <formula>NOT(ISERROR(SEARCH("FALSO",Y224)))</formula>
    </cfRule>
  </conditionalFormatting>
  <conditionalFormatting sqref="J224">
    <cfRule type="containsText" dxfId="3975" priority="11659" operator="containsText" text="FALSO">
      <formula>NOT(ISERROR(SEARCH("FALSO",J224)))</formula>
    </cfRule>
  </conditionalFormatting>
  <conditionalFormatting sqref="A224:C224">
    <cfRule type="containsText" dxfId="3974" priority="11656" operator="containsText" text="FALSO">
      <formula>NOT(ISERROR(SEARCH("FALSO",A224)))</formula>
    </cfRule>
  </conditionalFormatting>
  <conditionalFormatting sqref="P216">
    <cfRule type="containsText" dxfId="3973" priority="11582" operator="containsText" text="FALSO">
      <formula>NOT(ISERROR(SEARCH("FALSO",P216)))</formula>
    </cfRule>
  </conditionalFormatting>
  <conditionalFormatting sqref="S223 U223 W223 AE223:AF223">
    <cfRule type="containsText" dxfId="3972" priority="11651" operator="containsText" text="FALSO">
      <formula>NOT(ISERROR(SEARCH("FALSO",S223)))</formula>
    </cfRule>
  </conditionalFormatting>
  <conditionalFormatting sqref="P215">
    <cfRule type="containsText" dxfId="3971" priority="11572" operator="containsText" text="FALSO">
      <formula>NOT(ISERROR(SEARCH("FALSO",P215)))</formula>
    </cfRule>
  </conditionalFormatting>
  <conditionalFormatting sqref="K219">
    <cfRule type="containsText" dxfId="3970" priority="11607" operator="containsText" text="FALSO">
      <formula>NOT(ISERROR(SEARCH("FALSO",K219)))</formula>
    </cfRule>
  </conditionalFormatting>
  <conditionalFormatting sqref="P214">
    <cfRule type="containsText" dxfId="3969" priority="11562" operator="containsText" text="FALSO">
      <formula>NOT(ISERROR(SEARCH("FALSO",P214)))</formula>
    </cfRule>
  </conditionalFormatting>
  <conditionalFormatting sqref="K218">
    <cfRule type="containsText" dxfId="3968" priority="11597" operator="containsText" text="FALSO">
      <formula>NOT(ISERROR(SEARCH("FALSO",K218)))</formula>
    </cfRule>
  </conditionalFormatting>
  <conditionalFormatting sqref="P213">
    <cfRule type="containsText" dxfId="3967" priority="11552" operator="containsText" text="FALSO">
      <formula>NOT(ISERROR(SEARCH("FALSO",P213)))</formula>
    </cfRule>
  </conditionalFormatting>
  <conditionalFormatting sqref="K217">
    <cfRule type="containsText" dxfId="3966" priority="11587" operator="containsText" text="FALSO">
      <formula>NOT(ISERROR(SEARCH("FALSO",K217)))</formula>
    </cfRule>
  </conditionalFormatting>
  <conditionalFormatting sqref="AK219 AM219:AN219 AP219:AQ219 AS219">
    <cfRule type="containsText" dxfId="3965" priority="11605" operator="containsText" text="FALSO">
      <formula>NOT(ISERROR(SEARCH("FALSO",AK219)))</formula>
    </cfRule>
  </conditionalFormatting>
  <conditionalFormatting sqref="P212">
    <cfRule type="containsText" dxfId="3964" priority="11542" operator="containsText" text="FALSO">
      <formula>NOT(ISERROR(SEARCH("FALSO",P212)))</formula>
    </cfRule>
  </conditionalFormatting>
  <conditionalFormatting sqref="K216">
    <cfRule type="containsText" dxfId="3963" priority="11577" operator="containsText" text="FALSO">
      <formula>NOT(ISERROR(SEARCH("FALSO",K216)))</formula>
    </cfRule>
  </conditionalFormatting>
  <conditionalFormatting sqref="J219">
    <cfRule type="containsText" dxfId="3962" priority="11609" operator="containsText" text="FALSO">
      <formula>NOT(ISERROR(SEARCH("FALSO",J219)))</formula>
    </cfRule>
  </conditionalFormatting>
  <conditionalFormatting sqref="A219:C219">
    <cfRule type="containsText" dxfId="3961" priority="11606" operator="containsText" text="FALSO">
      <formula>NOT(ISERROR(SEARCH("FALSO",A219)))</formula>
    </cfRule>
  </conditionalFormatting>
  <conditionalFormatting sqref="P211">
    <cfRule type="containsText" dxfId="3960" priority="11532" operator="containsText" text="FALSO">
      <formula>NOT(ISERROR(SEARCH("FALSO",P211)))</formula>
    </cfRule>
  </conditionalFormatting>
  <conditionalFormatting sqref="K215">
    <cfRule type="containsText" dxfId="3959" priority="11567" operator="containsText" text="FALSO">
      <formula>NOT(ISERROR(SEARCH("FALSO",K215)))</formula>
    </cfRule>
  </conditionalFormatting>
  <conditionalFormatting sqref="S218 U218 W218 AE218:AF218">
    <cfRule type="containsText" dxfId="3958" priority="11601" operator="containsText" text="FALSO">
      <formula>NOT(ISERROR(SEARCH("FALSO",S218)))</formula>
    </cfRule>
  </conditionalFormatting>
  <conditionalFormatting sqref="Y218:Z218 AT218:XFD218">
    <cfRule type="containsText" dxfId="3957" priority="11600" operator="containsText" text="FALSO">
      <formula>NOT(ISERROR(SEARCH("FALSO",Y218)))</formula>
    </cfRule>
  </conditionalFormatting>
  <conditionalFormatting sqref="J218">
    <cfRule type="containsText" dxfId="3956" priority="11599" operator="containsText" text="FALSO">
      <formula>NOT(ISERROR(SEARCH("FALSO",J218)))</formula>
    </cfRule>
  </conditionalFormatting>
  <conditionalFormatting sqref="A218:C218">
    <cfRule type="containsText" dxfId="3955" priority="11596" operator="containsText" text="FALSO">
      <formula>NOT(ISERROR(SEARCH("FALSO",A218)))</formula>
    </cfRule>
  </conditionalFormatting>
  <conditionalFormatting sqref="P210">
    <cfRule type="containsText" dxfId="3954" priority="11522" operator="containsText" text="FALSO">
      <formula>NOT(ISERROR(SEARCH("FALSO",P210)))</formula>
    </cfRule>
  </conditionalFormatting>
  <conditionalFormatting sqref="K214">
    <cfRule type="containsText" dxfId="3953" priority="11557" operator="containsText" text="FALSO">
      <formula>NOT(ISERROR(SEARCH("FALSO",K214)))</formula>
    </cfRule>
  </conditionalFormatting>
  <conditionalFormatting sqref="S217 U217 W217 AE217:AF217">
    <cfRule type="containsText" dxfId="3952" priority="11591" operator="containsText" text="FALSO">
      <formula>NOT(ISERROR(SEARCH("FALSO",S217)))</formula>
    </cfRule>
  </conditionalFormatting>
  <conditionalFormatting sqref="Y217:Z217 AT217:XFD217">
    <cfRule type="containsText" dxfId="3951" priority="11590" operator="containsText" text="FALSO">
      <formula>NOT(ISERROR(SEARCH("FALSO",Y217)))</formula>
    </cfRule>
  </conditionalFormatting>
  <conditionalFormatting sqref="J217">
    <cfRule type="containsText" dxfId="3950" priority="11589" operator="containsText" text="FALSO">
      <formula>NOT(ISERROR(SEARCH("FALSO",J217)))</formula>
    </cfRule>
  </conditionalFormatting>
  <conditionalFormatting sqref="A217:C217">
    <cfRule type="containsText" dxfId="3949" priority="11586" operator="containsText" text="FALSO">
      <formula>NOT(ISERROR(SEARCH("FALSO",A217)))</formula>
    </cfRule>
  </conditionalFormatting>
  <conditionalFormatting sqref="AK217 AM217:AN217 AP217:AQ217 AS217">
    <cfRule type="containsText" dxfId="3948" priority="11585" operator="containsText" text="FALSO">
      <formula>NOT(ISERROR(SEARCH("FALSO",AK217)))</formula>
    </cfRule>
  </conditionalFormatting>
  <conditionalFormatting sqref="P209">
    <cfRule type="containsText" dxfId="3947" priority="11512" operator="containsText" text="FALSO">
      <formula>NOT(ISERROR(SEARCH("FALSO",P209)))</formula>
    </cfRule>
  </conditionalFormatting>
  <conditionalFormatting sqref="K213">
    <cfRule type="containsText" dxfId="3946" priority="11547" operator="containsText" text="FALSO">
      <formula>NOT(ISERROR(SEARCH("FALSO",K213)))</formula>
    </cfRule>
  </conditionalFormatting>
  <conditionalFormatting sqref="S216 U216 W216 AE216:AF216">
    <cfRule type="containsText" dxfId="3945" priority="11581" operator="containsText" text="FALSO">
      <formula>NOT(ISERROR(SEARCH("FALSO",S216)))</formula>
    </cfRule>
  </conditionalFormatting>
  <conditionalFormatting sqref="Y216:Z216 AT216:XFD216">
    <cfRule type="containsText" dxfId="3944" priority="11580" operator="containsText" text="FALSO">
      <formula>NOT(ISERROR(SEARCH("FALSO",Y216)))</formula>
    </cfRule>
  </conditionalFormatting>
  <conditionalFormatting sqref="J216">
    <cfRule type="containsText" dxfId="3943" priority="11579" operator="containsText" text="FALSO">
      <formula>NOT(ISERROR(SEARCH("FALSO",J216)))</formula>
    </cfRule>
  </conditionalFormatting>
  <conditionalFormatting sqref="A216:C216">
    <cfRule type="containsText" dxfId="3942" priority="11576" operator="containsText" text="FALSO">
      <formula>NOT(ISERROR(SEARCH("FALSO",A216)))</formula>
    </cfRule>
  </conditionalFormatting>
  <conditionalFormatting sqref="P208">
    <cfRule type="containsText" dxfId="3941" priority="11502" operator="containsText" text="FALSO">
      <formula>NOT(ISERROR(SEARCH("FALSO",P208)))</formula>
    </cfRule>
  </conditionalFormatting>
  <conditionalFormatting sqref="K212">
    <cfRule type="containsText" dxfId="3940" priority="11537" operator="containsText" text="FALSO">
      <formula>NOT(ISERROR(SEARCH("FALSO",K212)))</formula>
    </cfRule>
  </conditionalFormatting>
  <conditionalFormatting sqref="S215 U215 W215 AE215:AF215">
    <cfRule type="containsText" dxfId="3939" priority="11571" operator="containsText" text="FALSO">
      <formula>NOT(ISERROR(SEARCH("FALSO",S215)))</formula>
    </cfRule>
  </conditionalFormatting>
  <conditionalFormatting sqref="Y215:Z215 AT215:XFD215">
    <cfRule type="containsText" dxfId="3938" priority="11570" operator="containsText" text="FALSO">
      <formula>NOT(ISERROR(SEARCH("FALSO",Y215)))</formula>
    </cfRule>
  </conditionalFormatting>
  <conditionalFormatting sqref="J215">
    <cfRule type="containsText" dxfId="3937" priority="11569" operator="containsText" text="FALSO">
      <formula>NOT(ISERROR(SEARCH("FALSO",J215)))</formula>
    </cfRule>
  </conditionalFormatting>
  <conditionalFormatting sqref="A215:C215">
    <cfRule type="containsText" dxfId="3936" priority="11566" operator="containsText" text="FALSO">
      <formula>NOT(ISERROR(SEARCH("FALSO",A215)))</formula>
    </cfRule>
  </conditionalFormatting>
  <conditionalFormatting sqref="AK215 AM215:AN215 AP215:AQ215 AS215">
    <cfRule type="containsText" dxfId="3935" priority="11565" operator="containsText" text="FALSO">
      <formula>NOT(ISERROR(SEARCH("FALSO",AK215)))</formula>
    </cfRule>
  </conditionalFormatting>
  <conditionalFormatting sqref="P207">
    <cfRule type="containsText" dxfId="3934" priority="11492" operator="containsText" text="FALSO">
      <formula>NOT(ISERROR(SEARCH("FALSO",P207)))</formula>
    </cfRule>
  </conditionalFormatting>
  <conditionalFormatting sqref="K211">
    <cfRule type="containsText" dxfId="3933" priority="11527" operator="containsText" text="FALSO">
      <formula>NOT(ISERROR(SEARCH("FALSO",K211)))</formula>
    </cfRule>
  </conditionalFormatting>
  <conditionalFormatting sqref="S214 U214 W214 AE214:AF214">
    <cfRule type="containsText" dxfId="3932" priority="11561" operator="containsText" text="FALSO">
      <formula>NOT(ISERROR(SEARCH("FALSO",S214)))</formula>
    </cfRule>
  </conditionalFormatting>
  <conditionalFormatting sqref="Y214:Z214 AT214:XFD214">
    <cfRule type="containsText" dxfId="3931" priority="11560" operator="containsText" text="FALSO">
      <formula>NOT(ISERROR(SEARCH("FALSO",Y214)))</formula>
    </cfRule>
  </conditionalFormatting>
  <conditionalFormatting sqref="J214">
    <cfRule type="containsText" dxfId="3930" priority="11559" operator="containsText" text="FALSO">
      <formula>NOT(ISERROR(SEARCH("FALSO",J214)))</formula>
    </cfRule>
  </conditionalFormatting>
  <conditionalFormatting sqref="A214:C214">
    <cfRule type="containsText" dxfId="3929" priority="11556" operator="containsText" text="FALSO">
      <formula>NOT(ISERROR(SEARCH("FALSO",A214)))</formula>
    </cfRule>
  </conditionalFormatting>
  <conditionalFormatting sqref="P206">
    <cfRule type="containsText" dxfId="3928" priority="11482" operator="containsText" text="FALSO">
      <formula>NOT(ISERROR(SEARCH("FALSO",P206)))</formula>
    </cfRule>
  </conditionalFormatting>
  <conditionalFormatting sqref="K210">
    <cfRule type="containsText" dxfId="3927" priority="11517" operator="containsText" text="FALSO">
      <formula>NOT(ISERROR(SEARCH("FALSO",K210)))</formula>
    </cfRule>
  </conditionalFormatting>
  <conditionalFormatting sqref="S213 U213 W213 AE213:AF213">
    <cfRule type="containsText" dxfId="3926" priority="11551" operator="containsText" text="FALSO">
      <formula>NOT(ISERROR(SEARCH("FALSO",S213)))</formula>
    </cfRule>
  </conditionalFormatting>
  <conditionalFormatting sqref="Y213:Z213 AT213:XFD213">
    <cfRule type="containsText" dxfId="3925" priority="11550" operator="containsText" text="FALSO">
      <formula>NOT(ISERROR(SEARCH("FALSO",Y213)))</formula>
    </cfRule>
  </conditionalFormatting>
  <conditionalFormatting sqref="J213">
    <cfRule type="containsText" dxfId="3924" priority="11549" operator="containsText" text="FALSO">
      <formula>NOT(ISERROR(SEARCH("FALSO",J213)))</formula>
    </cfRule>
  </conditionalFormatting>
  <conditionalFormatting sqref="A213:C213">
    <cfRule type="containsText" dxfId="3923" priority="11546" operator="containsText" text="FALSO">
      <formula>NOT(ISERROR(SEARCH("FALSO",A213)))</formula>
    </cfRule>
  </conditionalFormatting>
  <conditionalFormatting sqref="P205">
    <cfRule type="containsText" dxfId="3922" priority="11472" operator="containsText" text="FALSO">
      <formula>NOT(ISERROR(SEARCH("FALSO",P205)))</formula>
    </cfRule>
  </conditionalFormatting>
  <conditionalFormatting sqref="K209">
    <cfRule type="containsText" dxfId="3921" priority="11507" operator="containsText" text="FALSO">
      <formula>NOT(ISERROR(SEARCH("FALSO",K209)))</formula>
    </cfRule>
  </conditionalFormatting>
  <conditionalFormatting sqref="S212 U212 W212 AE212:AF212">
    <cfRule type="containsText" dxfId="3920" priority="11541" operator="containsText" text="FALSO">
      <formula>NOT(ISERROR(SEARCH("FALSO",S212)))</formula>
    </cfRule>
  </conditionalFormatting>
  <conditionalFormatting sqref="Y212:Z212 AT212:XFD212">
    <cfRule type="containsText" dxfId="3919" priority="11540" operator="containsText" text="FALSO">
      <formula>NOT(ISERROR(SEARCH("FALSO",Y212)))</formula>
    </cfRule>
  </conditionalFormatting>
  <conditionalFormatting sqref="J212">
    <cfRule type="containsText" dxfId="3918" priority="11539" operator="containsText" text="FALSO">
      <formula>NOT(ISERROR(SEARCH("FALSO",J212)))</formula>
    </cfRule>
  </conditionalFormatting>
  <conditionalFormatting sqref="A212:C212">
    <cfRule type="containsText" dxfId="3917" priority="11536" operator="containsText" text="FALSO">
      <formula>NOT(ISERROR(SEARCH("FALSO",A212)))</formula>
    </cfRule>
  </conditionalFormatting>
  <conditionalFormatting sqref="S210 U210 W210 AE210:AF210">
    <cfRule type="containsText" dxfId="3916" priority="11521" operator="containsText" text="FALSO">
      <formula>NOT(ISERROR(SEARCH("FALSO",S210)))</formula>
    </cfRule>
  </conditionalFormatting>
  <conditionalFormatting sqref="P204">
    <cfRule type="containsText" dxfId="3915" priority="11462" operator="containsText" text="FALSO">
      <formula>NOT(ISERROR(SEARCH("FALSO",P204)))</formula>
    </cfRule>
  </conditionalFormatting>
  <conditionalFormatting sqref="K208">
    <cfRule type="containsText" dxfId="3914" priority="11497" operator="containsText" text="FALSO">
      <formula>NOT(ISERROR(SEARCH("FALSO",K208)))</formula>
    </cfRule>
  </conditionalFormatting>
  <conditionalFormatting sqref="S211 U211 W211 AE211:AF211">
    <cfRule type="containsText" dxfId="3913" priority="11531" operator="containsText" text="FALSO">
      <formula>NOT(ISERROR(SEARCH("FALSO",S211)))</formula>
    </cfRule>
  </conditionalFormatting>
  <conditionalFormatting sqref="Y211:Z211 AT211:XFD211">
    <cfRule type="containsText" dxfId="3912" priority="11530" operator="containsText" text="FALSO">
      <formula>NOT(ISERROR(SEARCH("FALSO",Y211)))</formula>
    </cfRule>
  </conditionalFormatting>
  <conditionalFormatting sqref="J211">
    <cfRule type="containsText" dxfId="3911" priority="11529" operator="containsText" text="FALSO">
      <formula>NOT(ISERROR(SEARCH("FALSO",J211)))</formula>
    </cfRule>
  </conditionalFormatting>
  <conditionalFormatting sqref="A211:C211">
    <cfRule type="containsText" dxfId="3910" priority="11526" operator="containsText" text="FALSO">
      <formula>NOT(ISERROR(SEARCH("FALSO",A211)))</formula>
    </cfRule>
  </conditionalFormatting>
  <conditionalFormatting sqref="N204:O238">
    <cfRule type="containsText" dxfId="3909" priority="11452" operator="containsText" text="FALSO">
      <formula>NOT(ISERROR(SEARCH("FALSO",N204)))</formula>
    </cfRule>
  </conditionalFormatting>
  <conditionalFormatting sqref="K207">
    <cfRule type="containsText" dxfId="3908" priority="11487" operator="containsText" text="FALSO">
      <formula>NOT(ISERROR(SEARCH("FALSO",K207)))</formula>
    </cfRule>
  </conditionalFormatting>
  <conditionalFormatting sqref="Y210:Z210 AT210:XFD210">
    <cfRule type="containsText" dxfId="3907" priority="11520" operator="containsText" text="FALSO">
      <formula>NOT(ISERROR(SEARCH("FALSO",Y210)))</formula>
    </cfRule>
  </conditionalFormatting>
  <conditionalFormatting sqref="J210">
    <cfRule type="containsText" dxfId="3906" priority="11519" operator="containsText" text="FALSO">
      <formula>NOT(ISERROR(SEARCH("FALSO",J210)))</formula>
    </cfRule>
  </conditionalFormatting>
  <conditionalFormatting sqref="A210:C210">
    <cfRule type="containsText" dxfId="3905" priority="11516" operator="containsText" text="FALSO">
      <formula>NOT(ISERROR(SEARCH("FALSO",A210)))</formula>
    </cfRule>
  </conditionalFormatting>
  <conditionalFormatting sqref="Y208:Z208 AT208:XFD208">
    <cfRule type="containsText" dxfId="3904" priority="11500" operator="containsText" text="FALSO">
      <formula>NOT(ISERROR(SEARCH("FALSO",Y208)))</formula>
    </cfRule>
  </conditionalFormatting>
  <conditionalFormatting sqref="K206">
    <cfRule type="containsText" dxfId="3903" priority="11477" operator="containsText" text="FALSO">
      <formula>NOT(ISERROR(SEARCH("FALSO",K206)))</formula>
    </cfRule>
  </conditionalFormatting>
  <conditionalFormatting sqref="S209 U209 W209 AE209:AF209">
    <cfRule type="containsText" dxfId="3902" priority="11511" operator="containsText" text="FALSO">
      <formula>NOT(ISERROR(SEARCH("FALSO",S209)))</formula>
    </cfRule>
  </conditionalFormatting>
  <conditionalFormatting sqref="Y209:Z209 AT209:XFD209">
    <cfRule type="containsText" dxfId="3901" priority="11510" operator="containsText" text="FALSO">
      <formula>NOT(ISERROR(SEARCH("FALSO",Y209)))</formula>
    </cfRule>
  </conditionalFormatting>
  <conditionalFormatting sqref="J209">
    <cfRule type="containsText" dxfId="3900" priority="11509" operator="containsText" text="FALSO">
      <formula>NOT(ISERROR(SEARCH("FALSO",J209)))</formula>
    </cfRule>
  </conditionalFormatting>
  <conditionalFormatting sqref="A209:C209">
    <cfRule type="containsText" dxfId="3899" priority="11506" operator="containsText" text="FALSO">
      <formula>NOT(ISERROR(SEARCH("FALSO",A209)))</formula>
    </cfRule>
  </conditionalFormatting>
  <conditionalFormatting sqref="K205">
    <cfRule type="containsText" dxfId="3898" priority="11467" operator="containsText" text="FALSO">
      <formula>NOT(ISERROR(SEARCH("FALSO",K205)))</formula>
    </cfRule>
  </conditionalFormatting>
  <conditionalFormatting sqref="S208 U208 W208 AE208:AF208">
    <cfRule type="containsText" dxfId="3897" priority="11501" operator="containsText" text="FALSO">
      <formula>NOT(ISERROR(SEARCH("FALSO",S208)))</formula>
    </cfRule>
  </conditionalFormatting>
  <conditionalFormatting sqref="J208">
    <cfRule type="containsText" dxfId="3896" priority="11499" operator="containsText" text="FALSO">
      <formula>NOT(ISERROR(SEARCH("FALSO",J208)))</formula>
    </cfRule>
  </conditionalFormatting>
  <conditionalFormatting sqref="A208:C208">
    <cfRule type="containsText" dxfId="3895" priority="11496" operator="containsText" text="FALSO">
      <formula>NOT(ISERROR(SEARCH("FALSO",A208)))</formula>
    </cfRule>
  </conditionalFormatting>
  <conditionalFormatting sqref="J206">
    <cfRule type="containsText" dxfId="3894" priority="11479" operator="containsText" text="FALSO">
      <formula>NOT(ISERROR(SEARCH("FALSO",J206)))</formula>
    </cfRule>
  </conditionalFormatting>
  <conditionalFormatting sqref="AN224:AS224">
    <cfRule type="containsText" dxfId="3893" priority="11354" operator="containsText" text="FALSO">
      <formula>NOT(ISERROR(SEARCH("FALSO",AN224)))</formula>
    </cfRule>
  </conditionalFormatting>
  <conditionalFormatting sqref="K204">
    <cfRule type="containsText" dxfId="3892" priority="11457" operator="containsText" text="FALSO">
      <formula>NOT(ISERROR(SEARCH("FALSO",K204)))</formula>
    </cfRule>
  </conditionalFormatting>
  <conditionalFormatting sqref="S207 U207 W207 AE207:AF207">
    <cfRule type="containsText" dxfId="3891" priority="11491" operator="containsText" text="FALSO">
      <formula>NOT(ISERROR(SEARCH("FALSO",S207)))</formula>
    </cfRule>
  </conditionalFormatting>
  <conditionalFormatting sqref="Y207:Z207 AT207:XFD207">
    <cfRule type="containsText" dxfId="3890" priority="11490" operator="containsText" text="FALSO">
      <formula>NOT(ISERROR(SEARCH("FALSO",Y207)))</formula>
    </cfRule>
  </conditionalFormatting>
  <conditionalFormatting sqref="J207">
    <cfRule type="containsText" dxfId="3889" priority="11489" operator="containsText" text="FALSO">
      <formula>NOT(ISERROR(SEARCH("FALSO",J207)))</formula>
    </cfRule>
  </conditionalFormatting>
  <conditionalFormatting sqref="A207:C207">
    <cfRule type="containsText" dxfId="3888" priority="11486" operator="containsText" text="FALSO">
      <formula>NOT(ISERROR(SEARCH("FALSO",A207)))</formula>
    </cfRule>
  </conditionalFormatting>
  <conditionalFormatting sqref="K203">
    <cfRule type="containsText" dxfId="3887" priority="11447" operator="containsText" text="FALSO">
      <formula>NOT(ISERROR(SEARCH("FALSO",K203)))</formula>
    </cfRule>
  </conditionalFormatting>
  <conditionalFormatting sqref="S206 U206 W206 AE206:AF206">
    <cfRule type="containsText" dxfId="3886" priority="11481" operator="containsText" text="FALSO">
      <formula>NOT(ISERROR(SEARCH("FALSO",S206)))</formula>
    </cfRule>
  </conditionalFormatting>
  <conditionalFormatting sqref="Y206:Z206 AT206:XFD206">
    <cfRule type="containsText" dxfId="3885" priority="11480" operator="containsText" text="FALSO">
      <formula>NOT(ISERROR(SEARCH("FALSO",Y206)))</formula>
    </cfRule>
  </conditionalFormatting>
  <conditionalFormatting sqref="A206:C206">
    <cfRule type="containsText" dxfId="3884" priority="11476" operator="containsText" text="FALSO">
      <formula>NOT(ISERROR(SEARCH("FALSO",A206)))</formula>
    </cfRule>
  </conditionalFormatting>
  <conditionalFormatting sqref="N190:P190 Y190:Z190 S190 W190 AK190:AM190 AP190 AS190:XFD190 U190">
    <cfRule type="containsText" dxfId="3883" priority="11280" operator="containsText" text="FALSO">
      <formula>NOT(ISERROR(SEARCH("FALSO",N190)))</formula>
    </cfRule>
  </conditionalFormatting>
  <conditionalFormatting sqref="S205 U205 W205 AE205:AF205">
    <cfRule type="containsText" dxfId="3882" priority="11471" operator="containsText" text="FALSO">
      <formula>NOT(ISERROR(SEARCH("FALSO",S205)))</formula>
    </cfRule>
  </conditionalFormatting>
  <conditionalFormatting sqref="Y205:Z205 AT205:XFD205">
    <cfRule type="containsText" dxfId="3881" priority="11470" operator="containsText" text="FALSO">
      <formula>NOT(ISERROR(SEARCH("FALSO",Y205)))</formula>
    </cfRule>
  </conditionalFormatting>
  <conditionalFormatting sqref="J205 F205:F238">
    <cfRule type="containsText" dxfId="3880" priority="11469" operator="containsText" text="FALSO">
      <formula>NOT(ISERROR(SEARCH("FALSO",F205)))</formula>
    </cfRule>
  </conditionalFormatting>
  <conditionalFormatting sqref="A205:C205">
    <cfRule type="containsText" dxfId="3879" priority="11466" operator="containsText" text="FALSO">
      <formula>NOT(ISERROR(SEARCH("FALSO",A205)))</formula>
    </cfRule>
  </conditionalFormatting>
  <conditionalFormatting sqref="S204 U204 W204 AE204:AF204">
    <cfRule type="containsText" dxfId="3878" priority="11461" operator="containsText" text="FALSO">
      <formula>NOT(ISERROR(SEARCH("FALSO",S204)))</formula>
    </cfRule>
  </conditionalFormatting>
  <conditionalFormatting sqref="Y204:Z204 AT204:XFD204">
    <cfRule type="containsText" dxfId="3877" priority="11460" operator="containsText" text="FALSO">
      <formula>NOT(ISERROR(SEARCH("FALSO",Y204)))</formula>
    </cfRule>
  </conditionalFormatting>
  <conditionalFormatting sqref="F204 J204">
    <cfRule type="containsText" dxfId="3876" priority="11459" operator="containsText" text="FALSO">
      <formula>NOT(ISERROR(SEARCH("FALSO",F204)))</formula>
    </cfRule>
  </conditionalFormatting>
  <conditionalFormatting sqref="A204:C204">
    <cfRule type="containsText" dxfId="3875" priority="11456" operator="containsText" text="FALSO">
      <formula>NOT(ISERROR(SEARCH("FALSO",A204)))</formula>
    </cfRule>
  </conditionalFormatting>
  <conditionalFormatting sqref="AN236:AS236">
    <cfRule type="containsText" dxfId="3874" priority="11348" operator="containsText" text="FALSO">
      <formula>NOT(ISERROR(SEARCH("FALSO",AN236)))</formula>
    </cfRule>
  </conditionalFormatting>
  <conditionalFormatting sqref="AN234:AS234">
    <cfRule type="containsText" dxfId="3873" priority="11349" operator="containsText" text="FALSO">
      <formula>NOT(ISERROR(SEARCH("FALSO",AN234)))</formula>
    </cfRule>
  </conditionalFormatting>
  <conditionalFormatting sqref="S203 U203 W203 AE203:AF203">
    <cfRule type="containsText" dxfId="3872" priority="11451" operator="containsText" text="FALSO">
      <formula>NOT(ISERROR(SEARCH("FALSO",S203)))</formula>
    </cfRule>
  </conditionalFormatting>
  <conditionalFormatting sqref="Y203:Z203 AT203:XFD203">
    <cfRule type="containsText" dxfId="3871" priority="11450" operator="containsText" text="FALSO">
      <formula>NOT(ISERROR(SEARCH("FALSO",Y203)))</formula>
    </cfRule>
  </conditionalFormatting>
  <conditionalFormatting sqref="F203 H203:J203 H204:I238 L203:L238">
    <cfRule type="containsText" dxfId="3870" priority="11449" operator="containsText" text="FALSO">
      <formula>NOT(ISERROR(SEARCH("FALSO",F203)))</formula>
    </cfRule>
  </conditionalFormatting>
  <conditionalFormatting sqref="A203:C203">
    <cfRule type="containsText" dxfId="3869" priority="11446" operator="containsText" text="FALSO">
      <formula>NOT(ISERROR(SEARCH("FALSO",A203)))</formula>
    </cfRule>
  </conditionalFormatting>
  <conditionalFormatting sqref="AL215 AL217 AL219 AL221 AL223 AL225 AL227 AL229 AL231 AL233 AL235 AL237">
    <cfRule type="containsText" dxfId="3868" priority="11445" operator="containsText" text="FALSO">
      <formula>NOT(ISERROR(SEARCH("FALSO",AL215)))</formula>
    </cfRule>
  </conditionalFormatting>
  <conditionalFormatting sqref="AK220:AM220">
    <cfRule type="containsText" dxfId="3867" priority="11338" operator="containsText" text="FALSO">
      <formula>NOT(ISERROR(SEARCH("FALSO",AK220)))</formula>
    </cfRule>
  </conditionalFormatting>
  <conditionalFormatting sqref="AK218:AM218">
    <cfRule type="containsText" dxfId="3866" priority="11339" operator="containsText" text="FALSO">
      <formula>NOT(ISERROR(SEARCH("FALSO",AK218)))</formula>
    </cfRule>
  </conditionalFormatting>
  <conditionalFormatting sqref="AN216:AS216">
    <cfRule type="containsText" dxfId="3865" priority="11358" operator="containsText" text="FALSO">
      <formula>NOT(ISERROR(SEARCH("FALSO",AN216)))</formula>
    </cfRule>
  </conditionalFormatting>
  <conditionalFormatting sqref="AN218:AS218">
    <cfRule type="containsText" dxfId="3864" priority="11357" operator="containsText" text="FALSO">
      <formula>NOT(ISERROR(SEARCH("FALSO",AN218)))</formula>
    </cfRule>
  </conditionalFormatting>
  <conditionalFormatting sqref="AN220:AS220">
    <cfRule type="containsText" dxfId="3863" priority="11356" operator="containsText" text="FALSO">
      <formula>NOT(ISERROR(SEARCH("FALSO",AN220)))</formula>
    </cfRule>
  </conditionalFormatting>
  <conditionalFormatting sqref="AN222:AS222">
    <cfRule type="containsText" dxfId="3862" priority="11355" operator="containsText" text="FALSO">
      <formula>NOT(ISERROR(SEARCH("FALSO",AN222)))</formula>
    </cfRule>
  </conditionalFormatting>
  <conditionalFormatting sqref="AN226:AS226">
    <cfRule type="containsText" dxfId="3861" priority="11353" operator="containsText" text="FALSO">
      <formula>NOT(ISERROR(SEARCH("FALSO",AN226)))</formula>
    </cfRule>
  </conditionalFormatting>
  <conditionalFormatting sqref="AN228:AS228">
    <cfRule type="containsText" dxfId="3860" priority="11352" operator="containsText" text="FALSO">
      <formula>NOT(ISERROR(SEARCH("FALSO",AN228)))</formula>
    </cfRule>
  </conditionalFormatting>
  <conditionalFormatting sqref="AN230:AS230">
    <cfRule type="containsText" dxfId="3859" priority="11351" operator="containsText" text="FALSO">
      <formula>NOT(ISERROR(SEARCH("FALSO",AN230)))</formula>
    </cfRule>
  </conditionalFormatting>
  <conditionalFormatting sqref="AN232:AS232">
    <cfRule type="containsText" dxfId="3858" priority="11350" operator="containsText" text="FALSO">
      <formula>NOT(ISERROR(SEARCH("FALSO",AN232)))</formula>
    </cfRule>
  </conditionalFormatting>
  <conditionalFormatting sqref="AN238:AS238">
    <cfRule type="containsText" dxfId="3857" priority="11347" operator="containsText" text="FALSO">
      <formula>NOT(ISERROR(SEARCH("FALSO",AN238)))</formula>
    </cfRule>
  </conditionalFormatting>
  <conditionalFormatting sqref="AK216:AM216">
    <cfRule type="containsText" dxfId="3856" priority="11340" operator="containsText" text="FALSO">
      <formula>NOT(ISERROR(SEARCH("FALSO",AK216)))</formula>
    </cfRule>
  </conditionalFormatting>
  <conditionalFormatting sqref="N191:P191 Y191:Z191 S191 W191 AK191:AM191 AP191 AS191:XFD191 U191">
    <cfRule type="containsText" dxfId="3855" priority="11284" operator="containsText" text="FALSO">
      <formula>NOT(ISERROR(SEARCH("FALSO",N191)))</formula>
    </cfRule>
  </conditionalFormatting>
  <conditionalFormatting sqref="AK222:AM222">
    <cfRule type="containsText" dxfId="3854" priority="11337" operator="containsText" text="FALSO">
      <formula>NOT(ISERROR(SEARCH("FALSO",AK222)))</formula>
    </cfRule>
  </conditionalFormatting>
  <conditionalFormatting sqref="AO239">
    <cfRule type="containsText" dxfId="3853" priority="11370" operator="containsText" text="FALSO">
      <formula>NOT(ISERROR(SEARCH("FALSO",AO239)))</formula>
    </cfRule>
  </conditionalFormatting>
  <conditionalFormatting sqref="AO240">
    <cfRule type="containsText" dxfId="3852" priority="11369" operator="containsText" text="FALSO">
      <formula>NOT(ISERROR(SEARCH("FALSO",AO240)))</formula>
    </cfRule>
  </conditionalFormatting>
  <conditionalFormatting sqref="AO215 AO217 AO219 AO221 AO223 AO225 AO227 AO229 AO231 AO233 AO235 AO237">
    <cfRule type="containsText" dxfId="3851" priority="11368" operator="containsText" text="FALSO">
      <formula>NOT(ISERROR(SEARCH("FALSO",AO215)))</formula>
    </cfRule>
  </conditionalFormatting>
  <conditionalFormatting sqref="AR239">
    <cfRule type="containsText" dxfId="3850" priority="11367" operator="containsText" text="FALSO">
      <formula>NOT(ISERROR(SEARCH("FALSO",AR239)))</formula>
    </cfRule>
  </conditionalFormatting>
  <conditionalFormatting sqref="AR240">
    <cfRule type="containsText" dxfId="3849" priority="11366" operator="containsText" text="FALSO">
      <formula>NOT(ISERROR(SEARCH("FALSO",AR240)))</formula>
    </cfRule>
  </conditionalFormatting>
  <conditionalFormatting sqref="AR215 AR217 AR219 AR221 AR223 AR225 AR227 AR229 AR231 AR233 AR235 AR237">
    <cfRule type="containsText" dxfId="3848" priority="11365" operator="containsText" text="FALSO">
      <formula>NOT(ISERROR(SEARCH("FALSO",AR215)))</formula>
    </cfRule>
  </conditionalFormatting>
  <conditionalFormatting sqref="AK224:AM224">
    <cfRule type="containsText" dxfId="3847" priority="11336" operator="containsText" text="FALSO">
      <formula>NOT(ISERROR(SEARCH("FALSO",AK224)))</formula>
    </cfRule>
  </conditionalFormatting>
  <conditionalFormatting sqref="AK226:AM226">
    <cfRule type="containsText" dxfId="3846" priority="11335" operator="containsText" text="FALSO">
      <formula>NOT(ISERROR(SEARCH("FALSO",AK226)))</formula>
    </cfRule>
  </conditionalFormatting>
  <conditionalFormatting sqref="AK228:AM228">
    <cfRule type="containsText" dxfId="3845" priority="11334" operator="containsText" text="FALSO">
      <formula>NOT(ISERROR(SEARCH("FALSO",AK228)))</formula>
    </cfRule>
  </conditionalFormatting>
  <conditionalFormatting sqref="AK230:AM230">
    <cfRule type="containsText" dxfId="3844" priority="11333" operator="containsText" text="FALSO">
      <formula>NOT(ISERROR(SEARCH("FALSO",AK230)))</formula>
    </cfRule>
  </conditionalFormatting>
  <conditionalFormatting sqref="AK232:AM232">
    <cfRule type="containsText" dxfId="3843" priority="11332" operator="containsText" text="FALSO">
      <formula>NOT(ISERROR(SEARCH("FALSO",AK232)))</formula>
    </cfRule>
  </conditionalFormatting>
  <conditionalFormatting sqref="AK234:AM234">
    <cfRule type="containsText" dxfId="3842" priority="11331" operator="containsText" text="FALSO">
      <formula>NOT(ISERROR(SEARCH("FALSO",AK234)))</formula>
    </cfRule>
  </conditionalFormatting>
  <conditionalFormatting sqref="AK236:AM236">
    <cfRule type="containsText" dxfId="3841" priority="11330" operator="containsText" text="FALSO">
      <formula>NOT(ISERROR(SEARCH("FALSO",AK236)))</formula>
    </cfRule>
  </conditionalFormatting>
  <conditionalFormatting sqref="AK238:AM238">
    <cfRule type="containsText" dxfId="3840" priority="11329" operator="containsText" text="FALSO">
      <formula>NOT(ISERROR(SEARCH("FALSO",AK238)))</formula>
    </cfRule>
  </conditionalFormatting>
  <conditionalFormatting sqref="N202:P202 Y202:Z202 S202 W202 AT202:XFD202 U202 AE202:AF202">
    <cfRule type="containsText" dxfId="3839" priority="11328" operator="containsText" text="FALSO">
      <formula>NOT(ISERROR(SEARCH("FALSO",N202)))</formula>
    </cfRule>
  </conditionalFormatting>
  <conditionalFormatting sqref="G202">
    <cfRule type="duplicateValues" dxfId="3838" priority="11327"/>
  </conditionalFormatting>
  <conditionalFormatting sqref="N201:P201 Y201:Z201 S201 W201 AT201:XFD201 U201 AE201:AF201">
    <cfRule type="containsText" dxfId="3837" priority="11324" operator="containsText" text="FALSO">
      <formula>NOT(ISERROR(SEARCH("FALSO",N201)))</formula>
    </cfRule>
  </conditionalFormatting>
  <conditionalFormatting sqref="G201">
    <cfRule type="duplicateValues" dxfId="3836" priority="11323"/>
  </conditionalFormatting>
  <conditionalFormatting sqref="N200:P200 Y200:Z200 S200 W200 AT200:XFD200 U200">
    <cfRule type="containsText" dxfId="3835" priority="11320" operator="containsText" text="FALSO">
      <formula>NOT(ISERROR(SEARCH("FALSO",N200)))</formula>
    </cfRule>
  </conditionalFormatting>
  <conditionalFormatting sqref="A200:C200 F200:G200">
    <cfRule type="containsText" dxfId="3834" priority="11318" operator="containsText" text="FALSO">
      <formula>NOT(ISERROR(SEARCH("FALSO",A200)))</formula>
    </cfRule>
  </conditionalFormatting>
  <conditionalFormatting sqref="G200">
    <cfRule type="duplicateValues" dxfId="3833" priority="11319"/>
  </conditionalFormatting>
  <conditionalFormatting sqref="N199:P199 Y199:Z199 S199 W199 AT199:XFD199 U199">
    <cfRule type="containsText" dxfId="3832" priority="11316" operator="containsText" text="FALSO">
      <formula>NOT(ISERROR(SEARCH("FALSO",N199)))</formula>
    </cfRule>
  </conditionalFormatting>
  <conditionalFormatting sqref="G199">
    <cfRule type="duplicateValues" dxfId="3831" priority="11315"/>
  </conditionalFormatting>
  <conditionalFormatting sqref="N198:P198 Y198:Z198 S198 W198 AK198:AM198 AP198 AS198:XFD198 U198">
    <cfRule type="containsText" dxfId="3830" priority="11312" operator="containsText" text="FALSO">
      <formula>NOT(ISERROR(SEARCH("FALSO",N198)))</formula>
    </cfRule>
  </conditionalFormatting>
  <conditionalFormatting sqref="A198:C198 F198:G198">
    <cfRule type="containsText" dxfId="3829" priority="11310" operator="containsText" text="FALSO">
      <formula>NOT(ISERROR(SEARCH("FALSO",A198)))</formula>
    </cfRule>
  </conditionalFormatting>
  <conditionalFormatting sqref="G198">
    <cfRule type="duplicateValues" dxfId="3828" priority="11311"/>
  </conditionalFormatting>
  <conditionalFormatting sqref="N197:P197 Y197:Z197 S197 W197 AK197:AM197 AP197 AS197:XFD197 U197">
    <cfRule type="containsText" dxfId="3827" priority="11308" operator="containsText" text="FALSO">
      <formula>NOT(ISERROR(SEARCH("FALSO",N197)))</formula>
    </cfRule>
  </conditionalFormatting>
  <conditionalFormatting sqref="G197">
    <cfRule type="duplicateValues" dxfId="3826" priority="11307"/>
  </conditionalFormatting>
  <conditionalFormatting sqref="N196:P196 Y196:Z196 S196 W196 AK196:AM196 AP196 AS196:XFD196 U196">
    <cfRule type="containsText" dxfId="3825" priority="11304" operator="containsText" text="FALSO">
      <formula>NOT(ISERROR(SEARCH("FALSO",N196)))</formula>
    </cfRule>
  </conditionalFormatting>
  <conditionalFormatting sqref="A196:C196 F196:G196">
    <cfRule type="containsText" dxfId="3824" priority="11302" operator="containsText" text="FALSO">
      <formula>NOT(ISERROR(SEARCH("FALSO",A196)))</formula>
    </cfRule>
  </conditionalFormatting>
  <conditionalFormatting sqref="G196">
    <cfRule type="duplicateValues" dxfId="3823" priority="11303"/>
  </conditionalFormatting>
  <conditionalFormatting sqref="N195:P195 Y195:Z195 S195 W195 AK195:AM195 AP195 AS195:XFD195 U195">
    <cfRule type="containsText" dxfId="3822" priority="11300" operator="containsText" text="FALSO">
      <formula>NOT(ISERROR(SEARCH("FALSO",N195)))</formula>
    </cfRule>
  </conditionalFormatting>
  <conditionalFormatting sqref="G195">
    <cfRule type="duplicateValues" dxfId="3821" priority="11299"/>
  </conditionalFormatting>
  <conditionalFormatting sqref="N194:P194 Y194:Z194 S194 W194 AK194:AM194 AP194 AS194:XFD194 U194">
    <cfRule type="containsText" dxfId="3820" priority="11296" operator="containsText" text="FALSO">
      <formula>NOT(ISERROR(SEARCH("FALSO",N194)))</formula>
    </cfRule>
  </conditionalFormatting>
  <conditionalFormatting sqref="A194:C194 F194:G194">
    <cfRule type="containsText" dxfId="3819" priority="11294" operator="containsText" text="FALSO">
      <formula>NOT(ISERROR(SEARCH("FALSO",A194)))</formula>
    </cfRule>
  </conditionalFormatting>
  <conditionalFormatting sqref="G194">
    <cfRule type="duplicateValues" dxfId="3818" priority="11295"/>
  </conditionalFormatting>
  <conditionalFormatting sqref="N193:P193 Y193:Z193 S193 W193 AK193:AM193 AP193 AS193:XFD193 U193">
    <cfRule type="containsText" dxfId="3817" priority="11292" operator="containsText" text="FALSO">
      <formula>NOT(ISERROR(SEARCH("FALSO",N193)))</formula>
    </cfRule>
  </conditionalFormatting>
  <conditionalFormatting sqref="G193">
    <cfRule type="duplicateValues" dxfId="3816" priority="11291"/>
  </conditionalFormatting>
  <conditionalFormatting sqref="N192:P192 Y192:Z192 S192 W192 AK192:AM192 AP192 AS192:XFD192 U192">
    <cfRule type="containsText" dxfId="3815" priority="11288" operator="containsText" text="FALSO">
      <formula>NOT(ISERROR(SEARCH("FALSO",N192)))</formula>
    </cfRule>
  </conditionalFormatting>
  <conditionalFormatting sqref="A192:C192 F192:G192">
    <cfRule type="containsText" dxfId="3814" priority="11286" operator="containsText" text="FALSO">
      <formula>NOT(ISERROR(SEARCH("FALSO",A192)))</formula>
    </cfRule>
  </conditionalFormatting>
  <conditionalFormatting sqref="G192">
    <cfRule type="duplicateValues" dxfId="3813" priority="11287"/>
  </conditionalFormatting>
  <conditionalFormatting sqref="G191">
    <cfRule type="duplicateValues" dxfId="3812" priority="11283"/>
  </conditionalFormatting>
  <conditionalFormatting sqref="G190">
    <cfRule type="duplicateValues" dxfId="3811" priority="11279"/>
  </conditionalFormatting>
  <conditionalFormatting sqref="W189">
    <cfRule type="containsText" dxfId="3810" priority="11276" operator="containsText" text="FALSO">
      <formula>NOT(ISERROR(SEARCH("FALSO",W189)))</formula>
    </cfRule>
  </conditionalFormatting>
  <conditionalFormatting sqref="G189">
    <cfRule type="duplicateValues" dxfId="3809" priority="11275"/>
  </conditionalFormatting>
  <conditionalFormatting sqref="H192">
    <cfRule type="containsText" dxfId="3808" priority="11272" operator="containsText" text="FALSO">
      <formula>NOT(ISERROR(SEARCH("FALSO",H192)))</formula>
    </cfRule>
  </conditionalFormatting>
  <conditionalFormatting sqref="H194">
    <cfRule type="containsText" dxfId="3807" priority="11271" operator="containsText" text="FALSO">
      <formula>NOT(ISERROR(SEARCH("FALSO",H194)))</formula>
    </cfRule>
  </conditionalFormatting>
  <conditionalFormatting sqref="H196">
    <cfRule type="containsText" dxfId="3806" priority="11270" operator="containsText" text="FALSO">
      <formula>NOT(ISERROR(SEARCH("FALSO",H196)))</formula>
    </cfRule>
  </conditionalFormatting>
  <conditionalFormatting sqref="H198">
    <cfRule type="containsText" dxfId="3805" priority="11269" operator="containsText" text="FALSO">
      <formula>NOT(ISERROR(SEARCH("FALSO",H198)))</formula>
    </cfRule>
  </conditionalFormatting>
  <conditionalFormatting sqref="H200">
    <cfRule type="containsText" dxfId="3804" priority="11268" operator="containsText" text="FALSO">
      <formula>NOT(ISERROR(SEARCH("FALSO",H200)))</formula>
    </cfRule>
  </conditionalFormatting>
  <conditionalFormatting sqref="A163:C163 K163:L163 F163:G163">
    <cfRule type="containsText" dxfId="3803" priority="11018" operator="containsText" text="FALSO">
      <formula>NOT(ISERROR(SEARCH("FALSO",A163)))</formula>
    </cfRule>
  </conditionalFormatting>
  <conditionalFormatting sqref="N162:P162 Y162:Z162 S162 AK162:AM162 AP162 AS162:XFD162 U162">
    <cfRule type="containsText" dxfId="3802" priority="11015" operator="containsText" text="FALSO">
      <formula>NOT(ISERROR(SEARCH("FALSO",N162)))</formula>
    </cfRule>
  </conditionalFormatting>
  <conditionalFormatting sqref="W162">
    <cfRule type="containsText" dxfId="3801" priority="11014" operator="containsText" text="FALSO">
      <formula>NOT(ISERROR(SEARCH("FALSO",W162)))</formula>
    </cfRule>
  </conditionalFormatting>
  <conditionalFormatting sqref="A162:C162 K162:L162 F162:G162">
    <cfRule type="containsText" dxfId="3800" priority="11012" operator="containsText" text="FALSO">
      <formula>NOT(ISERROR(SEARCH("FALSO",A162)))</formula>
    </cfRule>
  </conditionalFormatting>
  <conditionalFormatting sqref="N161:P161 Y161:Z161 S161 AK161 AP161 AS161:XFD161 U161 AM161">
    <cfRule type="containsText" dxfId="3799" priority="11009" operator="containsText" text="FALSO">
      <formula>NOT(ISERROR(SEARCH("FALSO",N161)))</formula>
    </cfRule>
  </conditionalFormatting>
  <conditionalFormatting sqref="W161">
    <cfRule type="containsText" dxfId="3798" priority="11008" operator="containsText" text="FALSO">
      <formula>NOT(ISERROR(SEARCH("FALSO",W161)))</formula>
    </cfRule>
  </conditionalFormatting>
  <conditionalFormatting sqref="A161:C161 K161:L161 F161:G161">
    <cfRule type="containsText" dxfId="3797" priority="11006" operator="containsText" text="FALSO">
      <formula>NOT(ISERROR(SEARCH("FALSO",A161)))</formula>
    </cfRule>
  </conditionalFormatting>
  <conditionalFormatting sqref="N160:P160 Y160:Z160 S160 AK160 AP160 AS160:XFD160 U160 AM160">
    <cfRule type="containsText" dxfId="3796" priority="11003" operator="containsText" text="FALSO">
      <formula>NOT(ISERROR(SEARCH("FALSO",N160)))</formula>
    </cfRule>
  </conditionalFormatting>
  <conditionalFormatting sqref="W160">
    <cfRule type="containsText" dxfId="3795" priority="11002" operator="containsText" text="FALSO">
      <formula>NOT(ISERROR(SEARCH("FALSO",W160)))</formula>
    </cfRule>
  </conditionalFormatting>
  <conditionalFormatting sqref="A160:C160 K160:L160 F160:G160">
    <cfRule type="containsText" dxfId="3794" priority="11000" operator="containsText" text="FALSO">
      <formula>NOT(ISERROR(SEARCH("FALSO",A160)))</formula>
    </cfRule>
  </conditionalFormatting>
  <conditionalFormatting sqref="N159:P159 Y159:Z159 S159 AK159 AP159 AS159:XFD159 U159 AM159">
    <cfRule type="containsText" dxfId="3793" priority="10997" operator="containsText" text="FALSO">
      <formula>NOT(ISERROR(SEARCH("FALSO",N159)))</formula>
    </cfRule>
  </conditionalFormatting>
  <conditionalFormatting sqref="W159">
    <cfRule type="containsText" dxfId="3792" priority="10996" operator="containsText" text="FALSO">
      <formula>NOT(ISERROR(SEARCH("FALSO",W159)))</formula>
    </cfRule>
  </conditionalFormatting>
  <conditionalFormatting sqref="A159:C159 K159:L159 F159:G159">
    <cfRule type="containsText" dxfId="3791" priority="10994" operator="containsText" text="FALSO">
      <formula>NOT(ISERROR(SEARCH("FALSO",A159)))</formula>
    </cfRule>
  </conditionalFormatting>
  <conditionalFormatting sqref="N158:P158 Y158:Z158 S158 AK158 AP158 AS158:XFD158 U158 AM158">
    <cfRule type="containsText" dxfId="3790" priority="10991" operator="containsText" text="FALSO">
      <formula>NOT(ISERROR(SEARCH("FALSO",N158)))</formula>
    </cfRule>
  </conditionalFormatting>
  <conditionalFormatting sqref="W158">
    <cfRule type="containsText" dxfId="3789" priority="10990" operator="containsText" text="FALSO">
      <formula>NOT(ISERROR(SEARCH("FALSO",W158)))</formula>
    </cfRule>
  </conditionalFormatting>
  <conditionalFormatting sqref="N177:P177 Y177:Z177 S177 AK177:AM177 AP177 AS177:XFD177 U177">
    <cfRule type="containsText" dxfId="3788" priority="11105" operator="containsText" text="FALSO">
      <formula>NOT(ISERROR(SEARCH("FALSO",N177)))</formula>
    </cfRule>
  </conditionalFormatting>
  <conditionalFormatting sqref="W177">
    <cfRule type="containsText" dxfId="3787" priority="11104" operator="containsText" text="FALSO">
      <formula>NOT(ISERROR(SEARCH("FALSO",W177)))</formula>
    </cfRule>
  </conditionalFormatting>
  <conditionalFormatting sqref="A177:C177 K177:L177 F177:G177">
    <cfRule type="containsText" dxfId="3786" priority="11102" operator="containsText" text="FALSO">
      <formula>NOT(ISERROR(SEARCH("FALSO",A177)))</formula>
    </cfRule>
  </conditionalFormatting>
  <conditionalFormatting sqref="N176:P176 Y176:Z176 S176 AK176:AM176 AP176 AS176:XFD176 U176">
    <cfRule type="containsText" dxfId="3785" priority="11099" operator="containsText" text="FALSO">
      <formula>NOT(ISERROR(SEARCH("FALSO",N176)))</formula>
    </cfRule>
  </conditionalFormatting>
  <conditionalFormatting sqref="W176">
    <cfRule type="containsText" dxfId="3784" priority="11098" operator="containsText" text="FALSO">
      <formula>NOT(ISERROR(SEARCH("FALSO",W176)))</formula>
    </cfRule>
  </conditionalFormatting>
  <conditionalFormatting sqref="A176:C176 K176:L176 F176:G176">
    <cfRule type="containsText" dxfId="3783" priority="11096" operator="containsText" text="FALSO">
      <formula>NOT(ISERROR(SEARCH("FALSO",A176)))</formula>
    </cfRule>
  </conditionalFormatting>
  <conditionalFormatting sqref="N175:P175 Y175:Z175 S175 AK175:AM175 AP175 AS175:XFD175 U175">
    <cfRule type="containsText" dxfId="3782" priority="11093" operator="containsText" text="FALSO">
      <formula>NOT(ISERROR(SEARCH("FALSO",N175)))</formula>
    </cfRule>
  </conditionalFormatting>
  <conditionalFormatting sqref="W175">
    <cfRule type="containsText" dxfId="3781" priority="11092" operator="containsText" text="FALSO">
      <formula>NOT(ISERROR(SEARCH("FALSO",W175)))</formula>
    </cfRule>
  </conditionalFormatting>
  <conditionalFormatting sqref="A175:C175 K175:L175 F175:G175">
    <cfRule type="containsText" dxfId="3780" priority="11090" operator="containsText" text="FALSO">
      <formula>NOT(ISERROR(SEARCH("FALSO",A175)))</formula>
    </cfRule>
  </conditionalFormatting>
  <conditionalFormatting sqref="N174:P174 Y174:Z174 S174 AK174:AM174 AP174 AS174:XFD174 U174">
    <cfRule type="containsText" dxfId="3779" priority="11087" operator="containsText" text="FALSO">
      <formula>NOT(ISERROR(SEARCH("FALSO",N174)))</formula>
    </cfRule>
  </conditionalFormatting>
  <conditionalFormatting sqref="W174">
    <cfRule type="containsText" dxfId="3778" priority="11086" operator="containsText" text="FALSO">
      <formula>NOT(ISERROR(SEARCH("FALSO",W174)))</formula>
    </cfRule>
  </conditionalFormatting>
  <conditionalFormatting sqref="A174:C174 K174:L174 G174">
    <cfRule type="containsText" dxfId="3777" priority="11084" operator="containsText" text="FALSO">
      <formula>NOT(ISERROR(SEARCH("FALSO",A174)))</formula>
    </cfRule>
  </conditionalFormatting>
  <conditionalFormatting sqref="N173:P173 Y173:Z173 S173 AK173:AM173 AP173 AS173:XFD173 U173">
    <cfRule type="containsText" dxfId="3776" priority="11081" operator="containsText" text="FALSO">
      <formula>NOT(ISERROR(SEARCH("FALSO",N173)))</formula>
    </cfRule>
  </conditionalFormatting>
  <conditionalFormatting sqref="W173">
    <cfRule type="containsText" dxfId="3775" priority="11080" operator="containsText" text="FALSO">
      <formula>NOT(ISERROR(SEARCH("FALSO",W173)))</formula>
    </cfRule>
  </conditionalFormatting>
  <conditionalFormatting sqref="A173:C173 J174:J188 J173:L173 G173">
    <cfRule type="containsText" dxfId="3774" priority="11078" operator="containsText" text="FALSO">
      <formula>NOT(ISERROR(SEARCH("FALSO",A173)))</formula>
    </cfRule>
  </conditionalFormatting>
  <conditionalFormatting sqref="AN198:AO198">
    <cfRule type="containsText" dxfId="3773" priority="10721" operator="containsText" text="FALSO">
      <formula>NOT(ISERROR(SEARCH("FALSO",AN198)))</formula>
    </cfRule>
  </conditionalFormatting>
  <conditionalFormatting sqref="AN197:AO197">
    <cfRule type="containsText" dxfId="3772" priority="10720" operator="containsText" text="FALSO">
      <formula>NOT(ISERROR(SEARCH("FALSO",AN197)))</formula>
    </cfRule>
  </conditionalFormatting>
  <conditionalFormatting sqref="AN196:AO196">
    <cfRule type="containsText" dxfId="3771" priority="10719" operator="containsText" text="FALSO">
      <formula>NOT(ISERROR(SEARCH("FALSO",AN196)))</formula>
    </cfRule>
  </conditionalFormatting>
  <conditionalFormatting sqref="AN195:AO195">
    <cfRule type="containsText" dxfId="3770" priority="10718" operator="containsText" text="FALSO">
      <formula>NOT(ISERROR(SEARCH("FALSO",AN195)))</formula>
    </cfRule>
  </conditionalFormatting>
  <conditionalFormatting sqref="AN194:AO194">
    <cfRule type="containsText" dxfId="3769" priority="10717" operator="containsText" text="FALSO">
      <formula>NOT(ISERROR(SEARCH("FALSO",AN194)))</formula>
    </cfRule>
  </conditionalFormatting>
  <conditionalFormatting sqref="AN193:AO193">
    <cfRule type="containsText" dxfId="3768" priority="10716" operator="containsText" text="FALSO">
      <formula>NOT(ISERROR(SEARCH("FALSO",AN193)))</formula>
    </cfRule>
  </conditionalFormatting>
  <conditionalFormatting sqref="N170:P170 Y170:Z170 S170 AK170:AM170 AP170 AS170:XFD170 U170">
    <cfRule type="containsText" dxfId="3767" priority="11063" operator="containsText" text="FALSO">
      <formula>NOT(ISERROR(SEARCH("FALSO",N170)))</formula>
    </cfRule>
  </conditionalFormatting>
  <conditionalFormatting sqref="W170">
    <cfRule type="containsText" dxfId="3766" priority="11062" operator="containsText" text="FALSO">
      <formula>NOT(ISERROR(SEARCH("FALSO",W170)))</formula>
    </cfRule>
  </conditionalFormatting>
  <conditionalFormatting sqref="A170:C170 K170:L170 F170:G170">
    <cfRule type="containsText" dxfId="3765" priority="11060" operator="containsText" text="FALSO">
      <formula>NOT(ISERROR(SEARCH("FALSO",A170)))</formula>
    </cfRule>
  </conditionalFormatting>
  <conditionalFormatting sqref="N169:P169 Y169:Z169 S169 AK169:AM169 AP169 AS169:XFD169 U169">
    <cfRule type="containsText" dxfId="3764" priority="11057" operator="containsText" text="FALSO">
      <formula>NOT(ISERROR(SEARCH("FALSO",N169)))</formula>
    </cfRule>
  </conditionalFormatting>
  <conditionalFormatting sqref="W169">
    <cfRule type="containsText" dxfId="3763" priority="11056" operator="containsText" text="FALSO">
      <formula>NOT(ISERROR(SEARCH("FALSO",W169)))</formula>
    </cfRule>
  </conditionalFormatting>
  <conditionalFormatting sqref="A169:C169 K169:L169 I169:I188 F169:G169">
    <cfRule type="containsText" dxfId="3762" priority="11054" operator="containsText" text="FALSO">
      <formula>NOT(ISERROR(SEARCH("FALSO",A169)))</formula>
    </cfRule>
  </conditionalFormatting>
  <conditionalFormatting sqref="N168:P168 Y168:Z168 S168 AK168:AM168 AP168 AS168:XFD168 U168">
    <cfRule type="containsText" dxfId="3761" priority="11051" operator="containsText" text="FALSO">
      <formula>NOT(ISERROR(SEARCH("FALSO",N168)))</formula>
    </cfRule>
  </conditionalFormatting>
  <conditionalFormatting sqref="W168">
    <cfRule type="containsText" dxfId="3760" priority="11050" operator="containsText" text="FALSO">
      <formula>NOT(ISERROR(SEARCH("FALSO",W168)))</formula>
    </cfRule>
  </conditionalFormatting>
  <conditionalFormatting sqref="N188:P188 Y188:Z188 S188 AK188:AM188 AP188 AS188:XFD188 U188">
    <cfRule type="containsText" dxfId="3759" priority="11171" operator="containsText" text="FALSO">
      <formula>NOT(ISERROR(SEARCH("FALSO",N188)))</formula>
    </cfRule>
  </conditionalFormatting>
  <conditionalFormatting sqref="W188">
    <cfRule type="containsText" dxfId="3758" priority="11170" operator="containsText" text="FALSO">
      <formula>NOT(ISERROR(SEARCH("FALSO",W188)))</formula>
    </cfRule>
  </conditionalFormatting>
  <conditionalFormatting sqref="A188:C188 K188:L188 F188:G188">
    <cfRule type="containsText" dxfId="3757" priority="11168" operator="containsText" text="FALSO">
      <formula>NOT(ISERROR(SEARCH("FALSO",A188)))</formula>
    </cfRule>
  </conditionalFormatting>
  <conditionalFormatting sqref="G188">
    <cfRule type="duplicateValues" dxfId="3756" priority="11169"/>
  </conditionalFormatting>
  <conditionalFormatting sqref="AN173">
    <cfRule type="containsText" dxfId="3755" priority="10697" operator="containsText" text="FALSO">
      <formula>NOT(ISERROR(SEARCH("FALSO",AN173)))</formula>
    </cfRule>
  </conditionalFormatting>
  <conditionalFormatting sqref="W167">
    <cfRule type="containsText" dxfId="3754" priority="11044" operator="containsText" text="FALSO">
      <formula>NOT(ISERROR(SEARCH("FALSO",W167)))</formula>
    </cfRule>
  </conditionalFormatting>
  <conditionalFormatting sqref="N187:P187 Y187:Z187 S187 AK187:AM187 AP187 AS187:XFD187 U187">
    <cfRule type="containsText" dxfId="3753" priority="11165" operator="containsText" text="FALSO">
      <formula>NOT(ISERROR(SEARCH("FALSO",N187)))</formula>
    </cfRule>
  </conditionalFormatting>
  <conditionalFormatting sqref="W187">
    <cfRule type="containsText" dxfId="3752" priority="11164" operator="containsText" text="FALSO">
      <formula>NOT(ISERROR(SEARCH("FALSO",W187)))</formula>
    </cfRule>
  </conditionalFormatting>
  <conditionalFormatting sqref="A187:C187 K187:L187 F187:G187">
    <cfRule type="containsText" dxfId="3751" priority="11162" operator="containsText" text="FALSO">
      <formula>NOT(ISERROR(SEARCH("FALSO",A187)))</formula>
    </cfRule>
  </conditionalFormatting>
  <conditionalFormatting sqref="G187">
    <cfRule type="duplicateValues" dxfId="3750" priority="11163"/>
  </conditionalFormatting>
  <conditionalFormatting sqref="AN167">
    <cfRule type="containsText" dxfId="3749" priority="10691" operator="containsText" text="FALSO">
      <formula>NOT(ISERROR(SEARCH("FALSO",AN167)))</formula>
    </cfRule>
  </conditionalFormatting>
  <conditionalFormatting sqref="W166">
    <cfRule type="containsText" dxfId="3748" priority="11038" operator="containsText" text="FALSO">
      <formula>NOT(ISERROR(SEARCH("FALSO",W166)))</formula>
    </cfRule>
  </conditionalFormatting>
  <conditionalFormatting sqref="N186:P186 Y186:Z186 S186 AK186:AM186 AP186 AS186:XFD186 U186">
    <cfRule type="containsText" dxfId="3747" priority="11159" operator="containsText" text="FALSO">
      <formula>NOT(ISERROR(SEARCH("FALSO",N186)))</formula>
    </cfRule>
  </conditionalFormatting>
  <conditionalFormatting sqref="W186">
    <cfRule type="containsText" dxfId="3746" priority="11158" operator="containsText" text="FALSO">
      <formula>NOT(ISERROR(SEARCH("FALSO",W186)))</formula>
    </cfRule>
  </conditionalFormatting>
  <conditionalFormatting sqref="A186:C186 K186:L186 F186:G186">
    <cfRule type="containsText" dxfId="3745" priority="11156" operator="containsText" text="FALSO">
      <formula>NOT(ISERROR(SEARCH("FALSO",A186)))</formula>
    </cfRule>
  </conditionalFormatting>
  <conditionalFormatting sqref="G186">
    <cfRule type="duplicateValues" dxfId="3744" priority="11157"/>
  </conditionalFormatting>
  <conditionalFormatting sqref="AN161">
    <cfRule type="containsText" dxfId="3743" priority="10685" operator="containsText" text="FALSO">
      <formula>NOT(ISERROR(SEARCH("FALSO",AN161)))</formula>
    </cfRule>
  </conditionalFormatting>
  <conditionalFormatting sqref="W165">
    <cfRule type="containsText" dxfId="3742" priority="11032" operator="containsText" text="FALSO">
      <formula>NOT(ISERROR(SEARCH("FALSO",W165)))</formula>
    </cfRule>
  </conditionalFormatting>
  <conditionalFormatting sqref="N185:P185 Y185:Z185 S185 AK185:AM185 AP185 AS185:XFD185 U185">
    <cfRule type="containsText" dxfId="3741" priority="11153" operator="containsText" text="FALSO">
      <formula>NOT(ISERROR(SEARCH("FALSO",N185)))</formula>
    </cfRule>
  </conditionalFormatting>
  <conditionalFormatting sqref="W185">
    <cfRule type="containsText" dxfId="3740" priority="11152" operator="containsText" text="FALSO">
      <formula>NOT(ISERROR(SEARCH("FALSO",W185)))</formula>
    </cfRule>
  </conditionalFormatting>
  <conditionalFormatting sqref="A185:C185 K185:L185 F185:G185">
    <cfRule type="containsText" dxfId="3739" priority="11150" operator="containsText" text="FALSO">
      <formula>NOT(ISERROR(SEARCH("FALSO",A185)))</formula>
    </cfRule>
  </conditionalFormatting>
  <conditionalFormatting sqref="G185">
    <cfRule type="duplicateValues" dxfId="3738" priority="11151"/>
  </conditionalFormatting>
  <conditionalFormatting sqref="W164">
    <cfRule type="containsText" dxfId="3737" priority="11026" operator="containsText" text="FALSO">
      <formula>NOT(ISERROR(SEARCH("FALSO",W164)))</formula>
    </cfRule>
  </conditionalFormatting>
  <conditionalFormatting sqref="N184:P184 Y184:Z184 S184 AK184:AM184 AP184 AS184:XFD184 U184">
    <cfRule type="containsText" dxfId="3736" priority="11147" operator="containsText" text="FALSO">
      <formula>NOT(ISERROR(SEARCH("FALSO",N184)))</formula>
    </cfRule>
  </conditionalFormatting>
  <conditionalFormatting sqref="W184">
    <cfRule type="containsText" dxfId="3735" priority="11146" operator="containsText" text="FALSO">
      <formula>NOT(ISERROR(SEARCH("FALSO",W184)))</formula>
    </cfRule>
  </conditionalFormatting>
  <conditionalFormatting sqref="A184:C184 K184:L184 F184:G184">
    <cfRule type="containsText" dxfId="3734" priority="11144" operator="containsText" text="FALSO">
      <formula>NOT(ISERROR(SEARCH("FALSO",A184)))</formula>
    </cfRule>
  </conditionalFormatting>
  <conditionalFormatting sqref="G184">
    <cfRule type="duplicateValues" dxfId="3733" priority="11145"/>
  </conditionalFormatting>
  <conditionalFormatting sqref="AN166">
    <cfRule type="containsText" dxfId="3732" priority="10690" operator="containsText" text="FALSO">
      <formula>NOT(ISERROR(SEARCH("FALSO",AN166)))</formula>
    </cfRule>
  </conditionalFormatting>
  <conditionalFormatting sqref="W163">
    <cfRule type="containsText" dxfId="3731" priority="11020" operator="containsText" text="FALSO">
      <formula>NOT(ISERROR(SEARCH("FALSO",W163)))</formula>
    </cfRule>
  </conditionalFormatting>
  <conditionalFormatting sqref="N183:P183 Y183:Z183 S183 AK183:AM183 AP183 AS183:XFD183 U183">
    <cfRule type="containsText" dxfId="3730" priority="11141" operator="containsText" text="FALSO">
      <formula>NOT(ISERROR(SEARCH("FALSO",N183)))</formula>
    </cfRule>
  </conditionalFormatting>
  <conditionalFormatting sqref="W183">
    <cfRule type="containsText" dxfId="3729" priority="11140" operator="containsText" text="FALSO">
      <formula>NOT(ISERROR(SEARCH("FALSO",W183)))</formula>
    </cfRule>
  </conditionalFormatting>
  <conditionalFormatting sqref="A183:C183 K183:L183 F183:G183">
    <cfRule type="containsText" dxfId="3728" priority="11138" operator="containsText" text="FALSO">
      <formula>NOT(ISERROR(SEARCH("FALSO",A183)))</formula>
    </cfRule>
  </conditionalFormatting>
  <conditionalFormatting sqref="G183">
    <cfRule type="duplicateValues" dxfId="3727" priority="11139"/>
  </conditionalFormatting>
  <conditionalFormatting sqref="AN160">
    <cfRule type="containsText" dxfId="3726" priority="10684" operator="containsText" text="FALSO">
      <formula>NOT(ISERROR(SEARCH("FALSO",AN160)))</formula>
    </cfRule>
  </conditionalFormatting>
  <conditionalFormatting sqref="N182:P182 Y182:Z182 S182 AK182:AM182 AP182 AS182:XFD182 U182">
    <cfRule type="containsText" dxfId="3725" priority="11135" operator="containsText" text="FALSO">
      <formula>NOT(ISERROR(SEARCH("FALSO",N182)))</formula>
    </cfRule>
  </conditionalFormatting>
  <conditionalFormatting sqref="W182">
    <cfRule type="containsText" dxfId="3724" priority="11134" operator="containsText" text="FALSO">
      <formula>NOT(ISERROR(SEARCH("FALSO",W182)))</formula>
    </cfRule>
  </conditionalFormatting>
  <conditionalFormatting sqref="A182:C182 K182:L182 F182:G182">
    <cfRule type="containsText" dxfId="3723" priority="11132" operator="containsText" text="FALSO">
      <formula>NOT(ISERROR(SEARCH("FALSO",A182)))</formula>
    </cfRule>
  </conditionalFormatting>
  <conditionalFormatting sqref="G182">
    <cfRule type="duplicateValues" dxfId="3722" priority="11133"/>
  </conditionalFormatting>
  <conditionalFormatting sqref="N181:P181 Y181:Z181 S181 AK181:AM181 AP181 AS181:XFD181 U181">
    <cfRule type="containsText" dxfId="3721" priority="11129" operator="containsText" text="FALSO">
      <formula>NOT(ISERROR(SEARCH("FALSO",N181)))</formula>
    </cfRule>
  </conditionalFormatting>
  <conditionalFormatting sqref="W181">
    <cfRule type="containsText" dxfId="3720" priority="11128" operator="containsText" text="FALSO">
      <formula>NOT(ISERROR(SEARCH("FALSO",W181)))</formula>
    </cfRule>
  </conditionalFormatting>
  <conditionalFormatting sqref="A181:C181 K181:L181 F181:G181">
    <cfRule type="containsText" dxfId="3719" priority="11126" operator="containsText" text="FALSO">
      <formula>NOT(ISERROR(SEARCH("FALSO",A181)))</formula>
    </cfRule>
  </conditionalFormatting>
  <conditionalFormatting sqref="G181">
    <cfRule type="duplicateValues" dxfId="3718" priority="11127"/>
  </conditionalFormatting>
  <conditionalFormatting sqref="N180:P180 Y180:Z180 S180 AK180:AM180 AP180 AS180:XFD180 U180">
    <cfRule type="containsText" dxfId="3717" priority="11123" operator="containsText" text="FALSO">
      <formula>NOT(ISERROR(SEARCH("FALSO",N180)))</formula>
    </cfRule>
  </conditionalFormatting>
  <conditionalFormatting sqref="W180">
    <cfRule type="containsText" dxfId="3716" priority="11122" operator="containsText" text="FALSO">
      <formula>NOT(ISERROR(SEARCH("FALSO",W180)))</formula>
    </cfRule>
  </conditionalFormatting>
  <conditionalFormatting sqref="A180:C180 K180:L180 F180:G180">
    <cfRule type="containsText" dxfId="3715" priority="11120" operator="containsText" text="FALSO">
      <formula>NOT(ISERROR(SEARCH("FALSO",A180)))</formula>
    </cfRule>
  </conditionalFormatting>
  <conditionalFormatting sqref="G180">
    <cfRule type="duplicateValues" dxfId="3714" priority="11121"/>
  </conditionalFormatting>
  <conditionalFormatting sqref="N179:P179 Y179:Z179 S179 AK179:AM179 AP179 AS179:XFD179 U179">
    <cfRule type="containsText" dxfId="3713" priority="11117" operator="containsText" text="FALSO">
      <formula>NOT(ISERROR(SEARCH("FALSO",N179)))</formula>
    </cfRule>
  </conditionalFormatting>
  <conditionalFormatting sqref="W179">
    <cfRule type="containsText" dxfId="3712" priority="11116" operator="containsText" text="FALSO">
      <formula>NOT(ISERROR(SEARCH("FALSO",W179)))</formula>
    </cfRule>
  </conditionalFormatting>
  <conditionalFormatting sqref="A179:C179 K179:L179 F179:G179">
    <cfRule type="containsText" dxfId="3711" priority="11114" operator="containsText" text="FALSO">
      <formula>NOT(ISERROR(SEARCH("FALSO",A179)))</formula>
    </cfRule>
  </conditionalFormatting>
  <conditionalFormatting sqref="G179">
    <cfRule type="duplicateValues" dxfId="3710" priority="11115"/>
  </conditionalFormatting>
  <conditionalFormatting sqref="N178:P178 Y178:Z178 S178 AK178:AM178 AP178 AS178:XFD178 U178">
    <cfRule type="containsText" dxfId="3709" priority="11111" operator="containsText" text="FALSO">
      <formula>NOT(ISERROR(SEARCH("FALSO",N178)))</formula>
    </cfRule>
  </conditionalFormatting>
  <conditionalFormatting sqref="W178">
    <cfRule type="containsText" dxfId="3708" priority="11110" operator="containsText" text="FALSO">
      <formula>NOT(ISERROR(SEARCH("FALSO",W178)))</formula>
    </cfRule>
  </conditionalFormatting>
  <conditionalFormatting sqref="A178:C178 K178:L178 F178:G178">
    <cfRule type="containsText" dxfId="3707" priority="11108" operator="containsText" text="FALSO">
      <formula>NOT(ISERROR(SEARCH("FALSO",A178)))</formula>
    </cfRule>
  </conditionalFormatting>
  <conditionalFormatting sqref="G178">
    <cfRule type="duplicateValues" dxfId="3706" priority="11109"/>
  </conditionalFormatting>
  <conditionalFormatting sqref="W157">
    <cfRule type="containsText" dxfId="3705" priority="10984" operator="containsText" text="FALSO">
      <formula>NOT(ISERROR(SEARCH("FALSO",W157)))</formula>
    </cfRule>
  </conditionalFormatting>
  <conditionalFormatting sqref="G177">
    <cfRule type="duplicateValues" dxfId="3704" priority="11103"/>
  </conditionalFormatting>
  <conditionalFormatting sqref="AN189">
    <cfRule type="containsText" dxfId="3703" priority="10735" operator="containsText" text="FALSO">
      <formula>NOT(ISERROR(SEARCH("FALSO",AN189)))</formula>
    </cfRule>
  </conditionalFormatting>
  <conditionalFormatting sqref="G176">
    <cfRule type="duplicateValues" dxfId="3702" priority="11097"/>
  </conditionalFormatting>
  <conditionalFormatting sqref="G175">
    <cfRule type="duplicateValues" dxfId="3701" priority="11091"/>
  </conditionalFormatting>
  <conditionalFormatting sqref="G174">
    <cfRule type="duplicateValues" dxfId="3700" priority="11085"/>
  </conditionalFormatting>
  <conditionalFormatting sqref="G173">
    <cfRule type="duplicateValues" dxfId="3699" priority="11079"/>
  </conditionalFormatting>
  <conditionalFormatting sqref="N172:P172 Y172:Z172 S172 AK172:AM172 AP172 AS172:XFD172 U172">
    <cfRule type="containsText" dxfId="3698" priority="11075" operator="containsText" text="FALSO">
      <formula>NOT(ISERROR(SEARCH("FALSO",N172)))</formula>
    </cfRule>
  </conditionalFormatting>
  <conditionalFormatting sqref="W172">
    <cfRule type="containsText" dxfId="3697" priority="11074" operator="containsText" text="FALSO">
      <formula>NOT(ISERROR(SEARCH("FALSO",W172)))</formula>
    </cfRule>
  </conditionalFormatting>
  <conditionalFormatting sqref="A172:C172 K172:L172 G172">
    <cfRule type="containsText" dxfId="3696" priority="11072" operator="containsText" text="FALSO">
      <formula>NOT(ISERROR(SEARCH("FALSO",A172)))</formula>
    </cfRule>
  </conditionalFormatting>
  <conditionalFormatting sqref="G172">
    <cfRule type="duplicateValues" dxfId="3695" priority="11073"/>
  </conditionalFormatting>
  <conditionalFormatting sqref="AN191:AO191">
    <cfRule type="containsText" dxfId="3694" priority="10714" operator="containsText" text="FALSO">
      <formula>NOT(ISERROR(SEARCH("FALSO",AN191)))</formula>
    </cfRule>
  </conditionalFormatting>
  <conditionalFormatting sqref="N171:P171 Y171:Z171 S171 AK171:AM171 AP171 AS171:XFD171 U171">
    <cfRule type="containsText" dxfId="3693" priority="11069" operator="containsText" text="FALSO">
      <formula>NOT(ISERROR(SEARCH("FALSO",N171)))</formula>
    </cfRule>
  </conditionalFormatting>
  <conditionalFormatting sqref="W171">
    <cfRule type="containsText" dxfId="3692" priority="11068" operator="containsText" text="FALSO">
      <formula>NOT(ISERROR(SEARCH("FALSO",W171)))</formula>
    </cfRule>
  </conditionalFormatting>
  <conditionalFormatting sqref="A171:C171 K171:L171 F171:G171">
    <cfRule type="containsText" dxfId="3691" priority="11066" operator="containsText" text="FALSO">
      <formula>NOT(ISERROR(SEARCH("FALSO",A171)))</formula>
    </cfRule>
  </conditionalFormatting>
  <conditionalFormatting sqref="G171">
    <cfRule type="duplicateValues" dxfId="3690" priority="11067"/>
  </conditionalFormatting>
  <conditionalFormatting sqref="AN184">
    <cfRule type="containsText" dxfId="3689" priority="10708" operator="containsText" text="FALSO">
      <formula>NOT(ISERROR(SEARCH("FALSO",AN184)))</formula>
    </cfRule>
  </conditionalFormatting>
  <conditionalFormatting sqref="G170">
    <cfRule type="duplicateValues" dxfId="3688" priority="11061"/>
  </conditionalFormatting>
  <conditionalFormatting sqref="AN178">
    <cfRule type="containsText" dxfId="3687" priority="10702" operator="containsText" text="FALSO">
      <formula>NOT(ISERROR(SEARCH("FALSO",AN178)))</formula>
    </cfRule>
  </conditionalFormatting>
  <conditionalFormatting sqref="AN186">
    <cfRule type="containsText" dxfId="3686" priority="10710" operator="containsText" text="FALSO">
      <formula>NOT(ISERROR(SEARCH("FALSO",AN186)))</formula>
    </cfRule>
  </conditionalFormatting>
  <conditionalFormatting sqref="G169">
    <cfRule type="duplicateValues" dxfId="3685" priority="11055"/>
  </conditionalFormatting>
  <conditionalFormatting sqref="AN172">
    <cfRule type="containsText" dxfId="3684" priority="10696" operator="containsText" text="FALSO">
      <formula>NOT(ISERROR(SEARCH("FALSO",AN172)))</formula>
    </cfRule>
  </conditionalFormatting>
  <conditionalFormatting sqref="AN180">
    <cfRule type="containsText" dxfId="3683" priority="10704" operator="containsText" text="FALSO">
      <formula>NOT(ISERROR(SEARCH("FALSO",AN180)))</formula>
    </cfRule>
  </conditionalFormatting>
  <conditionalFormatting sqref="A168:C168 K168:L168 F168:G168">
    <cfRule type="containsText" dxfId="3682" priority="11048" operator="containsText" text="FALSO">
      <formula>NOT(ISERROR(SEARCH("FALSO",A168)))</formula>
    </cfRule>
  </conditionalFormatting>
  <conditionalFormatting sqref="G168">
    <cfRule type="duplicateValues" dxfId="3681" priority="11049"/>
  </conditionalFormatting>
  <conditionalFormatting sqref="AN174">
    <cfRule type="containsText" dxfId="3680" priority="10698" operator="containsText" text="FALSO">
      <formula>NOT(ISERROR(SEARCH("FALSO",AN174)))</formula>
    </cfRule>
  </conditionalFormatting>
  <conditionalFormatting sqref="N167:P167 Y167:Z167 S167 AK167:AM167 AP167 AS167:XFD167 U167">
    <cfRule type="containsText" dxfId="3679" priority="11045" operator="containsText" text="FALSO">
      <formula>NOT(ISERROR(SEARCH("FALSO",N167)))</formula>
    </cfRule>
  </conditionalFormatting>
  <conditionalFormatting sqref="A167:C167 K167:L167 F167:G167">
    <cfRule type="containsText" dxfId="3678" priority="11042" operator="containsText" text="FALSO">
      <formula>NOT(ISERROR(SEARCH("FALSO",A167)))</formula>
    </cfRule>
  </conditionalFormatting>
  <conditionalFormatting sqref="G167">
    <cfRule type="duplicateValues" dxfId="3677" priority="11043"/>
  </conditionalFormatting>
  <conditionalFormatting sqref="AN168">
    <cfRule type="containsText" dxfId="3676" priority="10692" operator="containsText" text="FALSO">
      <formula>NOT(ISERROR(SEARCH("FALSO",AN168)))</formula>
    </cfRule>
  </conditionalFormatting>
  <conditionalFormatting sqref="N166:P166 Y166:Z166 S166 AK166:AM166 AP166 AS166:XFD166 U166">
    <cfRule type="containsText" dxfId="3675" priority="11039" operator="containsText" text="FALSO">
      <formula>NOT(ISERROR(SEARCH("FALSO",N166)))</formula>
    </cfRule>
  </conditionalFormatting>
  <conditionalFormatting sqref="A166:C166 K166:L166 F166:G166">
    <cfRule type="containsText" dxfId="3674" priority="11036" operator="containsText" text="FALSO">
      <formula>NOT(ISERROR(SEARCH("FALSO",A166)))</formula>
    </cfRule>
  </conditionalFormatting>
  <conditionalFormatting sqref="G166">
    <cfRule type="duplicateValues" dxfId="3673" priority="11037"/>
  </conditionalFormatting>
  <conditionalFormatting sqref="AN162">
    <cfRule type="containsText" dxfId="3672" priority="10686" operator="containsText" text="FALSO">
      <formula>NOT(ISERROR(SEARCH("FALSO",AN162)))</formula>
    </cfRule>
  </conditionalFormatting>
  <conditionalFormatting sqref="N165:P165 Y165:Z165 S165 AK165:AM165 AP165 AS165:XFD165 U165">
    <cfRule type="containsText" dxfId="3671" priority="11033" operator="containsText" text="FALSO">
      <formula>NOT(ISERROR(SEARCH("FALSO",N165)))</formula>
    </cfRule>
  </conditionalFormatting>
  <conditionalFormatting sqref="A165:C165 K165:L165 F165:G165">
    <cfRule type="containsText" dxfId="3670" priority="11030" operator="containsText" text="FALSO">
      <formula>NOT(ISERROR(SEARCH("FALSO",A165)))</formula>
    </cfRule>
  </conditionalFormatting>
  <conditionalFormatting sqref="G165">
    <cfRule type="duplicateValues" dxfId="3669" priority="11031"/>
  </conditionalFormatting>
  <conditionalFormatting sqref="AQ189">
    <cfRule type="containsText" dxfId="3668" priority="10680" operator="containsText" text="FALSO">
      <formula>NOT(ISERROR(SEARCH("FALSO",AQ189)))</formula>
    </cfRule>
  </conditionalFormatting>
  <conditionalFormatting sqref="N164:P164 Y164:Z164 S164 AK164:AM164 AP164 AS164:XFD164 U164">
    <cfRule type="containsText" dxfId="3667" priority="11027" operator="containsText" text="FALSO">
      <formula>NOT(ISERROR(SEARCH("FALSO",N164)))</formula>
    </cfRule>
  </conditionalFormatting>
  <conditionalFormatting sqref="A164:C164 K164:L164 F164:G164">
    <cfRule type="containsText" dxfId="3666" priority="11024" operator="containsText" text="FALSO">
      <formula>NOT(ISERROR(SEARCH("FALSO",A164)))</formula>
    </cfRule>
  </conditionalFormatting>
  <conditionalFormatting sqref="G164">
    <cfRule type="duplicateValues" dxfId="3665" priority="11025"/>
  </conditionalFormatting>
  <conditionalFormatting sqref="N163:P163 Y163:Z163 S163 AK163:AM163 AP163 AS163:XFD163 U163">
    <cfRule type="containsText" dxfId="3664" priority="11021" operator="containsText" text="FALSO">
      <formula>NOT(ISERROR(SEARCH("FALSO",N163)))</formula>
    </cfRule>
  </conditionalFormatting>
  <conditionalFormatting sqref="G163">
    <cfRule type="duplicateValues" dxfId="3663" priority="11019"/>
  </conditionalFormatting>
  <conditionalFormatting sqref="G162">
    <cfRule type="duplicateValues" dxfId="3662" priority="11013"/>
  </conditionalFormatting>
  <conditionalFormatting sqref="G161">
    <cfRule type="duplicateValues" dxfId="3661" priority="11007"/>
  </conditionalFormatting>
  <conditionalFormatting sqref="AN190">
    <cfRule type="containsText" dxfId="3660" priority="10713" operator="containsText" text="FALSO">
      <formula>NOT(ISERROR(SEARCH("FALSO",AN190)))</formula>
    </cfRule>
  </conditionalFormatting>
  <conditionalFormatting sqref="G160">
    <cfRule type="duplicateValues" dxfId="3659" priority="11001"/>
  </conditionalFormatting>
  <conditionalFormatting sqref="AN183">
    <cfRule type="containsText" dxfId="3658" priority="10707" operator="containsText" text="FALSO">
      <formula>NOT(ISERROR(SEARCH("FALSO",AN183)))</formula>
    </cfRule>
  </conditionalFormatting>
  <conditionalFormatting sqref="G159">
    <cfRule type="duplicateValues" dxfId="3657" priority="10995"/>
  </conditionalFormatting>
  <conditionalFormatting sqref="AN177">
    <cfRule type="containsText" dxfId="3656" priority="10701" operator="containsText" text="FALSO">
      <formula>NOT(ISERROR(SEARCH("FALSO",AN177)))</formula>
    </cfRule>
  </conditionalFormatting>
  <conditionalFormatting sqref="A158:C158 K158:L158 F158:G158">
    <cfRule type="containsText" dxfId="3655" priority="10988" operator="containsText" text="FALSO">
      <formula>NOT(ISERROR(SEARCH("FALSO",A158)))</formula>
    </cfRule>
  </conditionalFormatting>
  <conditionalFormatting sqref="G158">
    <cfRule type="duplicateValues" dxfId="3654" priority="10989"/>
  </conditionalFormatting>
  <conditionalFormatting sqref="AN171">
    <cfRule type="containsText" dxfId="3653" priority="10695" operator="containsText" text="FALSO">
      <formula>NOT(ISERROR(SEARCH("FALSO",AN171)))</formula>
    </cfRule>
  </conditionalFormatting>
  <conditionalFormatting sqref="AP157 AS157:XFD157">
    <cfRule type="containsText" dxfId="3652" priority="10985" operator="containsText" text="FALSO">
      <formula>NOT(ISERROR(SEARCH("FALSO",AP157)))</formula>
    </cfRule>
  </conditionalFormatting>
  <conditionalFormatting sqref="A157:C157 J158:J172 I158:I168 H158:H188 F157:L157">
    <cfRule type="containsText" dxfId="3651" priority="10982" operator="containsText" text="FALSO">
      <formula>NOT(ISERROR(SEARCH("FALSO",A157)))</formula>
    </cfRule>
  </conditionalFormatting>
  <conditionalFormatting sqref="G157">
    <cfRule type="duplicateValues" dxfId="3650" priority="10983"/>
  </conditionalFormatting>
  <conditionalFormatting sqref="AN165">
    <cfRule type="containsText" dxfId="3649" priority="10689" operator="containsText" text="FALSO">
      <formula>NOT(ISERROR(SEARCH("FALSO",AN165)))</formula>
    </cfRule>
  </conditionalFormatting>
  <conditionalFormatting sqref="AN192:AO192">
    <cfRule type="containsText" dxfId="3648" priority="10715" operator="containsText" text="FALSO">
      <formula>NOT(ISERROR(SEARCH("FALSO",AN192)))</formula>
    </cfRule>
  </conditionalFormatting>
  <conditionalFormatting sqref="AN188">
    <cfRule type="containsText" dxfId="3647" priority="10712" operator="containsText" text="FALSO">
      <formula>NOT(ISERROR(SEARCH("FALSO",AN188)))</formula>
    </cfRule>
  </conditionalFormatting>
  <conditionalFormatting sqref="AN187">
    <cfRule type="containsText" dxfId="3646" priority="10711" operator="containsText" text="FALSO">
      <formula>NOT(ISERROR(SEARCH("FALSO",AN187)))</formula>
    </cfRule>
  </conditionalFormatting>
  <conditionalFormatting sqref="AN185">
    <cfRule type="containsText" dxfId="3645" priority="10709" operator="containsText" text="FALSO">
      <formula>NOT(ISERROR(SEARCH("FALSO",AN185)))</formula>
    </cfRule>
  </conditionalFormatting>
  <conditionalFormatting sqref="AN182">
    <cfRule type="containsText" dxfId="3644" priority="10706" operator="containsText" text="FALSO">
      <formula>NOT(ISERROR(SEARCH("FALSO",AN182)))</formula>
    </cfRule>
  </conditionalFormatting>
  <conditionalFormatting sqref="AN181">
    <cfRule type="containsText" dxfId="3643" priority="10705" operator="containsText" text="FALSO">
      <formula>NOT(ISERROR(SEARCH("FALSO",AN181)))</formula>
    </cfRule>
  </conditionalFormatting>
  <conditionalFormatting sqref="AN179">
    <cfRule type="containsText" dxfId="3642" priority="10703" operator="containsText" text="FALSO">
      <formula>NOT(ISERROR(SEARCH("FALSO",AN179)))</formula>
    </cfRule>
  </conditionalFormatting>
  <conditionalFormatting sqref="AN176">
    <cfRule type="containsText" dxfId="3641" priority="10700" operator="containsText" text="FALSO">
      <formula>NOT(ISERROR(SEARCH("FALSO",AN176)))</formula>
    </cfRule>
  </conditionalFormatting>
  <conditionalFormatting sqref="AN175">
    <cfRule type="containsText" dxfId="3640" priority="10699" operator="containsText" text="FALSO">
      <formula>NOT(ISERROR(SEARCH("FALSO",AN175)))</formula>
    </cfRule>
  </conditionalFormatting>
  <conditionalFormatting sqref="AN170">
    <cfRule type="containsText" dxfId="3639" priority="10694" operator="containsText" text="FALSO">
      <formula>NOT(ISERROR(SEARCH("FALSO",AN170)))</formula>
    </cfRule>
  </conditionalFormatting>
  <conditionalFormatting sqref="AN169">
    <cfRule type="containsText" dxfId="3638" priority="10693" operator="containsText" text="FALSO">
      <formula>NOT(ISERROR(SEARCH("FALSO",AN169)))</formula>
    </cfRule>
  </conditionalFormatting>
  <conditionalFormatting sqref="AN164">
    <cfRule type="containsText" dxfId="3637" priority="10688" operator="containsText" text="FALSO">
      <formula>NOT(ISERROR(SEARCH("FALSO",AN164)))</formula>
    </cfRule>
  </conditionalFormatting>
  <conditionalFormatting sqref="AN163">
    <cfRule type="containsText" dxfId="3636" priority="10687" operator="containsText" text="FALSO">
      <formula>NOT(ISERROR(SEARCH("FALSO",AN163)))</formula>
    </cfRule>
  </conditionalFormatting>
  <conditionalFormatting sqref="AN158">
    <cfRule type="containsText" dxfId="3635" priority="10682" operator="containsText" text="FALSO">
      <formula>NOT(ISERROR(SEARCH("FALSO",AN158)))</formula>
    </cfRule>
  </conditionalFormatting>
  <conditionalFormatting sqref="AN159">
    <cfRule type="containsText" dxfId="3634" priority="10683" operator="containsText" text="FALSO">
      <formula>NOT(ISERROR(SEARCH("FALSO",AN159)))</formula>
    </cfRule>
  </conditionalFormatting>
  <conditionalFormatting sqref="AN157">
    <cfRule type="containsText" dxfId="3633" priority="10681" operator="containsText" text="FALSO">
      <formula>NOT(ISERROR(SEARCH("FALSO",AN157)))</formula>
    </cfRule>
  </conditionalFormatting>
  <conditionalFormatting sqref="AQ157">
    <cfRule type="containsText" dxfId="3632" priority="10626" operator="containsText" text="FALSO">
      <formula>NOT(ISERROR(SEARCH("FALSO",AQ157)))</formula>
    </cfRule>
  </conditionalFormatting>
  <conditionalFormatting sqref="AQ190">
    <cfRule type="containsText" dxfId="3631" priority="10658" operator="containsText" text="FALSO">
      <formula>NOT(ISERROR(SEARCH("FALSO",AQ190)))</formula>
    </cfRule>
  </conditionalFormatting>
  <conditionalFormatting sqref="AQ191:AR191">
    <cfRule type="containsText" dxfId="3630" priority="10659" operator="containsText" text="FALSO">
      <formula>NOT(ISERROR(SEARCH("FALSO",AQ191)))</formula>
    </cfRule>
  </conditionalFormatting>
  <conditionalFormatting sqref="AQ198:AR198">
    <cfRule type="containsText" dxfId="3629" priority="10666" operator="containsText" text="FALSO">
      <formula>NOT(ISERROR(SEARCH("FALSO",AQ198)))</formula>
    </cfRule>
  </conditionalFormatting>
  <conditionalFormatting sqref="AQ197:AR197">
    <cfRule type="containsText" dxfId="3628" priority="10665" operator="containsText" text="FALSO">
      <formula>NOT(ISERROR(SEARCH("FALSO",AQ197)))</formula>
    </cfRule>
  </conditionalFormatting>
  <conditionalFormatting sqref="AQ196:AR196">
    <cfRule type="containsText" dxfId="3627" priority="10664" operator="containsText" text="FALSO">
      <formula>NOT(ISERROR(SEARCH("FALSO",AQ196)))</formula>
    </cfRule>
  </conditionalFormatting>
  <conditionalFormatting sqref="AQ195:AR195">
    <cfRule type="containsText" dxfId="3626" priority="10663" operator="containsText" text="FALSO">
      <formula>NOT(ISERROR(SEARCH("FALSO",AQ195)))</formula>
    </cfRule>
  </conditionalFormatting>
  <conditionalFormatting sqref="AQ194:AR194">
    <cfRule type="containsText" dxfId="3625" priority="10662" operator="containsText" text="FALSO">
      <formula>NOT(ISERROR(SEARCH("FALSO",AQ194)))</formula>
    </cfRule>
  </conditionalFormatting>
  <conditionalFormatting sqref="AQ193:AR193">
    <cfRule type="containsText" dxfId="3624" priority="10661" operator="containsText" text="FALSO">
      <formula>NOT(ISERROR(SEARCH("FALSO",AQ193)))</formula>
    </cfRule>
  </conditionalFormatting>
  <conditionalFormatting sqref="AQ192:AR192">
    <cfRule type="containsText" dxfId="3623" priority="10660" operator="containsText" text="FALSO">
      <formula>NOT(ISERROR(SEARCH("FALSO",AQ192)))</formula>
    </cfRule>
  </conditionalFormatting>
  <conditionalFormatting sqref="AQ162">
    <cfRule type="containsText" dxfId="3622" priority="10631" operator="containsText" text="FALSO">
      <formula>NOT(ISERROR(SEARCH("FALSO",AQ162)))</formula>
    </cfRule>
  </conditionalFormatting>
  <conditionalFormatting sqref="AQ161">
    <cfRule type="containsText" dxfId="3621" priority="10630" operator="containsText" text="FALSO">
      <formula>NOT(ISERROR(SEARCH("FALSO",AQ161)))</formula>
    </cfRule>
  </conditionalFormatting>
  <conditionalFormatting sqref="AQ160">
    <cfRule type="containsText" dxfId="3620" priority="10629" operator="containsText" text="FALSO">
      <formula>NOT(ISERROR(SEARCH("FALSO",AQ160)))</formula>
    </cfRule>
  </conditionalFormatting>
  <conditionalFormatting sqref="AQ159">
    <cfRule type="containsText" dxfId="3619" priority="10628" operator="containsText" text="FALSO">
      <formula>NOT(ISERROR(SEARCH("FALSO",AQ159)))</formula>
    </cfRule>
  </conditionalFormatting>
  <conditionalFormatting sqref="AQ158">
    <cfRule type="containsText" dxfId="3618" priority="10627" operator="containsText" text="FALSO">
      <formula>NOT(ISERROR(SEARCH("FALSO",AQ158)))</formula>
    </cfRule>
  </conditionalFormatting>
  <conditionalFormatting sqref="AQ177">
    <cfRule type="containsText" dxfId="3617" priority="10646" operator="containsText" text="FALSO">
      <formula>NOT(ISERROR(SEARCH("FALSO",AQ177)))</formula>
    </cfRule>
  </conditionalFormatting>
  <conditionalFormatting sqref="AQ176">
    <cfRule type="containsText" dxfId="3616" priority="10645" operator="containsText" text="FALSO">
      <formula>NOT(ISERROR(SEARCH("FALSO",AQ176)))</formula>
    </cfRule>
  </conditionalFormatting>
  <conditionalFormatting sqref="AQ175">
    <cfRule type="containsText" dxfId="3615" priority="10644" operator="containsText" text="FALSO">
      <formula>NOT(ISERROR(SEARCH("FALSO",AQ175)))</formula>
    </cfRule>
  </conditionalFormatting>
  <conditionalFormatting sqref="AQ174">
    <cfRule type="containsText" dxfId="3614" priority="10643" operator="containsText" text="FALSO">
      <formula>NOT(ISERROR(SEARCH("FALSO",AQ174)))</formula>
    </cfRule>
  </conditionalFormatting>
  <conditionalFormatting sqref="AQ173">
    <cfRule type="containsText" dxfId="3613" priority="10642" operator="containsText" text="FALSO">
      <formula>NOT(ISERROR(SEARCH("FALSO",AQ173)))</formula>
    </cfRule>
  </conditionalFormatting>
  <conditionalFormatting sqref="AQ170">
    <cfRule type="containsText" dxfId="3612" priority="10639" operator="containsText" text="FALSO">
      <formula>NOT(ISERROR(SEARCH("FALSO",AQ170)))</formula>
    </cfRule>
  </conditionalFormatting>
  <conditionalFormatting sqref="AQ169">
    <cfRule type="containsText" dxfId="3611" priority="10638" operator="containsText" text="FALSO">
      <formula>NOT(ISERROR(SEARCH("FALSO",AQ169)))</formula>
    </cfRule>
  </conditionalFormatting>
  <conditionalFormatting sqref="AQ168">
    <cfRule type="containsText" dxfId="3610" priority="10637" operator="containsText" text="FALSO">
      <formula>NOT(ISERROR(SEARCH("FALSO",AQ168)))</formula>
    </cfRule>
  </conditionalFormatting>
  <conditionalFormatting sqref="AQ188">
    <cfRule type="containsText" dxfId="3609" priority="10657" operator="containsText" text="FALSO">
      <formula>NOT(ISERROR(SEARCH("FALSO",AQ188)))</formula>
    </cfRule>
  </conditionalFormatting>
  <conditionalFormatting sqref="AQ187">
    <cfRule type="containsText" dxfId="3608" priority="10656" operator="containsText" text="FALSO">
      <formula>NOT(ISERROR(SEARCH("FALSO",AQ187)))</formula>
    </cfRule>
  </conditionalFormatting>
  <conditionalFormatting sqref="AQ186">
    <cfRule type="containsText" dxfId="3607" priority="10655" operator="containsText" text="FALSO">
      <formula>NOT(ISERROR(SEARCH("FALSO",AQ186)))</formula>
    </cfRule>
  </conditionalFormatting>
  <conditionalFormatting sqref="AQ185">
    <cfRule type="containsText" dxfId="3606" priority="10654" operator="containsText" text="FALSO">
      <formula>NOT(ISERROR(SEARCH("FALSO",AQ185)))</formula>
    </cfRule>
  </conditionalFormatting>
  <conditionalFormatting sqref="AQ184">
    <cfRule type="containsText" dxfId="3605" priority="10653" operator="containsText" text="FALSO">
      <formula>NOT(ISERROR(SEARCH("FALSO",AQ184)))</formula>
    </cfRule>
  </conditionalFormatting>
  <conditionalFormatting sqref="AQ183">
    <cfRule type="containsText" dxfId="3604" priority="10652" operator="containsText" text="FALSO">
      <formula>NOT(ISERROR(SEARCH("FALSO",AQ183)))</formula>
    </cfRule>
  </conditionalFormatting>
  <conditionalFormatting sqref="AQ182">
    <cfRule type="containsText" dxfId="3603" priority="10651" operator="containsText" text="FALSO">
      <formula>NOT(ISERROR(SEARCH("FALSO",AQ182)))</formula>
    </cfRule>
  </conditionalFormatting>
  <conditionalFormatting sqref="AQ181">
    <cfRule type="containsText" dxfId="3602" priority="10650" operator="containsText" text="FALSO">
      <formula>NOT(ISERROR(SEARCH("FALSO",AQ181)))</formula>
    </cfRule>
  </conditionalFormatting>
  <conditionalFormatting sqref="AQ180">
    <cfRule type="containsText" dxfId="3601" priority="10649" operator="containsText" text="FALSO">
      <formula>NOT(ISERROR(SEARCH("FALSO",AQ180)))</formula>
    </cfRule>
  </conditionalFormatting>
  <conditionalFormatting sqref="AQ179">
    <cfRule type="containsText" dxfId="3600" priority="10648" operator="containsText" text="FALSO">
      <formula>NOT(ISERROR(SEARCH("FALSO",AQ179)))</formula>
    </cfRule>
  </conditionalFormatting>
  <conditionalFormatting sqref="AQ178">
    <cfRule type="containsText" dxfId="3599" priority="10647" operator="containsText" text="FALSO">
      <formula>NOT(ISERROR(SEARCH("FALSO",AQ178)))</formula>
    </cfRule>
  </conditionalFormatting>
  <conditionalFormatting sqref="AQ172">
    <cfRule type="containsText" dxfId="3598" priority="10641" operator="containsText" text="FALSO">
      <formula>NOT(ISERROR(SEARCH("FALSO",AQ172)))</formula>
    </cfRule>
  </conditionalFormatting>
  <conditionalFormatting sqref="AQ171">
    <cfRule type="containsText" dxfId="3597" priority="10640" operator="containsText" text="FALSO">
      <formula>NOT(ISERROR(SEARCH("FALSO",AQ171)))</formula>
    </cfRule>
  </conditionalFormatting>
  <conditionalFormatting sqref="AQ167">
    <cfRule type="containsText" dxfId="3596" priority="10636" operator="containsText" text="FALSO">
      <formula>NOT(ISERROR(SEARCH("FALSO",AQ167)))</formula>
    </cfRule>
  </conditionalFormatting>
  <conditionalFormatting sqref="AQ166">
    <cfRule type="containsText" dxfId="3595" priority="10635" operator="containsText" text="FALSO">
      <formula>NOT(ISERROR(SEARCH("FALSO",AQ166)))</formula>
    </cfRule>
  </conditionalFormatting>
  <conditionalFormatting sqref="AQ165">
    <cfRule type="containsText" dxfId="3594" priority="10634" operator="containsText" text="FALSO">
      <formula>NOT(ISERROR(SEARCH("FALSO",AQ165)))</formula>
    </cfRule>
  </conditionalFormatting>
  <conditionalFormatting sqref="AQ164">
    <cfRule type="containsText" dxfId="3593" priority="10633" operator="containsText" text="FALSO">
      <formula>NOT(ISERROR(SEARCH("FALSO",AQ164)))</formula>
    </cfRule>
  </conditionalFormatting>
  <conditionalFormatting sqref="AQ163">
    <cfRule type="containsText" dxfId="3592" priority="10632" operator="containsText" text="FALSO">
      <formula>NOT(ISERROR(SEARCH("FALSO",AQ163)))</formula>
    </cfRule>
  </conditionalFormatting>
  <conditionalFormatting sqref="AK199:AK214 AM199:AN214 AP199:AQ214 AS199:AS214">
    <cfRule type="containsText" dxfId="3591" priority="10625" operator="containsText" text="FALSO">
      <formula>NOT(ISERROR(SEARCH("FALSO",AK199)))</formula>
    </cfRule>
  </conditionalFormatting>
  <conditionalFormatting sqref="AL199:AL214">
    <cfRule type="containsText" dxfId="3590" priority="10624" operator="containsText" text="FALSO">
      <formula>NOT(ISERROR(SEARCH("FALSO",AL199)))</formula>
    </cfRule>
  </conditionalFormatting>
  <conditionalFormatting sqref="AO199:AO214">
    <cfRule type="containsText" dxfId="3589" priority="10623" operator="containsText" text="FALSO">
      <formula>NOT(ISERROR(SEARCH("FALSO",AO199)))</formula>
    </cfRule>
  </conditionalFormatting>
  <conditionalFormatting sqref="AR199:AR214">
    <cfRule type="containsText" dxfId="3588" priority="10622" operator="containsText" text="FALSO">
      <formula>NOT(ISERROR(SEARCH("FALSO",AR199)))</formula>
    </cfRule>
  </conditionalFormatting>
  <conditionalFormatting sqref="Y156:Z156 P156 S156 U156 AK156:AM156">
    <cfRule type="containsText" dxfId="3587" priority="10619" operator="containsText" text="FALSO">
      <formula>NOT(ISERROR(SEARCH("FALSO",P156)))</formula>
    </cfRule>
  </conditionalFormatting>
  <conditionalFormatting sqref="W156">
    <cfRule type="containsText" dxfId="3586" priority="10617" operator="containsText" text="FALSO">
      <formula>NOT(ISERROR(SEARCH("FALSO",W156)))</formula>
    </cfRule>
  </conditionalFormatting>
  <conditionalFormatting sqref="AP156 AS156:XFD156">
    <cfRule type="containsText" dxfId="3585" priority="10618" operator="containsText" text="FALSO">
      <formula>NOT(ISERROR(SEARCH("FALSO",AP156)))</formula>
    </cfRule>
  </conditionalFormatting>
  <conditionalFormatting sqref="A156:C156 H156 K156 F156">
    <cfRule type="containsText" dxfId="3584" priority="10615" operator="containsText" text="FALSO">
      <formula>NOT(ISERROR(SEARCH("FALSO",A156)))</formula>
    </cfRule>
  </conditionalFormatting>
  <conditionalFormatting sqref="AN156">
    <cfRule type="containsText" dxfId="3583" priority="10612" operator="containsText" text="FALSO">
      <formula>NOT(ISERROR(SEARCH("FALSO",AN156)))</formula>
    </cfRule>
  </conditionalFormatting>
  <conditionalFormatting sqref="AP155 AS155:XFD155">
    <cfRule type="containsText" dxfId="3582" priority="10609" operator="containsText" text="FALSO">
      <formula>NOT(ISERROR(SEARCH("FALSO",AP155)))</formula>
    </cfRule>
  </conditionalFormatting>
  <conditionalFormatting sqref="AQ156">
    <cfRule type="containsText" dxfId="3581" priority="10611" operator="containsText" text="FALSO">
      <formula>NOT(ISERROR(SEARCH("FALSO",AQ156)))</formula>
    </cfRule>
  </conditionalFormatting>
  <conditionalFormatting sqref="Y155:Z155 AK155:AM155">
    <cfRule type="containsText" dxfId="3580" priority="10610" operator="containsText" text="FALSO">
      <formula>NOT(ISERROR(SEARCH("FALSO",Y155)))</formula>
    </cfRule>
  </conditionalFormatting>
  <conditionalFormatting sqref="W155">
    <cfRule type="containsText" dxfId="3579" priority="10608" operator="containsText" text="FALSO">
      <formula>NOT(ISERROR(SEARCH("FALSO",W155)))</formula>
    </cfRule>
  </conditionalFormatting>
  <conditionalFormatting sqref="A155:C155 H155:L155 F155">
    <cfRule type="containsText" dxfId="3578" priority="10606" operator="containsText" text="FALSO">
      <formula>NOT(ISERROR(SEARCH("FALSO",A155)))</formula>
    </cfRule>
  </conditionalFormatting>
  <conditionalFormatting sqref="AN155">
    <cfRule type="containsText" dxfId="3577" priority="10603" operator="containsText" text="FALSO">
      <formula>NOT(ISERROR(SEARCH("FALSO",AN155)))</formula>
    </cfRule>
  </conditionalFormatting>
  <conditionalFormatting sqref="AQ155">
    <cfRule type="containsText" dxfId="3576" priority="10602" operator="containsText" text="FALSO">
      <formula>NOT(ISERROR(SEARCH("FALSO",AQ155)))</formula>
    </cfRule>
  </conditionalFormatting>
  <conditionalFormatting sqref="G156">
    <cfRule type="containsText" dxfId="3575" priority="10600" operator="containsText" text="FALSO">
      <formula>NOT(ISERROR(SEARCH("FALSO",G156)))</formula>
    </cfRule>
  </conditionalFormatting>
  <conditionalFormatting sqref="G156">
    <cfRule type="duplicateValues" dxfId="3574" priority="10601"/>
  </conditionalFormatting>
  <conditionalFormatting sqref="G155">
    <cfRule type="containsText" dxfId="3573" priority="10598" operator="containsText" text="FALSO">
      <formula>NOT(ISERROR(SEARCH("FALSO",G155)))</formula>
    </cfRule>
  </conditionalFormatting>
  <conditionalFormatting sqref="G155">
    <cfRule type="duplicateValues" dxfId="3572" priority="10599"/>
  </conditionalFormatting>
  <conditionalFormatting sqref="I156">
    <cfRule type="containsText" dxfId="3571" priority="10597" operator="containsText" text="FALSO">
      <formula>NOT(ISERROR(SEARCH("FALSO",I156)))</formula>
    </cfRule>
  </conditionalFormatting>
  <conditionalFormatting sqref="J156">
    <cfRule type="containsText" dxfId="3570" priority="10596" operator="containsText" text="FALSO">
      <formula>NOT(ISERROR(SEARCH("FALSO",J156)))</formula>
    </cfRule>
  </conditionalFormatting>
  <conditionalFormatting sqref="L156">
    <cfRule type="containsText" dxfId="3569" priority="10595" operator="containsText" text="FALSO">
      <formula>NOT(ISERROR(SEARCH("FALSO",L156)))</formula>
    </cfRule>
  </conditionalFormatting>
  <conditionalFormatting sqref="N156:O156">
    <cfRule type="containsText" dxfId="3568" priority="10594" operator="containsText" text="FALSO">
      <formula>NOT(ISERROR(SEARCH("FALSO",N156)))</formula>
    </cfRule>
  </conditionalFormatting>
  <conditionalFormatting sqref="U154">
    <cfRule type="containsText" dxfId="3567" priority="10475" operator="containsText" text="FALSO">
      <formula>NOT(ISERROR(SEARCH("FALSO",U154)))</formula>
    </cfRule>
  </conditionalFormatting>
  <conditionalFormatting sqref="AP154 AS154:XFD154">
    <cfRule type="containsText" dxfId="3566" priority="10473" operator="containsText" text="FALSO">
      <formula>NOT(ISERROR(SEARCH("FALSO",AP154)))</formula>
    </cfRule>
  </conditionalFormatting>
  <conditionalFormatting sqref="Y154:Z154 AK154:AM154">
    <cfRule type="containsText" dxfId="3565" priority="10474" operator="containsText" text="FALSO">
      <formula>NOT(ISERROR(SEARCH("FALSO",Y154)))</formula>
    </cfRule>
  </conditionalFormatting>
  <conditionalFormatting sqref="W154">
    <cfRule type="containsText" dxfId="3564" priority="10472" operator="containsText" text="FALSO">
      <formula>NOT(ISERROR(SEARCH("FALSO",W154)))</formula>
    </cfRule>
  </conditionalFormatting>
  <conditionalFormatting sqref="A154:C154 H154:L154 F154">
    <cfRule type="containsText" dxfId="3563" priority="10471" operator="containsText" text="FALSO">
      <formula>NOT(ISERROR(SEARCH("FALSO",A154)))</formula>
    </cfRule>
  </conditionalFormatting>
  <conditionalFormatting sqref="AN154">
    <cfRule type="containsText" dxfId="3562" priority="10470" operator="containsText" text="FALSO">
      <formula>NOT(ISERROR(SEARCH("FALSO",AN154)))</formula>
    </cfRule>
  </conditionalFormatting>
  <conditionalFormatting sqref="AQ154">
    <cfRule type="containsText" dxfId="3561" priority="10469" operator="containsText" text="FALSO">
      <formula>NOT(ISERROR(SEARCH("FALSO",AQ154)))</formula>
    </cfRule>
  </conditionalFormatting>
  <conditionalFormatting sqref="G154">
    <cfRule type="containsText" dxfId="3560" priority="10467" operator="containsText" text="FALSO">
      <formula>NOT(ISERROR(SEARCH("FALSO",G154)))</formula>
    </cfRule>
  </conditionalFormatting>
  <conditionalFormatting sqref="G154">
    <cfRule type="duplicateValues" dxfId="3559" priority="10468"/>
  </conditionalFormatting>
  <conditionalFormatting sqref="T266">
    <cfRule type="containsText" dxfId="3558" priority="10457" operator="containsText" text="FALSO">
      <formula>NOT(ISERROR(SEARCH("FALSO",T266)))</formula>
    </cfRule>
  </conditionalFormatting>
  <conditionalFormatting sqref="T269">
    <cfRule type="containsText" dxfId="3557" priority="10461" operator="containsText" text="FALSO">
      <formula>NOT(ISERROR(SEARCH("FALSO",T269)))</formula>
    </cfRule>
  </conditionalFormatting>
  <conditionalFormatting sqref="T270">
    <cfRule type="containsText" dxfId="3556" priority="10460" operator="containsText" text="FALSO">
      <formula>NOT(ISERROR(SEARCH("FALSO",T270)))</formula>
    </cfRule>
  </conditionalFormatting>
  <conditionalFormatting sqref="T258">
    <cfRule type="containsText" dxfId="3555" priority="10451" operator="containsText" text="FALSO">
      <formula>NOT(ISERROR(SEARCH("FALSO",T258)))</formula>
    </cfRule>
  </conditionalFormatting>
  <conditionalFormatting sqref="T268">
    <cfRule type="containsText" dxfId="3554" priority="10459" operator="containsText" text="FALSO">
      <formula>NOT(ISERROR(SEARCH("FALSO",T268)))</formula>
    </cfRule>
  </conditionalFormatting>
  <conditionalFormatting sqref="T267">
    <cfRule type="containsText" dxfId="3553" priority="10458" operator="containsText" text="FALSO">
      <formula>NOT(ISERROR(SEARCH("FALSO",T267)))</formula>
    </cfRule>
  </conditionalFormatting>
  <conditionalFormatting sqref="T264">
    <cfRule type="containsText" dxfId="3552" priority="10456" operator="containsText" text="FALSO">
      <formula>NOT(ISERROR(SEARCH("FALSO",T264)))</formula>
    </cfRule>
  </conditionalFormatting>
  <conditionalFormatting sqref="T263">
    <cfRule type="containsText" dxfId="3551" priority="10455" operator="containsText" text="FALSO">
      <formula>NOT(ISERROR(SEARCH("FALSO",T263)))</formula>
    </cfRule>
  </conditionalFormatting>
  <conditionalFormatting sqref="T262">
    <cfRule type="containsText" dxfId="3550" priority="10454" operator="containsText" text="FALSO">
      <formula>NOT(ISERROR(SEARCH("FALSO",T262)))</formula>
    </cfRule>
  </conditionalFormatting>
  <conditionalFormatting sqref="T261">
    <cfRule type="containsText" dxfId="3549" priority="10453" operator="containsText" text="FALSO">
      <formula>NOT(ISERROR(SEARCH("FALSO",T261)))</formula>
    </cfRule>
  </conditionalFormatting>
  <conditionalFormatting sqref="T259">
    <cfRule type="containsText" dxfId="3548" priority="10452" operator="containsText" text="FALSO">
      <formula>NOT(ISERROR(SEARCH("FALSO",T259)))</formula>
    </cfRule>
  </conditionalFormatting>
  <conditionalFormatting sqref="T257">
    <cfRule type="containsText" dxfId="3547" priority="10450" operator="containsText" text="FALSO">
      <formula>NOT(ISERROR(SEARCH("FALSO",T257)))</formula>
    </cfRule>
  </conditionalFormatting>
  <conditionalFormatting sqref="T256">
    <cfRule type="containsText" dxfId="3546" priority="10449" operator="containsText" text="FALSO">
      <formula>NOT(ISERROR(SEARCH("FALSO",T256)))</formula>
    </cfRule>
  </conditionalFormatting>
  <conditionalFormatting sqref="T255">
    <cfRule type="containsText" dxfId="3545" priority="10448" operator="containsText" text="FALSO">
      <formula>NOT(ISERROR(SEARCH("FALSO",T255)))</formula>
    </cfRule>
  </conditionalFormatting>
  <conditionalFormatting sqref="T252">
    <cfRule type="containsText" dxfId="3544" priority="10447" operator="containsText" text="FALSO">
      <formula>NOT(ISERROR(SEARCH("FALSO",T252)))</formula>
    </cfRule>
  </conditionalFormatting>
  <conditionalFormatting sqref="T251">
    <cfRule type="containsText" dxfId="3543" priority="10446" operator="containsText" text="FALSO">
      <formula>NOT(ISERROR(SEARCH("FALSO",T251)))</formula>
    </cfRule>
  </conditionalFormatting>
  <conditionalFormatting sqref="T250">
    <cfRule type="containsText" dxfId="3542" priority="10445" operator="containsText" text="FALSO">
      <formula>NOT(ISERROR(SEARCH("FALSO",T250)))</formula>
    </cfRule>
  </conditionalFormatting>
  <conditionalFormatting sqref="T249">
    <cfRule type="containsText" dxfId="3541" priority="10444" operator="containsText" text="FALSO">
      <formula>NOT(ISERROR(SEARCH("FALSO",T249)))</formula>
    </cfRule>
  </conditionalFormatting>
  <conditionalFormatting sqref="T248">
    <cfRule type="containsText" dxfId="3540" priority="10443" operator="containsText" text="FALSO">
      <formula>NOT(ISERROR(SEARCH("FALSO",T248)))</formula>
    </cfRule>
  </conditionalFormatting>
  <conditionalFormatting sqref="T247">
    <cfRule type="containsText" dxfId="3539" priority="10442" operator="containsText" text="FALSO">
      <formula>NOT(ISERROR(SEARCH("FALSO",T247)))</formula>
    </cfRule>
  </conditionalFormatting>
  <conditionalFormatting sqref="T253">
    <cfRule type="containsText" dxfId="3538" priority="10436" operator="containsText" text="FALSO">
      <formula>NOT(ISERROR(SEARCH("FALSO",T253)))</formula>
    </cfRule>
  </conditionalFormatting>
  <conditionalFormatting sqref="T254">
    <cfRule type="containsText" dxfId="3537" priority="10435" operator="containsText" text="FALSO">
      <formula>NOT(ISERROR(SEARCH("FALSO",T254)))</formula>
    </cfRule>
  </conditionalFormatting>
  <conditionalFormatting sqref="T260">
    <cfRule type="containsText" dxfId="3536" priority="10433" operator="containsText" text="FALSO">
      <formula>NOT(ISERROR(SEARCH("FALSO",T260)))</formula>
    </cfRule>
  </conditionalFormatting>
  <conditionalFormatting sqref="T265">
    <cfRule type="containsText" dxfId="3535" priority="10431" operator="containsText" text="FALSO">
      <formula>NOT(ISERROR(SEARCH("FALSO",T265)))</formula>
    </cfRule>
  </conditionalFormatting>
  <conditionalFormatting sqref="U151">
    <cfRule type="containsText" dxfId="3534" priority="9778" operator="containsText" text="FALSO">
      <formula>NOT(ISERROR(SEARCH("FALSO",U151)))</formula>
    </cfRule>
  </conditionalFormatting>
  <conditionalFormatting sqref="G153">
    <cfRule type="containsText" dxfId="3533" priority="9800" operator="containsText" text="FALSO">
      <formula>NOT(ISERROR(SEARCH("FALSO",G153)))</formula>
    </cfRule>
  </conditionalFormatting>
  <conditionalFormatting sqref="AQ152">
    <cfRule type="containsText" dxfId="3532" priority="9787" operator="containsText" text="FALSO">
      <formula>NOT(ISERROR(SEARCH("FALSO",AQ152)))</formula>
    </cfRule>
  </conditionalFormatting>
  <conditionalFormatting sqref="N152:P152 S152">
    <cfRule type="containsText" dxfId="3531" priority="9794" operator="containsText" text="FALSO">
      <formula>NOT(ISERROR(SEARCH("FALSO",N152)))</formula>
    </cfRule>
  </conditionalFormatting>
  <conditionalFormatting sqref="U152">
    <cfRule type="containsText" dxfId="3530" priority="9793" operator="containsText" text="FALSO">
      <formula>NOT(ISERROR(SEARCH("FALSO",U152)))</formula>
    </cfRule>
  </conditionalFormatting>
  <conditionalFormatting sqref="Y152:Z152 AK152:AM152">
    <cfRule type="containsText" dxfId="3529" priority="9792" operator="containsText" text="FALSO">
      <formula>NOT(ISERROR(SEARCH("FALSO",Y152)))</formula>
    </cfRule>
  </conditionalFormatting>
  <conditionalFormatting sqref="AP152 AS152:XFD152">
    <cfRule type="containsText" dxfId="3528" priority="9791" operator="containsText" text="FALSO">
      <formula>NOT(ISERROR(SEARCH("FALSO",AP152)))</formula>
    </cfRule>
  </conditionalFormatting>
  <conditionalFormatting sqref="W152">
    <cfRule type="containsText" dxfId="3527" priority="9790" operator="containsText" text="FALSO">
      <formula>NOT(ISERROR(SEARCH("FALSO",W152)))</formula>
    </cfRule>
  </conditionalFormatting>
  <conditionalFormatting sqref="A152:C152 H152:L152 F152">
    <cfRule type="containsText" dxfId="3526" priority="9789" operator="containsText" text="FALSO">
      <formula>NOT(ISERROR(SEARCH("FALSO",A152)))</formula>
    </cfRule>
  </conditionalFormatting>
  <conditionalFormatting sqref="AN152">
    <cfRule type="containsText" dxfId="3525" priority="9788" operator="containsText" text="FALSO">
      <formula>NOT(ISERROR(SEARCH("FALSO",AN152)))</formula>
    </cfRule>
  </conditionalFormatting>
  <conditionalFormatting sqref="U153">
    <cfRule type="containsText" dxfId="3524" priority="9808" operator="containsText" text="FALSO">
      <formula>NOT(ISERROR(SEARCH("FALSO",U153)))</formula>
    </cfRule>
  </conditionalFormatting>
  <conditionalFormatting sqref="Y153:Z153 AK153:AM153">
    <cfRule type="containsText" dxfId="3523" priority="9807" operator="containsText" text="FALSO">
      <formula>NOT(ISERROR(SEARCH("FALSO",Y153)))</formula>
    </cfRule>
  </conditionalFormatting>
  <conditionalFormatting sqref="AP153 AS153:XFD153">
    <cfRule type="containsText" dxfId="3522" priority="9806" operator="containsText" text="FALSO">
      <formula>NOT(ISERROR(SEARCH("FALSO",AP153)))</formula>
    </cfRule>
  </conditionalFormatting>
  <conditionalFormatting sqref="W153">
    <cfRule type="containsText" dxfId="3521" priority="9805" operator="containsText" text="FALSO">
      <formula>NOT(ISERROR(SEARCH("FALSO",W153)))</formula>
    </cfRule>
  </conditionalFormatting>
  <conditionalFormatting sqref="A153:C153 H153:L153 F153">
    <cfRule type="containsText" dxfId="3520" priority="9804" operator="containsText" text="FALSO">
      <formula>NOT(ISERROR(SEARCH("FALSO",A153)))</formula>
    </cfRule>
  </conditionalFormatting>
  <conditionalFormatting sqref="Y151:Z151 AK151:AM151">
    <cfRule type="containsText" dxfId="3519" priority="9777" operator="containsText" text="FALSO">
      <formula>NOT(ISERROR(SEARCH("FALSO",Y151)))</formula>
    </cfRule>
  </conditionalFormatting>
  <conditionalFormatting sqref="AP151 AS151:XFD151">
    <cfRule type="containsText" dxfId="3518" priority="9776" operator="containsText" text="FALSO">
      <formula>NOT(ISERROR(SEARCH("FALSO",AP151)))</formula>
    </cfRule>
  </conditionalFormatting>
  <conditionalFormatting sqref="W151">
    <cfRule type="containsText" dxfId="3517" priority="9775" operator="containsText" text="FALSO">
      <formula>NOT(ISERROR(SEARCH("FALSO",W151)))</formula>
    </cfRule>
  </conditionalFormatting>
  <conditionalFormatting sqref="A151:C151 H151:L151 F151">
    <cfRule type="containsText" dxfId="3516" priority="9774" operator="containsText" text="FALSO">
      <formula>NOT(ISERROR(SEARCH("FALSO",A151)))</formula>
    </cfRule>
  </conditionalFormatting>
  <conditionalFormatting sqref="AN151">
    <cfRule type="containsText" dxfId="3515" priority="9773" operator="containsText" text="FALSO">
      <formula>NOT(ISERROR(SEARCH("FALSO",AN151)))</formula>
    </cfRule>
  </conditionalFormatting>
  <conditionalFormatting sqref="AQ151">
    <cfRule type="containsText" dxfId="3514" priority="9772" operator="containsText" text="FALSO">
      <formula>NOT(ISERROR(SEARCH("FALSO",AQ151)))</formula>
    </cfRule>
  </conditionalFormatting>
  <conditionalFormatting sqref="G151">
    <cfRule type="containsText" dxfId="3513" priority="9770" operator="containsText" text="FALSO">
      <formula>NOT(ISERROR(SEARCH("FALSO",G151)))</formula>
    </cfRule>
  </conditionalFormatting>
  <conditionalFormatting sqref="N153:P153 S153">
    <cfRule type="containsText" dxfId="3512" priority="9809" operator="containsText" text="FALSO">
      <formula>NOT(ISERROR(SEARCH("FALSO",N153)))</formula>
    </cfRule>
  </conditionalFormatting>
  <conditionalFormatting sqref="AN153">
    <cfRule type="containsText" dxfId="3511" priority="9803" operator="containsText" text="FALSO">
      <formula>NOT(ISERROR(SEARCH("FALSO",AN153)))</formula>
    </cfRule>
  </conditionalFormatting>
  <conditionalFormatting sqref="AQ153">
    <cfRule type="containsText" dxfId="3510" priority="9802" operator="containsText" text="FALSO">
      <formula>NOT(ISERROR(SEARCH("FALSO",AQ153)))</formula>
    </cfRule>
  </conditionalFormatting>
  <conditionalFormatting sqref="P255:P260">
    <cfRule type="containsText" dxfId="3509" priority="9813" operator="containsText" text="FALSO">
      <formula>NOT(ISERROR(SEARCH("FALSO",P255)))</formula>
    </cfRule>
  </conditionalFormatting>
  <conditionalFormatting sqref="P503:P505">
    <cfRule type="containsText" dxfId="3508" priority="9812" operator="containsText" text="FALSO">
      <formula>NOT(ISERROR(SEARCH("FALSO",P503)))</formula>
    </cfRule>
  </conditionalFormatting>
  <conditionalFormatting sqref="G153">
    <cfRule type="duplicateValues" dxfId="3507" priority="9801"/>
  </conditionalFormatting>
  <conditionalFormatting sqref="G152">
    <cfRule type="containsText" dxfId="3506" priority="9785" operator="containsText" text="FALSO">
      <formula>NOT(ISERROR(SEARCH("FALSO",G152)))</formula>
    </cfRule>
  </conditionalFormatting>
  <conditionalFormatting sqref="G152">
    <cfRule type="duplicateValues" dxfId="3505" priority="9786"/>
  </conditionalFormatting>
  <conditionalFormatting sqref="G151">
    <cfRule type="duplicateValues" dxfId="3504" priority="9771"/>
  </conditionalFormatting>
  <conditionalFormatting sqref="N150:P150 S150 N147:P147 S147">
    <cfRule type="containsText" dxfId="3503" priority="8704" operator="containsText" text="FALSO">
      <formula>NOT(ISERROR(SEARCH("FALSO",N147)))</formula>
    </cfRule>
  </conditionalFormatting>
  <conditionalFormatting sqref="U150">
    <cfRule type="containsText" dxfId="3502" priority="8703" operator="containsText" text="FALSO">
      <formula>NOT(ISERROR(SEARCH("FALSO",U150)))</formula>
    </cfRule>
  </conditionalFormatting>
  <conditionalFormatting sqref="AT150:XFD150">
    <cfRule type="containsText" dxfId="3501" priority="8701" operator="containsText" text="FALSO">
      <formula>NOT(ISERROR(SEARCH("FALSO",AT150)))</formula>
    </cfRule>
  </conditionalFormatting>
  <conditionalFormatting sqref="Y150:Z150">
    <cfRule type="containsText" dxfId="3500" priority="8702" operator="containsText" text="FALSO">
      <formula>NOT(ISERROR(SEARCH("FALSO",Y150)))</formula>
    </cfRule>
  </conditionalFormatting>
  <conditionalFormatting sqref="W150">
    <cfRule type="containsText" dxfId="3499" priority="8700" operator="containsText" text="FALSO">
      <formula>NOT(ISERROR(SEARCH("FALSO",W150)))</formula>
    </cfRule>
  </conditionalFormatting>
  <conditionalFormatting sqref="A150:C150 H150:L150 F150">
    <cfRule type="containsText" dxfId="3498" priority="8699" operator="containsText" text="FALSO">
      <formula>NOT(ISERROR(SEARCH("FALSO",A150)))</formula>
    </cfRule>
  </conditionalFormatting>
  <conditionalFormatting sqref="A149:C149 H149:L149 F149">
    <cfRule type="containsText" dxfId="3497" priority="8690" operator="containsText" text="FALSO">
      <formula>NOT(ISERROR(SEARCH("FALSO",A149)))</formula>
    </cfRule>
  </conditionalFormatting>
  <conditionalFormatting sqref="G150">
    <cfRule type="containsText" dxfId="3496" priority="8697" operator="containsText" text="FALSO">
      <formula>NOT(ISERROR(SEARCH("FALSO",G150)))</formula>
    </cfRule>
  </conditionalFormatting>
  <conditionalFormatting sqref="G150">
    <cfRule type="duplicateValues" dxfId="3495" priority="8698"/>
  </conditionalFormatting>
  <conditionalFormatting sqref="G149">
    <cfRule type="containsText" dxfId="3494" priority="8688" operator="containsText" text="FALSO">
      <formula>NOT(ISERROR(SEARCH("FALSO",G149)))</formula>
    </cfRule>
  </conditionalFormatting>
  <conditionalFormatting sqref="G148">
    <cfRule type="containsText" dxfId="3493" priority="8679" operator="containsText" text="FALSO">
      <formula>NOT(ISERROR(SEARCH("FALSO",G148)))</formula>
    </cfRule>
  </conditionalFormatting>
  <conditionalFormatting sqref="N148:P148 S148">
    <cfRule type="containsText" dxfId="3492" priority="8686" operator="containsText" text="FALSO">
      <formula>NOT(ISERROR(SEARCH("FALSO",N148)))</formula>
    </cfRule>
  </conditionalFormatting>
  <conditionalFormatting sqref="U148">
    <cfRule type="containsText" dxfId="3491" priority="8685" operator="containsText" text="FALSO">
      <formula>NOT(ISERROR(SEARCH("FALSO",U148)))</formula>
    </cfRule>
  </conditionalFormatting>
  <conditionalFormatting sqref="Y148:Z148">
    <cfRule type="containsText" dxfId="3490" priority="8684" operator="containsText" text="FALSO">
      <formula>NOT(ISERROR(SEARCH("FALSO",Y148)))</formula>
    </cfRule>
  </conditionalFormatting>
  <conditionalFormatting sqref="AT148:XFD148">
    <cfRule type="containsText" dxfId="3489" priority="8683" operator="containsText" text="FALSO">
      <formula>NOT(ISERROR(SEARCH("FALSO",AT148)))</formula>
    </cfRule>
  </conditionalFormatting>
  <conditionalFormatting sqref="W148">
    <cfRule type="containsText" dxfId="3488" priority="8682" operator="containsText" text="FALSO">
      <formula>NOT(ISERROR(SEARCH("FALSO",W148)))</formula>
    </cfRule>
  </conditionalFormatting>
  <conditionalFormatting sqref="A148:C148 H148:L148 F148">
    <cfRule type="containsText" dxfId="3487" priority="8681" operator="containsText" text="FALSO">
      <formula>NOT(ISERROR(SEARCH("FALSO",A148)))</formula>
    </cfRule>
  </conditionalFormatting>
  <conditionalFormatting sqref="U149">
    <cfRule type="containsText" dxfId="3486" priority="8694" operator="containsText" text="FALSO">
      <formula>NOT(ISERROR(SEARCH("FALSO",U149)))</formula>
    </cfRule>
  </conditionalFormatting>
  <conditionalFormatting sqref="Y149:Z149">
    <cfRule type="containsText" dxfId="3485" priority="8693" operator="containsText" text="FALSO">
      <formula>NOT(ISERROR(SEARCH("FALSO",Y149)))</formula>
    </cfRule>
  </conditionalFormatting>
  <conditionalFormatting sqref="AT149:XFD149">
    <cfRule type="containsText" dxfId="3484" priority="8692" operator="containsText" text="FALSO">
      <formula>NOT(ISERROR(SEARCH("FALSO",AT149)))</formula>
    </cfRule>
  </conditionalFormatting>
  <conditionalFormatting sqref="W149">
    <cfRule type="containsText" dxfId="3483" priority="8691" operator="containsText" text="FALSO">
      <formula>NOT(ISERROR(SEARCH("FALSO",W149)))</formula>
    </cfRule>
  </conditionalFormatting>
  <conditionalFormatting sqref="N149:P149 S149">
    <cfRule type="containsText" dxfId="3482" priority="8695" operator="containsText" text="FALSO">
      <formula>NOT(ISERROR(SEARCH("FALSO",N149)))</formula>
    </cfRule>
  </conditionalFormatting>
  <conditionalFormatting sqref="G149">
    <cfRule type="duplicateValues" dxfId="3481" priority="8689"/>
  </conditionalFormatting>
  <conditionalFormatting sqref="AL148:AM148 AP148 AS148">
    <cfRule type="containsText" dxfId="3480" priority="8659" operator="containsText" text="FALSO">
      <formula>NOT(ISERROR(SEARCH("FALSO",AL148)))</formula>
    </cfRule>
  </conditionalFormatting>
  <conditionalFormatting sqref="G148">
    <cfRule type="duplicateValues" dxfId="3479" priority="8680"/>
  </conditionalFormatting>
  <conditionalFormatting sqref="U147">
    <cfRule type="containsText" dxfId="3478" priority="8677" operator="containsText" text="FALSO">
      <formula>NOT(ISERROR(SEARCH("FALSO",U147)))</formula>
    </cfRule>
  </conditionalFormatting>
  <conditionalFormatting sqref="AT147:XFD147">
    <cfRule type="containsText" dxfId="3477" priority="8675" operator="containsText" text="FALSO">
      <formula>NOT(ISERROR(SEARCH("FALSO",AT147)))</formula>
    </cfRule>
  </conditionalFormatting>
  <conditionalFormatting sqref="Y147:Z147">
    <cfRule type="containsText" dxfId="3476" priority="8676" operator="containsText" text="FALSO">
      <formula>NOT(ISERROR(SEARCH("FALSO",Y147)))</formula>
    </cfRule>
  </conditionalFormatting>
  <conditionalFormatting sqref="W147">
    <cfRule type="containsText" dxfId="3475" priority="8674" operator="containsText" text="FALSO">
      <formula>NOT(ISERROR(SEARCH("FALSO",W147)))</formula>
    </cfRule>
  </conditionalFormatting>
  <conditionalFormatting sqref="A147:C147 H147:L147 F147">
    <cfRule type="containsText" dxfId="3474" priority="8673" operator="containsText" text="FALSO">
      <formula>NOT(ISERROR(SEARCH("FALSO",A147)))</formula>
    </cfRule>
  </conditionalFormatting>
  <conditionalFormatting sqref="G147">
    <cfRule type="containsText" dxfId="3473" priority="8671" operator="containsText" text="FALSO">
      <formula>NOT(ISERROR(SEARCH("FALSO",G147)))</formula>
    </cfRule>
  </conditionalFormatting>
  <conditionalFormatting sqref="G147">
    <cfRule type="duplicateValues" dxfId="3472" priority="8672"/>
  </conditionalFormatting>
  <conditionalFormatting sqref="AK150:AM150 AP150 AS150">
    <cfRule type="containsText" dxfId="3471" priority="8661" operator="containsText" text="FALSO">
      <formula>NOT(ISERROR(SEARCH("FALSO",AK150)))</formula>
    </cfRule>
  </conditionalFormatting>
  <conditionalFormatting sqref="Y141:Z141">
    <cfRule type="containsText" dxfId="3470" priority="8583" operator="containsText" text="FALSO">
      <formula>NOT(ISERROR(SEARCH("FALSO",Y141)))</formula>
    </cfRule>
  </conditionalFormatting>
  <conditionalFormatting sqref="U146">
    <cfRule type="containsText" dxfId="3469" priority="8648" operator="containsText" text="FALSO">
      <formula>NOT(ISERROR(SEARCH("FALSO",U146)))</formula>
    </cfRule>
  </conditionalFormatting>
  <conditionalFormatting sqref="AT141:XFD141">
    <cfRule type="containsText" dxfId="3468" priority="8582" operator="containsText" text="FALSO">
      <formula>NOT(ISERROR(SEARCH("FALSO",AT141)))</formula>
    </cfRule>
  </conditionalFormatting>
  <conditionalFormatting sqref="U141">
    <cfRule type="containsText" dxfId="3467" priority="8584" operator="containsText" text="FALSO">
      <formula>NOT(ISERROR(SEARCH("FALSO",U141)))</formula>
    </cfRule>
  </conditionalFormatting>
  <conditionalFormatting sqref="AN150">
    <cfRule type="containsText" dxfId="3466" priority="8657" operator="containsText" text="FALSO">
      <formula>NOT(ISERROR(SEARCH("FALSO",AN150)))</formula>
    </cfRule>
  </conditionalFormatting>
  <conditionalFormatting sqref="AQ150">
    <cfRule type="containsText" dxfId="3465" priority="8653" operator="containsText" text="FALSO">
      <formula>NOT(ISERROR(SEARCH("FALSO",AQ150)))</formula>
    </cfRule>
  </conditionalFormatting>
  <conditionalFormatting sqref="N142:P142 S142">
    <cfRule type="containsText" dxfId="3464" priority="8594" operator="containsText" text="FALSO">
      <formula>NOT(ISERROR(SEARCH("FALSO",N142)))</formula>
    </cfRule>
  </conditionalFormatting>
  <conditionalFormatting sqref="N146:P146 S146 N143:P143 S143">
    <cfRule type="containsText" dxfId="3463" priority="8649" operator="containsText" text="FALSO">
      <formula>NOT(ISERROR(SEARCH("FALSO",N143)))</formula>
    </cfRule>
  </conditionalFormatting>
  <conditionalFormatting sqref="AT146:XFD146">
    <cfRule type="containsText" dxfId="3462" priority="8646" operator="containsText" text="FALSO">
      <formula>NOT(ISERROR(SEARCH("FALSO",AT146)))</formula>
    </cfRule>
  </conditionalFormatting>
  <conditionalFormatting sqref="Y146:Z146">
    <cfRule type="containsText" dxfId="3461" priority="8647" operator="containsText" text="FALSO">
      <formula>NOT(ISERROR(SEARCH("FALSO",Y146)))</formula>
    </cfRule>
  </conditionalFormatting>
  <conditionalFormatting sqref="W146">
    <cfRule type="containsText" dxfId="3460" priority="8645" operator="containsText" text="FALSO">
      <formula>NOT(ISERROR(SEARCH("FALSO",W146)))</formula>
    </cfRule>
  </conditionalFormatting>
  <conditionalFormatting sqref="A146:C146 H146:L146 F146">
    <cfRule type="containsText" dxfId="3459" priority="8644" operator="containsText" text="FALSO">
      <formula>NOT(ISERROR(SEARCH("FALSO",A146)))</formula>
    </cfRule>
  </conditionalFormatting>
  <conditionalFormatting sqref="A145:C145 H145:L145 F145">
    <cfRule type="containsText" dxfId="3458" priority="8635" operator="containsText" text="FALSO">
      <formula>NOT(ISERROR(SEARCH("FALSO",A145)))</formula>
    </cfRule>
  </conditionalFormatting>
  <conditionalFormatting sqref="G146">
    <cfRule type="containsText" dxfId="3457" priority="8642" operator="containsText" text="FALSO">
      <formula>NOT(ISERROR(SEARCH("FALSO",G146)))</formula>
    </cfRule>
  </conditionalFormatting>
  <conditionalFormatting sqref="G146">
    <cfRule type="duplicateValues" dxfId="3456" priority="8643"/>
  </conditionalFormatting>
  <conditionalFormatting sqref="G145">
    <cfRule type="containsText" dxfId="3455" priority="8633" operator="containsText" text="FALSO">
      <formula>NOT(ISERROR(SEARCH("FALSO",G145)))</formula>
    </cfRule>
  </conditionalFormatting>
  <conditionalFormatting sqref="G144">
    <cfRule type="containsText" dxfId="3454" priority="8624" operator="containsText" text="FALSO">
      <formula>NOT(ISERROR(SEARCH("FALSO",G144)))</formula>
    </cfRule>
  </conditionalFormatting>
  <conditionalFormatting sqref="N144:P144 S144">
    <cfRule type="containsText" dxfId="3453" priority="8631" operator="containsText" text="FALSO">
      <formula>NOT(ISERROR(SEARCH("FALSO",N144)))</formula>
    </cfRule>
  </conditionalFormatting>
  <conditionalFormatting sqref="U144">
    <cfRule type="containsText" dxfId="3452" priority="8630" operator="containsText" text="FALSO">
      <formula>NOT(ISERROR(SEARCH("FALSO",U144)))</formula>
    </cfRule>
  </conditionalFormatting>
  <conditionalFormatting sqref="Y144:Z144">
    <cfRule type="containsText" dxfId="3451" priority="8629" operator="containsText" text="FALSO">
      <formula>NOT(ISERROR(SEARCH("FALSO",Y144)))</formula>
    </cfRule>
  </conditionalFormatting>
  <conditionalFormatting sqref="AT144:XFD144">
    <cfRule type="containsText" dxfId="3450" priority="8628" operator="containsText" text="FALSO">
      <formula>NOT(ISERROR(SEARCH("FALSO",AT144)))</formula>
    </cfRule>
  </conditionalFormatting>
  <conditionalFormatting sqref="W144">
    <cfRule type="containsText" dxfId="3449" priority="8627" operator="containsText" text="FALSO">
      <formula>NOT(ISERROR(SEARCH("FALSO",W144)))</formula>
    </cfRule>
  </conditionalFormatting>
  <conditionalFormatting sqref="A144:C144 H144:L144 F144">
    <cfRule type="containsText" dxfId="3448" priority="8626" operator="containsText" text="FALSO">
      <formula>NOT(ISERROR(SEARCH("FALSO",A144)))</formula>
    </cfRule>
  </conditionalFormatting>
  <conditionalFormatting sqref="U145">
    <cfRule type="containsText" dxfId="3447" priority="8639" operator="containsText" text="FALSO">
      <formula>NOT(ISERROR(SEARCH("FALSO",U145)))</formula>
    </cfRule>
  </conditionalFormatting>
  <conditionalFormatting sqref="Y145:Z145">
    <cfRule type="containsText" dxfId="3446" priority="8638" operator="containsText" text="FALSO">
      <formula>NOT(ISERROR(SEARCH("FALSO",Y145)))</formula>
    </cfRule>
  </conditionalFormatting>
  <conditionalFormatting sqref="AT145:XFD145">
    <cfRule type="containsText" dxfId="3445" priority="8637" operator="containsText" text="FALSO">
      <formula>NOT(ISERROR(SEARCH("FALSO",AT145)))</formula>
    </cfRule>
  </conditionalFormatting>
  <conditionalFormatting sqref="W145">
    <cfRule type="containsText" dxfId="3444" priority="8636" operator="containsText" text="FALSO">
      <formula>NOT(ISERROR(SEARCH("FALSO",W145)))</formula>
    </cfRule>
  </conditionalFormatting>
  <conditionalFormatting sqref="N145:P145 S145">
    <cfRule type="containsText" dxfId="3443" priority="8640" operator="containsText" text="FALSO">
      <formula>NOT(ISERROR(SEARCH("FALSO",N145)))</formula>
    </cfRule>
  </conditionalFormatting>
  <conditionalFormatting sqref="G145">
    <cfRule type="duplicateValues" dxfId="3442" priority="8634"/>
  </conditionalFormatting>
  <conditionalFormatting sqref="AL144:AM144 AP144 AS144">
    <cfRule type="containsText" dxfId="3441" priority="8604" operator="containsText" text="FALSO">
      <formula>NOT(ISERROR(SEARCH("FALSO",AL144)))</formula>
    </cfRule>
  </conditionalFormatting>
  <conditionalFormatting sqref="G144">
    <cfRule type="duplicateValues" dxfId="3440" priority="8625"/>
  </conditionalFormatting>
  <conditionalFormatting sqref="U143">
    <cfRule type="containsText" dxfId="3439" priority="8622" operator="containsText" text="FALSO">
      <formula>NOT(ISERROR(SEARCH("FALSO",U143)))</formula>
    </cfRule>
  </conditionalFormatting>
  <conditionalFormatting sqref="AT143:XFD143">
    <cfRule type="containsText" dxfId="3438" priority="8620" operator="containsText" text="FALSO">
      <formula>NOT(ISERROR(SEARCH("FALSO",AT143)))</formula>
    </cfRule>
  </conditionalFormatting>
  <conditionalFormatting sqref="Y143:Z143">
    <cfRule type="containsText" dxfId="3437" priority="8621" operator="containsText" text="FALSO">
      <formula>NOT(ISERROR(SEARCH("FALSO",Y143)))</formula>
    </cfRule>
  </conditionalFormatting>
  <conditionalFormatting sqref="W143">
    <cfRule type="containsText" dxfId="3436" priority="8619" operator="containsText" text="FALSO">
      <formula>NOT(ISERROR(SEARCH("FALSO",W143)))</formula>
    </cfRule>
  </conditionalFormatting>
  <conditionalFormatting sqref="A143:C143 H143:L143 F143">
    <cfRule type="containsText" dxfId="3435" priority="8618" operator="containsText" text="FALSO">
      <formula>NOT(ISERROR(SEARCH("FALSO",A143)))</formula>
    </cfRule>
  </conditionalFormatting>
  <conditionalFormatting sqref="G143">
    <cfRule type="containsText" dxfId="3434" priority="8616" operator="containsText" text="FALSO">
      <formula>NOT(ISERROR(SEARCH("FALSO",G143)))</formula>
    </cfRule>
  </conditionalFormatting>
  <conditionalFormatting sqref="G143">
    <cfRule type="duplicateValues" dxfId="3433" priority="8617"/>
  </conditionalFormatting>
  <conditionalFormatting sqref="W142">
    <cfRule type="containsText" dxfId="3432" priority="8590" operator="containsText" text="FALSO">
      <formula>NOT(ISERROR(SEARCH("FALSO",W142)))</formula>
    </cfRule>
  </conditionalFormatting>
  <conditionalFormatting sqref="AL146:AM146 AP146 AS146">
    <cfRule type="containsText" dxfId="3431" priority="8606" operator="containsText" text="FALSO">
      <formula>NOT(ISERROR(SEARCH("FALSO",AL146)))</formula>
    </cfRule>
  </conditionalFormatting>
  <conditionalFormatting sqref="U142">
    <cfRule type="containsText" dxfId="3430" priority="8593" operator="containsText" text="FALSO">
      <formula>NOT(ISERROR(SEARCH("FALSO",U142)))</formula>
    </cfRule>
  </conditionalFormatting>
  <conditionalFormatting sqref="AT142:XFD142">
    <cfRule type="containsText" dxfId="3429" priority="8591" operator="containsText" text="FALSO">
      <formula>NOT(ISERROR(SEARCH("FALSO",AT142)))</formula>
    </cfRule>
  </conditionalFormatting>
  <conditionalFormatting sqref="Y142:Z142">
    <cfRule type="containsText" dxfId="3428" priority="8592" operator="containsText" text="FALSO">
      <formula>NOT(ISERROR(SEARCH("FALSO",Y142)))</formula>
    </cfRule>
  </conditionalFormatting>
  <conditionalFormatting sqref="A142:C142 H142:L142 F142">
    <cfRule type="containsText" dxfId="3427" priority="8589" operator="containsText" text="FALSO">
      <formula>NOT(ISERROR(SEARCH("FALSO",A142)))</formula>
    </cfRule>
  </conditionalFormatting>
  <conditionalFormatting sqref="A141:C141 H141:L141 F141">
    <cfRule type="containsText" dxfId="3426" priority="8580" operator="containsText" text="FALSO">
      <formula>NOT(ISERROR(SEARCH("FALSO",A141)))</formula>
    </cfRule>
  </conditionalFormatting>
  <conditionalFormatting sqref="G142">
    <cfRule type="containsText" dxfId="3425" priority="8587" operator="containsText" text="FALSO">
      <formula>NOT(ISERROR(SEARCH("FALSO",G142)))</formula>
    </cfRule>
  </conditionalFormatting>
  <conditionalFormatting sqref="G142">
    <cfRule type="duplicateValues" dxfId="3424" priority="8588"/>
  </conditionalFormatting>
  <conditionalFormatting sqref="G141">
    <cfRule type="containsText" dxfId="3423" priority="8578" operator="containsText" text="FALSO">
      <formula>NOT(ISERROR(SEARCH("FALSO",G141)))</formula>
    </cfRule>
  </conditionalFormatting>
  <conditionalFormatting sqref="G140">
    <cfRule type="containsText" dxfId="3422" priority="8569" operator="containsText" text="FALSO">
      <formula>NOT(ISERROR(SEARCH("FALSO",G140)))</formula>
    </cfRule>
  </conditionalFormatting>
  <conditionalFormatting sqref="N140:P140 S140">
    <cfRule type="containsText" dxfId="3421" priority="8576" operator="containsText" text="FALSO">
      <formula>NOT(ISERROR(SEARCH("FALSO",N140)))</formula>
    </cfRule>
  </conditionalFormatting>
  <conditionalFormatting sqref="U140">
    <cfRule type="containsText" dxfId="3420" priority="8575" operator="containsText" text="FALSO">
      <formula>NOT(ISERROR(SEARCH("FALSO",U140)))</formula>
    </cfRule>
  </conditionalFormatting>
  <conditionalFormatting sqref="Y140:Z140">
    <cfRule type="containsText" dxfId="3419" priority="8574" operator="containsText" text="FALSO">
      <formula>NOT(ISERROR(SEARCH("FALSO",Y140)))</formula>
    </cfRule>
  </conditionalFormatting>
  <conditionalFormatting sqref="AT140:XFD140">
    <cfRule type="containsText" dxfId="3418" priority="8573" operator="containsText" text="FALSO">
      <formula>NOT(ISERROR(SEARCH("FALSO",AT140)))</formula>
    </cfRule>
  </conditionalFormatting>
  <conditionalFormatting sqref="W140">
    <cfRule type="containsText" dxfId="3417" priority="8572" operator="containsText" text="FALSO">
      <formula>NOT(ISERROR(SEARCH("FALSO",W140)))</formula>
    </cfRule>
  </conditionalFormatting>
  <conditionalFormatting sqref="A140:C140 H140:L140 F140">
    <cfRule type="containsText" dxfId="3416" priority="8571" operator="containsText" text="FALSO">
      <formula>NOT(ISERROR(SEARCH("FALSO",A140)))</formula>
    </cfRule>
  </conditionalFormatting>
  <conditionalFormatting sqref="W141">
    <cfRule type="containsText" dxfId="3415" priority="8581" operator="containsText" text="FALSO">
      <formula>NOT(ISERROR(SEARCH("FALSO",W141)))</formula>
    </cfRule>
  </conditionalFormatting>
  <conditionalFormatting sqref="N141:P141 S141">
    <cfRule type="containsText" dxfId="3414" priority="8585" operator="containsText" text="FALSO">
      <formula>NOT(ISERROR(SEARCH("FALSO",N141)))</formula>
    </cfRule>
  </conditionalFormatting>
  <conditionalFormatting sqref="G141">
    <cfRule type="duplicateValues" dxfId="3413" priority="8579"/>
  </conditionalFormatting>
  <conditionalFormatting sqref="AL140:AM140 AP140 AS140">
    <cfRule type="containsText" dxfId="3412" priority="8549" operator="containsText" text="FALSO">
      <formula>NOT(ISERROR(SEARCH("FALSO",AL140)))</formula>
    </cfRule>
  </conditionalFormatting>
  <conditionalFormatting sqref="G140">
    <cfRule type="duplicateValues" dxfId="3411" priority="8570"/>
  </conditionalFormatting>
  <conditionalFormatting sqref="W139">
    <cfRule type="containsText" dxfId="3410" priority="8425" operator="containsText" text="FALSO">
      <formula>NOT(ISERROR(SEARCH("FALSO",W139)))</formula>
    </cfRule>
  </conditionalFormatting>
  <conditionalFormatting sqref="A139:C139 H139:L139 F139">
    <cfRule type="containsText" dxfId="3409" priority="8424" operator="containsText" text="FALSO">
      <formula>NOT(ISERROR(SEARCH("FALSO",A139)))</formula>
    </cfRule>
  </conditionalFormatting>
  <conditionalFormatting sqref="AL142:AM142 AP142 AS142">
    <cfRule type="containsText" dxfId="3408" priority="8551" operator="containsText" text="FALSO">
      <formula>NOT(ISERROR(SEARCH("FALSO",AL142)))</formula>
    </cfRule>
  </conditionalFormatting>
  <conditionalFormatting sqref="N139:P139 S139 N136:P136 S136">
    <cfRule type="containsText" dxfId="3407" priority="8429" operator="containsText" text="FALSO">
      <formula>NOT(ISERROR(SEARCH("FALSO",N136)))</formula>
    </cfRule>
  </conditionalFormatting>
  <conditionalFormatting sqref="U139">
    <cfRule type="containsText" dxfId="3406" priority="8428" operator="containsText" text="FALSO">
      <formula>NOT(ISERROR(SEARCH("FALSO",U139)))</formula>
    </cfRule>
  </conditionalFormatting>
  <conditionalFormatting sqref="AT139:XFD139">
    <cfRule type="containsText" dxfId="3405" priority="8426" operator="containsText" text="FALSO">
      <formula>NOT(ISERROR(SEARCH("FALSO",AT139)))</formula>
    </cfRule>
  </conditionalFormatting>
  <conditionalFormatting sqref="Y139:Z139">
    <cfRule type="containsText" dxfId="3404" priority="8427" operator="containsText" text="FALSO">
      <formula>NOT(ISERROR(SEARCH("FALSO",Y139)))</formula>
    </cfRule>
  </conditionalFormatting>
  <conditionalFormatting sqref="A138:C138 H138:L138 F138">
    <cfRule type="containsText" dxfId="3403" priority="8415" operator="containsText" text="FALSO">
      <formula>NOT(ISERROR(SEARCH("FALSO",A138)))</formula>
    </cfRule>
  </conditionalFormatting>
  <conditionalFormatting sqref="G139">
    <cfRule type="containsText" dxfId="3402" priority="8422" operator="containsText" text="FALSO">
      <formula>NOT(ISERROR(SEARCH("FALSO",G139)))</formula>
    </cfRule>
  </conditionalFormatting>
  <conditionalFormatting sqref="G139">
    <cfRule type="duplicateValues" dxfId="3401" priority="8423"/>
  </conditionalFormatting>
  <conditionalFormatting sqref="G138">
    <cfRule type="containsText" dxfId="3400" priority="8413" operator="containsText" text="FALSO">
      <formula>NOT(ISERROR(SEARCH("FALSO",G138)))</formula>
    </cfRule>
  </conditionalFormatting>
  <conditionalFormatting sqref="G137">
    <cfRule type="containsText" dxfId="3399" priority="8404" operator="containsText" text="FALSO">
      <formula>NOT(ISERROR(SEARCH("FALSO",G137)))</formula>
    </cfRule>
  </conditionalFormatting>
  <conditionalFormatting sqref="N137:P137 S137">
    <cfRule type="containsText" dxfId="3398" priority="8411" operator="containsText" text="FALSO">
      <formula>NOT(ISERROR(SEARCH("FALSO",N137)))</formula>
    </cfRule>
  </conditionalFormatting>
  <conditionalFormatting sqref="U137">
    <cfRule type="containsText" dxfId="3397" priority="8410" operator="containsText" text="FALSO">
      <formula>NOT(ISERROR(SEARCH("FALSO",U137)))</formula>
    </cfRule>
  </conditionalFormatting>
  <conditionalFormatting sqref="Y137:Z137">
    <cfRule type="containsText" dxfId="3396" priority="8409" operator="containsText" text="FALSO">
      <formula>NOT(ISERROR(SEARCH("FALSO",Y137)))</formula>
    </cfRule>
  </conditionalFormatting>
  <conditionalFormatting sqref="AT137:XFD137">
    <cfRule type="containsText" dxfId="3395" priority="8408" operator="containsText" text="FALSO">
      <formula>NOT(ISERROR(SEARCH("FALSO",AT137)))</formula>
    </cfRule>
  </conditionalFormatting>
  <conditionalFormatting sqref="W137">
    <cfRule type="containsText" dxfId="3394" priority="8407" operator="containsText" text="FALSO">
      <formula>NOT(ISERROR(SEARCH("FALSO",W137)))</formula>
    </cfRule>
  </conditionalFormatting>
  <conditionalFormatting sqref="A137:C137 H137:L137 F137">
    <cfRule type="containsText" dxfId="3393" priority="8406" operator="containsText" text="FALSO">
      <formula>NOT(ISERROR(SEARCH("FALSO",A137)))</formula>
    </cfRule>
  </conditionalFormatting>
  <conditionalFormatting sqref="U138">
    <cfRule type="containsText" dxfId="3392" priority="8419" operator="containsText" text="FALSO">
      <formula>NOT(ISERROR(SEARCH("FALSO",U138)))</formula>
    </cfRule>
  </conditionalFormatting>
  <conditionalFormatting sqref="Y138:Z138">
    <cfRule type="containsText" dxfId="3391" priority="8418" operator="containsText" text="FALSO">
      <formula>NOT(ISERROR(SEARCH("FALSO",Y138)))</formula>
    </cfRule>
  </conditionalFormatting>
  <conditionalFormatting sqref="AT138:XFD138">
    <cfRule type="containsText" dxfId="3390" priority="8417" operator="containsText" text="FALSO">
      <formula>NOT(ISERROR(SEARCH("FALSO",AT138)))</formula>
    </cfRule>
  </conditionalFormatting>
  <conditionalFormatting sqref="W138">
    <cfRule type="containsText" dxfId="3389" priority="8416" operator="containsText" text="FALSO">
      <formula>NOT(ISERROR(SEARCH("FALSO",W138)))</formula>
    </cfRule>
  </conditionalFormatting>
  <conditionalFormatting sqref="N138:P138 S138">
    <cfRule type="containsText" dxfId="3388" priority="8420" operator="containsText" text="FALSO">
      <formula>NOT(ISERROR(SEARCH("FALSO",N138)))</formula>
    </cfRule>
  </conditionalFormatting>
  <conditionalFormatting sqref="G138">
    <cfRule type="duplicateValues" dxfId="3387" priority="8414"/>
  </conditionalFormatting>
  <conditionalFormatting sqref="G137">
    <cfRule type="duplicateValues" dxfId="3386" priority="8405"/>
  </conditionalFormatting>
  <conditionalFormatting sqref="U136">
    <cfRule type="containsText" dxfId="3385" priority="8402" operator="containsText" text="FALSO">
      <formula>NOT(ISERROR(SEARCH("FALSO",U136)))</formula>
    </cfRule>
  </conditionalFormatting>
  <conditionalFormatting sqref="AT136:XFD136">
    <cfRule type="containsText" dxfId="3384" priority="8400" operator="containsText" text="FALSO">
      <formula>NOT(ISERROR(SEARCH("FALSO",AT136)))</formula>
    </cfRule>
  </conditionalFormatting>
  <conditionalFormatting sqref="Y136:Z136">
    <cfRule type="containsText" dxfId="3383" priority="8401" operator="containsText" text="FALSO">
      <formula>NOT(ISERROR(SEARCH("FALSO",Y136)))</formula>
    </cfRule>
  </conditionalFormatting>
  <conditionalFormatting sqref="W136">
    <cfRule type="containsText" dxfId="3382" priority="8399" operator="containsText" text="FALSO">
      <formula>NOT(ISERROR(SEARCH("FALSO",W136)))</formula>
    </cfRule>
  </conditionalFormatting>
  <conditionalFormatting sqref="A136:C136 H136:L136 F136">
    <cfRule type="containsText" dxfId="3381" priority="8398" operator="containsText" text="FALSO">
      <formula>NOT(ISERROR(SEARCH("FALSO",A136)))</formula>
    </cfRule>
  </conditionalFormatting>
  <conditionalFormatting sqref="G136">
    <cfRule type="containsText" dxfId="3380" priority="8396" operator="containsText" text="FALSO">
      <formula>NOT(ISERROR(SEARCH("FALSO",G136)))</formula>
    </cfRule>
  </conditionalFormatting>
  <conditionalFormatting sqref="G136">
    <cfRule type="duplicateValues" dxfId="3379" priority="8397"/>
  </conditionalFormatting>
  <conditionalFormatting sqref="AL138:AM138 AP138 AS138">
    <cfRule type="containsText" dxfId="3378" priority="8385" operator="containsText" text="FALSO">
      <formula>NOT(ISERROR(SEARCH("FALSO",AL138)))</formula>
    </cfRule>
  </conditionalFormatting>
  <conditionalFormatting sqref="AL136:AM136 AP136 AS136">
    <cfRule type="containsText" dxfId="3377" priority="8383" operator="containsText" text="FALSO">
      <formula>NOT(ISERROR(SEARCH("FALSO",AL136)))</formula>
    </cfRule>
  </conditionalFormatting>
  <conditionalFormatting sqref="N135:P135 S135">
    <cfRule type="containsText" dxfId="3376" priority="8374" operator="containsText" text="FALSO">
      <formula>NOT(ISERROR(SEARCH("FALSO",N135)))</formula>
    </cfRule>
  </conditionalFormatting>
  <conditionalFormatting sqref="U135">
    <cfRule type="containsText" dxfId="3375" priority="8373" operator="containsText" text="FALSO">
      <formula>NOT(ISERROR(SEARCH("FALSO",U135)))</formula>
    </cfRule>
  </conditionalFormatting>
  <conditionalFormatting sqref="AT135:XFD135">
    <cfRule type="containsText" dxfId="3374" priority="8371" operator="containsText" text="FALSO">
      <formula>NOT(ISERROR(SEARCH("FALSO",AT135)))</formula>
    </cfRule>
  </conditionalFormatting>
  <conditionalFormatting sqref="Y135:Z135">
    <cfRule type="containsText" dxfId="3373" priority="8372" operator="containsText" text="FALSO">
      <formula>NOT(ISERROR(SEARCH("FALSO",Y135)))</formula>
    </cfRule>
  </conditionalFormatting>
  <conditionalFormatting sqref="W135">
    <cfRule type="containsText" dxfId="3372" priority="8370" operator="containsText" text="FALSO">
      <formula>NOT(ISERROR(SEARCH("FALSO",W135)))</formula>
    </cfRule>
  </conditionalFormatting>
  <conditionalFormatting sqref="A135:C135 H135:L135 F135">
    <cfRule type="containsText" dxfId="3371" priority="8369" operator="containsText" text="FALSO">
      <formula>NOT(ISERROR(SEARCH("FALSO",A135)))</formula>
    </cfRule>
  </conditionalFormatting>
  <conditionalFormatting sqref="A134:C134 H134:L134 F134">
    <cfRule type="containsText" dxfId="3370" priority="8360" operator="containsText" text="FALSO">
      <formula>NOT(ISERROR(SEARCH("FALSO",A134)))</formula>
    </cfRule>
  </conditionalFormatting>
  <conditionalFormatting sqref="G135">
    <cfRule type="containsText" dxfId="3369" priority="8367" operator="containsText" text="FALSO">
      <formula>NOT(ISERROR(SEARCH("FALSO",G135)))</formula>
    </cfRule>
  </conditionalFormatting>
  <conditionalFormatting sqref="G135">
    <cfRule type="duplicateValues" dxfId="3368" priority="8368"/>
  </conditionalFormatting>
  <conditionalFormatting sqref="G134">
    <cfRule type="containsText" dxfId="3367" priority="8358" operator="containsText" text="FALSO">
      <formula>NOT(ISERROR(SEARCH("FALSO",G134)))</formula>
    </cfRule>
  </conditionalFormatting>
  <conditionalFormatting sqref="U134">
    <cfRule type="containsText" dxfId="3366" priority="8364" operator="containsText" text="FALSO">
      <formula>NOT(ISERROR(SEARCH("FALSO",U134)))</formula>
    </cfRule>
  </conditionalFormatting>
  <conditionalFormatting sqref="AT134:XFD134">
    <cfRule type="containsText" dxfId="3365" priority="8362" operator="containsText" text="FALSO">
      <formula>NOT(ISERROR(SEARCH("FALSO",AT134)))</formula>
    </cfRule>
  </conditionalFormatting>
  <conditionalFormatting sqref="W134">
    <cfRule type="containsText" dxfId="3364" priority="8361" operator="containsText" text="FALSO">
      <formula>NOT(ISERROR(SEARCH("FALSO",W134)))</formula>
    </cfRule>
  </conditionalFormatting>
  <conditionalFormatting sqref="G134">
    <cfRule type="duplicateValues" dxfId="3363" priority="8359"/>
  </conditionalFormatting>
  <conditionalFormatting sqref="AL134:AM134 AP134 AS134">
    <cfRule type="containsText" dxfId="3362" priority="8330" operator="containsText" text="FALSO">
      <formula>NOT(ISERROR(SEARCH("FALSO",AL134)))</formula>
    </cfRule>
  </conditionalFormatting>
  <conditionalFormatting sqref="AK143:AM143 AP143 AS143">
    <cfRule type="containsText" dxfId="3361" priority="7802" operator="containsText" text="FALSO">
      <formula>NOT(ISERROR(SEARCH("FALSO",AK143)))</formula>
    </cfRule>
  </conditionalFormatting>
  <conditionalFormatting sqref="AQ141">
    <cfRule type="containsText" dxfId="3360" priority="7805" operator="containsText" text="FALSO">
      <formula>NOT(ISERROR(SEARCH("FALSO",AQ141)))</formula>
    </cfRule>
  </conditionalFormatting>
  <conditionalFormatting sqref="AK145:AM145 AP145 AS145">
    <cfRule type="containsText" dxfId="3359" priority="7797" operator="containsText" text="FALSO">
      <formula>NOT(ISERROR(SEARCH("FALSO",AK145)))</formula>
    </cfRule>
  </conditionalFormatting>
  <conditionalFormatting sqref="AN145">
    <cfRule type="containsText" dxfId="3358" priority="7796" operator="containsText" text="FALSO">
      <formula>NOT(ISERROR(SEARCH("FALSO",AN145)))</formula>
    </cfRule>
  </conditionalFormatting>
  <conditionalFormatting sqref="AQ145">
    <cfRule type="containsText" dxfId="3357" priority="7795" operator="containsText" text="FALSO">
      <formula>NOT(ISERROR(SEARCH("FALSO",AQ145)))</formula>
    </cfRule>
  </conditionalFormatting>
  <conditionalFormatting sqref="AK147:AM147 AP147 AS147">
    <cfRule type="containsText" dxfId="3356" priority="7792" operator="containsText" text="FALSO">
      <formula>NOT(ISERROR(SEARCH("FALSO",AK147)))</formula>
    </cfRule>
  </conditionalFormatting>
  <conditionalFormatting sqref="AQ149">
    <cfRule type="containsText" dxfId="3355" priority="7785" operator="containsText" text="FALSO">
      <formula>NOT(ISERROR(SEARCH("FALSO",AQ149)))</formula>
    </cfRule>
  </conditionalFormatting>
  <conditionalFormatting sqref="AN147">
    <cfRule type="containsText" dxfId="3354" priority="7791" operator="containsText" text="FALSO">
      <formula>NOT(ISERROR(SEARCH("FALSO",AN147)))</formula>
    </cfRule>
  </conditionalFormatting>
  <conditionalFormatting sqref="AK149:AM149 AP149 AS149">
    <cfRule type="containsText" dxfId="3353" priority="7787" operator="containsText" text="FALSO">
      <formula>NOT(ISERROR(SEARCH("FALSO",AK149)))</formula>
    </cfRule>
  </conditionalFormatting>
  <conditionalFormatting sqref="AN135">
    <cfRule type="containsText" dxfId="3352" priority="7821" operator="containsText" text="FALSO">
      <formula>NOT(ISERROR(SEARCH("FALSO",AN135)))</formula>
    </cfRule>
  </conditionalFormatting>
  <conditionalFormatting sqref="AK141:AM141 AP141 AS141">
    <cfRule type="containsText" dxfId="3351" priority="7807" operator="containsText" text="FALSO">
      <formula>NOT(ISERROR(SEARCH("FALSO",AK141)))</formula>
    </cfRule>
  </conditionalFormatting>
  <conditionalFormatting sqref="AK144">
    <cfRule type="containsText" dxfId="3350" priority="7864" operator="containsText" text="FALSO">
      <formula>NOT(ISERROR(SEARCH("FALSO",AK144)))</formula>
    </cfRule>
  </conditionalFormatting>
  <conditionalFormatting sqref="AQ146">
    <cfRule type="containsText" dxfId="3349" priority="7834" operator="containsText" text="FALSO">
      <formula>NOT(ISERROR(SEARCH("FALSO",AQ146)))</formula>
    </cfRule>
  </conditionalFormatting>
  <conditionalFormatting sqref="AQ148">
    <cfRule type="containsText" dxfId="3348" priority="7836" operator="containsText" text="FALSO">
      <formula>NOT(ISERROR(SEARCH("FALSO",AQ148)))</formula>
    </cfRule>
  </conditionalFormatting>
  <conditionalFormatting sqref="AQ140">
    <cfRule type="containsText" dxfId="3347" priority="7829" operator="containsText" text="FALSO">
      <formula>NOT(ISERROR(SEARCH("FALSO",AQ140)))</formula>
    </cfRule>
  </conditionalFormatting>
  <conditionalFormatting sqref="AQ138">
    <cfRule type="containsText" dxfId="3346" priority="7827" operator="containsText" text="FALSO">
      <formula>NOT(ISERROR(SEARCH("FALSO",AQ138)))</formula>
    </cfRule>
  </conditionalFormatting>
  <conditionalFormatting sqref="AQ136">
    <cfRule type="containsText" dxfId="3345" priority="7825" operator="containsText" text="FALSO">
      <formula>NOT(ISERROR(SEARCH("FALSO",AQ136)))</formula>
    </cfRule>
  </conditionalFormatting>
  <conditionalFormatting sqref="AK137:AM137 AP137 AS137">
    <cfRule type="containsText" dxfId="3344" priority="7817" operator="containsText" text="FALSO">
      <formula>NOT(ISERROR(SEARCH("FALSO",AK137)))</formula>
    </cfRule>
  </conditionalFormatting>
  <conditionalFormatting sqref="AQ134">
    <cfRule type="containsText" dxfId="3343" priority="7823" operator="containsText" text="FALSO">
      <formula>NOT(ISERROR(SEARCH("FALSO",AQ134)))</formula>
    </cfRule>
  </conditionalFormatting>
  <conditionalFormatting sqref="AQ137">
    <cfRule type="containsText" dxfId="3342" priority="7815" operator="containsText" text="FALSO">
      <formula>NOT(ISERROR(SEARCH("FALSO",AQ137)))</formula>
    </cfRule>
  </conditionalFormatting>
  <conditionalFormatting sqref="AN134">
    <cfRule type="containsText" dxfId="3341" priority="7839" operator="containsText" text="FALSO">
      <formula>NOT(ISERROR(SEARCH("FALSO",AN134)))</formula>
    </cfRule>
  </conditionalFormatting>
  <conditionalFormatting sqref="AN139">
    <cfRule type="containsText" dxfId="3340" priority="7811" operator="containsText" text="FALSO">
      <formula>NOT(ISERROR(SEARCH("FALSO",AN139)))</formula>
    </cfRule>
  </conditionalFormatting>
  <conditionalFormatting sqref="AN142">
    <cfRule type="containsText" dxfId="3339" priority="7846" operator="containsText" text="FALSO">
      <formula>NOT(ISERROR(SEARCH("FALSO",AN142)))</formula>
    </cfRule>
  </conditionalFormatting>
  <conditionalFormatting sqref="AQ144">
    <cfRule type="containsText" dxfId="3338" priority="7832" operator="containsText" text="FALSO">
      <formula>NOT(ISERROR(SEARCH("FALSO",AQ144)))</formula>
    </cfRule>
  </conditionalFormatting>
  <conditionalFormatting sqref="AN140">
    <cfRule type="containsText" dxfId="3337" priority="7845" operator="containsText" text="FALSO">
      <formula>NOT(ISERROR(SEARCH("FALSO",AN140)))</formula>
    </cfRule>
  </conditionalFormatting>
  <conditionalFormatting sqref="AK146">
    <cfRule type="containsText" dxfId="3336" priority="7866" operator="containsText" text="FALSO">
      <formula>NOT(ISERROR(SEARCH("FALSO",AK146)))</formula>
    </cfRule>
  </conditionalFormatting>
  <conditionalFormatting sqref="AN146">
    <cfRule type="containsText" dxfId="3335" priority="7850" operator="containsText" text="FALSO">
      <formula>NOT(ISERROR(SEARCH("FALSO",AN146)))</formula>
    </cfRule>
  </conditionalFormatting>
  <conditionalFormatting sqref="AN138">
    <cfRule type="containsText" dxfId="3334" priority="7843" operator="containsText" text="FALSO">
      <formula>NOT(ISERROR(SEARCH("FALSO",AN138)))</formula>
    </cfRule>
  </conditionalFormatting>
  <conditionalFormatting sqref="AK142">
    <cfRule type="containsText" dxfId="3333" priority="7862" operator="containsText" text="FALSO">
      <formula>NOT(ISERROR(SEARCH("FALSO",AK142)))</formula>
    </cfRule>
  </conditionalFormatting>
  <conditionalFormatting sqref="AK148">
    <cfRule type="containsText" dxfId="3332" priority="7868" operator="containsText" text="FALSO">
      <formula>NOT(ISERROR(SEARCH("FALSO",AK148)))</formula>
    </cfRule>
  </conditionalFormatting>
  <conditionalFormatting sqref="AK136">
    <cfRule type="containsText" dxfId="3331" priority="7857" operator="containsText" text="FALSO">
      <formula>NOT(ISERROR(SEARCH("FALSO",AK136)))</formula>
    </cfRule>
  </conditionalFormatting>
  <conditionalFormatting sqref="AK140">
    <cfRule type="containsText" dxfId="3330" priority="7861" operator="containsText" text="FALSO">
      <formula>NOT(ISERROR(SEARCH("FALSO",AK140)))</formula>
    </cfRule>
  </conditionalFormatting>
  <conditionalFormatting sqref="AQ142">
    <cfRule type="containsText" dxfId="3329" priority="7830" operator="containsText" text="FALSO">
      <formula>NOT(ISERROR(SEARCH("FALSO",AQ142)))</formula>
    </cfRule>
  </conditionalFormatting>
  <conditionalFormatting sqref="AK138">
    <cfRule type="containsText" dxfId="3328" priority="7859" operator="containsText" text="FALSO">
      <formula>NOT(ISERROR(SEARCH("FALSO",AK138)))</formula>
    </cfRule>
  </conditionalFormatting>
  <conditionalFormatting sqref="AN137">
    <cfRule type="containsText" dxfId="3327" priority="7816" operator="containsText" text="FALSO">
      <formula>NOT(ISERROR(SEARCH("FALSO",AN137)))</formula>
    </cfRule>
  </conditionalFormatting>
  <conditionalFormatting sqref="AK134">
    <cfRule type="containsText" dxfId="3326" priority="7855" operator="containsText" text="FALSO">
      <formula>NOT(ISERROR(SEARCH("FALSO",AK134)))</formula>
    </cfRule>
  </conditionalFormatting>
  <conditionalFormatting sqref="AN144">
    <cfRule type="containsText" dxfId="3325" priority="7848" operator="containsText" text="FALSO">
      <formula>NOT(ISERROR(SEARCH("FALSO",AN144)))</formula>
    </cfRule>
  </conditionalFormatting>
  <conditionalFormatting sqref="AN148">
    <cfRule type="containsText" dxfId="3324" priority="7852" operator="containsText" text="FALSO">
      <formula>NOT(ISERROR(SEARCH("FALSO",AN148)))</formula>
    </cfRule>
  </conditionalFormatting>
  <conditionalFormatting sqref="AN136">
    <cfRule type="containsText" dxfId="3323" priority="7841" operator="containsText" text="FALSO">
      <formula>NOT(ISERROR(SEARCH("FALSO",AN136)))</formula>
    </cfRule>
  </conditionalFormatting>
  <conditionalFormatting sqref="AQ143">
    <cfRule type="containsText" dxfId="3322" priority="7800" operator="containsText" text="FALSO">
      <formula>NOT(ISERROR(SEARCH("FALSO",AQ143)))</formula>
    </cfRule>
  </conditionalFormatting>
  <conditionalFormatting sqref="AK135:AM135 AP135 AS135">
    <cfRule type="containsText" dxfId="3321" priority="7822" operator="containsText" text="FALSO">
      <formula>NOT(ISERROR(SEARCH("FALSO",AK135)))</formula>
    </cfRule>
  </conditionalFormatting>
  <conditionalFormatting sqref="AQ135">
    <cfRule type="containsText" dxfId="3320" priority="7820" operator="containsText" text="FALSO">
      <formula>NOT(ISERROR(SEARCH("FALSO",AQ135)))</formula>
    </cfRule>
  </conditionalFormatting>
  <conditionalFormatting sqref="AK139:AM139 AP139 AS139">
    <cfRule type="containsText" dxfId="3319" priority="7812" operator="containsText" text="FALSO">
      <formula>NOT(ISERROR(SEARCH("FALSO",AK139)))</formula>
    </cfRule>
  </conditionalFormatting>
  <conditionalFormatting sqref="AQ139">
    <cfRule type="containsText" dxfId="3318" priority="7810" operator="containsText" text="FALSO">
      <formula>NOT(ISERROR(SEARCH("FALSO",AQ139)))</formula>
    </cfRule>
  </conditionalFormatting>
  <conditionalFormatting sqref="AN141">
    <cfRule type="containsText" dxfId="3317" priority="7806" operator="containsText" text="FALSO">
      <formula>NOT(ISERROR(SEARCH("FALSO",AN141)))</formula>
    </cfRule>
  </conditionalFormatting>
  <conditionalFormatting sqref="AN143">
    <cfRule type="containsText" dxfId="3316" priority="7801" operator="containsText" text="FALSO">
      <formula>NOT(ISERROR(SEARCH("FALSO",AN143)))</formula>
    </cfRule>
  </conditionalFormatting>
  <conditionalFormatting sqref="AQ147">
    <cfRule type="containsText" dxfId="3315" priority="7790" operator="containsText" text="FALSO">
      <formula>NOT(ISERROR(SEARCH("FALSO",AQ147)))</formula>
    </cfRule>
  </conditionalFormatting>
  <conditionalFormatting sqref="AN149">
    <cfRule type="containsText" dxfId="3314" priority="7786" operator="containsText" text="FALSO">
      <formula>NOT(ISERROR(SEARCH("FALSO",AN149)))</formula>
    </cfRule>
  </conditionalFormatting>
  <conditionalFormatting sqref="U130">
    <cfRule type="containsText" dxfId="3313" priority="7424" operator="containsText" text="FALSO">
      <formula>NOT(ISERROR(SEARCH("FALSO",U130)))</formula>
    </cfRule>
  </conditionalFormatting>
  <conditionalFormatting sqref="G124">
    <cfRule type="containsText" dxfId="3312" priority="6970" operator="containsText" text="FALSO">
      <formula>NOT(ISERROR(SEARCH("FALSO",G124)))</formula>
    </cfRule>
  </conditionalFormatting>
  <conditionalFormatting sqref="P129 S129">
    <cfRule type="containsText" dxfId="3311" priority="7389" operator="containsText" text="FALSO">
      <formula>NOT(ISERROR(SEARCH("FALSO",P129)))</formula>
    </cfRule>
  </conditionalFormatting>
  <conditionalFormatting sqref="AO168">
    <cfRule type="containsText" dxfId="3310" priority="7169" operator="containsText" text="FALSO">
      <formula>NOT(ISERROR(SEARCH("FALSO",AO168)))</formula>
    </cfRule>
  </conditionalFormatting>
  <conditionalFormatting sqref="U129">
    <cfRule type="containsText" dxfId="3309" priority="7388" operator="containsText" text="FALSO">
      <formula>NOT(ISERROR(SEARCH("FALSO",U129)))</formula>
    </cfRule>
  </conditionalFormatting>
  <conditionalFormatting sqref="P133 S133">
    <cfRule type="containsText" dxfId="3308" priority="7515" operator="containsText" text="FALSO">
      <formula>NOT(ISERROR(SEARCH("FALSO",P133)))</formula>
    </cfRule>
  </conditionalFormatting>
  <conditionalFormatting sqref="U133">
    <cfRule type="containsText" dxfId="3307" priority="7514" operator="containsText" text="FALSO">
      <formula>NOT(ISERROR(SEARCH("FALSO",U133)))</formula>
    </cfRule>
  </conditionalFormatting>
  <conditionalFormatting sqref="AT133:XFD133">
    <cfRule type="containsText" dxfId="3306" priority="7512" operator="containsText" text="FALSO">
      <formula>NOT(ISERROR(SEARCH("FALSO",AT133)))</formula>
    </cfRule>
  </conditionalFormatting>
  <conditionalFormatting sqref="Y133:Z133">
    <cfRule type="containsText" dxfId="3305" priority="7513" operator="containsText" text="FALSO">
      <formula>NOT(ISERROR(SEARCH("FALSO",Y133)))</formula>
    </cfRule>
  </conditionalFormatting>
  <conditionalFormatting sqref="W133">
    <cfRule type="containsText" dxfId="3304" priority="7511" operator="containsText" text="FALSO">
      <formula>NOT(ISERROR(SEARCH("FALSO",W133)))</formula>
    </cfRule>
  </conditionalFormatting>
  <conditionalFormatting sqref="A133:C133 I133:L133 F133">
    <cfRule type="containsText" dxfId="3303" priority="7510" operator="containsText" text="FALSO">
      <formula>NOT(ISERROR(SEARCH("FALSO",A133)))</formula>
    </cfRule>
  </conditionalFormatting>
  <conditionalFormatting sqref="G133">
    <cfRule type="containsText" dxfId="3302" priority="7508" operator="containsText" text="FALSO">
      <formula>NOT(ISERROR(SEARCH("FALSO",G133)))</formula>
    </cfRule>
  </conditionalFormatting>
  <conditionalFormatting sqref="G133">
    <cfRule type="duplicateValues" dxfId="3301" priority="7509"/>
  </conditionalFormatting>
  <conditionalFormatting sqref="AR144">
    <cfRule type="containsText" dxfId="3300" priority="7089" operator="containsText" text="FALSO">
      <formula>NOT(ISERROR(SEARCH("FALSO",AR144)))</formula>
    </cfRule>
  </conditionalFormatting>
  <conditionalFormatting sqref="AK133:AM133 AP133 AS133">
    <cfRule type="containsText" dxfId="3299" priority="7503" operator="containsText" text="FALSO">
      <formula>NOT(ISERROR(SEARCH("FALSO",AK133)))</formula>
    </cfRule>
  </conditionalFormatting>
  <conditionalFormatting sqref="AN133">
    <cfRule type="containsText" dxfId="3298" priority="7502" operator="containsText" text="FALSO">
      <formula>NOT(ISERROR(SEARCH("FALSO",AN133)))</formula>
    </cfRule>
  </conditionalFormatting>
  <conditionalFormatting sqref="AQ133">
    <cfRule type="containsText" dxfId="3297" priority="7501" operator="containsText" text="FALSO">
      <formula>NOT(ISERROR(SEARCH("FALSO",AQ133)))</formula>
    </cfRule>
  </conditionalFormatting>
  <conditionalFormatting sqref="P132 S132">
    <cfRule type="containsText" dxfId="3296" priority="7497" operator="containsText" text="FALSO">
      <formula>NOT(ISERROR(SEARCH("FALSO",P132)))</formula>
    </cfRule>
  </conditionalFormatting>
  <conditionalFormatting sqref="U132">
    <cfRule type="containsText" dxfId="3295" priority="7496" operator="containsText" text="FALSO">
      <formula>NOT(ISERROR(SEARCH("FALSO",U132)))</formula>
    </cfRule>
  </conditionalFormatting>
  <conditionalFormatting sqref="AT132:XFD132">
    <cfRule type="containsText" dxfId="3294" priority="7494" operator="containsText" text="FALSO">
      <formula>NOT(ISERROR(SEARCH("FALSO",AT132)))</formula>
    </cfRule>
  </conditionalFormatting>
  <conditionalFormatting sqref="Y132:Z132">
    <cfRule type="containsText" dxfId="3293" priority="7495" operator="containsText" text="FALSO">
      <formula>NOT(ISERROR(SEARCH("FALSO",Y132)))</formula>
    </cfRule>
  </conditionalFormatting>
  <conditionalFormatting sqref="W132">
    <cfRule type="containsText" dxfId="3292" priority="7493" operator="containsText" text="FALSO">
      <formula>NOT(ISERROR(SEARCH("FALSO",W132)))</formula>
    </cfRule>
  </conditionalFormatting>
  <conditionalFormatting sqref="A132:C132 I132:L132 F132">
    <cfRule type="containsText" dxfId="3291" priority="7492" operator="containsText" text="FALSO">
      <formula>NOT(ISERROR(SEARCH("FALSO",A132)))</formula>
    </cfRule>
  </conditionalFormatting>
  <conditionalFormatting sqref="G132">
    <cfRule type="containsText" dxfId="3290" priority="7490" operator="containsText" text="FALSO">
      <formula>NOT(ISERROR(SEARCH("FALSO",G132)))</formula>
    </cfRule>
  </conditionalFormatting>
  <conditionalFormatting sqref="G132">
    <cfRule type="duplicateValues" dxfId="3289" priority="7491"/>
  </conditionalFormatting>
  <conditionalFormatting sqref="N128:P128 S128">
    <cfRule type="containsText" dxfId="3288" priority="7353" operator="containsText" text="FALSO">
      <formula>NOT(ISERROR(SEARCH("FALSO",N128)))</formula>
    </cfRule>
  </conditionalFormatting>
  <conditionalFormatting sqref="AK132:AM132 AP132 AS132">
    <cfRule type="containsText" dxfId="3287" priority="7485" operator="containsText" text="FALSO">
      <formula>NOT(ISERROR(SEARCH("FALSO",AK132)))</formula>
    </cfRule>
  </conditionalFormatting>
  <conditionalFormatting sqref="AN132">
    <cfRule type="containsText" dxfId="3286" priority="7484" operator="containsText" text="FALSO">
      <formula>NOT(ISERROR(SEARCH("FALSO",AN132)))</formula>
    </cfRule>
  </conditionalFormatting>
  <conditionalFormatting sqref="AQ132">
    <cfRule type="containsText" dxfId="3285" priority="7483" operator="containsText" text="FALSO">
      <formula>NOT(ISERROR(SEARCH("FALSO",AQ132)))</formula>
    </cfRule>
  </conditionalFormatting>
  <conditionalFormatting sqref="U128">
    <cfRule type="containsText" dxfId="3284" priority="7352" operator="containsText" text="FALSO">
      <formula>NOT(ISERROR(SEARCH("FALSO",U128)))</formula>
    </cfRule>
  </conditionalFormatting>
  <conditionalFormatting sqref="P131 S131">
    <cfRule type="containsText" dxfId="3283" priority="7461" operator="containsText" text="FALSO">
      <formula>NOT(ISERROR(SEARCH("FALSO",P131)))</formula>
    </cfRule>
  </conditionalFormatting>
  <conditionalFormatting sqref="U131">
    <cfRule type="containsText" dxfId="3282" priority="7460" operator="containsText" text="FALSO">
      <formula>NOT(ISERROR(SEARCH("FALSO",U131)))</formula>
    </cfRule>
  </conditionalFormatting>
  <conditionalFormatting sqref="AT131:XFD131">
    <cfRule type="containsText" dxfId="3281" priority="7458" operator="containsText" text="FALSO">
      <formula>NOT(ISERROR(SEARCH("FALSO",AT131)))</formula>
    </cfRule>
  </conditionalFormatting>
  <conditionalFormatting sqref="Y131:Z131">
    <cfRule type="containsText" dxfId="3280" priority="7459" operator="containsText" text="FALSO">
      <formula>NOT(ISERROR(SEARCH("FALSO",Y131)))</formula>
    </cfRule>
  </conditionalFormatting>
  <conditionalFormatting sqref="W131">
    <cfRule type="containsText" dxfId="3279" priority="7457" operator="containsText" text="FALSO">
      <formula>NOT(ISERROR(SEARCH("FALSO",W131)))</formula>
    </cfRule>
  </conditionalFormatting>
  <conditionalFormatting sqref="A131:C131 I131:L131 F131">
    <cfRule type="containsText" dxfId="3278" priority="7456" operator="containsText" text="FALSO">
      <formula>NOT(ISERROR(SEARCH("FALSO",A131)))</formula>
    </cfRule>
  </conditionalFormatting>
  <conditionalFormatting sqref="G131">
    <cfRule type="containsText" dxfId="3277" priority="7454" operator="containsText" text="FALSO">
      <formula>NOT(ISERROR(SEARCH("FALSO",G131)))</formula>
    </cfRule>
  </conditionalFormatting>
  <conditionalFormatting sqref="G131">
    <cfRule type="duplicateValues" dxfId="3276" priority="7455"/>
  </conditionalFormatting>
  <conditionalFormatting sqref="AT126:XFD126">
    <cfRule type="containsText" dxfId="3275" priority="7008" operator="containsText" text="FALSO">
      <formula>NOT(ISERROR(SEARCH("FALSO",AT126)))</formula>
    </cfRule>
  </conditionalFormatting>
  <conditionalFormatting sqref="W126">
    <cfRule type="containsText" dxfId="3274" priority="7007" operator="containsText" text="FALSO">
      <formula>NOT(ISERROR(SEARCH("FALSO",W126)))</formula>
    </cfRule>
  </conditionalFormatting>
  <conditionalFormatting sqref="AR155">
    <cfRule type="containsText" dxfId="3273" priority="7097" operator="containsText" text="FALSO">
      <formula>NOT(ISERROR(SEARCH("FALSO",AR155)))</formula>
    </cfRule>
  </conditionalFormatting>
  <conditionalFormatting sqref="AK131:AM131 AP131 AS131">
    <cfRule type="containsText" dxfId="3272" priority="7449" operator="containsText" text="FALSO">
      <formula>NOT(ISERROR(SEARCH("FALSO",AK131)))</formula>
    </cfRule>
  </conditionalFormatting>
  <conditionalFormatting sqref="AN131">
    <cfRule type="containsText" dxfId="3271" priority="7448" operator="containsText" text="FALSO">
      <formula>NOT(ISERROR(SEARCH("FALSO",AN131)))</formula>
    </cfRule>
  </conditionalFormatting>
  <conditionalFormatting sqref="AQ131">
    <cfRule type="containsText" dxfId="3270" priority="7447" operator="containsText" text="FALSO">
      <formula>NOT(ISERROR(SEARCH("FALSO",AQ131)))</formula>
    </cfRule>
  </conditionalFormatting>
  <conditionalFormatting sqref="A126:C126 H126:I126 F126 K126:L126">
    <cfRule type="containsText" dxfId="3269" priority="7006" operator="containsText" text="FALSO">
      <formula>NOT(ISERROR(SEARCH("FALSO",A126)))</formula>
    </cfRule>
  </conditionalFormatting>
  <conditionalFormatting sqref="W125">
    <cfRule type="containsText" dxfId="3268" priority="6990" operator="containsText" text="FALSO">
      <formula>NOT(ISERROR(SEARCH("FALSO",W125)))</formula>
    </cfRule>
  </conditionalFormatting>
  <conditionalFormatting sqref="A125:C125 H125:I125 F125 K125:L125">
    <cfRule type="containsText" dxfId="3267" priority="6989" operator="containsText" text="FALSO">
      <formula>NOT(ISERROR(SEARCH("FALSO",A125)))</formula>
    </cfRule>
  </conditionalFormatting>
  <conditionalFormatting sqref="P130 S130">
    <cfRule type="containsText" dxfId="3266" priority="7425" operator="containsText" text="FALSO">
      <formula>NOT(ISERROR(SEARCH("FALSO",P130)))</formula>
    </cfRule>
  </conditionalFormatting>
  <conditionalFormatting sqref="AT130:XFD130">
    <cfRule type="containsText" dxfId="3265" priority="7422" operator="containsText" text="FALSO">
      <formula>NOT(ISERROR(SEARCH("FALSO",AT130)))</formula>
    </cfRule>
  </conditionalFormatting>
  <conditionalFormatting sqref="Y130:Z130">
    <cfRule type="containsText" dxfId="3264" priority="7423" operator="containsText" text="FALSO">
      <formula>NOT(ISERROR(SEARCH("FALSO",Y130)))</formula>
    </cfRule>
  </conditionalFormatting>
  <conditionalFormatting sqref="W130">
    <cfRule type="containsText" dxfId="3263" priority="7421" operator="containsText" text="FALSO">
      <formula>NOT(ISERROR(SEARCH("FALSO",W130)))</formula>
    </cfRule>
  </conditionalFormatting>
  <conditionalFormatting sqref="A130:C130 I130:L130 F130">
    <cfRule type="containsText" dxfId="3262" priority="7420" operator="containsText" text="FALSO">
      <formula>NOT(ISERROR(SEARCH("FALSO",A130)))</formula>
    </cfRule>
  </conditionalFormatting>
  <conditionalFormatting sqref="G130">
    <cfRule type="containsText" dxfId="3261" priority="7418" operator="containsText" text="FALSO">
      <formula>NOT(ISERROR(SEARCH("FALSO",G130)))</formula>
    </cfRule>
  </conditionalFormatting>
  <conditionalFormatting sqref="G130">
    <cfRule type="duplicateValues" dxfId="3260" priority="7419"/>
  </conditionalFormatting>
  <conditionalFormatting sqref="A124:C124 H124:L124 F124">
    <cfRule type="containsText" dxfId="3259" priority="6972" operator="containsText" text="FALSO">
      <formula>NOT(ISERROR(SEARCH("FALSO",A124)))</formula>
    </cfRule>
  </conditionalFormatting>
  <conditionalFormatting sqref="AK130:AM130 AP130 AS130">
    <cfRule type="containsText" dxfId="3258" priority="7413" operator="containsText" text="FALSO">
      <formula>NOT(ISERROR(SEARCH("FALSO",AK130)))</formula>
    </cfRule>
  </conditionalFormatting>
  <conditionalFormatting sqref="AN130">
    <cfRule type="containsText" dxfId="3257" priority="7412" operator="containsText" text="FALSO">
      <formula>NOT(ISERROR(SEARCH("FALSO",AN130)))</formula>
    </cfRule>
  </conditionalFormatting>
  <conditionalFormatting sqref="AQ130">
    <cfRule type="containsText" dxfId="3256" priority="7411" operator="containsText" text="FALSO">
      <formula>NOT(ISERROR(SEARCH("FALSO",AQ130)))</formula>
    </cfRule>
  </conditionalFormatting>
  <conditionalFormatting sqref="G123">
    <cfRule type="containsText" dxfId="3255" priority="6953" operator="containsText" text="FALSO">
      <formula>NOT(ISERROR(SEARCH("FALSO",G123)))</formula>
    </cfRule>
  </conditionalFormatting>
  <conditionalFormatting sqref="AT129:XFD129">
    <cfRule type="containsText" dxfId="3254" priority="7386" operator="containsText" text="FALSO">
      <formula>NOT(ISERROR(SEARCH("FALSO",AT129)))</formula>
    </cfRule>
  </conditionalFormatting>
  <conditionalFormatting sqref="Y129:Z129">
    <cfRule type="containsText" dxfId="3253" priority="7387" operator="containsText" text="FALSO">
      <formula>NOT(ISERROR(SEARCH("FALSO",Y129)))</formula>
    </cfRule>
  </conditionalFormatting>
  <conditionalFormatting sqref="W129">
    <cfRule type="containsText" dxfId="3252" priority="7385" operator="containsText" text="FALSO">
      <formula>NOT(ISERROR(SEARCH("FALSO",W129)))</formula>
    </cfRule>
  </conditionalFormatting>
  <conditionalFormatting sqref="A129:C129 I129 F129 K129:L129">
    <cfRule type="containsText" dxfId="3251" priority="7384" operator="containsText" text="FALSO">
      <formula>NOT(ISERROR(SEARCH("FALSO",A129)))</formula>
    </cfRule>
  </conditionalFormatting>
  <conditionalFormatting sqref="G129">
    <cfRule type="containsText" dxfId="3250" priority="7382" operator="containsText" text="FALSO">
      <formula>NOT(ISERROR(SEARCH("FALSO",G129)))</formula>
    </cfRule>
  </conditionalFormatting>
  <conditionalFormatting sqref="G129">
    <cfRule type="duplicateValues" dxfId="3249" priority="7383"/>
  </conditionalFormatting>
  <conditionalFormatting sqref="AR148">
    <cfRule type="containsText" dxfId="3248" priority="7091" operator="containsText" text="FALSO">
      <formula>NOT(ISERROR(SEARCH("FALSO",AR148)))</formula>
    </cfRule>
  </conditionalFormatting>
  <conditionalFormatting sqref="AR146">
    <cfRule type="containsText" dxfId="3247" priority="7090" operator="containsText" text="FALSO">
      <formula>NOT(ISERROR(SEARCH("FALSO",AR146)))</formula>
    </cfRule>
  </conditionalFormatting>
  <conditionalFormatting sqref="AN126">
    <cfRule type="containsText" dxfId="3246" priority="7001" operator="containsText" text="FALSO">
      <formula>NOT(ISERROR(SEARCH("FALSO",AN126)))</formula>
    </cfRule>
  </conditionalFormatting>
  <conditionalFormatting sqref="AK129:AM129 AP129 AS129">
    <cfRule type="containsText" dxfId="3245" priority="7377" operator="containsText" text="FALSO">
      <formula>NOT(ISERROR(SEARCH("FALSO",AK129)))</formula>
    </cfRule>
  </conditionalFormatting>
  <conditionalFormatting sqref="AN129">
    <cfRule type="containsText" dxfId="3244" priority="7376" operator="containsText" text="FALSO">
      <formula>NOT(ISERROR(SEARCH("FALSO",AN129)))</formula>
    </cfRule>
  </conditionalFormatting>
  <conditionalFormatting sqref="AQ129">
    <cfRule type="containsText" dxfId="3243" priority="7375" operator="containsText" text="FALSO">
      <formula>NOT(ISERROR(SEARCH("FALSO",AQ129)))</formula>
    </cfRule>
  </conditionalFormatting>
  <conditionalFormatting sqref="AR133">
    <cfRule type="containsText" dxfId="3242" priority="7073" operator="containsText" text="FALSO">
      <formula>NOT(ISERROR(SEARCH("FALSO",AR133)))</formula>
    </cfRule>
  </conditionalFormatting>
  <conditionalFormatting sqref="AR132">
    <cfRule type="containsText" dxfId="3241" priority="7072" operator="containsText" text="FALSO">
      <formula>NOT(ISERROR(SEARCH("FALSO",AR132)))</formula>
    </cfRule>
  </conditionalFormatting>
  <conditionalFormatting sqref="AQ125">
    <cfRule type="containsText" dxfId="3240" priority="6983" operator="containsText" text="FALSO">
      <formula>NOT(ISERROR(SEARCH("FALSO",AQ125)))</formula>
    </cfRule>
  </conditionalFormatting>
  <conditionalFormatting sqref="AT128:XFD128">
    <cfRule type="containsText" dxfId="3239" priority="7350" operator="containsText" text="FALSO">
      <formula>NOT(ISERROR(SEARCH("FALSO",AT128)))</formula>
    </cfRule>
  </conditionalFormatting>
  <conditionalFormatting sqref="Y128:Z128">
    <cfRule type="containsText" dxfId="3238" priority="7351" operator="containsText" text="FALSO">
      <formula>NOT(ISERROR(SEARCH("FALSO",Y128)))</formula>
    </cfRule>
  </conditionalFormatting>
  <conditionalFormatting sqref="W128">
    <cfRule type="containsText" dxfId="3237" priority="7349" operator="containsText" text="FALSO">
      <formula>NOT(ISERROR(SEARCH("FALSO",W128)))</formula>
    </cfRule>
  </conditionalFormatting>
  <conditionalFormatting sqref="A128:C128 H128:L128 F128">
    <cfRule type="containsText" dxfId="3236" priority="7348" operator="containsText" text="FALSO">
      <formula>NOT(ISERROR(SEARCH("FALSO",A128)))</formula>
    </cfRule>
  </conditionalFormatting>
  <conditionalFormatting sqref="G128">
    <cfRule type="containsText" dxfId="3235" priority="7346" operator="containsText" text="FALSO">
      <formula>NOT(ISERROR(SEARCH("FALSO",G128)))</formula>
    </cfRule>
  </conditionalFormatting>
  <conditionalFormatting sqref="G128">
    <cfRule type="duplicateValues" dxfId="3234" priority="7347"/>
  </conditionalFormatting>
  <conditionalFormatting sqref="AO124">
    <cfRule type="containsText" dxfId="3233" priority="6963" operator="containsText" text="FALSO">
      <formula>NOT(ISERROR(SEARCH("FALSO",AO124)))</formula>
    </cfRule>
  </conditionalFormatting>
  <conditionalFormatting sqref="AK128:AM128 AP128 AS128">
    <cfRule type="containsText" dxfId="3232" priority="7341" operator="containsText" text="FALSO">
      <formula>NOT(ISERROR(SEARCH("FALSO",AK128)))</formula>
    </cfRule>
  </conditionalFormatting>
  <conditionalFormatting sqref="AN128">
    <cfRule type="containsText" dxfId="3231" priority="7340" operator="containsText" text="FALSO">
      <formula>NOT(ISERROR(SEARCH("FALSO",AN128)))</formula>
    </cfRule>
  </conditionalFormatting>
  <conditionalFormatting sqref="AQ128">
    <cfRule type="containsText" dxfId="3230" priority="7339" operator="containsText" text="FALSO">
      <formula>NOT(ISERROR(SEARCH("FALSO",AQ128)))</formula>
    </cfRule>
  </conditionalFormatting>
  <conditionalFormatting sqref="AR127">
    <cfRule type="containsText" dxfId="3229" priority="7013" operator="containsText" text="FALSO">
      <formula>NOT(ISERROR(SEARCH("FALSO",AR127)))</formula>
    </cfRule>
  </conditionalFormatting>
  <conditionalFormatting sqref="P125 S125">
    <cfRule type="containsText" dxfId="3228" priority="6994" operator="containsText" text="FALSO">
      <formula>NOT(ISERROR(SEARCH("FALSO",P125)))</formula>
    </cfRule>
  </conditionalFormatting>
  <conditionalFormatting sqref="U125">
    <cfRule type="containsText" dxfId="3227" priority="6993" operator="containsText" text="FALSO">
      <formula>NOT(ISERROR(SEARCH("FALSO",U125)))</formula>
    </cfRule>
  </conditionalFormatting>
  <conditionalFormatting sqref="Y125:Z125">
    <cfRule type="containsText" dxfId="3226" priority="6992" operator="containsText" text="FALSO">
      <formula>NOT(ISERROR(SEARCH("FALSO",Y125)))</formula>
    </cfRule>
  </conditionalFormatting>
  <conditionalFormatting sqref="AT125:XFD125">
    <cfRule type="containsText" dxfId="3225" priority="6991" operator="containsText" text="FALSO">
      <formula>NOT(ISERROR(SEARCH("FALSO",AT125)))</formula>
    </cfRule>
  </conditionalFormatting>
  <conditionalFormatting sqref="G125">
    <cfRule type="containsText" dxfId="3224" priority="6987" operator="containsText" text="FALSO">
      <formula>NOT(ISERROR(SEARCH("FALSO",G125)))</formula>
    </cfRule>
  </conditionalFormatting>
  <conditionalFormatting sqref="AT116:XFD116">
    <cfRule type="containsText" dxfId="3223" priority="6702" operator="containsText" text="FALSO">
      <formula>NOT(ISERROR(SEARCH("FALSO",AT116)))</formula>
    </cfRule>
  </conditionalFormatting>
  <conditionalFormatting sqref="AK125:AM125 AP125 AS125">
    <cfRule type="containsText" dxfId="3222" priority="6985" operator="containsText" text="FALSO">
      <formula>NOT(ISERROR(SEARCH("FALSO",AK125)))</formula>
    </cfRule>
  </conditionalFormatting>
  <conditionalFormatting sqref="AN125">
    <cfRule type="containsText" dxfId="3221" priority="6984" operator="containsText" text="FALSO">
      <formula>NOT(ISERROR(SEARCH("FALSO",AN125)))</formula>
    </cfRule>
  </conditionalFormatting>
  <conditionalFormatting sqref="AO127">
    <cfRule type="containsText" dxfId="3220" priority="7014" operator="containsText" text="FALSO">
      <formula>NOT(ISERROR(SEARCH("FALSO",AO127)))</formula>
    </cfRule>
  </conditionalFormatting>
  <conditionalFormatting sqref="AQ126">
    <cfRule type="containsText" dxfId="3219" priority="7000" operator="containsText" text="FALSO">
      <formula>NOT(ISERROR(SEARCH("FALSO",AQ126)))</formula>
    </cfRule>
  </conditionalFormatting>
  <conditionalFormatting sqref="AO126">
    <cfRule type="containsText" dxfId="3218" priority="6997" operator="containsText" text="FALSO">
      <formula>NOT(ISERROR(SEARCH("FALSO",AO126)))</formula>
    </cfRule>
  </conditionalFormatting>
  <conditionalFormatting sqref="AK126:AM126 AP126 AS126">
    <cfRule type="containsText" dxfId="3217" priority="7002" operator="containsText" text="FALSO">
      <formula>NOT(ISERROR(SEARCH("FALSO",AK126)))</formula>
    </cfRule>
  </conditionalFormatting>
  <conditionalFormatting sqref="P126 S126">
    <cfRule type="containsText" dxfId="3216" priority="7011" operator="containsText" text="FALSO">
      <formula>NOT(ISERROR(SEARCH("FALSO",P126)))</formula>
    </cfRule>
  </conditionalFormatting>
  <conditionalFormatting sqref="U126">
    <cfRule type="containsText" dxfId="3215" priority="7010" operator="containsText" text="FALSO">
      <formula>NOT(ISERROR(SEARCH("FALSO",U126)))</formula>
    </cfRule>
  </conditionalFormatting>
  <conditionalFormatting sqref="Y126:Z126">
    <cfRule type="containsText" dxfId="3214" priority="7009" operator="containsText" text="FALSO">
      <formula>NOT(ISERROR(SEARCH("FALSO",Y126)))</formula>
    </cfRule>
  </conditionalFormatting>
  <conditionalFormatting sqref="G126">
    <cfRule type="containsText" dxfId="3213" priority="7004" operator="containsText" text="FALSO">
      <formula>NOT(ISERROR(SEARCH("FALSO",G126)))</formula>
    </cfRule>
  </conditionalFormatting>
  <conditionalFormatting sqref="AT117:XFD117">
    <cfRule type="containsText" dxfId="3212" priority="6719" operator="containsText" text="FALSO">
      <formula>NOT(ISERROR(SEARCH("FALSO",AT117)))</formula>
    </cfRule>
  </conditionalFormatting>
  <conditionalFormatting sqref="AR126">
    <cfRule type="containsText" dxfId="3211" priority="6996" operator="containsText" text="FALSO">
      <formula>NOT(ISERROR(SEARCH("FALSO",AR126)))</formula>
    </cfRule>
  </conditionalFormatting>
  <conditionalFormatting sqref="AO125">
    <cfRule type="containsText" dxfId="3210" priority="6980" operator="containsText" text="FALSO">
      <formula>NOT(ISERROR(SEARCH("FALSO",AO125)))</formula>
    </cfRule>
  </conditionalFormatting>
  <conditionalFormatting sqref="AR125">
    <cfRule type="containsText" dxfId="3209" priority="6979" operator="containsText" text="FALSO">
      <formula>NOT(ISERROR(SEARCH("FALSO",AR125)))</formula>
    </cfRule>
  </conditionalFormatting>
  <conditionalFormatting sqref="P124 S124">
    <cfRule type="containsText" dxfId="3208" priority="6977" operator="containsText" text="FALSO">
      <formula>NOT(ISERROR(SEARCH("FALSO",P124)))</formula>
    </cfRule>
  </conditionalFormatting>
  <conditionalFormatting sqref="U124">
    <cfRule type="containsText" dxfId="3207" priority="6976" operator="containsText" text="FALSO">
      <formula>NOT(ISERROR(SEARCH("FALSO",U124)))</formula>
    </cfRule>
  </conditionalFormatting>
  <conditionalFormatting sqref="Y124:Z124">
    <cfRule type="containsText" dxfId="3206" priority="6975" operator="containsText" text="FALSO">
      <formula>NOT(ISERROR(SEARCH("FALSO",Y124)))</formula>
    </cfRule>
  </conditionalFormatting>
  <conditionalFormatting sqref="AT124:XFD124">
    <cfRule type="containsText" dxfId="3205" priority="6974" operator="containsText" text="FALSO">
      <formula>NOT(ISERROR(SEARCH("FALSO",AT124)))</formula>
    </cfRule>
  </conditionalFormatting>
  <conditionalFormatting sqref="W124">
    <cfRule type="containsText" dxfId="3204" priority="6973" operator="containsText" text="FALSO">
      <formula>NOT(ISERROR(SEARCH("FALSO",W124)))</formula>
    </cfRule>
  </conditionalFormatting>
  <conditionalFormatting sqref="AT115:XFD115">
    <cfRule type="containsText" dxfId="3203" priority="6685" operator="containsText" text="FALSO">
      <formula>NOT(ISERROR(SEARCH("FALSO",AT115)))</formula>
    </cfRule>
  </conditionalFormatting>
  <conditionalFormatting sqref="AK124:AM124 AP124 AS124">
    <cfRule type="containsText" dxfId="3202" priority="6968" operator="containsText" text="FALSO">
      <formula>NOT(ISERROR(SEARCH("FALSO",AK124)))</formula>
    </cfRule>
  </conditionalFormatting>
  <conditionalFormatting sqref="AN124">
    <cfRule type="containsText" dxfId="3201" priority="6967" operator="containsText" text="FALSO">
      <formula>NOT(ISERROR(SEARCH("FALSO",AN124)))</formula>
    </cfRule>
  </conditionalFormatting>
  <conditionalFormatting sqref="AQ124">
    <cfRule type="containsText" dxfId="3200" priority="6966" operator="containsText" text="FALSO">
      <formula>NOT(ISERROR(SEARCH("FALSO",AQ124)))</formula>
    </cfRule>
  </conditionalFormatting>
  <conditionalFormatting sqref="AR124">
    <cfRule type="containsText" dxfId="3199" priority="6962" operator="containsText" text="FALSO">
      <formula>NOT(ISERROR(SEARCH("FALSO",AR124)))</formula>
    </cfRule>
  </conditionalFormatting>
  <conditionalFormatting sqref="Y123:Z123">
    <cfRule type="containsText" dxfId="3198" priority="6958" operator="containsText" text="FALSO">
      <formula>NOT(ISERROR(SEARCH("FALSO",Y123)))</formula>
    </cfRule>
  </conditionalFormatting>
  <conditionalFormatting sqref="AT123:XFD123">
    <cfRule type="containsText" dxfId="3197" priority="6957" operator="containsText" text="FALSO">
      <formula>NOT(ISERROR(SEARCH("FALSO",AT123)))</formula>
    </cfRule>
  </conditionalFormatting>
  <conditionalFormatting sqref="A123:C123 H123:L123 F123">
    <cfRule type="containsText" dxfId="3196" priority="6955" operator="containsText" text="FALSO">
      <formula>NOT(ISERROR(SEARCH("FALSO",A123)))</formula>
    </cfRule>
  </conditionalFormatting>
  <conditionalFormatting sqref="AK123:AM123 AP123 AS123">
    <cfRule type="containsText" dxfId="3195" priority="6951" operator="containsText" text="FALSO">
      <formula>NOT(ISERROR(SEARCH("FALSO",AK123)))</formula>
    </cfRule>
  </conditionalFormatting>
  <conditionalFormatting sqref="AQ123">
    <cfRule type="containsText" dxfId="3194" priority="6949" operator="containsText" text="FALSO">
      <formula>NOT(ISERROR(SEARCH("FALSO",AQ123)))</formula>
    </cfRule>
  </conditionalFormatting>
  <conditionalFormatting sqref="AR163">
    <cfRule type="containsText" dxfId="3193" priority="7100" operator="containsText" text="FALSO">
      <formula>NOT(ISERROR(SEARCH("FALSO",AR163)))</formula>
    </cfRule>
  </conditionalFormatting>
  <conditionalFormatting sqref="AR164">
    <cfRule type="containsText" dxfId="3192" priority="7101" operator="containsText" text="FALSO">
      <formula>NOT(ISERROR(SEARCH("FALSO",AR164)))</formula>
    </cfRule>
  </conditionalFormatting>
  <conditionalFormatting sqref="AR137">
    <cfRule type="containsText" dxfId="3191" priority="7082" operator="containsText" text="FALSO">
      <formula>NOT(ISERROR(SEARCH("FALSO",AR137)))</formula>
    </cfRule>
  </conditionalFormatting>
  <conditionalFormatting sqref="AR139">
    <cfRule type="containsText" dxfId="3190" priority="7081" operator="containsText" text="FALSO">
      <formula>NOT(ISERROR(SEARCH("FALSO",AR139)))</formula>
    </cfRule>
  </conditionalFormatting>
  <conditionalFormatting sqref="AR141">
    <cfRule type="containsText" dxfId="3189" priority="7080" operator="containsText" text="FALSO">
      <formula>NOT(ISERROR(SEARCH("FALSO",AR141)))</formula>
    </cfRule>
  </conditionalFormatting>
  <conditionalFormatting sqref="AR143">
    <cfRule type="containsText" dxfId="3188" priority="7079" operator="containsText" text="FALSO">
      <formula>NOT(ISERROR(SEARCH("FALSO",AR143)))</formula>
    </cfRule>
  </conditionalFormatting>
  <conditionalFormatting sqref="AR145">
    <cfRule type="containsText" dxfId="3187" priority="7078" operator="containsText" text="FALSO">
      <formula>NOT(ISERROR(SEARCH("FALSO",AR145)))</formula>
    </cfRule>
  </conditionalFormatting>
  <conditionalFormatting sqref="AR147">
    <cfRule type="containsText" dxfId="3186" priority="7077" operator="containsText" text="FALSO">
      <formula>NOT(ISERROR(SEARCH("FALSO",AR147)))</formula>
    </cfRule>
  </conditionalFormatting>
  <conditionalFormatting sqref="AR149">
    <cfRule type="containsText" dxfId="3185" priority="7076" operator="containsText" text="FALSO">
      <formula>NOT(ISERROR(SEARCH("FALSO",AR149)))</formula>
    </cfRule>
  </conditionalFormatting>
  <conditionalFormatting sqref="AR131">
    <cfRule type="containsText" dxfId="3184" priority="7070" operator="containsText" text="FALSO">
      <formula>NOT(ISERROR(SEARCH("FALSO",AR131)))</formula>
    </cfRule>
  </conditionalFormatting>
  <conditionalFormatting sqref="AR165">
    <cfRule type="containsText" dxfId="3183" priority="7102" operator="containsText" text="FALSO">
      <formula>NOT(ISERROR(SEARCH("FALSO",AR165)))</formula>
    </cfRule>
  </conditionalFormatting>
  <conditionalFormatting sqref="AR142">
    <cfRule type="containsText" dxfId="3182" priority="7088" operator="containsText" text="FALSO">
      <formula>NOT(ISERROR(SEARCH("FALSO",AR142)))</formula>
    </cfRule>
  </conditionalFormatting>
  <conditionalFormatting sqref="AR140">
    <cfRule type="containsText" dxfId="3181" priority="7087" operator="containsText" text="FALSO">
      <formula>NOT(ISERROR(SEARCH("FALSO",AR140)))</formula>
    </cfRule>
  </conditionalFormatting>
  <conditionalFormatting sqref="AR138">
    <cfRule type="containsText" dxfId="3180" priority="7086" operator="containsText" text="FALSO">
      <formula>NOT(ISERROR(SEARCH("FALSO",AR138)))</formula>
    </cfRule>
  </conditionalFormatting>
  <conditionalFormatting sqref="AR136">
    <cfRule type="containsText" dxfId="3179" priority="7085" operator="containsText" text="FALSO">
      <formula>NOT(ISERROR(SEARCH("FALSO",AR136)))</formula>
    </cfRule>
  </conditionalFormatting>
  <conditionalFormatting sqref="AR166">
    <cfRule type="containsText" dxfId="3178" priority="7103" operator="containsText" text="FALSO">
      <formula>NOT(ISERROR(SEARCH("FALSO",AR166)))</formula>
    </cfRule>
  </conditionalFormatting>
  <conditionalFormatting sqref="AR135">
    <cfRule type="containsText" dxfId="3177" priority="7083" operator="containsText" text="FALSO">
      <formula>NOT(ISERROR(SEARCH("FALSO",AR135)))</formula>
    </cfRule>
  </conditionalFormatting>
  <conditionalFormatting sqref="AR162">
    <cfRule type="containsText" dxfId="3176" priority="7099" operator="containsText" text="FALSO">
      <formula>NOT(ISERROR(SEARCH("FALSO",AR162)))</formula>
    </cfRule>
  </conditionalFormatting>
  <conditionalFormatting sqref="AR156">
    <cfRule type="containsText" dxfId="3175" priority="7098" operator="containsText" text="FALSO">
      <formula>NOT(ISERROR(SEARCH("FALSO",AR156)))</formula>
    </cfRule>
  </conditionalFormatting>
  <conditionalFormatting sqref="AR154">
    <cfRule type="containsText" dxfId="3174" priority="7096" operator="containsText" text="FALSO">
      <formula>NOT(ISERROR(SEARCH("FALSO",AR154)))</formula>
    </cfRule>
  </conditionalFormatting>
  <conditionalFormatting sqref="AR153">
    <cfRule type="containsText" dxfId="3173" priority="7095" operator="containsText" text="FALSO">
      <formula>NOT(ISERROR(SEARCH("FALSO",AR153)))</formula>
    </cfRule>
  </conditionalFormatting>
  <conditionalFormatting sqref="AR152">
    <cfRule type="containsText" dxfId="3172" priority="7094" operator="containsText" text="FALSO">
      <formula>NOT(ISERROR(SEARCH("FALSO",AR152)))</formula>
    </cfRule>
  </conditionalFormatting>
  <conditionalFormatting sqref="AR151">
    <cfRule type="containsText" dxfId="3171" priority="7093" operator="containsText" text="FALSO">
      <formula>NOT(ISERROR(SEARCH("FALSO",AR151)))</formula>
    </cfRule>
  </conditionalFormatting>
  <conditionalFormatting sqref="AR150">
    <cfRule type="containsText" dxfId="3170" priority="7092" operator="containsText" text="FALSO">
      <formula>NOT(ISERROR(SEARCH("FALSO",AR150)))</formula>
    </cfRule>
  </conditionalFormatting>
  <conditionalFormatting sqref="AR134">
    <cfRule type="containsText" dxfId="3169" priority="7084" operator="containsText" text="FALSO">
      <formula>NOT(ISERROR(SEARCH("FALSO",AR134)))</formula>
    </cfRule>
  </conditionalFormatting>
  <conditionalFormatting sqref="AR130">
    <cfRule type="containsText" dxfId="3168" priority="7068" operator="containsText" text="FALSO">
      <formula>NOT(ISERROR(SEARCH("FALSO",AR130)))</formula>
    </cfRule>
  </conditionalFormatting>
  <conditionalFormatting sqref="AR129">
    <cfRule type="containsText" dxfId="3167" priority="7066" operator="containsText" text="FALSO">
      <formula>NOT(ISERROR(SEARCH("FALSO",AR129)))</formula>
    </cfRule>
  </conditionalFormatting>
  <conditionalFormatting sqref="AR128">
    <cfRule type="containsText" dxfId="3166" priority="7064" operator="containsText" text="FALSO">
      <formula>NOT(ISERROR(SEARCH("FALSO",AR128)))</formula>
    </cfRule>
  </conditionalFormatting>
  <conditionalFormatting sqref="AO189 AO157:AO161">
    <cfRule type="containsText" dxfId="3165" priority="7191" operator="containsText" text="FALSO">
      <formula>NOT(ISERROR(SEARCH("FALSO",AO157)))</formula>
    </cfRule>
  </conditionalFormatting>
  <conditionalFormatting sqref="AO190">
    <cfRule type="containsText" dxfId="3164" priority="7190" operator="containsText" text="FALSO">
      <formula>NOT(ISERROR(SEARCH("FALSO",AO190)))</formula>
    </cfRule>
  </conditionalFormatting>
  <conditionalFormatting sqref="AO162">
    <cfRule type="containsText" dxfId="3163" priority="7163" operator="containsText" text="FALSO">
      <formula>NOT(ISERROR(SEARCH("FALSO",AO162)))</formula>
    </cfRule>
  </conditionalFormatting>
  <conditionalFormatting sqref="AO177">
    <cfRule type="containsText" dxfId="3162" priority="7178" operator="containsText" text="FALSO">
      <formula>NOT(ISERROR(SEARCH("FALSO",AO177)))</formula>
    </cfRule>
  </conditionalFormatting>
  <conditionalFormatting sqref="AO176">
    <cfRule type="containsText" dxfId="3161" priority="7177" operator="containsText" text="FALSO">
      <formula>NOT(ISERROR(SEARCH("FALSO",AO176)))</formula>
    </cfRule>
  </conditionalFormatting>
  <conditionalFormatting sqref="AO175">
    <cfRule type="containsText" dxfId="3160" priority="7176" operator="containsText" text="FALSO">
      <formula>NOT(ISERROR(SEARCH("FALSO",AO175)))</formula>
    </cfRule>
  </conditionalFormatting>
  <conditionalFormatting sqref="AO174">
    <cfRule type="containsText" dxfId="3159" priority="7175" operator="containsText" text="FALSO">
      <formula>NOT(ISERROR(SEARCH("FALSO",AO174)))</formula>
    </cfRule>
  </conditionalFormatting>
  <conditionalFormatting sqref="AO173">
    <cfRule type="containsText" dxfId="3158" priority="7174" operator="containsText" text="FALSO">
      <formula>NOT(ISERROR(SEARCH("FALSO",AO173)))</formula>
    </cfRule>
  </conditionalFormatting>
  <conditionalFormatting sqref="AO170">
    <cfRule type="containsText" dxfId="3157" priority="7171" operator="containsText" text="FALSO">
      <formula>NOT(ISERROR(SEARCH("FALSO",AO170)))</formula>
    </cfRule>
  </conditionalFormatting>
  <conditionalFormatting sqref="AO169">
    <cfRule type="containsText" dxfId="3156" priority="7170" operator="containsText" text="FALSO">
      <formula>NOT(ISERROR(SEARCH("FALSO",AO169)))</formula>
    </cfRule>
  </conditionalFormatting>
  <conditionalFormatting sqref="AO188">
    <cfRule type="containsText" dxfId="3155" priority="7189" operator="containsText" text="FALSO">
      <formula>NOT(ISERROR(SEARCH("FALSO",AO188)))</formula>
    </cfRule>
  </conditionalFormatting>
  <conditionalFormatting sqref="AO187">
    <cfRule type="containsText" dxfId="3154" priority="7188" operator="containsText" text="FALSO">
      <formula>NOT(ISERROR(SEARCH("FALSO",AO187)))</formula>
    </cfRule>
  </conditionalFormatting>
  <conditionalFormatting sqref="AO186">
    <cfRule type="containsText" dxfId="3153" priority="7187" operator="containsText" text="FALSO">
      <formula>NOT(ISERROR(SEARCH("FALSO",AO186)))</formula>
    </cfRule>
  </conditionalFormatting>
  <conditionalFormatting sqref="AO185">
    <cfRule type="containsText" dxfId="3152" priority="7186" operator="containsText" text="FALSO">
      <formula>NOT(ISERROR(SEARCH("FALSO",AO185)))</formula>
    </cfRule>
  </conditionalFormatting>
  <conditionalFormatting sqref="AO184">
    <cfRule type="containsText" dxfId="3151" priority="7185" operator="containsText" text="FALSO">
      <formula>NOT(ISERROR(SEARCH("FALSO",AO184)))</formula>
    </cfRule>
  </conditionalFormatting>
  <conditionalFormatting sqref="AO183">
    <cfRule type="containsText" dxfId="3150" priority="7184" operator="containsText" text="FALSO">
      <formula>NOT(ISERROR(SEARCH("FALSO",AO183)))</formula>
    </cfRule>
  </conditionalFormatting>
  <conditionalFormatting sqref="AO182">
    <cfRule type="containsText" dxfId="3149" priority="7183" operator="containsText" text="FALSO">
      <formula>NOT(ISERROR(SEARCH("FALSO",AO182)))</formula>
    </cfRule>
  </conditionalFormatting>
  <conditionalFormatting sqref="AO181">
    <cfRule type="containsText" dxfId="3148" priority="7182" operator="containsText" text="FALSO">
      <formula>NOT(ISERROR(SEARCH("FALSO",AO181)))</formula>
    </cfRule>
  </conditionalFormatting>
  <conditionalFormatting sqref="AO180">
    <cfRule type="containsText" dxfId="3147" priority="7181" operator="containsText" text="FALSO">
      <formula>NOT(ISERROR(SEARCH("FALSO",AO180)))</formula>
    </cfRule>
  </conditionalFormatting>
  <conditionalFormatting sqref="AO179">
    <cfRule type="containsText" dxfId="3146" priority="7180" operator="containsText" text="FALSO">
      <formula>NOT(ISERROR(SEARCH("FALSO",AO179)))</formula>
    </cfRule>
  </conditionalFormatting>
  <conditionalFormatting sqref="AO178">
    <cfRule type="containsText" dxfId="3145" priority="7179" operator="containsText" text="FALSO">
      <formula>NOT(ISERROR(SEARCH("FALSO",AO178)))</formula>
    </cfRule>
  </conditionalFormatting>
  <conditionalFormatting sqref="AO172">
    <cfRule type="containsText" dxfId="3144" priority="7173" operator="containsText" text="FALSO">
      <formula>NOT(ISERROR(SEARCH("FALSO",AO172)))</formula>
    </cfRule>
  </conditionalFormatting>
  <conditionalFormatting sqref="AO171">
    <cfRule type="containsText" dxfId="3143" priority="7172" operator="containsText" text="FALSO">
      <formula>NOT(ISERROR(SEARCH("FALSO",AO171)))</formula>
    </cfRule>
  </conditionalFormatting>
  <conditionalFormatting sqref="AO167">
    <cfRule type="containsText" dxfId="3142" priority="7168" operator="containsText" text="FALSO">
      <formula>NOT(ISERROR(SEARCH("FALSO",AO167)))</formula>
    </cfRule>
  </conditionalFormatting>
  <conditionalFormatting sqref="AO166">
    <cfRule type="containsText" dxfId="3141" priority="7167" operator="containsText" text="FALSO">
      <formula>NOT(ISERROR(SEARCH("FALSO",AO166)))</formula>
    </cfRule>
  </conditionalFormatting>
  <conditionalFormatting sqref="AO165">
    <cfRule type="containsText" dxfId="3140" priority="7166" operator="containsText" text="FALSO">
      <formula>NOT(ISERROR(SEARCH("FALSO",AO165)))</formula>
    </cfRule>
  </conditionalFormatting>
  <conditionalFormatting sqref="AO164">
    <cfRule type="containsText" dxfId="3139" priority="7165" operator="containsText" text="FALSO">
      <formula>NOT(ISERROR(SEARCH("FALSO",AO164)))</formula>
    </cfRule>
  </conditionalFormatting>
  <conditionalFormatting sqref="AO163">
    <cfRule type="containsText" dxfId="3138" priority="7164" operator="containsText" text="FALSO">
      <formula>NOT(ISERROR(SEARCH("FALSO",AO163)))</formula>
    </cfRule>
  </conditionalFormatting>
  <conditionalFormatting sqref="AO156">
    <cfRule type="containsText" dxfId="3137" priority="7162" operator="containsText" text="FALSO">
      <formula>NOT(ISERROR(SEARCH("FALSO",AO156)))</formula>
    </cfRule>
  </conditionalFormatting>
  <conditionalFormatting sqref="AO155">
    <cfRule type="containsText" dxfId="3136" priority="7161" operator="containsText" text="FALSO">
      <formula>NOT(ISERROR(SEARCH("FALSO",AO155)))</formula>
    </cfRule>
  </conditionalFormatting>
  <conditionalFormatting sqref="AO154">
    <cfRule type="containsText" dxfId="3135" priority="7160" operator="containsText" text="FALSO">
      <formula>NOT(ISERROR(SEARCH("FALSO",AO154)))</formula>
    </cfRule>
  </conditionalFormatting>
  <conditionalFormatting sqref="AO152">
    <cfRule type="containsText" dxfId="3134" priority="7158" operator="containsText" text="FALSO">
      <formula>NOT(ISERROR(SEARCH("FALSO",AO152)))</formula>
    </cfRule>
  </conditionalFormatting>
  <conditionalFormatting sqref="AO153">
    <cfRule type="containsText" dxfId="3133" priority="7159" operator="containsText" text="FALSO">
      <formula>NOT(ISERROR(SEARCH("FALSO",AO153)))</formula>
    </cfRule>
  </conditionalFormatting>
  <conditionalFormatting sqref="AO151">
    <cfRule type="containsText" dxfId="3132" priority="7157" operator="containsText" text="FALSO">
      <formula>NOT(ISERROR(SEARCH("FALSO",AO151)))</formula>
    </cfRule>
  </conditionalFormatting>
  <conditionalFormatting sqref="AO148">
    <cfRule type="containsText" dxfId="3131" priority="7155" operator="containsText" text="FALSO">
      <formula>NOT(ISERROR(SEARCH("FALSO",AO148)))</formula>
    </cfRule>
  </conditionalFormatting>
  <conditionalFormatting sqref="AO150">
    <cfRule type="containsText" dxfId="3130" priority="7156" operator="containsText" text="FALSO">
      <formula>NOT(ISERROR(SEARCH("FALSO",AO150)))</formula>
    </cfRule>
  </conditionalFormatting>
  <conditionalFormatting sqref="AO144">
    <cfRule type="containsText" dxfId="3129" priority="7153" operator="containsText" text="FALSO">
      <formula>NOT(ISERROR(SEARCH("FALSO",AO144)))</formula>
    </cfRule>
  </conditionalFormatting>
  <conditionalFormatting sqref="AO146">
    <cfRule type="containsText" dxfId="3128" priority="7154" operator="containsText" text="FALSO">
      <formula>NOT(ISERROR(SEARCH("FALSO",AO146)))</formula>
    </cfRule>
  </conditionalFormatting>
  <conditionalFormatting sqref="AO140">
    <cfRule type="containsText" dxfId="3127" priority="7151" operator="containsText" text="FALSO">
      <formula>NOT(ISERROR(SEARCH("FALSO",AO140)))</formula>
    </cfRule>
  </conditionalFormatting>
  <conditionalFormatting sqref="AO142">
    <cfRule type="containsText" dxfId="3126" priority="7152" operator="containsText" text="FALSO">
      <formula>NOT(ISERROR(SEARCH("FALSO",AO142)))</formula>
    </cfRule>
  </conditionalFormatting>
  <conditionalFormatting sqref="AO138">
    <cfRule type="containsText" dxfId="3125" priority="7150" operator="containsText" text="FALSO">
      <formula>NOT(ISERROR(SEARCH("FALSO",AO138)))</formula>
    </cfRule>
  </conditionalFormatting>
  <conditionalFormatting sqref="AO136">
    <cfRule type="containsText" dxfId="3124" priority="7149" operator="containsText" text="FALSO">
      <formula>NOT(ISERROR(SEARCH("FALSO",AO136)))</formula>
    </cfRule>
  </conditionalFormatting>
  <conditionalFormatting sqref="AO134">
    <cfRule type="containsText" dxfId="3123" priority="7148" operator="containsText" text="FALSO">
      <formula>NOT(ISERROR(SEARCH("FALSO",AO134)))</formula>
    </cfRule>
  </conditionalFormatting>
  <conditionalFormatting sqref="AO141">
    <cfRule type="containsText" dxfId="3122" priority="7144" operator="containsText" text="FALSO">
      <formula>NOT(ISERROR(SEARCH("FALSO",AO141)))</formula>
    </cfRule>
  </conditionalFormatting>
  <conditionalFormatting sqref="AO135">
    <cfRule type="containsText" dxfId="3121" priority="7147" operator="containsText" text="FALSO">
      <formula>NOT(ISERROR(SEARCH("FALSO",AO135)))</formula>
    </cfRule>
  </conditionalFormatting>
  <conditionalFormatting sqref="AO137">
    <cfRule type="containsText" dxfId="3120" priority="7146" operator="containsText" text="FALSO">
      <formula>NOT(ISERROR(SEARCH("FALSO",AO137)))</formula>
    </cfRule>
  </conditionalFormatting>
  <conditionalFormatting sqref="AO139">
    <cfRule type="containsText" dxfId="3119" priority="7145" operator="containsText" text="FALSO">
      <formula>NOT(ISERROR(SEARCH("FALSO",AO139)))</formula>
    </cfRule>
  </conditionalFormatting>
  <conditionalFormatting sqref="AO143">
    <cfRule type="containsText" dxfId="3118" priority="7143" operator="containsText" text="FALSO">
      <formula>NOT(ISERROR(SEARCH("FALSO",AO143)))</formula>
    </cfRule>
  </conditionalFormatting>
  <conditionalFormatting sqref="AO145">
    <cfRule type="containsText" dxfId="3117" priority="7142" operator="containsText" text="FALSO">
      <formula>NOT(ISERROR(SEARCH("FALSO",AO145)))</formula>
    </cfRule>
  </conditionalFormatting>
  <conditionalFormatting sqref="AO147">
    <cfRule type="containsText" dxfId="3116" priority="7141" operator="containsText" text="FALSO">
      <formula>NOT(ISERROR(SEARCH("FALSO",AO147)))</formula>
    </cfRule>
  </conditionalFormatting>
  <conditionalFormatting sqref="AO149">
    <cfRule type="containsText" dxfId="3115" priority="7140" operator="containsText" text="FALSO">
      <formula>NOT(ISERROR(SEARCH("FALSO",AO149)))</formula>
    </cfRule>
  </conditionalFormatting>
  <conditionalFormatting sqref="AO133">
    <cfRule type="containsText" dxfId="3114" priority="7137" operator="containsText" text="FALSO">
      <formula>NOT(ISERROR(SEARCH("FALSO",AO133)))</formula>
    </cfRule>
  </conditionalFormatting>
  <conditionalFormatting sqref="AO132">
    <cfRule type="containsText" dxfId="3113" priority="7136" operator="containsText" text="FALSO">
      <formula>NOT(ISERROR(SEARCH("FALSO",AO132)))</formula>
    </cfRule>
  </conditionalFormatting>
  <conditionalFormatting sqref="AO131">
    <cfRule type="containsText" dxfId="3112" priority="7134" operator="containsText" text="FALSO">
      <formula>NOT(ISERROR(SEARCH("FALSO",AO131)))</formula>
    </cfRule>
  </conditionalFormatting>
  <conditionalFormatting sqref="AO130">
    <cfRule type="containsText" dxfId="3111" priority="7132" operator="containsText" text="FALSO">
      <formula>NOT(ISERROR(SEARCH("FALSO",AO130)))</formula>
    </cfRule>
  </conditionalFormatting>
  <conditionalFormatting sqref="AO129">
    <cfRule type="containsText" dxfId="3110" priority="7130" operator="containsText" text="FALSO">
      <formula>NOT(ISERROR(SEARCH("FALSO",AO129)))</formula>
    </cfRule>
  </conditionalFormatting>
  <conditionalFormatting sqref="AO128">
    <cfRule type="containsText" dxfId="3109" priority="7128" operator="containsText" text="FALSO">
      <formula>NOT(ISERROR(SEARCH("FALSO",AO128)))</formula>
    </cfRule>
  </conditionalFormatting>
  <conditionalFormatting sqref="AR189 AR157:AR161">
    <cfRule type="containsText" dxfId="3108" priority="7127" operator="containsText" text="FALSO">
      <formula>NOT(ISERROR(SEARCH("FALSO",AR157)))</formula>
    </cfRule>
  </conditionalFormatting>
  <conditionalFormatting sqref="AR190">
    <cfRule type="containsText" dxfId="3107" priority="7126" operator="containsText" text="FALSO">
      <formula>NOT(ISERROR(SEARCH("FALSO",AR190)))</formula>
    </cfRule>
  </conditionalFormatting>
  <conditionalFormatting sqref="AR177">
    <cfRule type="containsText" dxfId="3106" priority="7114" operator="containsText" text="FALSO">
      <formula>NOT(ISERROR(SEARCH("FALSO",AR177)))</formula>
    </cfRule>
  </conditionalFormatting>
  <conditionalFormatting sqref="AR176">
    <cfRule type="containsText" dxfId="3105" priority="7113" operator="containsText" text="FALSO">
      <formula>NOT(ISERROR(SEARCH("FALSO",AR176)))</formula>
    </cfRule>
  </conditionalFormatting>
  <conditionalFormatting sqref="AR175">
    <cfRule type="containsText" dxfId="3104" priority="7112" operator="containsText" text="FALSO">
      <formula>NOT(ISERROR(SEARCH("FALSO",AR175)))</formula>
    </cfRule>
  </conditionalFormatting>
  <conditionalFormatting sqref="AR174">
    <cfRule type="containsText" dxfId="3103" priority="7111" operator="containsText" text="FALSO">
      <formula>NOT(ISERROR(SEARCH("FALSO",AR174)))</formula>
    </cfRule>
  </conditionalFormatting>
  <conditionalFormatting sqref="AR173">
    <cfRule type="containsText" dxfId="3102" priority="7110" operator="containsText" text="FALSO">
      <formula>NOT(ISERROR(SEARCH("FALSO",AR173)))</formula>
    </cfRule>
  </conditionalFormatting>
  <conditionalFormatting sqref="AR170">
    <cfRule type="containsText" dxfId="3101" priority="7107" operator="containsText" text="FALSO">
      <formula>NOT(ISERROR(SEARCH("FALSO",AR170)))</formula>
    </cfRule>
  </conditionalFormatting>
  <conditionalFormatting sqref="AR169">
    <cfRule type="containsText" dxfId="3100" priority="7106" operator="containsText" text="FALSO">
      <formula>NOT(ISERROR(SEARCH("FALSO",AR169)))</formula>
    </cfRule>
  </conditionalFormatting>
  <conditionalFormatting sqref="AR168">
    <cfRule type="containsText" dxfId="3099" priority="7105" operator="containsText" text="FALSO">
      <formula>NOT(ISERROR(SEARCH("FALSO",AR168)))</formula>
    </cfRule>
  </conditionalFormatting>
  <conditionalFormatting sqref="AR188">
    <cfRule type="containsText" dxfId="3098" priority="7125" operator="containsText" text="FALSO">
      <formula>NOT(ISERROR(SEARCH("FALSO",AR188)))</formula>
    </cfRule>
  </conditionalFormatting>
  <conditionalFormatting sqref="AR187">
    <cfRule type="containsText" dxfId="3097" priority="7124" operator="containsText" text="FALSO">
      <formula>NOT(ISERROR(SEARCH("FALSO",AR187)))</formula>
    </cfRule>
  </conditionalFormatting>
  <conditionalFormatting sqref="AR186">
    <cfRule type="containsText" dxfId="3096" priority="7123" operator="containsText" text="FALSO">
      <formula>NOT(ISERROR(SEARCH("FALSO",AR186)))</formula>
    </cfRule>
  </conditionalFormatting>
  <conditionalFormatting sqref="AR185">
    <cfRule type="containsText" dxfId="3095" priority="7122" operator="containsText" text="FALSO">
      <formula>NOT(ISERROR(SEARCH("FALSO",AR185)))</formula>
    </cfRule>
  </conditionalFormatting>
  <conditionalFormatting sqref="AR184">
    <cfRule type="containsText" dxfId="3094" priority="7121" operator="containsText" text="FALSO">
      <formula>NOT(ISERROR(SEARCH("FALSO",AR184)))</formula>
    </cfRule>
  </conditionalFormatting>
  <conditionalFormatting sqref="AR183">
    <cfRule type="containsText" dxfId="3093" priority="7120" operator="containsText" text="FALSO">
      <formula>NOT(ISERROR(SEARCH("FALSO",AR183)))</formula>
    </cfRule>
  </conditionalFormatting>
  <conditionalFormatting sqref="AR182">
    <cfRule type="containsText" dxfId="3092" priority="7119" operator="containsText" text="FALSO">
      <formula>NOT(ISERROR(SEARCH("FALSO",AR182)))</formula>
    </cfRule>
  </conditionalFormatting>
  <conditionalFormatting sqref="AR181">
    <cfRule type="containsText" dxfId="3091" priority="7118" operator="containsText" text="FALSO">
      <formula>NOT(ISERROR(SEARCH("FALSO",AR181)))</formula>
    </cfRule>
  </conditionalFormatting>
  <conditionalFormatting sqref="AR180">
    <cfRule type="containsText" dxfId="3090" priority="7117" operator="containsText" text="FALSO">
      <formula>NOT(ISERROR(SEARCH("FALSO",AR180)))</formula>
    </cfRule>
  </conditionalFormatting>
  <conditionalFormatting sqref="AR179">
    <cfRule type="containsText" dxfId="3089" priority="7116" operator="containsText" text="FALSO">
      <formula>NOT(ISERROR(SEARCH("FALSO",AR179)))</formula>
    </cfRule>
  </conditionalFormatting>
  <conditionalFormatting sqref="AR178">
    <cfRule type="containsText" dxfId="3088" priority="7115" operator="containsText" text="FALSO">
      <formula>NOT(ISERROR(SEARCH("FALSO",AR178)))</formula>
    </cfRule>
  </conditionalFormatting>
  <conditionalFormatting sqref="AR172">
    <cfRule type="containsText" dxfId="3087" priority="7109" operator="containsText" text="FALSO">
      <formula>NOT(ISERROR(SEARCH("FALSO",AR172)))</formula>
    </cfRule>
  </conditionalFormatting>
  <conditionalFormatting sqref="AR171">
    <cfRule type="containsText" dxfId="3086" priority="7108" operator="containsText" text="FALSO">
      <formula>NOT(ISERROR(SEARCH("FALSO",AR171)))</formula>
    </cfRule>
  </conditionalFormatting>
  <conditionalFormatting sqref="AR167">
    <cfRule type="containsText" dxfId="3085" priority="7104" operator="containsText" text="FALSO">
      <formula>NOT(ISERROR(SEARCH("FALSO",AR167)))</formula>
    </cfRule>
  </conditionalFormatting>
  <conditionalFormatting sqref="G492:G619 G634:G862 G624:G632 G621:G622">
    <cfRule type="duplicateValues" dxfId="3084" priority="34966"/>
  </conditionalFormatting>
  <conditionalFormatting sqref="AT1134:XFD1134">
    <cfRule type="containsText" dxfId="3083" priority="7042" operator="containsText" text="FALSO">
      <formula>NOT(ISERROR(SEARCH("FALSO",AT1134)))</formula>
    </cfRule>
  </conditionalFormatting>
  <conditionalFormatting sqref="A1134:C1134 H1134:L1134 F1134">
    <cfRule type="containsText" dxfId="3082" priority="7040" operator="containsText" text="FALSO">
      <formula>NOT(ISERROR(SEARCH("FALSO",A1134)))</formula>
    </cfRule>
  </conditionalFormatting>
  <conditionalFormatting sqref="G1134">
    <cfRule type="containsText" dxfId="3081" priority="7038" operator="containsText" text="FALSO">
      <formula>NOT(ISERROR(SEARCH("FALSO",G1134)))</formula>
    </cfRule>
  </conditionalFormatting>
  <conditionalFormatting sqref="G1134">
    <cfRule type="duplicateValues" dxfId="3080" priority="7039"/>
  </conditionalFormatting>
  <conditionalFormatting sqref="P127 S127">
    <cfRule type="containsText" dxfId="3079" priority="7028" operator="containsText" text="FALSO">
      <formula>NOT(ISERROR(SEARCH("FALSO",P127)))</formula>
    </cfRule>
  </conditionalFormatting>
  <conditionalFormatting sqref="U127">
    <cfRule type="containsText" dxfId="3078" priority="7027" operator="containsText" text="FALSO">
      <formula>NOT(ISERROR(SEARCH("FALSO",U127)))</formula>
    </cfRule>
  </conditionalFormatting>
  <conditionalFormatting sqref="AT118:XFD118">
    <cfRule type="containsText" dxfId="3077" priority="6736" operator="containsText" text="FALSO">
      <formula>NOT(ISERROR(SEARCH("FALSO",AT118)))</formula>
    </cfRule>
  </conditionalFormatting>
  <conditionalFormatting sqref="AT127:XFD127">
    <cfRule type="containsText" dxfId="3076" priority="7025" operator="containsText" text="FALSO">
      <formula>NOT(ISERROR(SEARCH("FALSO",AT127)))</formula>
    </cfRule>
  </conditionalFormatting>
  <conditionalFormatting sqref="Y127:Z127">
    <cfRule type="containsText" dxfId="3075" priority="7026" operator="containsText" text="FALSO">
      <formula>NOT(ISERROR(SEARCH("FALSO",Y127)))</formula>
    </cfRule>
  </conditionalFormatting>
  <conditionalFormatting sqref="W127">
    <cfRule type="containsText" dxfId="3074" priority="7024" operator="containsText" text="FALSO">
      <formula>NOT(ISERROR(SEARCH("FALSO",W127)))</formula>
    </cfRule>
  </conditionalFormatting>
  <conditionalFormatting sqref="A127:C127 H127:L127 F127">
    <cfRule type="containsText" dxfId="3073" priority="7023" operator="containsText" text="FALSO">
      <formula>NOT(ISERROR(SEARCH("FALSO",A127)))</formula>
    </cfRule>
  </conditionalFormatting>
  <conditionalFormatting sqref="G127">
    <cfRule type="containsText" dxfId="3072" priority="7021" operator="containsText" text="FALSO">
      <formula>NOT(ISERROR(SEARCH("FALSO",G127)))</formula>
    </cfRule>
  </conditionalFormatting>
  <conditionalFormatting sqref="G127">
    <cfRule type="duplicateValues" dxfId="3071" priority="7022"/>
  </conditionalFormatting>
  <conditionalFormatting sqref="AK127:AM127 AP127 AS127">
    <cfRule type="containsText" dxfId="3070" priority="7019" operator="containsText" text="FALSO">
      <formula>NOT(ISERROR(SEARCH("FALSO",AK127)))</formula>
    </cfRule>
  </conditionalFormatting>
  <conditionalFormatting sqref="AN127">
    <cfRule type="containsText" dxfId="3069" priority="7018" operator="containsText" text="FALSO">
      <formula>NOT(ISERROR(SEARCH("FALSO",AN127)))</formula>
    </cfRule>
  </conditionalFormatting>
  <conditionalFormatting sqref="AQ127">
    <cfRule type="containsText" dxfId="3068" priority="7017" operator="containsText" text="FALSO">
      <formula>NOT(ISERROR(SEARCH("FALSO",AQ127)))</formula>
    </cfRule>
  </conditionalFormatting>
  <conditionalFormatting sqref="AR110">
    <cfRule type="containsText" dxfId="3067" priority="6860" operator="containsText" text="FALSO">
      <formula>NOT(ISERROR(SEARCH("FALSO",AR110)))</formula>
    </cfRule>
  </conditionalFormatting>
  <conditionalFormatting sqref="G126">
    <cfRule type="duplicateValues" dxfId="3066" priority="7005"/>
  </conditionalFormatting>
  <conditionalFormatting sqref="AR109">
    <cfRule type="containsText" dxfId="3065" priority="6843" operator="containsText" text="FALSO">
      <formula>NOT(ISERROR(SEARCH("FALSO",AR109)))</formula>
    </cfRule>
  </conditionalFormatting>
  <conditionalFormatting sqref="G125">
    <cfRule type="duplicateValues" dxfId="3064" priority="6988"/>
  </conditionalFormatting>
  <conditionalFormatting sqref="AR108">
    <cfRule type="containsText" dxfId="3063" priority="6826" operator="containsText" text="FALSO">
      <formula>NOT(ISERROR(SEARCH("FALSO",AR108)))</formula>
    </cfRule>
  </conditionalFormatting>
  <conditionalFormatting sqref="G124">
    <cfRule type="duplicateValues" dxfId="3062" priority="6971"/>
  </conditionalFormatting>
  <conditionalFormatting sqref="AR107">
    <cfRule type="containsText" dxfId="3061" priority="6809" operator="containsText" text="FALSO">
      <formula>NOT(ISERROR(SEARCH("FALSO",AR107)))</formula>
    </cfRule>
  </conditionalFormatting>
  <conditionalFormatting sqref="P123 S123">
    <cfRule type="containsText" dxfId="3060" priority="6960" operator="containsText" text="FALSO">
      <formula>NOT(ISERROR(SEARCH("FALSO",P123)))</formula>
    </cfRule>
  </conditionalFormatting>
  <conditionalFormatting sqref="U123">
    <cfRule type="containsText" dxfId="3059" priority="6959" operator="containsText" text="FALSO">
      <formula>NOT(ISERROR(SEARCH("FALSO",U123)))</formula>
    </cfRule>
  </conditionalFormatting>
  <conditionalFormatting sqref="AT114:XFD114">
    <cfRule type="containsText" dxfId="3058" priority="6668" operator="containsText" text="FALSO">
      <formula>NOT(ISERROR(SEARCH("FALSO",AT114)))</formula>
    </cfRule>
  </conditionalFormatting>
  <conditionalFormatting sqref="W123">
    <cfRule type="containsText" dxfId="3057" priority="6956" operator="containsText" text="FALSO">
      <formula>NOT(ISERROR(SEARCH("FALSO",W123)))</formula>
    </cfRule>
  </conditionalFormatting>
  <conditionalFormatting sqref="G123">
    <cfRule type="duplicateValues" dxfId="3056" priority="6954"/>
  </conditionalFormatting>
  <conditionalFormatting sqref="AN123">
    <cfRule type="containsText" dxfId="3055" priority="6950" operator="containsText" text="FALSO">
      <formula>NOT(ISERROR(SEARCH("FALSO",AN123)))</formula>
    </cfRule>
  </conditionalFormatting>
  <conditionalFormatting sqref="AR106">
    <cfRule type="containsText" dxfId="3054" priority="6792" operator="containsText" text="FALSO">
      <formula>NOT(ISERROR(SEARCH("FALSO",AR106)))</formula>
    </cfRule>
  </conditionalFormatting>
  <conditionalFormatting sqref="AO863">
    <cfRule type="containsText" dxfId="3053" priority="6638" operator="containsText" text="FALSO">
      <formula>NOT(ISERROR(SEARCH("FALSO",AO863)))</formula>
    </cfRule>
  </conditionalFormatting>
  <conditionalFormatting sqref="AO123">
    <cfRule type="containsText" dxfId="3052" priority="6946" operator="containsText" text="FALSO">
      <formula>NOT(ISERROR(SEARCH("FALSO",AO123)))</formula>
    </cfRule>
  </conditionalFormatting>
  <conditionalFormatting sqref="AR123">
    <cfRule type="containsText" dxfId="3051" priority="6945" operator="containsText" text="FALSO">
      <formula>NOT(ISERROR(SEARCH("FALSO",AR123)))</formula>
    </cfRule>
  </conditionalFormatting>
  <conditionalFormatting sqref="P122 S122">
    <cfRule type="containsText" dxfId="3050" priority="6943" operator="containsText" text="FALSO">
      <formula>NOT(ISERROR(SEARCH("FALSO",P122)))</formula>
    </cfRule>
  </conditionalFormatting>
  <conditionalFormatting sqref="U122">
    <cfRule type="containsText" dxfId="3049" priority="6942" operator="containsText" text="FALSO">
      <formula>NOT(ISERROR(SEARCH("FALSO",U122)))</formula>
    </cfRule>
  </conditionalFormatting>
  <conditionalFormatting sqref="W863">
    <cfRule type="containsText" dxfId="3048" priority="6651" operator="containsText" text="FALSO">
      <formula>NOT(ISERROR(SEARCH("FALSO",W863)))</formula>
    </cfRule>
  </conditionalFormatting>
  <conditionalFormatting sqref="AT122:XFD122">
    <cfRule type="containsText" dxfId="3047" priority="6940" operator="containsText" text="FALSO">
      <formula>NOT(ISERROR(SEARCH("FALSO",AT122)))</formula>
    </cfRule>
  </conditionalFormatting>
  <conditionalFormatting sqref="Y122:Z122">
    <cfRule type="containsText" dxfId="3046" priority="6941" operator="containsText" text="FALSO">
      <formula>NOT(ISERROR(SEARCH("FALSO",Y122)))</formula>
    </cfRule>
  </conditionalFormatting>
  <conditionalFormatting sqref="W122">
    <cfRule type="containsText" dxfId="3045" priority="6939" operator="containsText" text="FALSO">
      <formula>NOT(ISERROR(SEARCH("FALSO",W122)))</formula>
    </cfRule>
  </conditionalFormatting>
  <conditionalFormatting sqref="A122:C122 H122:L122 F122">
    <cfRule type="containsText" dxfId="3044" priority="6938" operator="containsText" text="FALSO">
      <formula>NOT(ISERROR(SEARCH("FALSO",A122)))</formula>
    </cfRule>
  </conditionalFormatting>
  <conditionalFormatting sqref="G122">
    <cfRule type="containsText" dxfId="3043" priority="6936" operator="containsText" text="FALSO">
      <formula>NOT(ISERROR(SEARCH("FALSO",G122)))</formula>
    </cfRule>
  </conditionalFormatting>
  <conditionalFormatting sqref="G122">
    <cfRule type="duplicateValues" dxfId="3042" priority="6937"/>
  </conditionalFormatting>
  <conditionalFormatting sqref="AK122:AM122 AP122 AS122">
    <cfRule type="containsText" dxfId="3041" priority="6934" operator="containsText" text="FALSO">
      <formula>NOT(ISERROR(SEARCH("FALSO",AK122)))</formula>
    </cfRule>
  </conditionalFormatting>
  <conditionalFormatting sqref="AN122">
    <cfRule type="containsText" dxfId="3040" priority="6933" operator="containsText" text="FALSO">
      <formula>NOT(ISERROR(SEARCH("FALSO",AN122)))</formula>
    </cfRule>
  </conditionalFormatting>
  <conditionalFormatting sqref="AQ122">
    <cfRule type="containsText" dxfId="3039" priority="6932" operator="containsText" text="FALSO">
      <formula>NOT(ISERROR(SEARCH("FALSO",AQ122)))</formula>
    </cfRule>
  </conditionalFormatting>
  <conditionalFormatting sqref="AR121">
    <cfRule type="containsText" dxfId="3038" priority="6775" operator="containsText" text="FALSO">
      <formula>NOT(ISERROR(SEARCH("FALSO",AR121)))</formula>
    </cfRule>
  </conditionalFormatting>
  <conditionalFormatting sqref="AR864">
    <cfRule type="containsText" dxfId="3037" priority="6621" operator="containsText" text="FALSO">
      <formula>NOT(ISERROR(SEARCH("FALSO",AR864)))</formula>
    </cfRule>
  </conditionalFormatting>
  <conditionalFormatting sqref="AO122">
    <cfRule type="containsText" dxfId="3036" priority="6929" operator="containsText" text="FALSO">
      <formula>NOT(ISERROR(SEARCH("FALSO",AO122)))</formula>
    </cfRule>
  </conditionalFormatting>
  <conditionalFormatting sqref="AR122">
    <cfRule type="containsText" dxfId="3035" priority="6928" operator="containsText" text="FALSO">
      <formula>NOT(ISERROR(SEARCH("FALSO",AR122)))</formula>
    </cfRule>
  </conditionalFormatting>
  <conditionalFormatting sqref="P113 S113">
    <cfRule type="containsText" dxfId="3034" priority="6926" operator="containsText" text="FALSO">
      <formula>NOT(ISERROR(SEARCH("FALSO",P113)))</formula>
    </cfRule>
  </conditionalFormatting>
  <conditionalFormatting sqref="U113">
    <cfRule type="containsText" dxfId="3033" priority="6925" operator="containsText" text="FALSO">
      <formula>NOT(ISERROR(SEARCH("FALSO",U113)))</formula>
    </cfRule>
  </conditionalFormatting>
  <conditionalFormatting sqref="Y864:Z864 AE864:AF864">
    <cfRule type="containsText" dxfId="3032" priority="6634" operator="containsText" text="FALSO">
      <formula>NOT(ISERROR(SEARCH("FALSO",Y864)))</formula>
    </cfRule>
  </conditionalFormatting>
  <conditionalFormatting sqref="AT113:XFD113">
    <cfRule type="containsText" dxfId="3031" priority="6923" operator="containsText" text="FALSO">
      <formula>NOT(ISERROR(SEARCH("FALSO",AT113)))</formula>
    </cfRule>
  </conditionalFormatting>
  <conditionalFormatting sqref="Y113:Z113">
    <cfRule type="containsText" dxfId="3030" priority="6924" operator="containsText" text="FALSO">
      <formula>NOT(ISERROR(SEARCH("FALSO",Y113)))</formula>
    </cfRule>
  </conditionalFormatting>
  <conditionalFormatting sqref="W113">
    <cfRule type="containsText" dxfId="3029" priority="6922" operator="containsText" text="FALSO">
      <formula>NOT(ISERROR(SEARCH("FALSO",W113)))</formula>
    </cfRule>
  </conditionalFormatting>
  <conditionalFormatting sqref="A113:C113 H113:L113 F113">
    <cfRule type="containsText" dxfId="3028" priority="6921" operator="containsText" text="FALSO">
      <formula>NOT(ISERROR(SEARCH("FALSO",A113)))</formula>
    </cfRule>
  </conditionalFormatting>
  <conditionalFormatting sqref="G113">
    <cfRule type="containsText" dxfId="3027" priority="6919" operator="containsText" text="FALSO">
      <formula>NOT(ISERROR(SEARCH("FALSO",G113)))</formula>
    </cfRule>
  </conditionalFormatting>
  <conditionalFormatting sqref="G113">
    <cfRule type="duplicateValues" dxfId="3026" priority="6920"/>
  </conditionalFormatting>
  <conditionalFormatting sqref="AK113:AM113 AP113 AS113">
    <cfRule type="containsText" dxfId="3025" priority="6917" operator="containsText" text="FALSO">
      <formula>NOT(ISERROR(SEARCH("FALSO",AK113)))</formula>
    </cfRule>
  </conditionalFormatting>
  <conditionalFormatting sqref="AN113">
    <cfRule type="containsText" dxfId="3024" priority="6916" operator="containsText" text="FALSO">
      <formula>NOT(ISERROR(SEARCH("FALSO",AN113)))</formula>
    </cfRule>
  </conditionalFormatting>
  <conditionalFormatting sqref="AQ113">
    <cfRule type="containsText" dxfId="3023" priority="6915" operator="containsText" text="FALSO">
      <formula>NOT(ISERROR(SEARCH("FALSO",AQ113)))</formula>
    </cfRule>
  </conditionalFormatting>
  <conditionalFormatting sqref="AR120">
    <cfRule type="containsText" dxfId="3022" priority="6758" operator="containsText" text="FALSO">
      <formula>NOT(ISERROR(SEARCH("FALSO",AR120)))</formula>
    </cfRule>
  </conditionalFormatting>
  <conditionalFormatting sqref="AO113">
    <cfRule type="containsText" dxfId="3021" priority="6912" operator="containsText" text="FALSO">
      <formula>NOT(ISERROR(SEARCH("FALSO",AO113)))</formula>
    </cfRule>
  </conditionalFormatting>
  <conditionalFormatting sqref="AR113">
    <cfRule type="containsText" dxfId="3020" priority="6911" operator="containsText" text="FALSO">
      <formula>NOT(ISERROR(SEARCH("FALSO",AR113)))</formula>
    </cfRule>
  </conditionalFormatting>
  <conditionalFormatting sqref="P112 S112">
    <cfRule type="containsText" dxfId="3019" priority="6909" operator="containsText" text="FALSO">
      <formula>NOT(ISERROR(SEARCH("FALSO",P112)))</formula>
    </cfRule>
  </conditionalFormatting>
  <conditionalFormatting sqref="U112">
    <cfRule type="containsText" dxfId="3018" priority="6908" operator="containsText" text="FALSO">
      <formula>NOT(ISERROR(SEARCH("FALSO",U112)))</formula>
    </cfRule>
  </conditionalFormatting>
  <conditionalFormatting sqref="AT865:XFD865">
    <cfRule type="containsText" dxfId="3017" priority="6617" operator="containsText" text="FALSO">
      <formula>NOT(ISERROR(SEARCH("FALSO",AT865)))</formula>
    </cfRule>
  </conditionalFormatting>
  <conditionalFormatting sqref="AT112:XFD112">
    <cfRule type="containsText" dxfId="3016" priority="6906" operator="containsText" text="FALSO">
      <formula>NOT(ISERROR(SEARCH("FALSO",AT112)))</formula>
    </cfRule>
  </conditionalFormatting>
  <conditionalFormatting sqref="Y112:Z112">
    <cfRule type="containsText" dxfId="3015" priority="6907" operator="containsText" text="FALSO">
      <formula>NOT(ISERROR(SEARCH("FALSO",Y112)))</formula>
    </cfRule>
  </conditionalFormatting>
  <conditionalFormatting sqref="W112">
    <cfRule type="containsText" dxfId="3014" priority="6905" operator="containsText" text="FALSO">
      <formula>NOT(ISERROR(SEARCH("FALSO",W112)))</formula>
    </cfRule>
  </conditionalFormatting>
  <conditionalFormatting sqref="A112:C112 H112:L112 F112">
    <cfRule type="containsText" dxfId="3013" priority="6904" operator="containsText" text="FALSO">
      <formula>NOT(ISERROR(SEARCH("FALSO",A112)))</formula>
    </cfRule>
  </conditionalFormatting>
  <conditionalFormatting sqref="G112">
    <cfRule type="containsText" dxfId="3012" priority="6902" operator="containsText" text="FALSO">
      <formula>NOT(ISERROR(SEARCH("FALSO",G112)))</formula>
    </cfRule>
  </conditionalFormatting>
  <conditionalFormatting sqref="G112">
    <cfRule type="duplicateValues" dxfId="3011" priority="6903"/>
  </conditionalFormatting>
  <conditionalFormatting sqref="AK112:AM112 AP112 AS112">
    <cfRule type="containsText" dxfId="3010" priority="6900" operator="containsText" text="FALSO">
      <formula>NOT(ISERROR(SEARCH("FALSO",AK112)))</formula>
    </cfRule>
  </conditionalFormatting>
  <conditionalFormatting sqref="AN112">
    <cfRule type="containsText" dxfId="3009" priority="6899" operator="containsText" text="FALSO">
      <formula>NOT(ISERROR(SEARCH("FALSO",AN112)))</formula>
    </cfRule>
  </conditionalFormatting>
  <conditionalFormatting sqref="AQ112">
    <cfRule type="containsText" dxfId="3008" priority="6898" operator="containsText" text="FALSO">
      <formula>NOT(ISERROR(SEARCH("FALSO",AQ112)))</formula>
    </cfRule>
  </conditionalFormatting>
  <conditionalFormatting sqref="AR119">
    <cfRule type="containsText" dxfId="3007" priority="6741" operator="containsText" text="FALSO">
      <formula>NOT(ISERROR(SEARCH("FALSO",AR119)))</formula>
    </cfRule>
  </conditionalFormatting>
  <conditionalFormatting sqref="U868">
    <cfRule type="containsText" dxfId="3006" priority="6587" operator="containsText" text="FALSO">
      <formula>NOT(ISERROR(SEARCH("FALSO",U868)))</formula>
    </cfRule>
  </conditionalFormatting>
  <conditionalFormatting sqref="AO112">
    <cfRule type="containsText" dxfId="3005" priority="6895" operator="containsText" text="FALSO">
      <formula>NOT(ISERROR(SEARCH("FALSO",AO112)))</formula>
    </cfRule>
  </conditionalFormatting>
  <conditionalFormatting sqref="AR112">
    <cfRule type="containsText" dxfId="3004" priority="6894" operator="containsText" text="FALSO">
      <formula>NOT(ISERROR(SEARCH("FALSO",AR112)))</formula>
    </cfRule>
  </conditionalFormatting>
  <conditionalFormatting sqref="P111 S111">
    <cfRule type="containsText" dxfId="3003" priority="6892" operator="containsText" text="FALSO">
      <formula>NOT(ISERROR(SEARCH("FALSO",P111)))</formula>
    </cfRule>
  </conditionalFormatting>
  <conditionalFormatting sqref="U111">
    <cfRule type="containsText" dxfId="3002" priority="6891" operator="containsText" text="FALSO">
      <formula>NOT(ISERROR(SEARCH("FALSO",U111)))</formula>
    </cfRule>
  </conditionalFormatting>
  <conditionalFormatting sqref="W866">
    <cfRule type="containsText" dxfId="3001" priority="6600" operator="containsText" text="FALSO">
      <formula>NOT(ISERROR(SEARCH("FALSO",W866)))</formula>
    </cfRule>
  </conditionalFormatting>
  <conditionalFormatting sqref="AT111:XFD111">
    <cfRule type="containsText" dxfId="3000" priority="6889" operator="containsText" text="FALSO">
      <formula>NOT(ISERROR(SEARCH("FALSO",AT111)))</formula>
    </cfRule>
  </conditionalFormatting>
  <conditionalFormatting sqref="Y111:Z111">
    <cfRule type="containsText" dxfId="2999" priority="6890" operator="containsText" text="FALSO">
      <formula>NOT(ISERROR(SEARCH("FALSO",Y111)))</formula>
    </cfRule>
  </conditionalFormatting>
  <conditionalFormatting sqref="W111">
    <cfRule type="containsText" dxfId="2998" priority="6888" operator="containsText" text="FALSO">
      <formula>NOT(ISERROR(SEARCH("FALSO",W111)))</formula>
    </cfRule>
  </conditionalFormatting>
  <conditionalFormatting sqref="A111:C111 H111:L111 F111">
    <cfRule type="containsText" dxfId="2997" priority="6887" operator="containsText" text="FALSO">
      <formula>NOT(ISERROR(SEARCH("FALSO",A111)))</formula>
    </cfRule>
  </conditionalFormatting>
  <conditionalFormatting sqref="G111">
    <cfRule type="containsText" dxfId="2996" priority="6885" operator="containsText" text="FALSO">
      <formula>NOT(ISERROR(SEARCH("FALSO",G111)))</formula>
    </cfRule>
  </conditionalFormatting>
  <conditionalFormatting sqref="G111">
    <cfRule type="duplicateValues" dxfId="2995" priority="6886"/>
  </conditionalFormatting>
  <conditionalFormatting sqref="AK111:AM111 AP111 AS111">
    <cfRule type="containsText" dxfId="2994" priority="6883" operator="containsText" text="FALSO">
      <formula>NOT(ISERROR(SEARCH("FALSO",AK111)))</formula>
    </cfRule>
  </conditionalFormatting>
  <conditionalFormatting sqref="AN111">
    <cfRule type="containsText" dxfId="2993" priority="6882" operator="containsText" text="FALSO">
      <formula>NOT(ISERROR(SEARCH("FALSO",AN111)))</formula>
    </cfRule>
  </conditionalFormatting>
  <conditionalFormatting sqref="AQ111">
    <cfRule type="containsText" dxfId="2992" priority="6881" operator="containsText" text="FALSO">
      <formula>NOT(ISERROR(SEARCH("FALSO",AQ111)))</formula>
    </cfRule>
  </conditionalFormatting>
  <conditionalFormatting sqref="AR118">
    <cfRule type="containsText" dxfId="2991" priority="6724" operator="containsText" text="FALSO">
      <formula>NOT(ISERROR(SEARCH("FALSO",AR118)))</formula>
    </cfRule>
  </conditionalFormatting>
  <conditionalFormatting sqref="AO111">
    <cfRule type="containsText" dxfId="2990" priority="6878" operator="containsText" text="FALSO">
      <formula>NOT(ISERROR(SEARCH("FALSO",AO111)))</formula>
    </cfRule>
  </conditionalFormatting>
  <conditionalFormatting sqref="AR111">
    <cfRule type="containsText" dxfId="2989" priority="6877" operator="containsText" text="FALSO">
      <formula>NOT(ISERROR(SEARCH("FALSO",AR111)))</formula>
    </cfRule>
  </conditionalFormatting>
  <conditionalFormatting sqref="P110 S110">
    <cfRule type="containsText" dxfId="2988" priority="6875" operator="containsText" text="FALSO">
      <formula>NOT(ISERROR(SEARCH("FALSO",P110)))</formula>
    </cfRule>
  </conditionalFormatting>
  <conditionalFormatting sqref="U110">
    <cfRule type="containsText" dxfId="2987" priority="6874" operator="containsText" text="FALSO">
      <formula>NOT(ISERROR(SEARCH("FALSO",U110)))</formula>
    </cfRule>
  </conditionalFormatting>
  <conditionalFormatting sqref="A868:C868 I868:L868 F868">
    <cfRule type="containsText" dxfId="2986" priority="6583" operator="containsText" text="FALSO">
      <formula>NOT(ISERROR(SEARCH("FALSO",A868)))</formula>
    </cfRule>
  </conditionalFormatting>
  <conditionalFormatting sqref="AT110:XFD110">
    <cfRule type="containsText" dxfId="2985" priority="6872" operator="containsText" text="FALSO">
      <formula>NOT(ISERROR(SEARCH("FALSO",AT110)))</formula>
    </cfRule>
  </conditionalFormatting>
  <conditionalFormatting sqref="Y110:Z110">
    <cfRule type="containsText" dxfId="2984" priority="6873" operator="containsText" text="FALSO">
      <formula>NOT(ISERROR(SEARCH("FALSO",Y110)))</formula>
    </cfRule>
  </conditionalFormatting>
  <conditionalFormatting sqref="W110">
    <cfRule type="containsText" dxfId="2983" priority="6871" operator="containsText" text="FALSO">
      <formula>NOT(ISERROR(SEARCH("FALSO",W110)))</formula>
    </cfRule>
  </conditionalFormatting>
  <conditionalFormatting sqref="A110:C110 H110:L110 F110">
    <cfRule type="containsText" dxfId="2982" priority="6870" operator="containsText" text="FALSO">
      <formula>NOT(ISERROR(SEARCH("FALSO",A110)))</formula>
    </cfRule>
  </conditionalFormatting>
  <conditionalFormatting sqref="G110">
    <cfRule type="containsText" dxfId="2981" priority="6868" operator="containsText" text="FALSO">
      <formula>NOT(ISERROR(SEARCH("FALSO",G110)))</formula>
    </cfRule>
  </conditionalFormatting>
  <conditionalFormatting sqref="G110">
    <cfRule type="duplicateValues" dxfId="2980" priority="6869"/>
  </conditionalFormatting>
  <conditionalFormatting sqref="AK110:AM110 AP110 AS110">
    <cfRule type="containsText" dxfId="2979" priority="6866" operator="containsText" text="FALSO">
      <formula>NOT(ISERROR(SEARCH("FALSO",AK110)))</formula>
    </cfRule>
  </conditionalFormatting>
  <conditionalFormatting sqref="AN110">
    <cfRule type="containsText" dxfId="2978" priority="6865" operator="containsText" text="FALSO">
      <formula>NOT(ISERROR(SEARCH("FALSO",AN110)))</formula>
    </cfRule>
  </conditionalFormatting>
  <conditionalFormatting sqref="AQ110">
    <cfRule type="containsText" dxfId="2977" priority="6864" operator="containsText" text="FALSO">
      <formula>NOT(ISERROR(SEARCH("FALSO",AQ110)))</formula>
    </cfRule>
  </conditionalFormatting>
  <conditionalFormatting sqref="AR117">
    <cfRule type="containsText" dxfId="2976" priority="6707" operator="containsText" text="FALSO">
      <formula>NOT(ISERROR(SEARCH("FALSO",AR117)))</formula>
    </cfRule>
  </conditionalFormatting>
  <conditionalFormatting sqref="AO110">
    <cfRule type="containsText" dxfId="2975" priority="6861" operator="containsText" text="FALSO">
      <formula>NOT(ISERROR(SEARCH("FALSO",AO110)))</formula>
    </cfRule>
  </conditionalFormatting>
  <conditionalFormatting sqref="P109 S109">
    <cfRule type="containsText" dxfId="2974" priority="6858" operator="containsText" text="FALSO">
      <formula>NOT(ISERROR(SEARCH("FALSO",P109)))</formula>
    </cfRule>
  </conditionalFormatting>
  <conditionalFormatting sqref="U109">
    <cfRule type="containsText" dxfId="2973" priority="6857" operator="containsText" text="FALSO">
      <formula>NOT(ISERROR(SEARCH("FALSO",U109)))</formula>
    </cfRule>
  </conditionalFormatting>
  <conditionalFormatting sqref="AN867">
    <cfRule type="containsText" dxfId="2972" priority="6566" operator="containsText" text="FALSO">
      <formula>NOT(ISERROR(SEARCH("FALSO",AN867)))</formula>
    </cfRule>
  </conditionalFormatting>
  <conditionalFormatting sqref="AT109:XFD109">
    <cfRule type="containsText" dxfId="2971" priority="6855" operator="containsText" text="FALSO">
      <formula>NOT(ISERROR(SEARCH("FALSO",AT109)))</formula>
    </cfRule>
  </conditionalFormatting>
  <conditionalFormatting sqref="Y109:Z109">
    <cfRule type="containsText" dxfId="2970" priority="6856" operator="containsText" text="FALSO">
      <formula>NOT(ISERROR(SEARCH("FALSO",Y109)))</formula>
    </cfRule>
  </conditionalFormatting>
  <conditionalFormatting sqref="W109">
    <cfRule type="containsText" dxfId="2969" priority="6854" operator="containsText" text="FALSO">
      <formula>NOT(ISERROR(SEARCH("FALSO",W109)))</formula>
    </cfRule>
  </conditionalFormatting>
  <conditionalFormatting sqref="A109:C109 H109:L109 F109">
    <cfRule type="containsText" dxfId="2968" priority="6853" operator="containsText" text="FALSO">
      <formula>NOT(ISERROR(SEARCH("FALSO",A109)))</formula>
    </cfRule>
  </conditionalFormatting>
  <conditionalFormatting sqref="G109">
    <cfRule type="containsText" dxfId="2967" priority="6851" operator="containsText" text="FALSO">
      <formula>NOT(ISERROR(SEARCH("FALSO",G109)))</formula>
    </cfRule>
  </conditionalFormatting>
  <conditionalFormatting sqref="G109">
    <cfRule type="duplicateValues" dxfId="2966" priority="6852"/>
  </conditionalFormatting>
  <conditionalFormatting sqref="AK109:AM109 AP109 AS109">
    <cfRule type="containsText" dxfId="2965" priority="6849" operator="containsText" text="FALSO">
      <formula>NOT(ISERROR(SEARCH("FALSO",AK109)))</formula>
    </cfRule>
  </conditionalFormatting>
  <conditionalFormatting sqref="AN109">
    <cfRule type="containsText" dxfId="2964" priority="6848" operator="containsText" text="FALSO">
      <formula>NOT(ISERROR(SEARCH("FALSO",AN109)))</formula>
    </cfRule>
  </conditionalFormatting>
  <conditionalFormatting sqref="AQ109">
    <cfRule type="containsText" dxfId="2963" priority="6847" operator="containsText" text="FALSO">
      <formula>NOT(ISERROR(SEARCH("FALSO",AQ109)))</formula>
    </cfRule>
  </conditionalFormatting>
  <conditionalFormatting sqref="AR116">
    <cfRule type="containsText" dxfId="2962" priority="6690" operator="containsText" text="FALSO">
      <formula>NOT(ISERROR(SEARCH("FALSO",AR116)))</formula>
    </cfRule>
  </conditionalFormatting>
  <conditionalFormatting sqref="AO109">
    <cfRule type="containsText" dxfId="2961" priority="6844" operator="containsText" text="FALSO">
      <formula>NOT(ISERROR(SEARCH("FALSO",AO109)))</formula>
    </cfRule>
  </conditionalFormatting>
  <conditionalFormatting sqref="P108 S108">
    <cfRule type="containsText" dxfId="2960" priority="6841" operator="containsText" text="FALSO">
      <formula>NOT(ISERROR(SEARCH("FALSO",P108)))</formula>
    </cfRule>
  </conditionalFormatting>
  <conditionalFormatting sqref="U108">
    <cfRule type="containsText" dxfId="2959" priority="6840" operator="containsText" text="FALSO">
      <formula>NOT(ISERROR(SEARCH("FALSO",U108)))</formula>
    </cfRule>
  </conditionalFormatting>
  <conditionalFormatting sqref="AT108:XFD108">
    <cfRule type="containsText" dxfId="2958" priority="6838" operator="containsText" text="FALSO">
      <formula>NOT(ISERROR(SEARCH("FALSO",AT108)))</formula>
    </cfRule>
  </conditionalFormatting>
  <conditionalFormatting sqref="Y108:Z108">
    <cfRule type="containsText" dxfId="2957" priority="6839" operator="containsText" text="FALSO">
      <formula>NOT(ISERROR(SEARCH("FALSO",Y108)))</formula>
    </cfRule>
  </conditionalFormatting>
  <conditionalFormatting sqref="W108">
    <cfRule type="containsText" dxfId="2956" priority="6837" operator="containsText" text="FALSO">
      <formula>NOT(ISERROR(SEARCH("FALSO",W108)))</formula>
    </cfRule>
  </conditionalFormatting>
  <conditionalFormatting sqref="A108:C108 H108:L108 F108">
    <cfRule type="containsText" dxfId="2955" priority="6836" operator="containsText" text="FALSO">
      <formula>NOT(ISERROR(SEARCH("FALSO",A108)))</formula>
    </cfRule>
  </conditionalFormatting>
  <conditionalFormatting sqref="G108">
    <cfRule type="containsText" dxfId="2954" priority="6834" operator="containsText" text="FALSO">
      <formula>NOT(ISERROR(SEARCH("FALSO",G108)))</formula>
    </cfRule>
  </conditionalFormatting>
  <conditionalFormatting sqref="G108">
    <cfRule type="duplicateValues" dxfId="2953" priority="6835"/>
  </conditionalFormatting>
  <conditionalFormatting sqref="AK108:AM108 AP108 AS108">
    <cfRule type="containsText" dxfId="2952" priority="6832" operator="containsText" text="FALSO">
      <formula>NOT(ISERROR(SEARCH("FALSO",AK108)))</formula>
    </cfRule>
  </conditionalFormatting>
  <conditionalFormatting sqref="AN108">
    <cfRule type="containsText" dxfId="2951" priority="6831" operator="containsText" text="FALSO">
      <formula>NOT(ISERROR(SEARCH("FALSO",AN108)))</formula>
    </cfRule>
  </conditionalFormatting>
  <conditionalFormatting sqref="AQ108">
    <cfRule type="containsText" dxfId="2950" priority="6830" operator="containsText" text="FALSO">
      <formula>NOT(ISERROR(SEARCH("FALSO",AQ108)))</formula>
    </cfRule>
  </conditionalFormatting>
  <conditionalFormatting sqref="AR115">
    <cfRule type="containsText" dxfId="2949" priority="6673" operator="containsText" text="FALSO">
      <formula>NOT(ISERROR(SEARCH("FALSO",AR115)))</formula>
    </cfRule>
  </conditionalFormatting>
  <conditionalFormatting sqref="B104">
    <cfRule type="containsText" dxfId="2948" priority="6145" operator="containsText" text="FALSO">
      <formula>NOT(ISERROR(SEARCH("FALSO",B104)))</formula>
    </cfRule>
  </conditionalFormatting>
  <conditionalFormatting sqref="AO108">
    <cfRule type="containsText" dxfId="2947" priority="6827" operator="containsText" text="FALSO">
      <formula>NOT(ISERROR(SEARCH("FALSO",AO108)))</formula>
    </cfRule>
  </conditionalFormatting>
  <conditionalFormatting sqref="P107 S107">
    <cfRule type="containsText" dxfId="2946" priority="6824" operator="containsText" text="FALSO">
      <formula>NOT(ISERROR(SEARCH("FALSO",P107)))</formula>
    </cfRule>
  </conditionalFormatting>
  <conditionalFormatting sqref="U107">
    <cfRule type="containsText" dxfId="2945" priority="6823" operator="containsText" text="FALSO">
      <formula>NOT(ISERROR(SEARCH("FALSO",U107)))</formula>
    </cfRule>
  </conditionalFormatting>
  <conditionalFormatting sqref="AT107:XFD107">
    <cfRule type="containsText" dxfId="2944" priority="6821" operator="containsText" text="FALSO">
      <formula>NOT(ISERROR(SEARCH("FALSO",AT107)))</formula>
    </cfRule>
  </conditionalFormatting>
  <conditionalFormatting sqref="Y107:Z107">
    <cfRule type="containsText" dxfId="2943" priority="6822" operator="containsText" text="FALSO">
      <formula>NOT(ISERROR(SEARCH("FALSO",Y107)))</formula>
    </cfRule>
  </conditionalFormatting>
  <conditionalFormatting sqref="W107">
    <cfRule type="containsText" dxfId="2942" priority="6820" operator="containsText" text="FALSO">
      <formula>NOT(ISERROR(SEARCH("FALSO",W107)))</formula>
    </cfRule>
  </conditionalFormatting>
  <conditionalFormatting sqref="A107:C107 H107:L107 F107">
    <cfRule type="containsText" dxfId="2941" priority="6819" operator="containsText" text="FALSO">
      <formula>NOT(ISERROR(SEARCH("FALSO",A107)))</formula>
    </cfRule>
  </conditionalFormatting>
  <conditionalFormatting sqref="G107">
    <cfRule type="containsText" dxfId="2940" priority="6817" operator="containsText" text="FALSO">
      <formula>NOT(ISERROR(SEARCH("FALSO",G107)))</formula>
    </cfRule>
  </conditionalFormatting>
  <conditionalFormatting sqref="G107">
    <cfRule type="duplicateValues" dxfId="2939" priority="6818"/>
  </conditionalFormatting>
  <conditionalFormatting sqref="AK107:AM107 AP107 AS107">
    <cfRule type="containsText" dxfId="2938" priority="6815" operator="containsText" text="FALSO">
      <formula>NOT(ISERROR(SEARCH("FALSO",AK107)))</formula>
    </cfRule>
  </conditionalFormatting>
  <conditionalFormatting sqref="AN107">
    <cfRule type="containsText" dxfId="2937" priority="6814" operator="containsText" text="FALSO">
      <formula>NOT(ISERROR(SEARCH("FALSO",AN107)))</formula>
    </cfRule>
  </conditionalFormatting>
  <conditionalFormatting sqref="AQ107">
    <cfRule type="containsText" dxfId="2936" priority="6813" operator="containsText" text="FALSO">
      <formula>NOT(ISERROR(SEARCH("FALSO",AQ107)))</formula>
    </cfRule>
  </conditionalFormatting>
  <conditionalFormatting sqref="AR114">
    <cfRule type="containsText" dxfId="2935" priority="6656" operator="containsText" text="FALSO">
      <formula>NOT(ISERROR(SEARCH("FALSO",AR114)))</formula>
    </cfRule>
  </conditionalFormatting>
  <conditionalFormatting sqref="AO107">
    <cfRule type="containsText" dxfId="2934" priority="6810" operator="containsText" text="FALSO">
      <formula>NOT(ISERROR(SEARCH("FALSO",AO107)))</formula>
    </cfRule>
  </conditionalFormatting>
  <conditionalFormatting sqref="N107:O127">
    <cfRule type="containsText" dxfId="2933" priority="6807" operator="containsText" text="FALSO">
      <formula>NOT(ISERROR(SEARCH("FALSO",N107)))</formula>
    </cfRule>
  </conditionalFormatting>
  <conditionalFormatting sqref="U106">
    <cfRule type="containsText" dxfId="2932" priority="6806" operator="containsText" text="FALSO">
      <formula>NOT(ISERROR(SEARCH("FALSO",U106)))</formula>
    </cfRule>
  </conditionalFormatting>
  <conditionalFormatting sqref="AT106:XFD106">
    <cfRule type="containsText" dxfId="2931" priority="6804" operator="containsText" text="FALSO">
      <formula>NOT(ISERROR(SEARCH("FALSO",AT106)))</formula>
    </cfRule>
  </conditionalFormatting>
  <conditionalFormatting sqref="Y106:Z106">
    <cfRule type="containsText" dxfId="2930" priority="6805" operator="containsText" text="FALSO">
      <formula>NOT(ISERROR(SEARCH("FALSO",Y106)))</formula>
    </cfRule>
  </conditionalFormatting>
  <conditionalFormatting sqref="W106">
    <cfRule type="containsText" dxfId="2929" priority="6803" operator="containsText" text="FALSO">
      <formula>NOT(ISERROR(SEARCH("FALSO",W106)))</formula>
    </cfRule>
  </conditionalFormatting>
  <conditionalFormatting sqref="A106:C106 H106:L106 F106">
    <cfRule type="containsText" dxfId="2928" priority="6802" operator="containsText" text="FALSO">
      <formula>NOT(ISERROR(SEARCH("FALSO",A106)))</formula>
    </cfRule>
  </conditionalFormatting>
  <conditionalFormatting sqref="G106">
    <cfRule type="containsText" dxfId="2927" priority="6800" operator="containsText" text="FALSO">
      <formula>NOT(ISERROR(SEARCH("FALSO",G106)))</formula>
    </cfRule>
  </conditionalFormatting>
  <conditionalFormatting sqref="G106">
    <cfRule type="duplicateValues" dxfId="2926" priority="6801"/>
  </conditionalFormatting>
  <conditionalFormatting sqref="AK106:AM106 AP106 AS106">
    <cfRule type="containsText" dxfId="2925" priority="6798" operator="containsText" text="FALSO">
      <formula>NOT(ISERROR(SEARCH("FALSO",AK106)))</formula>
    </cfRule>
  </conditionalFormatting>
  <conditionalFormatting sqref="AN106">
    <cfRule type="containsText" dxfId="2924" priority="6797" operator="containsText" text="FALSO">
      <formula>NOT(ISERROR(SEARCH("FALSO",AN106)))</formula>
    </cfRule>
  </conditionalFormatting>
  <conditionalFormatting sqref="AQ106">
    <cfRule type="containsText" dxfId="2923" priority="6796" operator="containsText" text="FALSO">
      <formula>NOT(ISERROR(SEARCH("FALSO",AQ106)))</formula>
    </cfRule>
  </conditionalFormatting>
  <conditionalFormatting sqref="M863">
    <cfRule type="containsText" dxfId="2922" priority="6639" operator="containsText" text="FALSO">
      <formula>NOT(ISERROR(SEARCH("FALSO",M863)))</formula>
    </cfRule>
  </conditionalFormatting>
  <conditionalFormatting sqref="AO106">
    <cfRule type="containsText" dxfId="2921" priority="6793" operator="containsText" text="FALSO">
      <formula>NOT(ISERROR(SEARCH("FALSO",AO106)))</formula>
    </cfRule>
  </conditionalFormatting>
  <conditionalFormatting sqref="P121 S121">
    <cfRule type="containsText" dxfId="2920" priority="6790" operator="containsText" text="FALSO">
      <formula>NOT(ISERROR(SEARCH("FALSO",P121)))</formula>
    </cfRule>
  </conditionalFormatting>
  <conditionalFormatting sqref="U121">
    <cfRule type="containsText" dxfId="2919" priority="6789" operator="containsText" text="FALSO">
      <formula>NOT(ISERROR(SEARCH("FALSO",U121)))</formula>
    </cfRule>
  </conditionalFormatting>
  <conditionalFormatting sqref="AT121:XFD121">
    <cfRule type="containsText" dxfId="2918" priority="6787" operator="containsText" text="FALSO">
      <formula>NOT(ISERROR(SEARCH("FALSO",AT121)))</formula>
    </cfRule>
  </conditionalFormatting>
  <conditionalFormatting sqref="Y121:Z121">
    <cfRule type="containsText" dxfId="2917" priority="6788" operator="containsText" text="FALSO">
      <formula>NOT(ISERROR(SEARCH("FALSO",Y121)))</formula>
    </cfRule>
  </conditionalFormatting>
  <conditionalFormatting sqref="W121">
    <cfRule type="containsText" dxfId="2916" priority="6786" operator="containsText" text="FALSO">
      <formula>NOT(ISERROR(SEARCH("FALSO",W121)))</formula>
    </cfRule>
  </conditionalFormatting>
  <conditionalFormatting sqref="A121:C121 H121:L121 F121">
    <cfRule type="containsText" dxfId="2915" priority="6785" operator="containsText" text="FALSO">
      <formula>NOT(ISERROR(SEARCH("FALSO",A121)))</formula>
    </cfRule>
  </conditionalFormatting>
  <conditionalFormatting sqref="G121">
    <cfRule type="containsText" dxfId="2914" priority="6783" operator="containsText" text="FALSO">
      <formula>NOT(ISERROR(SEARCH("FALSO",G121)))</formula>
    </cfRule>
  </conditionalFormatting>
  <conditionalFormatting sqref="G121">
    <cfRule type="duplicateValues" dxfId="2913" priority="6784"/>
  </conditionalFormatting>
  <conditionalFormatting sqref="AK121:AM121 AP121 AS121">
    <cfRule type="containsText" dxfId="2912" priority="6781" operator="containsText" text="FALSO">
      <formula>NOT(ISERROR(SEARCH("FALSO",AK121)))</formula>
    </cfRule>
  </conditionalFormatting>
  <conditionalFormatting sqref="AN121">
    <cfRule type="containsText" dxfId="2911" priority="6780" operator="containsText" text="FALSO">
      <formula>NOT(ISERROR(SEARCH("FALSO",AN121)))</formula>
    </cfRule>
  </conditionalFormatting>
  <conditionalFormatting sqref="AQ121">
    <cfRule type="containsText" dxfId="2910" priority="6779" operator="containsText" text="FALSO">
      <formula>NOT(ISERROR(SEARCH("FALSO",AQ121)))</formula>
    </cfRule>
  </conditionalFormatting>
  <conditionalFormatting sqref="AO864">
    <cfRule type="containsText" dxfId="2909" priority="6622" operator="containsText" text="FALSO">
      <formula>NOT(ISERROR(SEARCH("FALSO",AO864)))</formula>
    </cfRule>
  </conditionalFormatting>
  <conditionalFormatting sqref="AO121">
    <cfRule type="containsText" dxfId="2908" priority="6776" operator="containsText" text="FALSO">
      <formula>NOT(ISERROR(SEARCH("FALSO",AO121)))</formula>
    </cfRule>
  </conditionalFormatting>
  <conditionalFormatting sqref="P120 S120">
    <cfRule type="containsText" dxfId="2907" priority="6773" operator="containsText" text="FALSO">
      <formula>NOT(ISERROR(SEARCH("FALSO",P120)))</formula>
    </cfRule>
  </conditionalFormatting>
  <conditionalFormatting sqref="U120">
    <cfRule type="containsText" dxfId="2906" priority="6772" operator="containsText" text="FALSO">
      <formula>NOT(ISERROR(SEARCH("FALSO",U120)))</formula>
    </cfRule>
  </conditionalFormatting>
  <conditionalFormatting sqref="AT120:XFD120">
    <cfRule type="containsText" dxfId="2905" priority="6770" operator="containsText" text="FALSO">
      <formula>NOT(ISERROR(SEARCH("FALSO",AT120)))</formula>
    </cfRule>
  </conditionalFormatting>
  <conditionalFormatting sqref="Y120:Z120">
    <cfRule type="containsText" dxfId="2904" priority="6771" operator="containsText" text="FALSO">
      <formula>NOT(ISERROR(SEARCH("FALSO",Y120)))</formula>
    </cfRule>
  </conditionalFormatting>
  <conditionalFormatting sqref="W120">
    <cfRule type="containsText" dxfId="2903" priority="6769" operator="containsText" text="FALSO">
      <formula>NOT(ISERROR(SEARCH("FALSO",W120)))</formula>
    </cfRule>
  </conditionalFormatting>
  <conditionalFormatting sqref="A120:C120 H120:L120 F120">
    <cfRule type="containsText" dxfId="2902" priority="6768" operator="containsText" text="FALSO">
      <formula>NOT(ISERROR(SEARCH("FALSO",A120)))</formula>
    </cfRule>
  </conditionalFormatting>
  <conditionalFormatting sqref="G120">
    <cfRule type="containsText" dxfId="2901" priority="6766" operator="containsText" text="FALSO">
      <formula>NOT(ISERROR(SEARCH("FALSO",G120)))</formula>
    </cfRule>
  </conditionalFormatting>
  <conditionalFormatting sqref="G120">
    <cfRule type="duplicateValues" dxfId="2900" priority="6767"/>
  </conditionalFormatting>
  <conditionalFormatting sqref="AK120:AM120 AP120 AS120">
    <cfRule type="containsText" dxfId="2899" priority="6764" operator="containsText" text="FALSO">
      <formula>NOT(ISERROR(SEARCH("FALSO",AK120)))</formula>
    </cfRule>
  </conditionalFormatting>
  <conditionalFormatting sqref="AN120">
    <cfRule type="containsText" dxfId="2898" priority="6763" operator="containsText" text="FALSO">
      <formula>NOT(ISERROR(SEARCH("FALSO",AN120)))</formula>
    </cfRule>
  </conditionalFormatting>
  <conditionalFormatting sqref="AQ120">
    <cfRule type="containsText" dxfId="2897" priority="6762" operator="containsText" text="FALSO">
      <formula>NOT(ISERROR(SEARCH("FALSO",AQ120)))</formula>
    </cfRule>
  </conditionalFormatting>
  <conditionalFormatting sqref="AR865">
    <cfRule type="containsText" dxfId="2896" priority="6605" operator="containsText" text="FALSO">
      <formula>NOT(ISERROR(SEARCH("FALSO",AR865)))</formula>
    </cfRule>
  </conditionalFormatting>
  <conditionalFormatting sqref="AQ102">
    <cfRule type="containsText" dxfId="2895" priority="6177" operator="containsText" text="FALSO">
      <formula>NOT(ISERROR(SEARCH("FALSO",AQ102)))</formula>
    </cfRule>
  </conditionalFormatting>
  <conditionalFormatting sqref="AO120">
    <cfRule type="containsText" dxfId="2894" priority="6759" operator="containsText" text="FALSO">
      <formula>NOT(ISERROR(SEARCH("FALSO",AO120)))</formula>
    </cfRule>
  </conditionalFormatting>
  <conditionalFormatting sqref="P119 S119">
    <cfRule type="containsText" dxfId="2893" priority="6756" operator="containsText" text="FALSO">
      <formula>NOT(ISERROR(SEARCH("FALSO",P119)))</formula>
    </cfRule>
  </conditionalFormatting>
  <conditionalFormatting sqref="U119">
    <cfRule type="containsText" dxfId="2892" priority="6755" operator="containsText" text="FALSO">
      <formula>NOT(ISERROR(SEARCH("FALSO",U119)))</formula>
    </cfRule>
  </conditionalFormatting>
  <conditionalFormatting sqref="AT119:XFD119">
    <cfRule type="containsText" dxfId="2891" priority="6753" operator="containsText" text="FALSO">
      <formula>NOT(ISERROR(SEARCH("FALSO",AT119)))</formula>
    </cfRule>
  </conditionalFormatting>
  <conditionalFormatting sqref="Y119:Z119">
    <cfRule type="containsText" dxfId="2890" priority="6754" operator="containsText" text="FALSO">
      <formula>NOT(ISERROR(SEARCH("FALSO",Y119)))</formula>
    </cfRule>
  </conditionalFormatting>
  <conditionalFormatting sqref="W119">
    <cfRule type="containsText" dxfId="2889" priority="6752" operator="containsText" text="FALSO">
      <formula>NOT(ISERROR(SEARCH("FALSO",W119)))</formula>
    </cfRule>
  </conditionalFormatting>
  <conditionalFormatting sqref="A119:C119 H119:L119 F119">
    <cfRule type="containsText" dxfId="2888" priority="6751" operator="containsText" text="FALSO">
      <formula>NOT(ISERROR(SEARCH("FALSO",A119)))</formula>
    </cfRule>
  </conditionalFormatting>
  <conditionalFormatting sqref="G119">
    <cfRule type="containsText" dxfId="2887" priority="6749" operator="containsText" text="FALSO">
      <formula>NOT(ISERROR(SEARCH("FALSO",G119)))</formula>
    </cfRule>
  </conditionalFormatting>
  <conditionalFormatting sqref="G119">
    <cfRule type="duplicateValues" dxfId="2886" priority="6750"/>
  </conditionalFormatting>
  <conditionalFormatting sqref="AK119:AM119 AP119 AS119">
    <cfRule type="containsText" dxfId="2885" priority="6747" operator="containsText" text="FALSO">
      <formula>NOT(ISERROR(SEARCH("FALSO",AK119)))</formula>
    </cfRule>
  </conditionalFormatting>
  <conditionalFormatting sqref="AN119">
    <cfRule type="containsText" dxfId="2884" priority="6746" operator="containsText" text="FALSO">
      <formula>NOT(ISERROR(SEARCH("FALSO",AN119)))</formula>
    </cfRule>
  </conditionalFormatting>
  <conditionalFormatting sqref="AQ119">
    <cfRule type="containsText" dxfId="2883" priority="6745" operator="containsText" text="FALSO">
      <formula>NOT(ISERROR(SEARCH("FALSO",AQ119)))</formula>
    </cfRule>
  </conditionalFormatting>
  <conditionalFormatting sqref="AR101">
    <cfRule type="containsText" dxfId="2882" priority="6160" operator="containsText" text="FALSO">
      <formula>NOT(ISERROR(SEARCH("FALSO",AR101)))</formula>
    </cfRule>
  </conditionalFormatting>
  <conditionalFormatting sqref="AO119">
    <cfRule type="containsText" dxfId="2881" priority="6742" operator="containsText" text="FALSO">
      <formula>NOT(ISERROR(SEARCH("FALSO",AO119)))</formula>
    </cfRule>
  </conditionalFormatting>
  <conditionalFormatting sqref="P118 S118">
    <cfRule type="containsText" dxfId="2880" priority="6739" operator="containsText" text="FALSO">
      <formula>NOT(ISERROR(SEARCH("FALSO",P118)))</formula>
    </cfRule>
  </conditionalFormatting>
  <conditionalFormatting sqref="U118">
    <cfRule type="containsText" dxfId="2879" priority="6738" operator="containsText" text="FALSO">
      <formula>NOT(ISERROR(SEARCH("FALSO",U118)))</formula>
    </cfRule>
  </conditionalFormatting>
  <conditionalFormatting sqref="Y118:Z118">
    <cfRule type="containsText" dxfId="2878" priority="6737" operator="containsText" text="FALSO">
      <formula>NOT(ISERROR(SEARCH("FALSO",Y118)))</formula>
    </cfRule>
  </conditionalFormatting>
  <conditionalFormatting sqref="W118">
    <cfRule type="containsText" dxfId="2877" priority="6735" operator="containsText" text="FALSO">
      <formula>NOT(ISERROR(SEARCH("FALSO",W118)))</formula>
    </cfRule>
  </conditionalFormatting>
  <conditionalFormatting sqref="A118:C118 H118:L118 F118">
    <cfRule type="containsText" dxfId="2876" priority="6734" operator="containsText" text="FALSO">
      <formula>NOT(ISERROR(SEARCH("FALSO",A118)))</formula>
    </cfRule>
  </conditionalFormatting>
  <conditionalFormatting sqref="G118">
    <cfRule type="containsText" dxfId="2875" priority="6732" operator="containsText" text="FALSO">
      <formula>NOT(ISERROR(SEARCH("FALSO",G118)))</formula>
    </cfRule>
  </conditionalFormatting>
  <conditionalFormatting sqref="G118">
    <cfRule type="duplicateValues" dxfId="2874" priority="6733"/>
  </conditionalFormatting>
  <conditionalFormatting sqref="AK118:AM118 AP118 AS118">
    <cfRule type="containsText" dxfId="2873" priority="6730" operator="containsText" text="FALSO">
      <formula>NOT(ISERROR(SEARCH("FALSO",AK118)))</formula>
    </cfRule>
  </conditionalFormatting>
  <conditionalFormatting sqref="AN118">
    <cfRule type="containsText" dxfId="2872" priority="6729" operator="containsText" text="FALSO">
      <formula>NOT(ISERROR(SEARCH("FALSO",AN118)))</formula>
    </cfRule>
  </conditionalFormatting>
  <conditionalFormatting sqref="AQ118">
    <cfRule type="containsText" dxfId="2871" priority="6728" operator="containsText" text="FALSO">
      <formula>NOT(ISERROR(SEARCH("FALSO",AQ118)))</formula>
    </cfRule>
  </conditionalFormatting>
  <conditionalFormatting sqref="A867:C867 I867:L867 F867">
    <cfRule type="containsText" dxfId="2870" priority="6571" operator="containsText" text="FALSO">
      <formula>NOT(ISERROR(SEARCH("FALSO",A867)))</formula>
    </cfRule>
  </conditionalFormatting>
  <conditionalFormatting sqref="AO118">
    <cfRule type="containsText" dxfId="2869" priority="6725" operator="containsText" text="FALSO">
      <formula>NOT(ISERROR(SEARCH("FALSO",AO118)))</formula>
    </cfRule>
  </conditionalFormatting>
  <conditionalFormatting sqref="P117 S117">
    <cfRule type="containsText" dxfId="2868" priority="6722" operator="containsText" text="FALSO">
      <formula>NOT(ISERROR(SEARCH("FALSO",P117)))</formula>
    </cfRule>
  </conditionalFormatting>
  <conditionalFormatting sqref="U117">
    <cfRule type="containsText" dxfId="2867" priority="6721" operator="containsText" text="FALSO">
      <formula>NOT(ISERROR(SEARCH("FALSO",U117)))</formula>
    </cfRule>
  </conditionalFormatting>
  <conditionalFormatting sqref="Y117:Z117">
    <cfRule type="containsText" dxfId="2866" priority="6720" operator="containsText" text="FALSO">
      <formula>NOT(ISERROR(SEARCH("FALSO",Y117)))</formula>
    </cfRule>
  </conditionalFormatting>
  <conditionalFormatting sqref="W117">
    <cfRule type="containsText" dxfId="2865" priority="6718" operator="containsText" text="FALSO">
      <formula>NOT(ISERROR(SEARCH("FALSO",W117)))</formula>
    </cfRule>
  </conditionalFormatting>
  <conditionalFormatting sqref="A117:C117 H117:L117 F117">
    <cfRule type="containsText" dxfId="2864" priority="6717" operator="containsText" text="FALSO">
      <formula>NOT(ISERROR(SEARCH("FALSO",A117)))</formula>
    </cfRule>
  </conditionalFormatting>
  <conditionalFormatting sqref="G117">
    <cfRule type="containsText" dxfId="2863" priority="6715" operator="containsText" text="FALSO">
      <formula>NOT(ISERROR(SEARCH("FALSO",G117)))</formula>
    </cfRule>
  </conditionalFormatting>
  <conditionalFormatting sqref="G117">
    <cfRule type="duplicateValues" dxfId="2862" priority="6716"/>
  </conditionalFormatting>
  <conditionalFormatting sqref="AK117:AM117 AP117 AS117">
    <cfRule type="containsText" dxfId="2861" priority="6713" operator="containsText" text="FALSO">
      <formula>NOT(ISERROR(SEARCH("FALSO",AK117)))</formula>
    </cfRule>
  </conditionalFormatting>
  <conditionalFormatting sqref="AN117">
    <cfRule type="containsText" dxfId="2860" priority="6712" operator="containsText" text="FALSO">
      <formula>NOT(ISERROR(SEARCH("FALSO",AN117)))</formula>
    </cfRule>
  </conditionalFormatting>
  <conditionalFormatting sqref="AQ117">
    <cfRule type="containsText" dxfId="2859" priority="6711" operator="containsText" text="FALSO">
      <formula>NOT(ISERROR(SEARCH("FALSO",AQ117)))</formula>
    </cfRule>
  </conditionalFormatting>
  <conditionalFormatting sqref="AO117">
    <cfRule type="containsText" dxfId="2858" priority="6708" operator="containsText" text="FALSO">
      <formula>NOT(ISERROR(SEARCH("FALSO",AO117)))</formula>
    </cfRule>
  </conditionalFormatting>
  <conditionalFormatting sqref="P116 S116">
    <cfRule type="containsText" dxfId="2857" priority="6705" operator="containsText" text="FALSO">
      <formula>NOT(ISERROR(SEARCH("FALSO",P116)))</formula>
    </cfRule>
  </conditionalFormatting>
  <conditionalFormatting sqref="U116">
    <cfRule type="containsText" dxfId="2856" priority="6704" operator="containsText" text="FALSO">
      <formula>NOT(ISERROR(SEARCH("FALSO",U116)))</formula>
    </cfRule>
  </conditionalFormatting>
  <conditionalFormatting sqref="Y116:Z116">
    <cfRule type="containsText" dxfId="2855" priority="6703" operator="containsText" text="FALSO">
      <formula>NOT(ISERROR(SEARCH("FALSO",Y116)))</formula>
    </cfRule>
  </conditionalFormatting>
  <conditionalFormatting sqref="W116">
    <cfRule type="containsText" dxfId="2854" priority="6701" operator="containsText" text="FALSO">
      <formula>NOT(ISERROR(SEARCH("FALSO",W116)))</formula>
    </cfRule>
  </conditionalFormatting>
  <conditionalFormatting sqref="A116:C116 H116:L116 F116">
    <cfRule type="containsText" dxfId="2853" priority="6700" operator="containsText" text="FALSO">
      <formula>NOT(ISERROR(SEARCH("FALSO",A116)))</formula>
    </cfRule>
  </conditionalFormatting>
  <conditionalFormatting sqref="G116">
    <cfRule type="containsText" dxfId="2852" priority="6698" operator="containsText" text="FALSO">
      <formula>NOT(ISERROR(SEARCH("FALSO",G116)))</formula>
    </cfRule>
  </conditionalFormatting>
  <conditionalFormatting sqref="G116">
    <cfRule type="duplicateValues" dxfId="2851" priority="6699"/>
  </conditionalFormatting>
  <conditionalFormatting sqref="AK116:AM116 AP116 AS116">
    <cfRule type="containsText" dxfId="2850" priority="6696" operator="containsText" text="FALSO">
      <formula>NOT(ISERROR(SEARCH("FALSO",AK116)))</formula>
    </cfRule>
  </conditionalFormatting>
  <conditionalFormatting sqref="AN116">
    <cfRule type="containsText" dxfId="2849" priority="6695" operator="containsText" text="FALSO">
      <formula>NOT(ISERROR(SEARCH("FALSO",AN116)))</formula>
    </cfRule>
  </conditionalFormatting>
  <conditionalFormatting sqref="AQ116">
    <cfRule type="containsText" dxfId="2848" priority="6694" operator="containsText" text="FALSO">
      <formula>NOT(ISERROR(SEARCH("FALSO",AQ116)))</formula>
    </cfRule>
  </conditionalFormatting>
  <conditionalFormatting sqref="AO116">
    <cfRule type="containsText" dxfId="2847" priority="6691" operator="containsText" text="FALSO">
      <formula>NOT(ISERROR(SEARCH("FALSO",AO116)))</formula>
    </cfRule>
  </conditionalFormatting>
  <conditionalFormatting sqref="P115 S115">
    <cfRule type="containsText" dxfId="2846" priority="6688" operator="containsText" text="FALSO">
      <formula>NOT(ISERROR(SEARCH("FALSO",P115)))</formula>
    </cfRule>
  </conditionalFormatting>
  <conditionalFormatting sqref="U115">
    <cfRule type="containsText" dxfId="2845" priority="6687" operator="containsText" text="FALSO">
      <formula>NOT(ISERROR(SEARCH("FALSO",U115)))</formula>
    </cfRule>
  </conditionalFormatting>
  <conditionalFormatting sqref="Y115:Z115">
    <cfRule type="containsText" dxfId="2844" priority="6686" operator="containsText" text="FALSO">
      <formula>NOT(ISERROR(SEARCH("FALSO",Y115)))</formula>
    </cfRule>
  </conditionalFormatting>
  <conditionalFormatting sqref="W115">
    <cfRule type="containsText" dxfId="2843" priority="6684" operator="containsText" text="FALSO">
      <formula>NOT(ISERROR(SEARCH("FALSO",W115)))</formula>
    </cfRule>
  </conditionalFormatting>
  <conditionalFormatting sqref="A115:C115 H115:L115 F115">
    <cfRule type="containsText" dxfId="2842" priority="6683" operator="containsText" text="FALSO">
      <formula>NOT(ISERROR(SEARCH("FALSO",A115)))</formula>
    </cfRule>
  </conditionalFormatting>
  <conditionalFormatting sqref="G115">
    <cfRule type="containsText" dxfId="2841" priority="6681" operator="containsText" text="FALSO">
      <formula>NOT(ISERROR(SEARCH("FALSO",G115)))</formula>
    </cfRule>
  </conditionalFormatting>
  <conditionalFormatting sqref="G115">
    <cfRule type="duplicateValues" dxfId="2840" priority="6682"/>
  </conditionalFormatting>
  <conditionalFormatting sqref="AK115:AM115 AP115 AS115">
    <cfRule type="containsText" dxfId="2839" priority="6679" operator="containsText" text="FALSO">
      <formula>NOT(ISERROR(SEARCH("FALSO",AK115)))</formula>
    </cfRule>
  </conditionalFormatting>
  <conditionalFormatting sqref="AN115">
    <cfRule type="containsText" dxfId="2838" priority="6678" operator="containsText" text="FALSO">
      <formula>NOT(ISERROR(SEARCH("FALSO",AN115)))</formula>
    </cfRule>
  </conditionalFormatting>
  <conditionalFormatting sqref="AQ115">
    <cfRule type="containsText" dxfId="2837" priority="6677" operator="containsText" text="FALSO">
      <formula>NOT(ISERROR(SEARCH("FALSO",AQ115)))</formula>
    </cfRule>
  </conditionalFormatting>
  <conditionalFormatting sqref="AK100:AM100 AP100 AS100">
    <cfRule type="containsText" dxfId="2836" priority="6134" operator="containsText" text="FALSO">
      <formula>NOT(ISERROR(SEARCH("FALSO",AK100)))</formula>
    </cfRule>
  </conditionalFormatting>
  <conditionalFormatting sqref="AO115">
    <cfRule type="containsText" dxfId="2835" priority="6674" operator="containsText" text="FALSO">
      <formula>NOT(ISERROR(SEARCH("FALSO",AO115)))</formula>
    </cfRule>
  </conditionalFormatting>
  <conditionalFormatting sqref="P114 S114">
    <cfRule type="containsText" dxfId="2834" priority="6671" operator="containsText" text="FALSO">
      <formula>NOT(ISERROR(SEARCH("FALSO",P114)))</formula>
    </cfRule>
  </conditionalFormatting>
  <conditionalFormatting sqref="U114">
    <cfRule type="containsText" dxfId="2833" priority="6670" operator="containsText" text="FALSO">
      <formula>NOT(ISERROR(SEARCH("FALSO",U114)))</formula>
    </cfRule>
  </conditionalFormatting>
  <conditionalFormatting sqref="C102">
    <cfRule type="containsText" dxfId="2832" priority="6147" operator="containsText" text="FALSO">
      <formula>NOT(ISERROR(SEARCH("FALSO",C102)))</formula>
    </cfRule>
  </conditionalFormatting>
  <conditionalFormatting sqref="Y114:Z114">
    <cfRule type="containsText" dxfId="2831" priority="6669" operator="containsText" text="FALSO">
      <formula>NOT(ISERROR(SEARCH("FALSO",Y114)))</formula>
    </cfRule>
  </conditionalFormatting>
  <conditionalFormatting sqref="W114">
    <cfRule type="containsText" dxfId="2830" priority="6667" operator="containsText" text="FALSO">
      <formula>NOT(ISERROR(SEARCH("FALSO",W114)))</formula>
    </cfRule>
  </conditionalFormatting>
  <conditionalFormatting sqref="A114:C114 H114:L114 F114">
    <cfRule type="containsText" dxfId="2829" priority="6666" operator="containsText" text="FALSO">
      <formula>NOT(ISERROR(SEARCH("FALSO",A114)))</formula>
    </cfRule>
  </conditionalFormatting>
  <conditionalFormatting sqref="G114">
    <cfRule type="containsText" dxfId="2828" priority="6664" operator="containsText" text="FALSO">
      <formula>NOT(ISERROR(SEARCH("FALSO",G114)))</formula>
    </cfRule>
  </conditionalFormatting>
  <conditionalFormatting sqref="G114">
    <cfRule type="duplicateValues" dxfId="2827" priority="6665"/>
  </conditionalFormatting>
  <conditionalFormatting sqref="AK114:AM114 AP114 AS114">
    <cfRule type="containsText" dxfId="2826" priority="6662" operator="containsText" text="FALSO">
      <formula>NOT(ISERROR(SEARCH("FALSO",AK114)))</formula>
    </cfRule>
  </conditionalFormatting>
  <conditionalFormatting sqref="AN114">
    <cfRule type="containsText" dxfId="2825" priority="6661" operator="containsText" text="FALSO">
      <formula>NOT(ISERROR(SEARCH("FALSO",AN114)))</formula>
    </cfRule>
  </conditionalFormatting>
  <conditionalFormatting sqref="AQ114">
    <cfRule type="containsText" dxfId="2824" priority="6660" operator="containsText" text="FALSO">
      <formula>NOT(ISERROR(SEARCH("FALSO",AQ114)))</formula>
    </cfRule>
  </conditionalFormatting>
  <conditionalFormatting sqref="AO114">
    <cfRule type="containsText" dxfId="2823" priority="6657" operator="containsText" text="FALSO">
      <formula>NOT(ISERROR(SEARCH("FALSO",AO114)))</formula>
    </cfRule>
  </conditionalFormatting>
  <conditionalFormatting sqref="U863">
    <cfRule type="containsText" dxfId="2822" priority="6654" operator="containsText" text="FALSO">
      <formula>NOT(ISERROR(SEARCH("FALSO",U863)))</formula>
    </cfRule>
  </conditionalFormatting>
  <conditionalFormatting sqref="N863:O868">
    <cfRule type="containsText" dxfId="2821" priority="6642" operator="containsText" text="FALSO">
      <formula>NOT(ISERROR(SEARCH("FALSO",N863)))</formula>
    </cfRule>
  </conditionalFormatting>
  <conditionalFormatting sqref="T863">
    <cfRule type="containsText" dxfId="2820" priority="6647" operator="containsText" text="FALSO">
      <formula>NOT(ISERROR(SEARCH("FALSO",T863)))</formula>
    </cfRule>
  </conditionalFormatting>
  <conditionalFormatting sqref="AT863:XFD863">
    <cfRule type="containsText" dxfId="2819" priority="6652" operator="containsText" text="FALSO">
      <formula>NOT(ISERROR(SEARCH("FALSO",AT863)))</formula>
    </cfRule>
  </conditionalFormatting>
  <conditionalFormatting sqref="Y863:Z863 AE863:AF863">
    <cfRule type="containsText" dxfId="2818" priority="6653" operator="containsText" text="FALSO">
      <formula>NOT(ISERROR(SEARCH("FALSO",Y863)))</formula>
    </cfRule>
  </conditionalFormatting>
  <conditionalFormatting sqref="A863:C863 I863:L863 F863">
    <cfRule type="containsText" dxfId="2817" priority="6650" operator="containsText" text="FALSO">
      <formula>NOT(ISERROR(SEARCH("FALSO",A863)))</formula>
    </cfRule>
  </conditionalFormatting>
  <conditionalFormatting sqref="G863">
    <cfRule type="containsText" dxfId="2816" priority="6648" operator="containsText" text="FALSO">
      <formula>NOT(ISERROR(SEARCH("FALSO",G863)))</formula>
    </cfRule>
  </conditionalFormatting>
  <conditionalFormatting sqref="G863">
    <cfRule type="duplicateValues" dxfId="2815" priority="6649"/>
  </conditionalFormatting>
  <conditionalFormatting sqref="AK863:AM863 AP863 AS863">
    <cfRule type="containsText" dxfId="2814" priority="6646" operator="containsText" text="FALSO">
      <formula>NOT(ISERROR(SEARCH("FALSO",AK863)))</formula>
    </cfRule>
  </conditionalFormatting>
  <conditionalFormatting sqref="AN863">
    <cfRule type="containsText" dxfId="2813" priority="6645" operator="containsText" text="FALSO">
      <formula>NOT(ISERROR(SEARCH("FALSO",AN863)))</formula>
    </cfRule>
  </conditionalFormatting>
  <conditionalFormatting sqref="AQ863">
    <cfRule type="containsText" dxfId="2812" priority="6644" operator="containsText" text="FALSO">
      <formula>NOT(ISERROR(SEARCH("FALSO",AQ863)))</formula>
    </cfRule>
  </conditionalFormatting>
  <conditionalFormatting sqref="H863:H868">
    <cfRule type="containsText" dxfId="2811" priority="6641" operator="containsText" text="FALSO">
      <formula>NOT(ISERROR(SEARCH("FALSO",H863)))</formula>
    </cfRule>
  </conditionalFormatting>
  <conditionalFormatting sqref="V863">
    <cfRule type="containsText" dxfId="2810" priority="6640" operator="containsText" text="FALSO">
      <formula>NOT(ISERROR(SEARCH("FALSO",V863)))</formula>
    </cfRule>
  </conditionalFormatting>
  <conditionalFormatting sqref="AR863">
    <cfRule type="containsText" dxfId="2809" priority="6637" operator="containsText" text="FALSO">
      <formula>NOT(ISERROR(SEARCH("FALSO",AR863)))</formula>
    </cfRule>
  </conditionalFormatting>
  <conditionalFormatting sqref="U864">
    <cfRule type="containsText" dxfId="2808" priority="6635" operator="containsText" text="FALSO">
      <formula>NOT(ISERROR(SEARCH("FALSO",U864)))</formula>
    </cfRule>
  </conditionalFormatting>
  <conditionalFormatting sqref="V864">
    <cfRule type="containsText" dxfId="2807" priority="6624" operator="containsText" text="FALSO">
      <formula>NOT(ISERROR(SEARCH("FALSO",V864)))</formula>
    </cfRule>
  </conditionalFormatting>
  <conditionalFormatting sqref="T864">
    <cfRule type="containsText" dxfId="2806" priority="6628" operator="containsText" text="FALSO">
      <formula>NOT(ISERROR(SEARCH("FALSO",T864)))</formula>
    </cfRule>
  </conditionalFormatting>
  <conditionalFormatting sqref="AT864:XFD864">
    <cfRule type="containsText" dxfId="2805" priority="6633" operator="containsText" text="FALSO">
      <formula>NOT(ISERROR(SEARCH("FALSO",AT864)))</formula>
    </cfRule>
  </conditionalFormatting>
  <conditionalFormatting sqref="W864">
    <cfRule type="containsText" dxfId="2804" priority="6632" operator="containsText" text="FALSO">
      <formula>NOT(ISERROR(SEARCH("FALSO",W864)))</formula>
    </cfRule>
  </conditionalFormatting>
  <conditionalFormatting sqref="A864:C864 I864:L864 F864">
    <cfRule type="containsText" dxfId="2803" priority="6631" operator="containsText" text="FALSO">
      <formula>NOT(ISERROR(SEARCH("FALSO",A864)))</formula>
    </cfRule>
  </conditionalFormatting>
  <conditionalFormatting sqref="G864">
    <cfRule type="containsText" dxfId="2802" priority="6629" operator="containsText" text="FALSO">
      <formula>NOT(ISERROR(SEARCH("FALSO",G864)))</formula>
    </cfRule>
  </conditionalFormatting>
  <conditionalFormatting sqref="G864">
    <cfRule type="duplicateValues" dxfId="2801" priority="6630"/>
  </conditionalFormatting>
  <conditionalFormatting sqref="AK864:AM864 AP864 AS864">
    <cfRule type="containsText" dxfId="2800" priority="6627" operator="containsText" text="FALSO">
      <formula>NOT(ISERROR(SEARCH("FALSO",AK864)))</formula>
    </cfRule>
  </conditionalFormatting>
  <conditionalFormatting sqref="AN864">
    <cfRule type="containsText" dxfId="2799" priority="6626" operator="containsText" text="FALSO">
      <formula>NOT(ISERROR(SEARCH("FALSO",AN864)))</formula>
    </cfRule>
  </conditionalFormatting>
  <conditionalFormatting sqref="AQ864">
    <cfRule type="containsText" dxfId="2798" priority="6625" operator="containsText" text="FALSO">
      <formula>NOT(ISERROR(SEARCH("FALSO",AQ864)))</formula>
    </cfRule>
  </conditionalFormatting>
  <conditionalFormatting sqref="M864">
    <cfRule type="containsText" dxfId="2797" priority="6623" operator="containsText" text="FALSO">
      <formula>NOT(ISERROR(SEARCH("FALSO",M864)))</formula>
    </cfRule>
  </conditionalFormatting>
  <conditionalFormatting sqref="T865">
    <cfRule type="containsText" dxfId="2796" priority="6612" operator="containsText" text="FALSO">
      <formula>NOT(ISERROR(SEARCH("FALSO",T865)))</formula>
    </cfRule>
  </conditionalFormatting>
  <conditionalFormatting sqref="U865">
    <cfRule type="containsText" dxfId="2795" priority="6619" operator="containsText" text="FALSO">
      <formula>NOT(ISERROR(SEARCH("FALSO",U865)))</formula>
    </cfRule>
  </conditionalFormatting>
  <conditionalFormatting sqref="Y865:Z865 AE865:AF865">
    <cfRule type="containsText" dxfId="2794" priority="6618" operator="containsText" text="FALSO">
      <formula>NOT(ISERROR(SEARCH("FALSO",Y865)))</formula>
    </cfRule>
  </conditionalFormatting>
  <conditionalFormatting sqref="W865">
    <cfRule type="containsText" dxfId="2793" priority="6616" operator="containsText" text="FALSO">
      <formula>NOT(ISERROR(SEARCH("FALSO",W865)))</formula>
    </cfRule>
  </conditionalFormatting>
  <conditionalFormatting sqref="A865:C865 I865:L865 F865">
    <cfRule type="containsText" dxfId="2792" priority="6615" operator="containsText" text="FALSO">
      <formula>NOT(ISERROR(SEARCH("FALSO",A865)))</formula>
    </cfRule>
  </conditionalFormatting>
  <conditionalFormatting sqref="G865">
    <cfRule type="containsText" dxfId="2791" priority="6613" operator="containsText" text="FALSO">
      <formula>NOT(ISERROR(SEARCH("FALSO",G865)))</formula>
    </cfRule>
  </conditionalFormatting>
  <conditionalFormatting sqref="G865">
    <cfRule type="duplicateValues" dxfId="2790" priority="6614"/>
  </conditionalFormatting>
  <conditionalFormatting sqref="AK865:AM865 AP865 AS865">
    <cfRule type="containsText" dxfId="2789" priority="6611" operator="containsText" text="FALSO">
      <formula>NOT(ISERROR(SEARCH("FALSO",AK865)))</formula>
    </cfRule>
  </conditionalFormatting>
  <conditionalFormatting sqref="AN865">
    <cfRule type="containsText" dxfId="2788" priority="6610" operator="containsText" text="FALSO">
      <formula>NOT(ISERROR(SEARCH("FALSO",AN865)))</formula>
    </cfRule>
  </conditionalFormatting>
  <conditionalFormatting sqref="AQ865">
    <cfRule type="containsText" dxfId="2787" priority="6609" operator="containsText" text="FALSO">
      <formula>NOT(ISERROR(SEARCH("FALSO",AQ865)))</formula>
    </cfRule>
  </conditionalFormatting>
  <conditionalFormatting sqref="V865">
    <cfRule type="containsText" dxfId="2786" priority="6608" operator="containsText" text="FALSO">
      <formula>NOT(ISERROR(SEARCH("FALSO",V865)))</formula>
    </cfRule>
  </conditionalFormatting>
  <conditionalFormatting sqref="M865">
    <cfRule type="containsText" dxfId="2785" priority="6607" operator="containsText" text="FALSO">
      <formula>NOT(ISERROR(SEARCH("FALSO",M865)))</formula>
    </cfRule>
  </conditionalFormatting>
  <conditionalFormatting sqref="AO865">
    <cfRule type="containsText" dxfId="2784" priority="6606" operator="containsText" text="FALSO">
      <formula>NOT(ISERROR(SEARCH("FALSO",AO865)))</formula>
    </cfRule>
  </conditionalFormatting>
  <conditionalFormatting sqref="T866">
    <cfRule type="containsText" dxfId="2783" priority="6596" operator="containsText" text="FALSO">
      <formula>NOT(ISERROR(SEARCH("FALSO",T866)))</formula>
    </cfRule>
  </conditionalFormatting>
  <conditionalFormatting sqref="U866">
    <cfRule type="containsText" dxfId="2782" priority="6603" operator="containsText" text="FALSO">
      <formula>NOT(ISERROR(SEARCH("FALSO",U866)))</formula>
    </cfRule>
  </conditionalFormatting>
  <conditionalFormatting sqref="AT866:XFD866">
    <cfRule type="containsText" dxfId="2781" priority="6601" operator="containsText" text="FALSO">
      <formula>NOT(ISERROR(SEARCH("FALSO",AT866)))</formula>
    </cfRule>
  </conditionalFormatting>
  <conditionalFormatting sqref="Y866:Z866 AE866:AF866">
    <cfRule type="containsText" dxfId="2780" priority="6602" operator="containsText" text="FALSO">
      <formula>NOT(ISERROR(SEARCH("FALSO",Y866)))</formula>
    </cfRule>
  </conditionalFormatting>
  <conditionalFormatting sqref="A866:C866 I866:L866 F866">
    <cfRule type="containsText" dxfId="2779" priority="6599" operator="containsText" text="FALSO">
      <formula>NOT(ISERROR(SEARCH("FALSO",A866)))</formula>
    </cfRule>
  </conditionalFormatting>
  <conditionalFormatting sqref="G866">
    <cfRule type="containsText" dxfId="2778" priority="6597" operator="containsText" text="FALSO">
      <formula>NOT(ISERROR(SEARCH("FALSO",G866)))</formula>
    </cfRule>
  </conditionalFormatting>
  <conditionalFormatting sqref="G866">
    <cfRule type="duplicateValues" dxfId="2777" priority="6598"/>
  </conditionalFormatting>
  <conditionalFormatting sqref="AK866:AM866 AP866 AS866">
    <cfRule type="containsText" dxfId="2776" priority="6595" operator="containsText" text="FALSO">
      <formula>NOT(ISERROR(SEARCH("FALSO",AK866)))</formula>
    </cfRule>
  </conditionalFormatting>
  <conditionalFormatting sqref="AN866">
    <cfRule type="containsText" dxfId="2775" priority="6594" operator="containsText" text="FALSO">
      <formula>NOT(ISERROR(SEARCH("FALSO",AN866)))</formula>
    </cfRule>
  </conditionalFormatting>
  <conditionalFormatting sqref="AQ866">
    <cfRule type="containsText" dxfId="2774" priority="6593" operator="containsText" text="FALSO">
      <formula>NOT(ISERROR(SEARCH("FALSO",AQ866)))</formula>
    </cfRule>
  </conditionalFormatting>
  <conditionalFormatting sqref="M866">
    <cfRule type="containsText" dxfId="2773" priority="6591" operator="containsText" text="FALSO">
      <formula>NOT(ISERROR(SEARCH("FALSO",M866)))</formula>
    </cfRule>
  </conditionalFormatting>
  <conditionalFormatting sqref="V866">
    <cfRule type="containsText" dxfId="2772" priority="6592" operator="containsText" text="FALSO">
      <formula>NOT(ISERROR(SEARCH("FALSO",V866)))</formula>
    </cfRule>
  </conditionalFormatting>
  <conditionalFormatting sqref="AO866">
    <cfRule type="containsText" dxfId="2771" priority="6590" operator="containsText" text="FALSO">
      <formula>NOT(ISERROR(SEARCH("FALSO",AO866)))</formula>
    </cfRule>
  </conditionalFormatting>
  <conditionalFormatting sqref="AR866">
    <cfRule type="containsText" dxfId="2770" priority="6589" operator="containsText" text="FALSO">
      <formula>NOT(ISERROR(SEARCH("FALSO",AR866)))</formula>
    </cfRule>
  </conditionalFormatting>
  <conditionalFormatting sqref="T868">
    <cfRule type="containsText" dxfId="2769" priority="6580" operator="containsText" text="FALSO">
      <formula>NOT(ISERROR(SEARCH("FALSO",T868)))</formula>
    </cfRule>
  </conditionalFormatting>
  <conditionalFormatting sqref="AT868:XFD868">
    <cfRule type="containsText" dxfId="2768" priority="6585" operator="containsText" text="FALSO">
      <formula>NOT(ISERROR(SEARCH("FALSO",AT868)))</formula>
    </cfRule>
  </conditionalFormatting>
  <conditionalFormatting sqref="Y868:Z868 AE868:AF868">
    <cfRule type="containsText" dxfId="2767" priority="6586" operator="containsText" text="FALSO">
      <formula>NOT(ISERROR(SEARCH("FALSO",Y868)))</formula>
    </cfRule>
  </conditionalFormatting>
  <conditionalFormatting sqref="W868">
    <cfRule type="containsText" dxfId="2766" priority="6584" operator="containsText" text="FALSO">
      <formula>NOT(ISERROR(SEARCH("FALSO",W868)))</formula>
    </cfRule>
  </conditionalFormatting>
  <conditionalFormatting sqref="G868">
    <cfRule type="containsText" dxfId="2765" priority="6581" operator="containsText" text="FALSO">
      <formula>NOT(ISERROR(SEARCH("FALSO",G868)))</formula>
    </cfRule>
  </conditionalFormatting>
  <conditionalFormatting sqref="G868">
    <cfRule type="duplicateValues" dxfId="2764" priority="6582"/>
  </conditionalFormatting>
  <conditionalFormatting sqref="AK868:AM868 AP868 AS868">
    <cfRule type="containsText" dxfId="2763" priority="6579" operator="containsText" text="FALSO">
      <formula>NOT(ISERROR(SEARCH("FALSO",AK868)))</formula>
    </cfRule>
  </conditionalFormatting>
  <conditionalFormatting sqref="AN868">
    <cfRule type="containsText" dxfId="2762" priority="6578" operator="containsText" text="FALSO">
      <formula>NOT(ISERROR(SEARCH("FALSO",AN868)))</formula>
    </cfRule>
  </conditionalFormatting>
  <conditionalFormatting sqref="AQ868">
    <cfRule type="containsText" dxfId="2761" priority="6577" operator="containsText" text="FALSO">
      <formula>NOT(ISERROR(SEARCH("FALSO",AQ868)))</formula>
    </cfRule>
  </conditionalFormatting>
  <conditionalFormatting sqref="T867">
    <cfRule type="containsText" dxfId="2760" priority="6568" operator="containsText" text="FALSO">
      <formula>NOT(ISERROR(SEARCH("FALSO",T867)))</formula>
    </cfRule>
  </conditionalFormatting>
  <conditionalFormatting sqref="U867">
    <cfRule type="containsText" dxfId="2759" priority="6575" operator="containsText" text="FALSO">
      <formula>NOT(ISERROR(SEARCH("FALSO",U867)))</formula>
    </cfRule>
  </conditionalFormatting>
  <conditionalFormatting sqref="AT867:XFD867">
    <cfRule type="containsText" dxfId="2758" priority="6573" operator="containsText" text="FALSO">
      <formula>NOT(ISERROR(SEARCH("FALSO",AT867)))</formula>
    </cfRule>
  </conditionalFormatting>
  <conditionalFormatting sqref="Y867:Z867 AE867:AF867">
    <cfRule type="containsText" dxfId="2757" priority="6574" operator="containsText" text="FALSO">
      <formula>NOT(ISERROR(SEARCH("FALSO",Y867)))</formula>
    </cfRule>
  </conditionalFormatting>
  <conditionalFormatting sqref="W867">
    <cfRule type="containsText" dxfId="2756" priority="6572" operator="containsText" text="FALSO">
      <formula>NOT(ISERROR(SEARCH("FALSO",W867)))</formula>
    </cfRule>
  </conditionalFormatting>
  <conditionalFormatting sqref="G867">
    <cfRule type="containsText" dxfId="2755" priority="6569" operator="containsText" text="FALSO">
      <formula>NOT(ISERROR(SEARCH("FALSO",G867)))</formula>
    </cfRule>
  </conditionalFormatting>
  <conditionalFormatting sqref="G867">
    <cfRule type="duplicateValues" dxfId="2754" priority="6570"/>
  </conditionalFormatting>
  <conditionalFormatting sqref="AK867:AM867 AP867 AS867">
    <cfRule type="containsText" dxfId="2753" priority="6567" operator="containsText" text="FALSO">
      <formula>NOT(ISERROR(SEARCH("FALSO",AK867)))</formula>
    </cfRule>
  </conditionalFormatting>
  <conditionalFormatting sqref="AQ867">
    <cfRule type="containsText" dxfId="2752" priority="6565" operator="containsText" text="FALSO">
      <formula>NOT(ISERROR(SEARCH("FALSO",AQ867)))</formula>
    </cfRule>
  </conditionalFormatting>
  <conditionalFormatting sqref="M867">
    <cfRule type="containsText" dxfId="2751" priority="6561" operator="containsText" text="FALSO">
      <formula>NOT(ISERROR(SEARCH("FALSO",M867)))</formula>
    </cfRule>
  </conditionalFormatting>
  <conditionalFormatting sqref="V868">
    <cfRule type="containsText" dxfId="2750" priority="6564" operator="containsText" text="FALSO">
      <formula>NOT(ISERROR(SEARCH("FALSO",V868)))</formula>
    </cfRule>
  </conditionalFormatting>
  <conditionalFormatting sqref="V867">
    <cfRule type="containsText" dxfId="2749" priority="6563" operator="containsText" text="FALSO">
      <formula>NOT(ISERROR(SEARCH("FALSO",V867)))</formula>
    </cfRule>
  </conditionalFormatting>
  <conditionalFormatting sqref="M868">
    <cfRule type="containsText" dxfId="2748" priority="6562" operator="containsText" text="FALSO">
      <formula>NOT(ISERROR(SEARCH("FALSO",M868)))</formula>
    </cfRule>
  </conditionalFormatting>
  <conditionalFormatting sqref="AO868">
    <cfRule type="containsText" dxfId="2747" priority="6560" operator="containsText" text="FALSO">
      <formula>NOT(ISERROR(SEARCH("FALSO",AO868)))</formula>
    </cfRule>
  </conditionalFormatting>
  <conditionalFormatting sqref="AO867">
    <cfRule type="containsText" dxfId="2746" priority="6559" operator="containsText" text="FALSO">
      <formula>NOT(ISERROR(SEARCH("FALSO",AO867)))</formula>
    </cfRule>
  </conditionalFormatting>
  <conditionalFormatting sqref="AR868">
    <cfRule type="containsText" dxfId="2745" priority="6558" operator="containsText" text="FALSO">
      <formula>NOT(ISERROR(SEARCH("FALSO",AR868)))</formula>
    </cfRule>
  </conditionalFormatting>
  <conditionalFormatting sqref="AR867">
    <cfRule type="containsText" dxfId="2744" priority="6557" operator="containsText" text="FALSO">
      <formula>NOT(ISERROR(SEARCH("FALSO",AR867)))</formula>
    </cfRule>
  </conditionalFormatting>
  <conditionalFormatting sqref="M1048:O1053 A869:C1134 R869:W1134 AJ1088:XFD1134 F869:L1134 Y869:Z1134 AE869:AF1134 AK869:XFD1087">
    <cfRule type="containsText" dxfId="2743" priority="6555" operator="containsText" text="FALSO">
      <formula>NOT(ISERROR(SEARCH("FALSO",A869)))</formula>
    </cfRule>
  </conditionalFormatting>
  <conditionalFormatting sqref="G869:G1133">
    <cfRule type="duplicateValues" dxfId="2742" priority="6556"/>
  </conditionalFormatting>
  <conditionalFormatting sqref="Y1134:Z1134 AE1134:AF1134 AJ1134:AS1134">
    <cfRule type="containsText" dxfId="2741" priority="6547" operator="containsText" text="FALSO">
      <formula>NOT(ISERROR(SEARCH("FALSO",Y1134)))</formula>
    </cfRule>
  </conditionalFormatting>
  <conditionalFormatting sqref="U101">
    <cfRule type="containsText" dxfId="2740" priority="6172" operator="containsText" text="FALSO">
      <formula>NOT(ISERROR(SEARCH("FALSO",U101)))</formula>
    </cfRule>
  </conditionalFormatting>
  <conditionalFormatting sqref="AO102">
    <cfRule type="containsText" dxfId="2739" priority="6176" operator="containsText" text="FALSO">
      <formula>NOT(ISERROR(SEARCH("FALSO",AO102)))</formula>
    </cfRule>
  </conditionalFormatting>
  <conditionalFormatting sqref="AR102">
    <cfRule type="containsText" dxfId="2738" priority="6175" operator="containsText" text="FALSO">
      <formula>NOT(ISERROR(SEARCH("FALSO",AR102)))</formula>
    </cfRule>
  </conditionalFormatting>
  <conditionalFormatting sqref="Y101:Z101">
    <cfRule type="containsText" dxfId="2737" priority="6171" operator="containsText" text="FALSO">
      <formula>NOT(ISERROR(SEARCH("FALSO",Y101)))</formula>
    </cfRule>
  </conditionalFormatting>
  <conditionalFormatting sqref="AT101:XFD101">
    <cfRule type="containsText" dxfId="2736" priority="6170" operator="containsText" text="FALSO">
      <formula>NOT(ISERROR(SEARCH("FALSO",AT101)))</formula>
    </cfRule>
  </conditionalFormatting>
  <conditionalFormatting sqref="W101">
    <cfRule type="containsText" dxfId="2735" priority="6169" operator="containsText" text="FALSO">
      <formula>NOT(ISERROR(SEARCH("FALSO",W101)))</formula>
    </cfRule>
  </conditionalFormatting>
  <conditionalFormatting sqref="A101:C101 H101:L101 F101">
    <cfRule type="containsText" dxfId="2734" priority="6168" operator="containsText" text="FALSO">
      <formula>NOT(ISERROR(SEARCH("FALSO",A101)))</formula>
    </cfRule>
  </conditionalFormatting>
  <conditionalFormatting sqref="G101">
    <cfRule type="containsText" dxfId="2733" priority="6166" operator="containsText" text="FALSO">
      <formula>NOT(ISERROR(SEARCH("FALSO",G101)))</formula>
    </cfRule>
  </conditionalFormatting>
  <conditionalFormatting sqref="U100">
    <cfRule type="containsText" dxfId="2732" priority="6142" operator="containsText" text="FALSO">
      <formula>NOT(ISERROR(SEARCH("FALSO",U100)))</formula>
    </cfRule>
  </conditionalFormatting>
  <conditionalFormatting sqref="AR100">
    <cfRule type="containsText" dxfId="2731" priority="6130" operator="containsText" text="FALSO">
      <formula>NOT(ISERROR(SEARCH("FALSO",AR100)))</formula>
    </cfRule>
  </conditionalFormatting>
  <conditionalFormatting sqref="Y100:Z100">
    <cfRule type="containsText" dxfId="2730" priority="6141" operator="containsText" text="FALSO">
      <formula>NOT(ISERROR(SEARCH("FALSO",Y100)))</formula>
    </cfRule>
  </conditionalFormatting>
  <conditionalFormatting sqref="AT100:XFD100">
    <cfRule type="containsText" dxfId="2729" priority="6140" operator="containsText" text="FALSO">
      <formula>NOT(ISERROR(SEARCH("FALSO",AT100)))</formula>
    </cfRule>
  </conditionalFormatting>
  <conditionalFormatting sqref="W100">
    <cfRule type="containsText" dxfId="2728" priority="6139" operator="containsText" text="FALSO">
      <formula>NOT(ISERROR(SEARCH("FALSO",W100)))</formula>
    </cfRule>
  </conditionalFormatting>
  <conditionalFormatting sqref="A100:C100 H100:L100 F100">
    <cfRule type="containsText" dxfId="2727" priority="6138" operator="containsText" text="FALSO">
      <formula>NOT(ISERROR(SEARCH("FALSO",A100)))</formula>
    </cfRule>
  </conditionalFormatting>
  <conditionalFormatting sqref="G100">
    <cfRule type="containsText" dxfId="2726" priority="6136" operator="containsText" text="FALSO">
      <formula>NOT(ISERROR(SEARCH("FALSO",G100)))</formula>
    </cfRule>
  </conditionalFormatting>
  <conditionalFormatting sqref="AN100">
    <cfRule type="containsText" dxfId="2725" priority="6133" operator="containsText" text="FALSO">
      <formula>NOT(ISERROR(SEARCH("FALSO",AN100)))</formula>
    </cfRule>
  </conditionalFormatting>
  <conditionalFormatting sqref="AQ100">
    <cfRule type="containsText" dxfId="2724" priority="6132" operator="containsText" text="FALSO">
      <formula>NOT(ISERROR(SEARCH("FALSO",AQ100)))</formula>
    </cfRule>
  </conditionalFormatting>
  <conditionalFormatting sqref="AO100">
    <cfRule type="containsText" dxfId="2723" priority="6131" operator="containsText" text="FALSO">
      <formula>NOT(ISERROR(SEARCH("FALSO",AO100)))</formula>
    </cfRule>
  </conditionalFormatting>
  <conditionalFormatting sqref="AN102">
    <cfRule type="containsText" dxfId="2722" priority="6178" operator="containsText" text="FALSO">
      <formula>NOT(ISERROR(SEARCH("FALSO",AN102)))</formula>
    </cfRule>
  </conditionalFormatting>
  <conditionalFormatting sqref="C103">
    <cfRule type="containsText" dxfId="2721" priority="6148" operator="containsText" text="FALSO">
      <formula>NOT(ISERROR(SEARCH("FALSO",C103)))</formula>
    </cfRule>
  </conditionalFormatting>
  <conditionalFormatting sqref="AK101:AM101 AP101 AS101">
    <cfRule type="containsText" dxfId="2720" priority="6164" operator="containsText" text="FALSO">
      <formula>NOT(ISERROR(SEARCH("FALSO",AK101)))</formula>
    </cfRule>
  </conditionalFormatting>
  <conditionalFormatting sqref="AN101">
    <cfRule type="containsText" dxfId="2719" priority="6163" operator="containsText" text="FALSO">
      <formula>NOT(ISERROR(SEARCH("FALSO",AN101)))</formula>
    </cfRule>
  </conditionalFormatting>
  <conditionalFormatting sqref="AQ101">
    <cfRule type="containsText" dxfId="2718" priority="6162" operator="containsText" text="FALSO">
      <formula>NOT(ISERROR(SEARCH("FALSO",AQ101)))</formula>
    </cfRule>
  </conditionalFormatting>
  <conditionalFormatting sqref="AO101">
    <cfRule type="containsText" dxfId="2717" priority="6161" operator="containsText" text="FALSO">
      <formula>NOT(ISERROR(SEARCH("FALSO",AO101)))</formula>
    </cfRule>
  </conditionalFormatting>
  <conditionalFormatting sqref="A105:C105 H105:L105 F105">
    <cfRule type="containsText" dxfId="2716" priority="6228" operator="containsText" text="FALSO">
      <formula>NOT(ISERROR(SEARCH("FALSO",A105)))</formula>
    </cfRule>
  </conditionalFormatting>
  <conditionalFormatting sqref="Y104:Z104">
    <cfRule type="containsText" dxfId="2715" priority="6216" operator="containsText" text="FALSO">
      <formula>NOT(ISERROR(SEARCH("FALSO",Y104)))</formula>
    </cfRule>
  </conditionalFormatting>
  <conditionalFormatting sqref="G105">
    <cfRule type="containsText" dxfId="2714" priority="6226" operator="containsText" text="FALSO">
      <formula>NOT(ISERROR(SEARCH("FALSO",G105)))</formula>
    </cfRule>
  </conditionalFormatting>
  <conditionalFormatting sqref="AK93:AM93 AP93 AS93">
    <cfRule type="containsText" dxfId="2713" priority="5941" operator="containsText" text="FALSO">
      <formula>NOT(ISERROR(SEARCH("FALSO",AK93)))</formula>
    </cfRule>
  </conditionalFormatting>
  <conditionalFormatting sqref="AK105:AM105 AP105 AS105">
    <cfRule type="containsText" dxfId="2712" priority="6224" operator="containsText" text="FALSO">
      <formula>NOT(ISERROR(SEARCH("FALSO",AK105)))</formula>
    </cfRule>
  </conditionalFormatting>
  <conditionalFormatting sqref="AN105">
    <cfRule type="containsText" dxfId="2711" priority="6223" operator="containsText" text="FALSO">
      <formula>NOT(ISERROR(SEARCH("FALSO",AN105)))</formula>
    </cfRule>
  </conditionalFormatting>
  <conditionalFormatting sqref="AQ105">
    <cfRule type="containsText" dxfId="2710" priority="6222" operator="containsText" text="FALSO">
      <formula>NOT(ISERROR(SEARCH("FALSO",AQ105)))</formula>
    </cfRule>
  </conditionalFormatting>
  <conditionalFormatting sqref="AO105">
    <cfRule type="containsText" dxfId="2709" priority="6221" operator="containsText" text="FALSO">
      <formula>NOT(ISERROR(SEARCH("FALSO",AO105)))</formula>
    </cfRule>
  </conditionalFormatting>
  <conditionalFormatting sqref="AR105">
    <cfRule type="containsText" dxfId="2708" priority="6220" operator="containsText" text="FALSO">
      <formula>NOT(ISERROR(SEARCH("FALSO",AR105)))</formula>
    </cfRule>
  </conditionalFormatting>
  <conditionalFormatting sqref="P104 S104">
    <cfRule type="containsText" dxfId="2707" priority="6218" operator="containsText" text="FALSO">
      <formula>NOT(ISERROR(SEARCH("FALSO",P104)))</formula>
    </cfRule>
  </conditionalFormatting>
  <conditionalFormatting sqref="U104">
    <cfRule type="containsText" dxfId="2706" priority="6217" operator="containsText" text="FALSO">
      <formula>NOT(ISERROR(SEARCH("FALSO",U104)))</formula>
    </cfRule>
  </conditionalFormatting>
  <conditionalFormatting sqref="C104">
    <cfRule type="containsText" dxfId="2705" priority="6149" operator="containsText" text="FALSO">
      <formula>NOT(ISERROR(SEARCH("FALSO",C104)))</formula>
    </cfRule>
  </conditionalFormatting>
  <conditionalFormatting sqref="B103">
    <cfRule type="containsText" dxfId="2704" priority="6146" operator="containsText" text="FALSO">
      <formula>NOT(ISERROR(SEARCH("FALSO",B103)))</formula>
    </cfRule>
  </conditionalFormatting>
  <conditionalFormatting sqref="AT104:XFD104">
    <cfRule type="containsText" dxfId="2703" priority="6215" operator="containsText" text="FALSO">
      <formula>NOT(ISERROR(SEARCH("FALSO",AT104)))</formula>
    </cfRule>
  </conditionalFormatting>
  <conditionalFormatting sqref="W104">
    <cfRule type="containsText" dxfId="2702" priority="6214" operator="containsText" text="FALSO">
      <formula>NOT(ISERROR(SEARCH("FALSO",W104)))</formula>
    </cfRule>
  </conditionalFormatting>
  <conditionalFormatting sqref="A104 H104:L104 F104">
    <cfRule type="containsText" dxfId="2701" priority="6213" operator="containsText" text="FALSO">
      <formula>NOT(ISERROR(SEARCH("FALSO",A104)))</formula>
    </cfRule>
  </conditionalFormatting>
  <conditionalFormatting sqref="G104">
    <cfRule type="containsText" dxfId="2700" priority="6211" operator="containsText" text="FALSO">
      <formula>NOT(ISERROR(SEARCH("FALSO",G104)))</formula>
    </cfRule>
  </conditionalFormatting>
  <conditionalFormatting sqref="R230">
    <cfRule type="containsText" dxfId="2699" priority="5926" operator="containsText" text="FALSO">
      <formula>NOT(ISERROR(SEARCH("FALSO",R230)))</formula>
    </cfRule>
  </conditionalFormatting>
  <conditionalFormatting sqref="AK104:AM104 AP104 AS104">
    <cfRule type="containsText" dxfId="2698" priority="6209" operator="containsText" text="FALSO">
      <formula>NOT(ISERROR(SEARCH("FALSO",AK104)))</formula>
    </cfRule>
  </conditionalFormatting>
  <conditionalFormatting sqref="AN104">
    <cfRule type="containsText" dxfId="2697" priority="6208" operator="containsText" text="FALSO">
      <formula>NOT(ISERROR(SEARCH("FALSO",AN104)))</formula>
    </cfRule>
  </conditionalFormatting>
  <conditionalFormatting sqref="AQ104">
    <cfRule type="containsText" dxfId="2696" priority="6207" operator="containsText" text="FALSO">
      <formula>NOT(ISERROR(SEARCH("FALSO",AQ104)))</formula>
    </cfRule>
  </conditionalFormatting>
  <conditionalFormatting sqref="AO104">
    <cfRule type="containsText" dxfId="2695" priority="6206" operator="containsText" text="FALSO">
      <formula>NOT(ISERROR(SEARCH("FALSO",AO104)))</formula>
    </cfRule>
  </conditionalFormatting>
  <conditionalFormatting sqref="AR104">
    <cfRule type="containsText" dxfId="2694" priority="6205" operator="containsText" text="FALSO">
      <formula>NOT(ISERROR(SEARCH("FALSO",AR104)))</formula>
    </cfRule>
  </conditionalFormatting>
  <conditionalFormatting sqref="P103 S103">
    <cfRule type="containsText" dxfId="2693" priority="6203" operator="containsText" text="FALSO">
      <formula>NOT(ISERROR(SEARCH("FALSO",P103)))</formula>
    </cfRule>
  </conditionalFormatting>
  <conditionalFormatting sqref="U103">
    <cfRule type="containsText" dxfId="2692" priority="6202" operator="containsText" text="FALSO">
      <formula>NOT(ISERROR(SEARCH("FALSO",U103)))</formula>
    </cfRule>
  </conditionalFormatting>
  <conditionalFormatting sqref="Y103:Z103">
    <cfRule type="containsText" dxfId="2691" priority="6201" operator="containsText" text="FALSO">
      <formula>NOT(ISERROR(SEARCH("FALSO",Y103)))</formula>
    </cfRule>
  </conditionalFormatting>
  <conditionalFormatting sqref="AT103:XFD103">
    <cfRule type="containsText" dxfId="2690" priority="6200" operator="containsText" text="FALSO">
      <formula>NOT(ISERROR(SEARCH("FALSO",AT103)))</formula>
    </cfRule>
  </conditionalFormatting>
  <conditionalFormatting sqref="W103">
    <cfRule type="containsText" dxfId="2689" priority="6199" operator="containsText" text="FALSO">
      <formula>NOT(ISERROR(SEARCH("FALSO",W103)))</formula>
    </cfRule>
  </conditionalFormatting>
  <conditionalFormatting sqref="A103 H103:L103 F103">
    <cfRule type="containsText" dxfId="2688" priority="6198" operator="containsText" text="FALSO">
      <formula>NOT(ISERROR(SEARCH("FALSO",A103)))</formula>
    </cfRule>
  </conditionalFormatting>
  <conditionalFormatting sqref="G103">
    <cfRule type="containsText" dxfId="2687" priority="6196" operator="containsText" text="FALSO">
      <formula>NOT(ISERROR(SEARCH("FALSO",G103)))</formula>
    </cfRule>
  </conditionalFormatting>
  <conditionalFormatting sqref="AN103">
    <cfRule type="containsText" dxfId="2686" priority="6193" operator="containsText" text="FALSO">
      <formula>NOT(ISERROR(SEARCH("FALSO",AN103)))</formula>
    </cfRule>
  </conditionalFormatting>
  <conditionalFormatting sqref="R215">
    <cfRule type="containsText" dxfId="2685" priority="5911" operator="containsText" text="FALSO">
      <formula>NOT(ISERROR(SEARCH("FALSO",R215)))</formula>
    </cfRule>
  </conditionalFormatting>
  <conditionalFormatting sqref="AK103:AM103 AP103 AS103">
    <cfRule type="containsText" dxfId="2684" priority="6194" operator="containsText" text="FALSO">
      <formula>NOT(ISERROR(SEARCH("FALSO",AK103)))</formula>
    </cfRule>
  </conditionalFormatting>
  <conditionalFormatting sqref="AQ103">
    <cfRule type="containsText" dxfId="2683" priority="6192" operator="containsText" text="FALSO">
      <formula>NOT(ISERROR(SEARCH("FALSO",AQ103)))</formula>
    </cfRule>
  </conditionalFormatting>
  <conditionalFormatting sqref="AO103">
    <cfRule type="containsText" dxfId="2682" priority="6191" operator="containsText" text="FALSO">
      <formula>NOT(ISERROR(SEARCH("FALSO",AO103)))</formula>
    </cfRule>
  </conditionalFormatting>
  <conditionalFormatting sqref="AR103">
    <cfRule type="containsText" dxfId="2681" priority="6190" operator="containsText" text="FALSO">
      <formula>NOT(ISERROR(SEARCH("FALSO",AR103)))</formula>
    </cfRule>
  </conditionalFormatting>
  <conditionalFormatting sqref="P102 S102">
    <cfRule type="containsText" dxfId="2680" priority="6188" operator="containsText" text="FALSO">
      <formula>NOT(ISERROR(SEARCH("FALSO",P102)))</formula>
    </cfRule>
  </conditionalFormatting>
  <conditionalFormatting sqref="U102">
    <cfRule type="containsText" dxfId="2679" priority="6187" operator="containsText" text="FALSO">
      <formula>NOT(ISERROR(SEARCH("FALSO",U102)))</formula>
    </cfRule>
  </conditionalFormatting>
  <conditionalFormatting sqref="Y102:Z102">
    <cfRule type="containsText" dxfId="2678" priority="6186" operator="containsText" text="FALSO">
      <formula>NOT(ISERROR(SEARCH("FALSO",Y102)))</formula>
    </cfRule>
  </conditionalFormatting>
  <conditionalFormatting sqref="AT102:XFD102">
    <cfRule type="containsText" dxfId="2677" priority="6185" operator="containsText" text="FALSO">
      <formula>NOT(ISERROR(SEARCH("FALSO",AT102)))</formula>
    </cfRule>
  </conditionalFormatting>
  <conditionalFormatting sqref="W102">
    <cfRule type="containsText" dxfId="2676" priority="6184" operator="containsText" text="FALSO">
      <formula>NOT(ISERROR(SEARCH("FALSO",W102)))</formula>
    </cfRule>
  </conditionalFormatting>
  <conditionalFormatting sqref="A102:B102 H102:L102 F102">
    <cfRule type="containsText" dxfId="2675" priority="6183" operator="containsText" text="FALSO">
      <formula>NOT(ISERROR(SEARCH("FALSO",A102)))</formula>
    </cfRule>
  </conditionalFormatting>
  <conditionalFormatting sqref="G102">
    <cfRule type="containsText" dxfId="2674" priority="6181" operator="containsText" text="FALSO">
      <formula>NOT(ISERROR(SEARCH("FALSO",G102)))</formula>
    </cfRule>
  </conditionalFormatting>
  <conditionalFormatting sqref="R199">
    <cfRule type="containsText" dxfId="2673" priority="5896" operator="containsText" text="FALSO">
      <formula>NOT(ISERROR(SEARCH("FALSO",R199)))</formula>
    </cfRule>
  </conditionalFormatting>
  <conditionalFormatting sqref="AK102:AM102 AP102 AS102">
    <cfRule type="containsText" dxfId="2672" priority="6179" operator="containsText" text="FALSO">
      <formula>NOT(ISERROR(SEARCH("FALSO",AK102)))</formula>
    </cfRule>
  </conditionalFormatting>
  <conditionalFormatting sqref="P101 S101">
    <cfRule type="containsText" dxfId="2671" priority="6235" operator="containsText" text="FALSO">
      <formula>NOT(ISERROR(SEARCH("FALSO",P101)))</formula>
    </cfRule>
  </conditionalFormatting>
  <conditionalFormatting sqref="P105 S105">
    <cfRule type="containsText" dxfId="2670" priority="6233" operator="containsText" text="FALSO">
      <formula>NOT(ISERROR(SEARCH("FALSO",P105)))</formula>
    </cfRule>
  </conditionalFormatting>
  <conditionalFormatting sqref="U105">
    <cfRule type="containsText" dxfId="2669" priority="6232" operator="containsText" text="FALSO">
      <formula>NOT(ISERROR(SEARCH("FALSO",U105)))</formula>
    </cfRule>
  </conditionalFormatting>
  <conditionalFormatting sqref="AT105:XFD105">
    <cfRule type="containsText" dxfId="2668" priority="6230" operator="containsText" text="FALSO">
      <formula>NOT(ISERROR(SEARCH("FALSO",AT105)))</formula>
    </cfRule>
  </conditionalFormatting>
  <conditionalFormatting sqref="Y105:Z105">
    <cfRule type="containsText" dxfId="2667" priority="6231" operator="containsText" text="FALSO">
      <formula>NOT(ISERROR(SEARCH("FALSO",Y105)))</formula>
    </cfRule>
  </conditionalFormatting>
  <conditionalFormatting sqref="W105">
    <cfRule type="containsText" dxfId="2666" priority="6229" operator="containsText" text="FALSO">
      <formula>NOT(ISERROR(SEARCH("FALSO",W105)))</formula>
    </cfRule>
  </conditionalFormatting>
  <conditionalFormatting sqref="G105">
    <cfRule type="duplicateValues" dxfId="2665" priority="6227"/>
  </conditionalFormatting>
  <conditionalFormatting sqref="G104">
    <cfRule type="duplicateValues" dxfId="2664" priority="6212"/>
  </conditionalFormatting>
  <conditionalFormatting sqref="G103">
    <cfRule type="duplicateValues" dxfId="2663" priority="6197"/>
  </conditionalFormatting>
  <conditionalFormatting sqref="G102">
    <cfRule type="duplicateValues" dxfId="2662" priority="6182"/>
  </conditionalFormatting>
  <conditionalFormatting sqref="R183">
    <cfRule type="containsText" dxfId="2661" priority="5881" operator="containsText" text="FALSO">
      <formula>NOT(ISERROR(SEARCH("FALSO",R183)))</formula>
    </cfRule>
  </conditionalFormatting>
  <conditionalFormatting sqref="G101">
    <cfRule type="duplicateValues" dxfId="2660" priority="6167"/>
  </conditionalFormatting>
  <conditionalFormatting sqref="AR95">
    <cfRule type="containsText" dxfId="2659" priority="5950" operator="containsText" text="FALSO">
      <formula>NOT(ISERROR(SEARCH("FALSO",AR95)))</formula>
    </cfRule>
  </conditionalFormatting>
  <conditionalFormatting sqref="AT93:XFD94 A94:C94 I94:L94 H94:H97 S93:S94 U93:U94 W93:W94 Y94:Z94 P94 F94:G94">
    <cfRule type="containsText" dxfId="2658" priority="5948" operator="containsText" text="FALSO">
      <formula>NOT(ISERROR(SEARCH("FALSO",A93)))</formula>
    </cfRule>
  </conditionalFormatting>
  <conditionalFormatting sqref="AK94:AM94 AP94 AS94">
    <cfRule type="containsText" dxfId="2657" priority="5946" operator="containsText" text="FALSO">
      <formula>NOT(ISERROR(SEARCH("FALSO",AK94)))</formula>
    </cfRule>
  </conditionalFormatting>
  <conditionalFormatting sqref="AQ94">
    <cfRule type="containsText" dxfId="2656" priority="5944" operator="containsText" text="FALSO">
      <formula>NOT(ISERROR(SEARCH("FALSO",AQ94)))</formula>
    </cfRule>
  </conditionalFormatting>
  <conditionalFormatting sqref="AO94">
    <cfRule type="containsText" dxfId="2655" priority="5943" operator="containsText" text="FALSO">
      <formula>NOT(ISERROR(SEARCH("FALSO",AO94)))</formula>
    </cfRule>
  </conditionalFormatting>
  <conditionalFormatting sqref="AR94">
    <cfRule type="containsText" dxfId="2654" priority="5942" operator="containsText" text="FALSO">
      <formula>NOT(ISERROR(SEARCH("FALSO",AR94)))</formula>
    </cfRule>
  </conditionalFormatting>
  <conditionalFormatting sqref="AN93">
    <cfRule type="containsText" dxfId="2653" priority="5940" operator="containsText" text="FALSO">
      <formula>NOT(ISERROR(SEARCH("FALSO",AN93)))</formula>
    </cfRule>
  </conditionalFormatting>
  <conditionalFormatting sqref="R152">
    <cfRule type="containsText" dxfId="2652" priority="5851" operator="containsText" text="FALSO">
      <formula>NOT(ISERROR(SEARCH("FALSO",R152)))</formula>
    </cfRule>
  </conditionalFormatting>
  <conditionalFormatting sqref="G100">
    <cfRule type="duplicateValues" dxfId="2651" priority="6137"/>
  </conditionalFormatting>
  <conditionalFormatting sqref="R224">
    <cfRule type="containsText" dxfId="2650" priority="5920" operator="containsText" text="FALSO">
      <formula>NOT(ISERROR(SEARCH("FALSO",R224)))</formula>
    </cfRule>
  </conditionalFormatting>
  <conditionalFormatting sqref="R222">
    <cfRule type="containsText" dxfId="2649" priority="5918" operator="containsText" text="FALSO">
      <formula>NOT(ISERROR(SEARCH("FALSO",R222)))</formula>
    </cfRule>
  </conditionalFormatting>
  <conditionalFormatting sqref="AN99">
    <cfRule type="containsText" dxfId="2648" priority="5984" operator="containsText" text="FALSO">
      <formula>NOT(ISERROR(SEARCH("FALSO",AN99)))</formula>
    </cfRule>
  </conditionalFormatting>
  <conditionalFormatting sqref="AQ99">
    <cfRule type="containsText" dxfId="2647" priority="5983" operator="containsText" text="FALSO">
      <formula>NOT(ISERROR(SEARCH("FALSO",AQ99)))</formula>
    </cfRule>
  </conditionalFormatting>
  <conditionalFormatting sqref="AO99">
    <cfRule type="containsText" dxfId="2646" priority="5982" operator="containsText" text="FALSO">
      <formula>NOT(ISERROR(SEARCH("FALSO",AO99)))</formula>
    </cfRule>
  </conditionalFormatting>
  <conditionalFormatting sqref="AR99">
    <cfRule type="containsText" dxfId="2645" priority="5981" operator="containsText" text="FALSO">
      <formula>NOT(ISERROR(SEARCH("FALSO",AR99)))</formula>
    </cfRule>
  </conditionalFormatting>
  <conditionalFormatting sqref="AK98:AM98 AP98 AS98">
    <cfRule type="containsText" dxfId="2644" priority="5980" operator="containsText" text="FALSO">
      <formula>NOT(ISERROR(SEARCH("FALSO",AK98)))</formula>
    </cfRule>
  </conditionalFormatting>
  <conditionalFormatting sqref="AN98">
    <cfRule type="containsText" dxfId="2643" priority="5979" operator="containsText" text="FALSO">
      <formula>NOT(ISERROR(SEARCH("FALSO",AN98)))</formula>
    </cfRule>
  </conditionalFormatting>
  <conditionalFormatting sqref="AQ98">
    <cfRule type="containsText" dxfId="2642" priority="5978" operator="containsText" text="FALSO">
      <formula>NOT(ISERROR(SEARCH("FALSO",AQ98)))</formula>
    </cfRule>
  </conditionalFormatting>
  <conditionalFormatting sqref="AO98">
    <cfRule type="containsText" dxfId="2641" priority="5977" operator="containsText" text="FALSO">
      <formula>NOT(ISERROR(SEARCH("FALSO",AO98)))</formula>
    </cfRule>
  </conditionalFormatting>
  <conditionalFormatting sqref="AR98">
    <cfRule type="containsText" dxfId="2640" priority="5976" operator="containsText" text="FALSO">
      <formula>NOT(ISERROR(SEARCH("FALSO",AR98)))</formula>
    </cfRule>
  </conditionalFormatting>
  <conditionalFormatting sqref="Y97:Z97 AT97:XFD97 A97:C97 I97:L97 S97 U97 W97 P97 F97:G97">
    <cfRule type="containsText" dxfId="2639" priority="5974" operator="containsText" text="FALSO">
      <formula>NOT(ISERROR(SEARCH("FALSO",A97)))</formula>
    </cfRule>
  </conditionalFormatting>
  <conditionalFormatting sqref="AK99:AM99 AP99 AS99">
    <cfRule type="containsText" dxfId="2638" priority="5985" operator="containsText" text="FALSO">
      <formula>NOT(ISERROR(SEARCH("FALSO",AK99)))</formula>
    </cfRule>
  </conditionalFormatting>
  <conditionalFormatting sqref="AK97:AM97 AP97 AS97">
    <cfRule type="containsText" dxfId="2637" priority="5967" operator="containsText" text="FALSO">
      <formula>NOT(ISERROR(SEARCH("FALSO",AK97)))</formula>
    </cfRule>
  </conditionalFormatting>
  <conditionalFormatting sqref="AN97">
    <cfRule type="containsText" dxfId="2636" priority="5966" operator="containsText" text="FALSO">
      <formula>NOT(ISERROR(SEARCH("FALSO",AN97)))</formula>
    </cfRule>
  </conditionalFormatting>
  <conditionalFormatting sqref="AQ97">
    <cfRule type="containsText" dxfId="2635" priority="5965" operator="containsText" text="FALSO">
      <formula>NOT(ISERROR(SEARCH("FALSO",AQ97)))</formula>
    </cfRule>
  </conditionalFormatting>
  <conditionalFormatting sqref="AO97">
    <cfRule type="containsText" dxfId="2634" priority="5964" operator="containsText" text="FALSO">
      <formula>NOT(ISERROR(SEARCH("FALSO",AO97)))</formula>
    </cfRule>
  </conditionalFormatting>
  <conditionalFormatting sqref="AR97">
    <cfRule type="containsText" dxfId="2633" priority="5963" operator="containsText" text="FALSO">
      <formula>NOT(ISERROR(SEARCH("FALSO",AR97)))</formula>
    </cfRule>
  </conditionalFormatting>
  <conditionalFormatting sqref="Y95:Z96 A95:C96 AT95:XFD96 I95:L96 S95:S96 U95:U96 W95:W96 P95:P96 F95:G96">
    <cfRule type="containsText" dxfId="2632" priority="5961" operator="containsText" text="FALSO">
      <formula>NOT(ISERROR(SEARCH("FALSO",A95)))</formula>
    </cfRule>
  </conditionalFormatting>
  <conditionalFormatting sqref="AK96:AM96 AP96 AS96">
    <cfRule type="containsText" dxfId="2631" priority="5959" operator="containsText" text="FALSO">
      <formula>NOT(ISERROR(SEARCH("FALSO",AK96)))</formula>
    </cfRule>
  </conditionalFormatting>
  <conditionalFormatting sqref="AN96">
    <cfRule type="containsText" dxfId="2630" priority="5958" operator="containsText" text="FALSO">
      <formula>NOT(ISERROR(SEARCH("FALSO",AN96)))</formula>
    </cfRule>
  </conditionalFormatting>
  <conditionalFormatting sqref="AQ96">
    <cfRule type="containsText" dxfId="2629" priority="5957" operator="containsText" text="FALSO">
      <formula>NOT(ISERROR(SEARCH("FALSO",AQ96)))</formula>
    </cfRule>
  </conditionalFormatting>
  <conditionalFormatting sqref="AO96">
    <cfRule type="containsText" dxfId="2628" priority="5956" operator="containsText" text="FALSO">
      <formula>NOT(ISERROR(SEARCH("FALSO",AO96)))</formula>
    </cfRule>
  </conditionalFormatting>
  <conditionalFormatting sqref="AR96">
    <cfRule type="containsText" dxfId="2627" priority="5955" operator="containsText" text="FALSO">
      <formula>NOT(ISERROR(SEARCH("FALSO",AR96)))</formula>
    </cfRule>
  </conditionalFormatting>
  <conditionalFormatting sqref="AK95:AM95 AP95 AS95">
    <cfRule type="containsText" dxfId="2626" priority="5954" operator="containsText" text="FALSO">
      <formula>NOT(ISERROR(SEARCH("FALSO",AK95)))</formula>
    </cfRule>
  </conditionalFormatting>
  <conditionalFormatting sqref="AN95">
    <cfRule type="containsText" dxfId="2625" priority="5953" operator="containsText" text="FALSO">
      <formula>NOT(ISERROR(SEARCH("FALSO",AN95)))</formula>
    </cfRule>
  </conditionalFormatting>
  <conditionalFormatting sqref="AQ95">
    <cfRule type="containsText" dxfId="2624" priority="5952" operator="containsText" text="FALSO">
      <formula>NOT(ISERROR(SEARCH("FALSO",AQ95)))</formula>
    </cfRule>
  </conditionalFormatting>
  <conditionalFormatting sqref="AO95">
    <cfRule type="containsText" dxfId="2623" priority="5951" operator="containsText" text="FALSO">
      <formula>NOT(ISERROR(SEARCH("FALSO",AO95)))</formula>
    </cfRule>
  </conditionalFormatting>
  <conditionalFormatting sqref="AN94">
    <cfRule type="containsText" dxfId="2622" priority="5945" operator="containsText" text="FALSO">
      <formula>NOT(ISERROR(SEARCH("FALSO",AN94)))</formula>
    </cfRule>
  </conditionalFormatting>
  <conditionalFormatting sqref="AQ93">
    <cfRule type="containsText" dxfId="2621" priority="5939" operator="containsText" text="FALSO">
      <formula>NOT(ISERROR(SEARCH("FALSO",AQ93)))</formula>
    </cfRule>
  </conditionalFormatting>
  <conditionalFormatting sqref="AO93">
    <cfRule type="containsText" dxfId="2620" priority="5938" operator="containsText" text="FALSO">
      <formula>NOT(ISERROR(SEARCH("FALSO",AO93)))</formula>
    </cfRule>
  </conditionalFormatting>
  <conditionalFormatting sqref="AR93">
    <cfRule type="containsText" dxfId="2619" priority="5937" operator="containsText" text="FALSO">
      <formula>NOT(ISERROR(SEARCH("FALSO",AR93)))</formula>
    </cfRule>
  </conditionalFormatting>
  <conditionalFormatting sqref="R239 R203 R189">
    <cfRule type="containsText" dxfId="2618" priority="5936" operator="containsText" text="FALSO">
      <formula>NOT(ISERROR(SEARCH("FALSO",R189)))</formula>
    </cfRule>
  </conditionalFormatting>
  <conditionalFormatting sqref="R240">
    <cfRule type="containsText" dxfId="2617" priority="5935" operator="containsText" text="FALSO">
      <formula>NOT(ISERROR(SEARCH("FALSO",R240)))</formula>
    </cfRule>
  </conditionalFormatting>
  <conditionalFormatting sqref="R238">
    <cfRule type="containsText" dxfId="2616" priority="5934" operator="containsText" text="FALSO">
      <formula>NOT(ISERROR(SEARCH("FALSO",R238)))</formula>
    </cfRule>
  </conditionalFormatting>
  <conditionalFormatting sqref="R237">
    <cfRule type="containsText" dxfId="2615" priority="5933" operator="containsText" text="FALSO">
      <formula>NOT(ISERROR(SEARCH("FALSO",R237)))</formula>
    </cfRule>
  </conditionalFormatting>
  <conditionalFormatting sqref="R236">
    <cfRule type="containsText" dxfId="2614" priority="5932" operator="containsText" text="FALSO">
      <formula>NOT(ISERROR(SEARCH("FALSO",R236)))</formula>
    </cfRule>
  </conditionalFormatting>
  <conditionalFormatting sqref="R235">
    <cfRule type="containsText" dxfId="2613" priority="5931" operator="containsText" text="FALSO">
      <formula>NOT(ISERROR(SEARCH("FALSO",R235)))</formula>
    </cfRule>
  </conditionalFormatting>
  <conditionalFormatting sqref="R234">
    <cfRule type="containsText" dxfId="2612" priority="5930" operator="containsText" text="FALSO">
      <formula>NOT(ISERROR(SEARCH("FALSO",R234)))</formula>
    </cfRule>
  </conditionalFormatting>
  <conditionalFormatting sqref="R233">
    <cfRule type="containsText" dxfId="2611" priority="5929" operator="containsText" text="FALSO">
      <formula>NOT(ISERROR(SEARCH("FALSO",R233)))</formula>
    </cfRule>
  </conditionalFormatting>
  <conditionalFormatting sqref="R232">
    <cfRule type="containsText" dxfId="2610" priority="5928" operator="containsText" text="FALSO">
      <formula>NOT(ISERROR(SEARCH("FALSO",R232)))</formula>
    </cfRule>
  </conditionalFormatting>
  <conditionalFormatting sqref="R231">
    <cfRule type="containsText" dxfId="2609" priority="5927" operator="containsText" text="FALSO">
      <formula>NOT(ISERROR(SEARCH("FALSO",R231)))</formula>
    </cfRule>
  </conditionalFormatting>
  <conditionalFormatting sqref="R229">
    <cfRule type="containsText" dxfId="2608" priority="5925" operator="containsText" text="FALSO">
      <formula>NOT(ISERROR(SEARCH("FALSO",R229)))</formula>
    </cfRule>
  </conditionalFormatting>
  <conditionalFormatting sqref="R228">
    <cfRule type="containsText" dxfId="2607" priority="5924" operator="containsText" text="FALSO">
      <formula>NOT(ISERROR(SEARCH("FALSO",R228)))</formula>
    </cfRule>
  </conditionalFormatting>
  <conditionalFormatting sqref="R227">
    <cfRule type="containsText" dxfId="2606" priority="5923" operator="containsText" text="FALSO">
      <formula>NOT(ISERROR(SEARCH("FALSO",R227)))</formula>
    </cfRule>
  </conditionalFormatting>
  <conditionalFormatting sqref="R226">
    <cfRule type="containsText" dxfId="2605" priority="5922" operator="containsText" text="FALSO">
      <formula>NOT(ISERROR(SEARCH("FALSO",R226)))</formula>
    </cfRule>
  </conditionalFormatting>
  <conditionalFormatting sqref="R225">
    <cfRule type="containsText" dxfId="2604" priority="5921" operator="containsText" text="FALSO">
      <formula>NOT(ISERROR(SEARCH("FALSO",R225)))</formula>
    </cfRule>
  </conditionalFormatting>
  <conditionalFormatting sqref="R223">
    <cfRule type="containsText" dxfId="2603" priority="5919" operator="containsText" text="FALSO">
      <formula>NOT(ISERROR(SEARCH("FALSO",R223)))</formula>
    </cfRule>
  </conditionalFormatting>
  <conditionalFormatting sqref="R221">
    <cfRule type="containsText" dxfId="2602" priority="5917" operator="containsText" text="FALSO">
      <formula>NOT(ISERROR(SEARCH("FALSO",R221)))</formula>
    </cfRule>
  </conditionalFormatting>
  <conditionalFormatting sqref="R220">
    <cfRule type="containsText" dxfId="2601" priority="5916" operator="containsText" text="FALSO">
      <formula>NOT(ISERROR(SEARCH("FALSO",R220)))</formula>
    </cfRule>
  </conditionalFormatting>
  <conditionalFormatting sqref="R219">
    <cfRule type="containsText" dxfId="2600" priority="5915" operator="containsText" text="FALSO">
      <formula>NOT(ISERROR(SEARCH("FALSO",R219)))</formula>
    </cfRule>
  </conditionalFormatting>
  <conditionalFormatting sqref="R218">
    <cfRule type="containsText" dxfId="2599" priority="5914" operator="containsText" text="FALSO">
      <formula>NOT(ISERROR(SEARCH("FALSO",R218)))</formula>
    </cfRule>
  </conditionalFormatting>
  <conditionalFormatting sqref="R217">
    <cfRule type="containsText" dxfId="2598" priority="5913" operator="containsText" text="FALSO">
      <formula>NOT(ISERROR(SEARCH("FALSO",R217)))</formula>
    </cfRule>
  </conditionalFormatting>
  <conditionalFormatting sqref="R216">
    <cfRule type="containsText" dxfId="2597" priority="5912" operator="containsText" text="FALSO">
      <formula>NOT(ISERROR(SEARCH("FALSO",R216)))</formula>
    </cfRule>
  </conditionalFormatting>
  <conditionalFormatting sqref="R214">
    <cfRule type="containsText" dxfId="2596" priority="5910" operator="containsText" text="FALSO">
      <formula>NOT(ISERROR(SEARCH("FALSO",R214)))</formula>
    </cfRule>
  </conditionalFormatting>
  <conditionalFormatting sqref="Y98:Z99 A98:C99 AT98:XFD99 S98:S99 U98:U99 W98:W99 N98:P99 F98:L99">
    <cfRule type="containsText" dxfId="2595" priority="5987" operator="containsText" text="FALSO">
      <formula>NOT(ISERROR(SEARCH("FALSO",A98)))</formula>
    </cfRule>
  </conditionalFormatting>
  <conditionalFormatting sqref="G98:G99">
    <cfRule type="duplicateValues" dxfId="2594" priority="5988"/>
  </conditionalFormatting>
  <conditionalFormatting sqref="G95:G96">
    <cfRule type="duplicateValues" dxfId="2593" priority="5962"/>
  </conditionalFormatting>
  <conditionalFormatting sqref="G93:G94">
    <cfRule type="duplicateValues" dxfId="2592" priority="5949"/>
  </conditionalFormatting>
  <conditionalFormatting sqref="G97">
    <cfRule type="duplicateValues" dxfId="2591" priority="34970"/>
  </conditionalFormatting>
  <conditionalFormatting sqref="R187">
    <cfRule type="containsText" dxfId="2590" priority="5885" operator="containsText" text="FALSO">
      <formula>NOT(ISERROR(SEARCH("FALSO",R187)))</formula>
    </cfRule>
  </conditionalFormatting>
  <conditionalFormatting sqref="R170">
    <cfRule type="containsText" dxfId="2589" priority="5868" operator="containsText" text="FALSO">
      <formula>NOT(ISERROR(SEARCH("FALSO",R170)))</formula>
    </cfRule>
  </conditionalFormatting>
  <conditionalFormatting sqref="R175">
    <cfRule type="containsText" dxfId="2588" priority="5873" operator="containsText" text="FALSO">
      <formula>NOT(ISERROR(SEARCH("FALSO",R175)))</formula>
    </cfRule>
  </conditionalFormatting>
  <conditionalFormatting sqref="R186">
    <cfRule type="containsText" dxfId="2587" priority="5884" operator="containsText" text="FALSO">
      <formula>NOT(ISERROR(SEARCH("FALSO",R186)))</formula>
    </cfRule>
  </conditionalFormatting>
  <conditionalFormatting sqref="R185">
    <cfRule type="containsText" dxfId="2586" priority="5883" operator="containsText" text="FALSO">
      <formula>NOT(ISERROR(SEARCH("FALSO",R185)))</formula>
    </cfRule>
  </conditionalFormatting>
  <conditionalFormatting sqref="R184">
    <cfRule type="containsText" dxfId="2585" priority="5882" operator="containsText" text="FALSO">
      <formula>NOT(ISERROR(SEARCH("FALSO",R184)))</formula>
    </cfRule>
  </conditionalFormatting>
  <conditionalFormatting sqref="R182">
    <cfRule type="containsText" dxfId="2584" priority="5880" operator="containsText" text="FALSO">
      <formula>NOT(ISERROR(SEARCH("FALSO",R182)))</formula>
    </cfRule>
  </conditionalFormatting>
  <conditionalFormatting sqref="R181">
    <cfRule type="containsText" dxfId="2583" priority="5879" operator="containsText" text="FALSO">
      <formula>NOT(ISERROR(SEARCH("FALSO",R181)))</formula>
    </cfRule>
  </conditionalFormatting>
  <conditionalFormatting sqref="R180">
    <cfRule type="containsText" dxfId="2582" priority="5878" operator="containsText" text="FALSO">
      <formula>NOT(ISERROR(SEARCH("FALSO",R180)))</formula>
    </cfRule>
  </conditionalFormatting>
  <conditionalFormatting sqref="R179">
    <cfRule type="containsText" dxfId="2581" priority="5877" operator="containsText" text="FALSO">
      <formula>NOT(ISERROR(SEARCH("FALSO",R179)))</formula>
    </cfRule>
  </conditionalFormatting>
  <conditionalFormatting sqref="R178">
    <cfRule type="containsText" dxfId="2580" priority="5876" operator="containsText" text="FALSO">
      <formula>NOT(ISERROR(SEARCH("FALSO",R178)))</formula>
    </cfRule>
  </conditionalFormatting>
  <conditionalFormatting sqref="R177">
    <cfRule type="containsText" dxfId="2579" priority="5875" operator="containsText" text="FALSO">
      <formula>NOT(ISERROR(SEARCH("FALSO",R177)))</formula>
    </cfRule>
  </conditionalFormatting>
  <conditionalFormatting sqref="R176">
    <cfRule type="containsText" dxfId="2578" priority="5874" operator="containsText" text="FALSO">
      <formula>NOT(ISERROR(SEARCH("FALSO",R176)))</formula>
    </cfRule>
  </conditionalFormatting>
  <conditionalFormatting sqref="R174">
    <cfRule type="containsText" dxfId="2577" priority="5872" operator="containsText" text="FALSO">
      <formula>NOT(ISERROR(SEARCH("FALSO",R174)))</formula>
    </cfRule>
  </conditionalFormatting>
  <conditionalFormatting sqref="R173">
    <cfRule type="containsText" dxfId="2576" priority="5871" operator="containsText" text="FALSO">
      <formula>NOT(ISERROR(SEARCH("FALSO",R173)))</formula>
    </cfRule>
  </conditionalFormatting>
  <conditionalFormatting sqref="R172">
    <cfRule type="containsText" dxfId="2575" priority="5870" operator="containsText" text="FALSO">
      <formula>NOT(ISERROR(SEARCH("FALSO",R172)))</formula>
    </cfRule>
  </conditionalFormatting>
  <conditionalFormatting sqref="R171">
    <cfRule type="containsText" dxfId="2574" priority="5869" operator="containsText" text="FALSO">
      <formula>NOT(ISERROR(SEARCH("FALSO",R171)))</formula>
    </cfRule>
  </conditionalFormatting>
  <conditionalFormatting sqref="R169">
    <cfRule type="containsText" dxfId="2573" priority="5867" operator="containsText" text="FALSO">
      <formula>NOT(ISERROR(SEARCH("FALSO",R169)))</formula>
    </cfRule>
  </conditionalFormatting>
  <conditionalFormatting sqref="R211">
    <cfRule type="containsText" dxfId="2572" priority="5907" operator="containsText" text="FALSO">
      <formula>NOT(ISERROR(SEARCH("FALSO",R211)))</formula>
    </cfRule>
  </conditionalFormatting>
  <conditionalFormatting sqref="R208">
    <cfRule type="containsText" dxfId="2571" priority="5904" operator="containsText" text="FALSO">
      <formula>NOT(ISERROR(SEARCH("FALSO",R208)))</formula>
    </cfRule>
  </conditionalFormatting>
  <conditionalFormatting sqref="R201">
    <cfRule type="containsText" dxfId="2570" priority="5898" operator="containsText" text="FALSO">
      <formula>NOT(ISERROR(SEARCH("FALSO",R201)))</formula>
    </cfRule>
  </conditionalFormatting>
  <conditionalFormatting sqref="R188">
    <cfRule type="containsText" dxfId="2569" priority="5886" operator="containsText" text="FALSO">
      <formula>NOT(ISERROR(SEARCH("FALSO",R188)))</formula>
    </cfRule>
  </conditionalFormatting>
  <conditionalFormatting sqref="R194">
    <cfRule type="containsText" dxfId="2568" priority="5891" operator="containsText" text="FALSO">
      <formula>NOT(ISERROR(SEARCH("FALSO",R194)))</formula>
    </cfRule>
  </conditionalFormatting>
  <conditionalFormatting sqref="R193">
    <cfRule type="containsText" dxfId="2567" priority="5890" operator="containsText" text="FALSO">
      <formula>NOT(ISERROR(SEARCH("FALSO",R193)))</formula>
    </cfRule>
  </conditionalFormatting>
  <conditionalFormatting sqref="R192">
    <cfRule type="containsText" dxfId="2566" priority="5889" operator="containsText" text="FALSO">
      <formula>NOT(ISERROR(SEARCH("FALSO",R192)))</formula>
    </cfRule>
  </conditionalFormatting>
  <conditionalFormatting sqref="R191">
    <cfRule type="containsText" dxfId="2565" priority="5888" operator="containsText" text="FALSO">
      <formula>NOT(ISERROR(SEARCH("FALSO",R191)))</formula>
    </cfRule>
  </conditionalFormatting>
  <conditionalFormatting sqref="R190">
    <cfRule type="containsText" dxfId="2564" priority="5887" operator="containsText" text="FALSO">
      <formula>NOT(ISERROR(SEARCH("FALSO",R190)))</formula>
    </cfRule>
  </conditionalFormatting>
  <conditionalFormatting sqref="R210">
    <cfRule type="containsText" dxfId="2563" priority="5906" operator="containsText" text="FALSO">
      <formula>NOT(ISERROR(SEARCH("FALSO",R210)))</formula>
    </cfRule>
  </conditionalFormatting>
  <conditionalFormatting sqref="R209">
    <cfRule type="containsText" dxfId="2562" priority="5905" operator="containsText" text="FALSO">
      <formula>NOT(ISERROR(SEARCH("FALSO",R209)))</formula>
    </cfRule>
  </conditionalFormatting>
  <conditionalFormatting sqref="R207">
    <cfRule type="containsText" dxfId="2561" priority="5903" operator="containsText" text="FALSO">
      <formula>NOT(ISERROR(SEARCH("FALSO",R207)))</formula>
    </cfRule>
  </conditionalFormatting>
  <conditionalFormatting sqref="R206">
    <cfRule type="containsText" dxfId="2560" priority="5902" operator="containsText" text="FALSO">
      <formula>NOT(ISERROR(SEARCH("FALSO",R206)))</formula>
    </cfRule>
  </conditionalFormatting>
  <conditionalFormatting sqref="R202">
    <cfRule type="containsText" dxfId="2559" priority="5899" operator="containsText" text="FALSO">
      <formula>NOT(ISERROR(SEARCH("FALSO",R202)))</formula>
    </cfRule>
  </conditionalFormatting>
  <conditionalFormatting sqref="R200">
    <cfRule type="containsText" dxfId="2558" priority="5897" operator="containsText" text="FALSO">
      <formula>NOT(ISERROR(SEARCH("FALSO",R200)))</formula>
    </cfRule>
  </conditionalFormatting>
  <conditionalFormatting sqref="R213">
    <cfRule type="containsText" dxfId="2557" priority="5909" operator="containsText" text="FALSO">
      <formula>NOT(ISERROR(SEARCH("FALSO",R213)))</formula>
    </cfRule>
  </conditionalFormatting>
  <conditionalFormatting sqref="R212">
    <cfRule type="containsText" dxfId="2556" priority="5908" operator="containsText" text="FALSO">
      <formula>NOT(ISERROR(SEARCH("FALSO",R212)))</formula>
    </cfRule>
  </conditionalFormatting>
  <conditionalFormatting sqref="R205">
    <cfRule type="containsText" dxfId="2555" priority="5901" operator="containsText" text="FALSO">
      <formula>NOT(ISERROR(SEARCH("FALSO",R205)))</formula>
    </cfRule>
  </conditionalFormatting>
  <conditionalFormatting sqref="R204">
    <cfRule type="containsText" dxfId="2554" priority="5900" operator="containsText" text="FALSO">
      <formula>NOT(ISERROR(SEARCH("FALSO",R204)))</formula>
    </cfRule>
  </conditionalFormatting>
  <conditionalFormatting sqref="R198">
    <cfRule type="containsText" dxfId="2553" priority="5895" operator="containsText" text="FALSO">
      <formula>NOT(ISERROR(SEARCH("FALSO",R198)))</formula>
    </cfRule>
  </conditionalFormatting>
  <conditionalFormatting sqref="R197">
    <cfRule type="containsText" dxfId="2552" priority="5894" operator="containsText" text="FALSO">
      <formula>NOT(ISERROR(SEARCH("FALSO",R197)))</formula>
    </cfRule>
  </conditionalFormatting>
  <conditionalFormatting sqref="R196">
    <cfRule type="containsText" dxfId="2551" priority="5893" operator="containsText" text="FALSO">
      <formula>NOT(ISERROR(SEARCH("FALSO",R196)))</formula>
    </cfRule>
  </conditionalFormatting>
  <conditionalFormatting sqref="R195">
    <cfRule type="containsText" dxfId="2550" priority="5892" operator="containsText" text="FALSO">
      <formula>NOT(ISERROR(SEARCH("FALSO",R195)))</formula>
    </cfRule>
  </conditionalFormatting>
  <conditionalFormatting sqref="R128">
    <cfRule type="containsText" dxfId="2549" priority="5827" operator="containsText" text="FALSO">
      <formula>NOT(ISERROR(SEARCH("FALSO",R128)))</formula>
    </cfRule>
  </conditionalFormatting>
  <conditionalFormatting sqref="R131">
    <cfRule type="containsText" dxfId="2548" priority="5830" operator="containsText" text="FALSO">
      <formula>NOT(ISERROR(SEARCH("FALSO",R131)))</formula>
    </cfRule>
  </conditionalFormatting>
  <conditionalFormatting sqref="R130">
    <cfRule type="containsText" dxfId="2547" priority="5829" operator="containsText" text="FALSO">
      <formula>NOT(ISERROR(SEARCH("FALSO",R130)))</formula>
    </cfRule>
  </conditionalFormatting>
  <conditionalFormatting sqref="R129">
    <cfRule type="containsText" dxfId="2546" priority="5828" operator="containsText" text="FALSO">
      <formula>NOT(ISERROR(SEARCH("FALSO",R129)))</formula>
    </cfRule>
  </conditionalFormatting>
  <conditionalFormatting sqref="R127">
    <cfRule type="containsText" dxfId="2545" priority="5826" operator="containsText" text="FALSO">
      <formula>NOT(ISERROR(SEARCH("FALSO",R127)))</formula>
    </cfRule>
  </conditionalFormatting>
  <conditionalFormatting sqref="R101">
    <cfRule type="containsText" dxfId="2544" priority="5800" operator="containsText" text="FALSO">
      <formula>NOT(ISERROR(SEARCH("FALSO",R101)))</formula>
    </cfRule>
  </conditionalFormatting>
  <conditionalFormatting sqref="R168">
    <cfRule type="containsText" dxfId="2543" priority="5865" operator="containsText" text="FALSO">
      <formula>NOT(ISERROR(SEARCH("FALSO",R168)))</formula>
    </cfRule>
  </conditionalFormatting>
  <conditionalFormatting sqref="R154">
    <cfRule type="containsText" dxfId="2542" priority="5853" operator="containsText" text="FALSO">
      <formula>NOT(ISERROR(SEARCH("FALSO",R154)))</formula>
    </cfRule>
  </conditionalFormatting>
  <conditionalFormatting sqref="R167">
    <cfRule type="containsText" dxfId="2541" priority="5864" operator="containsText" text="FALSO">
      <formula>NOT(ISERROR(SEARCH("FALSO",R167)))</formula>
    </cfRule>
  </conditionalFormatting>
  <conditionalFormatting sqref="R166">
    <cfRule type="containsText" dxfId="2540" priority="5863" operator="containsText" text="FALSO">
      <formula>NOT(ISERROR(SEARCH("FALSO",R166)))</formula>
    </cfRule>
  </conditionalFormatting>
  <conditionalFormatting sqref="R165">
    <cfRule type="containsText" dxfId="2539" priority="5862" operator="containsText" text="FALSO">
      <formula>NOT(ISERROR(SEARCH("FALSO",R165)))</formula>
    </cfRule>
  </conditionalFormatting>
  <conditionalFormatting sqref="R164">
    <cfRule type="containsText" dxfId="2538" priority="5861" operator="containsText" text="FALSO">
      <formula>NOT(ISERROR(SEARCH("FALSO",R164)))</formula>
    </cfRule>
  </conditionalFormatting>
  <conditionalFormatting sqref="R163">
    <cfRule type="containsText" dxfId="2537" priority="5860" operator="containsText" text="FALSO">
      <formula>NOT(ISERROR(SEARCH("FALSO",R163)))</formula>
    </cfRule>
  </conditionalFormatting>
  <conditionalFormatting sqref="R162">
    <cfRule type="containsText" dxfId="2536" priority="5859" operator="containsText" text="FALSO">
      <formula>NOT(ISERROR(SEARCH("FALSO",R162)))</formula>
    </cfRule>
  </conditionalFormatting>
  <conditionalFormatting sqref="R161">
    <cfRule type="containsText" dxfId="2535" priority="5858" operator="containsText" text="FALSO">
      <formula>NOT(ISERROR(SEARCH("FALSO",R161)))</formula>
    </cfRule>
  </conditionalFormatting>
  <conditionalFormatting sqref="R160">
    <cfRule type="containsText" dxfId="2534" priority="5857" operator="containsText" text="FALSO">
      <formula>NOT(ISERROR(SEARCH("FALSO",R160)))</formula>
    </cfRule>
  </conditionalFormatting>
  <conditionalFormatting sqref="R159">
    <cfRule type="containsText" dxfId="2533" priority="5856" operator="containsText" text="FALSO">
      <formula>NOT(ISERROR(SEARCH("FALSO",R159)))</formula>
    </cfRule>
  </conditionalFormatting>
  <conditionalFormatting sqref="R158">
    <cfRule type="containsText" dxfId="2532" priority="5855" operator="containsText" text="FALSO">
      <formula>NOT(ISERROR(SEARCH("FALSO",R158)))</formula>
    </cfRule>
  </conditionalFormatting>
  <conditionalFormatting sqref="R156">
    <cfRule type="containsText" dxfId="2531" priority="5854" operator="containsText" text="FALSO">
      <formula>NOT(ISERROR(SEARCH("FALSO",R156)))</formula>
    </cfRule>
  </conditionalFormatting>
  <conditionalFormatting sqref="R157 R155">
    <cfRule type="containsText" dxfId="2530" priority="5866" operator="containsText" text="FALSO">
      <formula>NOT(ISERROR(SEARCH("FALSO",R155)))</formula>
    </cfRule>
  </conditionalFormatting>
  <conditionalFormatting sqref="R153">
    <cfRule type="containsText" dxfId="2529" priority="5852" operator="containsText" text="FALSO">
      <formula>NOT(ISERROR(SEARCH("FALSO",R153)))</formula>
    </cfRule>
  </conditionalFormatting>
  <conditionalFormatting sqref="R151">
    <cfRule type="containsText" dxfId="2528" priority="5850" operator="containsText" text="FALSO">
      <formula>NOT(ISERROR(SEARCH("FALSO",R151)))</formula>
    </cfRule>
  </conditionalFormatting>
  <conditionalFormatting sqref="R150">
    <cfRule type="containsText" dxfId="2527" priority="5849" operator="containsText" text="FALSO">
      <formula>NOT(ISERROR(SEARCH("FALSO",R150)))</formula>
    </cfRule>
  </conditionalFormatting>
  <conditionalFormatting sqref="R149">
    <cfRule type="containsText" dxfId="2526" priority="5848" operator="containsText" text="FALSO">
      <formula>NOT(ISERROR(SEARCH("FALSO",R149)))</formula>
    </cfRule>
  </conditionalFormatting>
  <conditionalFormatting sqref="R148">
    <cfRule type="containsText" dxfId="2525" priority="5847" operator="containsText" text="FALSO">
      <formula>NOT(ISERROR(SEARCH("FALSO",R148)))</formula>
    </cfRule>
  </conditionalFormatting>
  <conditionalFormatting sqref="R147">
    <cfRule type="containsText" dxfId="2524" priority="5846" operator="containsText" text="FALSO">
      <formula>NOT(ISERROR(SEARCH("FALSO",R147)))</formula>
    </cfRule>
  </conditionalFormatting>
  <conditionalFormatting sqref="R146">
    <cfRule type="containsText" dxfId="2523" priority="5845" operator="containsText" text="FALSO">
      <formula>NOT(ISERROR(SEARCH("FALSO",R146)))</formula>
    </cfRule>
  </conditionalFormatting>
  <conditionalFormatting sqref="R145">
    <cfRule type="containsText" dxfId="2522" priority="5844" operator="containsText" text="FALSO">
      <formula>NOT(ISERROR(SEARCH("FALSO",R145)))</formula>
    </cfRule>
  </conditionalFormatting>
  <conditionalFormatting sqref="R144">
    <cfRule type="containsText" dxfId="2521" priority="5843" operator="containsText" text="FALSO">
      <formula>NOT(ISERROR(SEARCH("FALSO",R144)))</formula>
    </cfRule>
  </conditionalFormatting>
  <conditionalFormatting sqref="R143">
    <cfRule type="containsText" dxfId="2520" priority="5842" operator="containsText" text="FALSO">
      <formula>NOT(ISERROR(SEARCH("FALSO",R143)))</formula>
    </cfRule>
  </conditionalFormatting>
  <conditionalFormatting sqref="R142">
    <cfRule type="containsText" dxfId="2519" priority="5841" operator="containsText" text="FALSO">
      <formula>NOT(ISERROR(SEARCH("FALSO",R142)))</formula>
    </cfRule>
  </conditionalFormatting>
  <conditionalFormatting sqref="R141">
    <cfRule type="containsText" dxfId="2518" priority="5840" operator="containsText" text="FALSO">
      <formula>NOT(ISERROR(SEARCH("FALSO",R141)))</formula>
    </cfRule>
  </conditionalFormatting>
  <conditionalFormatting sqref="R140">
    <cfRule type="containsText" dxfId="2517" priority="5839" operator="containsText" text="FALSO">
      <formula>NOT(ISERROR(SEARCH("FALSO",R140)))</formula>
    </cfRule>
  </conditionalFormatting>
  <conditionalFormatting sqref="R139">
    <cfRule type="containsText" dxfId="2516" priority="5838" operator="containsText" text="FALSO">
      <formula>NOT(ISERROR(SEARCH("FALSO",R139)))</formula>
    </cfRule>
  </conditionalFormatting>
  <conditionalFormatting sqref="R138">
    <cfRule type="containsText" dxfId="2515" priority="5837" operator="containsText" text="FALSO">
      <formula>NOT(ISERROR(SEARCH("FALSO",R138)))</formula>
    </cfRule>
  </conditionalFormatting>
  <conditionalFormatting sqref="R137">
    <cfRule type="containsText" dxfId="2514" priority="5836" operator="containsText" text="FALSO">
      <formula>NOT(ISERROR(SEARCH("FALSO",R137)))</formula>
    </cfRule>
  </conditionalFormatting>
  <conditionalFormatting sqref="R136">
    <cfRule type="containsText" dxfId="2513" priority="5835" operator="containsText" text="FALSO">
      <formula>NOT(ISERROR(SEARCH("FALSO",R136)))</formula>
    </cfRule>
  </conditionalFormatting>
  <conditionalFormatting sqref="R135">
    <cfRule type="containsText" dxfId="2512" priority="5834" operator="containsText" text="FALSO">
      <formula>NOT(ISERROR(SEARCH("FALSO",R135)))</formula>
    </cfRule>
  </conditionalFormatting>
  <conditionalFormatting sqref="R134">
    <cfRule type="containsText" dxfId="2511" priority="5833" operator="containsText" text="FALSO">
      <formula>NOT(ISERROR(SEARCH("FALSO",R134)))</formula>
    </cfRule>
  </conditionalFormatting>
  <conditionalFormatting sqref="R133">
    <cfRule type="containsText" dxfId="2510" priority="5832" operator="containsText" text="FALSO">
      <formula>NOT(ISERROR(SEARCH("FALSO",R133)))</formula>
    </cfRule>
  </conditionalFormatting>
  <conditionalFormatting sqref="R132">
    <cfRule type="containsText" dxfId="2509" priority="5831" operator="containsText" text="FALSO">
      <formula>NOT(ISERROR(SEARCH("FALSO",R132)))</formula>
    </cfRule>
  </conditionalFormatting>
  <conditionalFormatting sqref="R125">
    <cfRule type="containsText" dxfId="2508" priority="5824" operator="containsText" text="FALSO">
      <formula>NOT(ISERROR(SEARCH("FALSO",R125)))</formula>
    </cfRule>
  </conditionalFormatting>
  <conditionalFormatting sqref="R126">
    <cfRule type="containsText" dxfId="2507" priority="5825" operator="containsText" text="FALSO">
      <formula>NOT(ISERROR(SEARCH("FALSO",R126)))</formula>
    </cfRule>
  </conditionalFormatting>
  <conditionalFormatting sqref="R124">
    <cfRule type="containsText" dxfId="2506" priority="5823" operator="containsText" text="FALSO">
      <formula>NOT(ISERROR(SEARCH("FALSO",R124)))</formula>
    </cfRule>
  </conditionalFormatting>
  <conditionalFormatting sqref="R123">
    <cfRule type="containsText" dxfId="2505" priority="5822" operator="containsText" text="FALSO">
      <formula>NOT(ISERROR(SEARCH("FALSO",R123)))</formula>
    </cfRule>
  </conditionalFormatting>
  <conditionalFormatting sqref="R122">
    <cfRule type="containsText" dxfId="2504" priority="5821" operator="containsText" text="FALSO">
      <formula>NOT(ISERROR(SEARCH("FALSO",R122)))</formula>
    </cfRule>
  </conditionalFormatting>
  <conditionalFormatting sqref="R113">
    <cfRule type="containsText" dxfId="2503" priority="5820" operator="containsText" text="FALSO">
      <formula>NOT(ISERROR(SEARCH("FALSO",R113)))</formula>
    </cfRule>
  </conditionalFormatting>
  <conditionalFormatting sqref="R112">
    <cfRule type="containsText" dxfId="2502" priority="5819" operator="containsText" text="FALSO">
      <formula>NOT(ISERROR(SEARCH("FALSO",R112)))</formula>
    </cfRule>
  </conditionalFormatting>
  <conditionalFormatting sqref="R111">
    <cfRule type="containsText" dxfId="2501" priority="5818" operator="containsText" text="FALSO">
      <formula>NOT(ISERROR(SEARCH("FALSO",R111)))</formula>
    </cfRule>
  </conditionalFormatting>
  <conditionalFormatting sqref="R110">
    <cfRule type="containsText" dxfId="2500" priority="5817" operator="containsText" text="FALSO">
      <formula>NOT(ISERROR(SEARCH("FALSO",R110)))</formula>
    </cfRule>
  </conditionalFormatting>
  <conditionalFormatting sqref="R109">
    <cfRule type="containsText" dxfId="2499" priority="5816" operator="containsText" text="FALSO">
      <formula>NOT(ISERROR(SEARCH("FALSO",R109)))</formula>
    </cfRule>
  </conditionalFormatting>
  <conditionalFormatting sqref="R108">
    <cfRule type="containsText" dxfId="2498" priority="5815" operator="containsText" text="FALSO">
      <formula>NOT(ISERROR(SEARCH("FALSO",R108)))</formula>
    </cfRule>
  </conditionalFormatting>
  <conditionalFormatting sqref="R107">
    <cfRule type="containsText" dxfId="2497" priority="5814" operator="containsText" text="FALSO">
      <formula>NOT(ISERROR(SEARCH("FALSO",R107)))</formula>
    </cfRule>
  </conditionalFormatting>
  <conditionalFormatting sqref="R106">
    <cfRule type="containsText" dxfId="2496" priority="5813" operator="containsText" text="FALSO">
      <formula>NOT(ISERROR(SEARCH("FALSO",R106)))</formula>
    </cfRule>
  </conditionalFormatting>
  <conditionalFormatting sqref="R121">
    <cfRule type="containsText" dxfId="2495" priority="5812" operator="containsText" text="FALSO">
      <formula>NOT(ISERROR(SEARCH("FALSO",R121)))</formula>
    </cfRule>
  </conditionalFormatting>
  <conditionalFormatting sqref="R120">
    <cfRule type="containsText" dxfId="2494" priority="5811" operator="containsText" text="FALSO">
      <formula>NOT(ISERROR(SEARCH("FALSO",R120)))</formula>
    </cfRule>
  </conditionalFormatting>
  <conditionalFormatting sqref="R119">
    <cfRule type="containsText" dxfId="2493" priority="5810" operator="containsText" text="FALSO">
      <formula>NOT(ISERROR(SEARCH("FALSO",R119)))</formula>
    </cfRule>
  </conditionalFormatting>
  <conditionalFormatting sqref="R118">
    <cfRule type="containsText" dxfId="2492" priority="5809" operator="containsText" text="FALSO">
      <formula>NOT(ISERROR(SEARCH("FALSO",R118)))</formula>
    </cfRule>
  </conditionalFormatting>
  <conditionalFormatting sqref="R117">
    <cfRule type="containsText" dxfId="2491" priority="5808" operator="containsText" text="FALSO">
      <formula>NOT(ISERROR(SEARCH("FALSO",R117)))</formula>
    </cfRule>
  </conditionalFormatting>
  <conditionalFormatting sqref="R116">
    <cfRule type="containsText" dxfId="2490" priority="5807" operator="containsText" text="FALSO">
      <formula>NOT(ISERROR(SEARCH("FALSO",R116)))</formula>
    </cfRule>
  </conditionalFormatting>
  <conditionalFormatting sqref="R115">
    <cfRule type="containsText" dxfId="2489" priority="5806" operator="containsText" text="FALSO">
      <formula>NOT(ISERROR(SEARCH("FALSO",R115)))</formula>
    </cfRule>
  </conditionalFormatting>
  <conditionalFormatting sqref="R114">
    <cfRule type="containsText" dxfId="2488" priority="5805" operator="containsText" text="FALSO">
      <formula>NOT(ISERROR(SEARCH("FALSO",R114)))</formula>
    </cfRule>
  </conditionalFormatting>
  <conditionalFormatting sqref="R105">
    <cfRule type="containsText" dxfId="2487" priority="5804" operator="containsText" text="FALSO">
      <formula>NOT(ISERROR(SEARCH("FALSO",R105)))</formula>
    </cfRule>
  </conditionalFormatting>
  <conditionalFormatting sqref="R104">
    <cfRule type="containsText" dxfId="2486" priority="5803" operator="containsText" text="FALSO">
      <formula>NOT(ISERROR(SEARCH("FALSO",R104)))</formula>
    </cfRule>
  </conditionalFormatting>
  <conditionalFormatting sqref="R103">
    <cfRule type="containsText" dxfId="2485" priority="5802" operator="containsText" text="FALSO">
      <formula>NOT(ISERROR(SEARCH("FALSO",R103)))</formula>
    </cfRule>
  </conditionalFormatting>
  <conditionalFormatting sqref="R102">
    <cfRule type="containsText" dxfId="2484" priority="5801" operator="containsText" text="FALSO">
      <formula>NOT(ISERROR(SEARCH("FALSO",R102)))</formula>
    </cfRule>
  </conditionalFormatting>
  <conditionalFormatting sqref="R100">
    <cfRule type="containsText" dxfId="2483" priority="5799" operator="containsText" text="FALSO">
      <formula>NOT(ISERROR(SEARCH("FALSO",R100)))</formula>
    </cfRule>
  </conditionalFormatting>
  <conditionalFormatting sqref="R98:R99">
    <cfRule type="containsText" dxfId="2482" priority="5798" operator="containsText" text="FALSO">
      <formula>NOT(ISERROR(SEARCH("FALSO",R98)))</formula>
    </cfRule>
  </conditionalFormatting>
  <conditionalFormatting sqref="R97">
    <cfRule type="containsText" dxfId="2481" priority="5797" operator="containsText" text="FALSO">
      <formula>NOT(ISERROR(SEARCH("FALSO",R97)))</formula>
    </cfRule>
  </conditionalFormatting>
  <conditionalFormatting sqref="R95:R96">
    <cfRule type="containsText" dxfId="2480" priority="5796" operator="containsText" text="FALSO">
      <formula>NOT(ISERROR(SEARCH("FALSO",R95)))</formula>
    </cfRule>
  </conditionalFormatting>
  <conditionalFormatting sqref="R93:R94">
    <cfRule type="containsText" dxfId="2479" priority="5795" operator="containsText" text="FALSO">
      <formula>NOT(ISERROR(SEARCH("FALSO",R93)))</formula>
    </cfRule>
  </conditionalFormatting>
  <conditionalFormatting sqref="AK83:AM83 AP83 AS83">
    <cfRule type="containsText" dxfId="2478" priority="5038" operator="containsText" text="FALSO">
      <formula>NOT(ISERROR(SEARCH("FALSO",AK83)))</formula>
    </cfRule>
  </conditionalFormatting>
  <conditionalFormatting sqref="AT85:XFD85 S85 U85 W85">
    <cfRule type="containsText" dxfId="2477" priority="5072" operator="containsText" text="FALSO">
      <formula>NOT(ISERROR(SEARCH("FALSO",S85)))</formula>
    </cfRule>
  </conditionalFormatting>
  <conditionalFormatting sqref="A84:C84 P84 G84:L84">
    <cfRule type="containsText" dxfId="2476" priority="5058" operator="containsText" text="FALSO">
      <formula>NOT(ISERROR(SEARCH("FALSO",A84)))</formula>
    </cfRule>
  </conditionalFormatting>
  <conditionalFormatting sqref="AK85:AM85 AP85 AS85">
    <cfRule type="containsText" dxfId="2475" priority="5070" operator="containsText" text="FALSO">
      <formula>NOT(ISERROR(SEARCH("FALSO",AK85)))</formula>
    </cfRule>
  </conditionalFormatting>
  <conditionalFormatting sqref="AN85">
    <cfRule type="containsText" dxfId="2474" priority="5069" operator="containsText" text="FALSO">
      <formula>NOT(ISERROR(SEARCH("FALSO",AN85)))</formula>
    </cfRule>
  </conditionalFormatting>
  <conditionalFormatting sqref="AQ85">
    <cfRule type="containsText" dxfId="2473" priority="5068" operator="containsText" text="FALSO">
      <formula>NOT(ISERROR(SEARCH("FALSO",AQ85)))</formula>
    </cfRule>
  </conditionalFormatting>
  <conditionalFormatting sqref="AO85">
    <cfRule type="containsText" dxfId="2472" priority="5067" operator="containsText" text="FALSO">
      <formula>NOT(ISERROR(SEARCH("FALSO",AO85)))</formula>
    </cfRule>
  </conditionalFormatting>
  <conditionalFormatting sqref="AR85">
    <cfRule type="containsText" dxfId="2471" priority="5066" operator="containsText" text="FALSO">
      <formula>NOT(ISERROR(SEARCH("FALSO",AR85)))</formula>
    </cfRule>
  </conditionalFormatting>
  <conditionalFormatting sqref="R85">
    <cfRule type="containsText" dxfId="2470" priority="5065" operator="containsText" text="FALSO">
      <formula>NOT(ISERROR(SEARCH("FALSO",R85)))</formula>
    </cfRule>
  </conditionalFormatting>
  <conditionalFormatting sqref="A83:C83 P83 G83:L83">
    <cfRule type="containsText" dxfId="2469" priority="5042" operator="containsText" text="FALSO">
      <formula>NOT(ISERROR(SEARCH("FALSO",A83)))</formula>
    </cfRule>
  </conditionalFormatting>
  <conditionalFormatting sqref="AN83">
    <cfRule type="containsText" dxfId="2468" priority="5037" operator="containsText" text="FALSO">
      <formula>NOT(ISERROR(SEARCH("FALSO",AN83)))</formula>
    </cfRule>
  </conditionalFormatting>
  <conditionalFormatting sqref="AT84:XFD84 S84 U84 W84">
    <cfRule type="containsText" dxfId="2467" priority="5056" operator="containsText" text="FALSO">
      <formula>NOT(ISERROR(SEARCH("FALSO",S84)))</formula>
    </cfRule>
  </conditionalFormatting>
  <conditionalFormatting sqref="AK84:AM84 AP84 AS84">
    <cfRule type="containsText" dxfId="2466" priority="5054" operator="containsText" text="FALSO">
      <formula>NOT(ISERROR(SEARCH("FALSO",AK84)))</formula>
    </cfRule>
  </conditionalFormatting>
  <conditionalFormatting sqref="AN84">
    <cfRule type="containsText" dxfId="2465" priority="5053" operator="containsText" text="FALSO">
      <formula>NOT(ISERROR(SEARCH("FALSO",AN84)))</formula>
    </cfRule>
  </conditionalFormatting>
  <conditionalFormatting sqref="AQ84">
    <cfRule type="containsText" dxfId="2464" priority="5052" operator="containsText" text="FALSO">
      <formula>NOT(ISERROR(SEARCH("FALSO",AQ84)))</formula>
    </cfRule>
  </conditionalFormatting>
  <conditionalFormatting sqref="AO84">
    <cfRule type="containsText" dxfId="2463" priority="5051" operator="containsText" text="FALSO">
      <formula>NOT(ISERROR(SEARCH("FALSO",AO84)))</formula>
    </cfRule>
  </conditionalFormatting>
  <conditionalFormatting sqref="AR84">
    <cfRule type="containsText" dxfId="2462" priority="5050" operator="containsText" text="FALSO">
      <formula>NOT(ISERROR(SEARCH("FALSO",AR84)))</formula>
    </cfRule>
  </conditionalFormatting>
  <conditionalFormatting sqref="R84">
    <cfRule type="containsText" dxfId="2461" priority="5049" operator="containsText" text="FALSO">
      <formula>NOT(ISERROR(SEARCH("FALSO",R84)))</formula>
    </cfRule>
  </conditionalFormatting>
  <conditionalFormatting sqref="AT83:XFD83 S83 U83 W83">
    <cfRule type="containsText" dxfId="2460" priority="5040" operator="containsText" text="FALSO">
      <formula>NOT(ISERROR(SEARCH("FALSO",S83)))</formula>
    </cfRule>
  </conditionalFormatting>
  <conditionalFormatting sqref="AQ83">
    <cfRule type="containsText" dxfId="2459" priority="5036" operator="containsText" text="FALSO">
      <formula>NOT(ISERROR(SEARCH("FALSO",AQ83)))</formula>
    </cfRule>
  </conditionalFormatting>
  <conditionalFormatting sqref="AO83">
    <cfRule type="containsText" dxfId="2458" priority="5035" operator="containsText" text="FALSO">
      <formula>NOT(ISERROR(SEARCH("FALSO",AO83)))</formula>
    </cfRule>
  </conditionalFormatting>
  <conditionalFormatting sqref="AR83">
    <cfRule type="containsText" dxfId="2457" priority="5034" operator="containsText" text="FALSO">
      <formula>NOT(ISERROR(SEARCH("FALSO",AR83)))</formula>
    </cfRule>
  </conditionalFormatting>
  <conditionalFormatting sqref="R83">
    <cfRule type="containsText" dxfId="2456" priority="5033" operator="containsText" text="FALSO">
      <formula>NOT(ISERROR(SEARCH("FALSO",R83)))</formula>
    </cfRule>
  </conditionalFormatting>
  <conditionalFormatting sqref="A85:C85 P85 G85:L85">
    <cfRule type="containsText" dxfId="2455" priority="5074" operator="containsText" text="FALSO">
      <formula>NOT(ISERROR(SEARCH("FALSO",A85)))</formula>
    </cfRule>
  </conditionalFormatting>
  <conditionalFormatting sqref="AO91">
    <cfRule type="containsText" dxfId="2454" priority="5163" operator="containsText" text="FALSO">
      <formula>NOT(ISERROR(SEARCH("FALSO",AO91)))</formula>
    </cfRule>
  </conditionalFormatting>
  <conditionalFormatting sqref="A92:C92 P92 F92:L92">
    <cfRule type="containsText" dxfId="2453" priority="5186" operator="containsText" text="FALSO">
      <formula>NOT(ISERROR(SEARCH("FALSO",A92)))</formula>
    </cfRule>
  </conditionalFormatting>
  <conditionalFormatting sqref="AT92:XFD92 S92 U92 W92">
    <cfRule type="containsText" dxfId="2452" priority="5184" operator="containsText" text="FALSO">
      <formula>NOT(ISERROR(SEARCH("FALSO",S92)))</formula>
    </cfRule>
  </conditionalFormatting>
  <conditionalFormatting sqref="AK92:AM92 AP92 AS92">
    <cfRule type="containsText" dxfId="2451" priority="5182" operator="containsText" text="FALSO">
      <formula>NOT(ISERROR(SEARCH("FALSO",AK92)))</formula>
    </cfRule>
  </conditionalFormatting>
  <conditionalFormatting sqref="AN92">
    <cfRule type="containsText" dxfId="2450" priority="5181" operator="containsText" text="FALSO">
      <formula>NOT(ISERROR(SEARCH("FALSO",AN92)))</formula>
    </cfRule>
  </conditionalFormatting>
  <conditionalFormatting sqref="AQ92">
    <cfRule type="containsText" dxfId="2449" priority="5180" operator="containsText" text="FALSO">
      <formula>NOT(ISERROR(SEARCH("FALSO",AQ92)))</formula>
    </cfRule>
  </conditionalFormatting>
  <conditionalFormatting sqref="AO92">
    <cfRule type="containsText" dxfId="2448" priority="5179" operator="containsText" text="FALSO">
      <formula>NOT(ISERROR(SEARCH("FALSO",AO92)))</formula>
    </cfRule>
  </conditionalFormatting>
  <conditionalFormatting sqref="AR92">
    <cfRule type="containsText" dxfId="2447" priority="5178" operator="containsText" text="FALSO">
      <formula>NOT(ISERROR(SEARCH("FALSO",AR92)))</formula>
    </cfRule>
  </conditionalFormatting>
  <conditionalFormatting sqref="R92">
    <cfRule type="containsText" dxfId="2446" priority="5177" operator="containsText" text="FALSO">
      <formula>NOT(ISERROR(SEARCH("FALSO",R92)))</formula>
    </cfRule>
  </conditionalFormatting>
  <conditionalFormatting sqref="AR91">
    <cfRule type="containsText" dxfId="2445" priority="5162" operator="containsText" text="FALSO">
      <formula>NOT(ISERROR(SEARCH("FALSO",AR91)))</formula>
    </cfRule>
  </conditionalFormatting>
  <conditionalFormatting sqref="R91">
    <cfRule type="containsText" dxfId="2444" priority="5161" operator="containsText" text="FALSO">
      <formula>NOT(ISERROR(SEARCH("FALSO",R91)))</formula>
    </cfRule>
  </conditionalFormatting>
  <conditionalFormatting sqref="A91:C91 P91 F91:L91">
    <cfRule type="containsText" dxfId="2443" priority="5170" operator="containsText" text="FALSO">
      <formula>NOT(ISERROR(SEARCH("FALSO",A91)))</formula>
    </cfRule>
  </conditionalFormatting>
  <conditionalFormatting sqref="AT91:XFD91 S91 U91 W91">
    <cfRule type="containsText" dxfId="2442" priority="5168" operator="containsText" text="FALSO">
      <formula>NOT(ISERROR(SEARCH("FALSO",S91)))</formula>
    </cfRule>
  </conditionalFormatting>
  <conditionalFormatting sqref="AK91:AM91 AP91 AS91">
    <cfRule type="containsText" dxfId="2441" priority="5166" operator="containsText" text="FALSO">
      <formula>NOT(ISERROR(SEARCH("FALSO",AK91)))</formula>
    </cfRule>
  </conditionalFormatting>
  <conditionalFormatting sqref="AN91">
    <cfRule type="containsText" dxfId="2440" priority="5165" operator="containsText" text="FALSO">
      <formula>NOT(ISERROR(SEARCH("FALSO",AN91)))</formula>
    </cfRule>
  </conditionalFormatting>
  <conditionalFormatting sqref="AQ91">
    <cfRule type="containsText" dxfId="2439" priority="5164" operator="containsText" text="FALSO">
      <formula>NOT(ISERROR(SEARCH("FALSO",AQ91)))</formula>
    </cfRule>
  </conditionalFormatting>
  <conditionalFormatting sqref="G92">
    <cfRule type="duplicateValues" dxfId="2438" priority="5185"/>
  </conditionalFormatting>
  <conditionalFormatting sqref="G91">
    <cfRule type="duplicateValues" dxfId="2437" priority="5169"/>
  </conditionalFormatting>
  <conditionalFormatting sqref="A90:C90 P90 F81:F89 F90:L90">
    <cfRule type="containsText" dxfId="2436" priority="5154" operator="containsText" text="FALSO">
      <formula>NOT(ISERROR(SEARCH("FALSO",A81)))</formula>
    </cfRule>
  </conditionalFormatting>
  <conditionalFormatting sqref="AK90:AM90 AP90 AS90">
    <cfRule type="containsText" dxfId="2435" priority="5150" operator="containsText" text="FALSO">
      <formula>NOT(ISERROR(SEARCH("FALSO",AK90)))</formula>
    </cfRule>
  </conditionalFormatting>
  <conditionalFormatting sqref="AN90">
    <cfRule type="containsText" dxfId="2434" priority="5149" operator="containsText" text="FALSO">
      <formula>NOT(ISERROR(SEARCH("FALSO",AN90)))</formula>
    </cfRule>
  </conditionalFormatting>
  <conditionalFormatting sqref="AT90:XFD90 S90 U90 W90">
    <cfRule type="containsText" dxfId="2433" priority="5152" operator="containsText" text="FALSO">
      <formula>NOT(ISERROR(SEARCH("FALSO",S90)))</formula>
    </cfRule>
  </conditionalFormatting>
  <conditionalFormatting sqref="AQ90">
    <cfRule type="containsText" dxfId="2432" priority="5148" operator="containsText" text="FALSO">
      <formula>NOT(ISERROR(SEARCH("FALSO",AQ90)))</formula>
    </cfRule>
  </conditionalFormatting>
  <conditionalFormatting sqref="AO90">
    <cfRule type="containsText" dxfId="2431" priority="5147" operator="containsText" text="FALSO">
      <formula>NOT(ISERROR(SEARCH("FALSO",AO90)))</formula>
    </cfRule>
  </conditionalFormatting>
  <conditionalFormatting sqref="AR90">
    <cfRule type="containsText" dxfId="2430" priority="5146" operator="containsText" text="FALSO">
      <formula>NOT(ISERROR(SEARCH("FALSO",AR90)))</formula>
    </cfRule>
  </conditionalFormatting>
  <conditionalFormatting sqref="G90">
    <cfRule type="duplicateValues" dxfId="2429" priority="5153"/>
  </conditionalFormatting>
  <conditionalFormatting sqref="R90">
    <cfRule type="containsText" dxfId="2428" priority="5145" operator="containsText" text="FALSO">
      <formula>NOT(ISERROR(SEARCH("FALSO",R90)))</formula>
    </cfRule>
  </conditionalFormatting>
  <conditionalFormatting sqref="A89:C89 P89 G89:L89">
    <cfRule type="containsText" dxfId="2427" priority="5138" operator="containsText" text="FALSO">
      <formula>NOT(ISERROR(SEARCH("FALSO",A89)))</formula>
    </cfRule>
  </conditionalFormatting>
  <conditionalFormatting sqref="AK89:AM89 AP89 AS89">
    <cfRule type="containsText" dxfId="2426" priority="5134" operator="containsText" text="FALSO">
      <formula>NOT(ISERROR(SEARCH("FALSO",AK89)))</formula>
    </cfRule>
  </conditionalFormatting>
  <conditionalFormatting sqref="AN89">
    <cfRule type="containsText" dxfId="2425" priority="5133" operator="containsText" text="FALSO">
      <formula>NOT(ISERROR(SEARCH("FALSO",AN89)))</formula>
    </cfRule>
  </conditionalFormatting>
  <conditionalFormatting sqref="AT89:XFD89 S89 U89 W89">
    <cfRule type="containsText" dxfId="2424" priority="5136" operator="containsText" text="FALSO">
      <formula>NOT(ISERROR(SEARCH("FALSO",S89)))</formula>
    </cfRule>
  </conditionalFormatting>
  <conditionalFormatting sqref="AQ89">
    <cfRule type="containsText" dxfId="2423" priority="5132" operator="containsText" text="FALSO">
      <formula>NOT(ISERROR(SEARCH("FALSO",AQ89)))</formula>
    </cfRule>
  </conditionalFormatting>
  <conditionalFormatting sqref="AO89">
    <cfRule type="containsText" dxfId="2422" priority="5131" operator="containsText" text="FALSO">
      <formula>NOT(ISERROR(SEARCH("FALSO",AO89)))</formula>
    </cfRule>
  </conditionalFormatting>
  <conditionalFormatting sqref="AR89">
    <cfRule type="containsText" dxfId="2421" priority="5130" operator="containsText" text="FALSO">
      <formula>NOT(ISERROR(SEARCH("FALSO",AR89)))</formula>
    </cfRule>
  </conditionalFormatting>
  <conditionalFormatting sqref="G89">
    <cfRule type="duplicateValues" dxfId="2420" priority="5137"/>
  </conditionalFormatting>
  <conditionalFormatting sqref="R89">
    <cfRule type="containsText" dxfId="2419" priority="5129" operator="containsText" text="FALSO">
      <formula>NOT(ISERROR(SEARCH("FALSO",R89)))</formula>
    </cfRule>
  </conditionalFormatting>
  <conditionalFormatting sqref="A88:C88 P88 G88:L88">
    <cfRule type="containsText" dxfId="2418" priority="5122" operator="containsText" text="FALSO">
      <formula>NOT(ISERROR(SEARCH("FALSO",A88)))</formula>
    </cfRule>
  </conditionalFormatting>
  <conditionalFormatting sqref="AK88:AM88 AP88 AS88">
    <cfRule type="containsText" dxfId="2417" priority="5118" operator="containsText" text="FALSO">
      <formula>NOT(ISERROR(SEARCH("FALSO",AK88)))</formula>
    </cfRule>
  </conditionalFormatting>
  <conditionalFormatting sqref="AN88">
    <cfRule type="containsText" dxfId="2416" priority="5117" operator="containsText" text="FALSO">
      <formula>NOT(ISERROR(SEARCH("FALSO",AN88)))</formula>
    </cfRule>
  </conditionalFormatting>
  <conditionalFormatting sqref="AT88:XFD88 S88 U88 W88">
    <cfRule type="containsText" dxfId="2415" priority="5120" operator="containsText" text="FALSO">
      <formula>NOT(ISERROR(SEARCH("FALSO",S88)))</formula>
    </cfRule>
  </conditionalFormatting>
  <conditionalFormatting sqref="AQ88">
    <cfRule type="containsText" dxfId="2414" priority="5116" operator="containsText" text="FALSO">
      <formula>NOT(ISERROR(SEARCH("FALSO",AQ88)))</formula>
    </cfRule>
  </conditionalFormatting>
  <conditionalFormatting sqref="AO88">
    <cfRule type="containsText" dxfId="2413" priority="5115" operator="containsText" text="FALSO">
      <formula>NOT(ISERROR(SEARCH("FALSO",AO88)))</formula>
    </cfRule>
  </conditionalFormatting>
  <conditionalFormatting sqref="AR88">
    <cfRule type="containsText" dxfId="2412" priority="5114" operator="containsText" text="FALSO">
      <formula>NOT(ISERROR(SEARCH("FALSO",AR88)))</formula>
    </cfRule>
  </conditionalFormatting>
  <conditionalFormatting sqref="G88">
    <cfRule type="duplicateValues" dxfId="2411" priority="5121"/>
  </conditionalFormatting>
  <conditionalFormatting sqref="R88">
    <cfRule type="containsText" dxfId="2410" priority="5113" operator="containsText" text="FALSO">
      <formula>NOT(ISERROR(SEARCH("FALSO",R88)))</formula>
    </cfRule>
  </conditionalFormatting>
  <conditionalFormatting sqref="A87:C87 P87 G87:L87">
    <cfRule type="containsText" dxfId="2409" priority="5106" operator="containsText" text="FALSO">
      <formula>NOT(ISERROR(SEARCH("FALSO",A87)))</formula>
    </cfRule>
  </conditionalFormatting>
  <conditionalFormatting sqref="AK87:AM87 AP87 AS87">
    <cfRule type="containsText" dxfId="2408" priority="5102" operator="containsText" text="FALSO">
      <formula>NOT(ISERROR(SEARCH("FALSO",AK87)))</formula>
    </cfRule>
  </conditionalFormatting>
  <conditionalFormatting sqref="AN87">
    <cfRule type="containsText" dxfId="2407" priority="5101" operator="containsText" text="FALSO">
      <formula>NOT(ISERROR(SEARCH("FALSO",AN87)))</formula>
    </cfRule>
  </conditionalFormatting>
  <conditionalFormatting sqref="AT87:XFD87 S87 U87 W87">
    <cfRule type="containsText" dxfId="2406" priority="5104" operator="containsText" text="FALSO">
      <formula>NOT(ISERROR(SEARCH("FALSO",S87)))</formula>
    </cfRule>
  </conditionalFormatting>
  <conditionalFormatting sqref="AQ87">
    <cfRule type="containsText" dxfId="2405" priority="5100" operator="containsText" text="FALSO">
      <formula>NOT(ISERROR(SEARCH("FALSO",AQ87)))</formula>
    </cfRule>
  </conditionalFormatting>
  <conditionalFormatting sqref="AO87">
    <cfRule type="containsText" dxfId="2404" priority="5099" operator="containsText" text="FALSO">
      <formula>NOT(ISERROR(SEARCH("FALSO",AO87)))</formula>
    </cfRule>
  </conditionalFormatting>
  <conditionalFormatting sqref="AR87">
    <cfRule type="containsText" dxfId="2403" priority="5098" operator="containsText" text="FALSO">
      <formula>NOT(ISERROR(SEARCH("FALSO",AR87)))</formula>
    </cfRule>
  </conditionalFormatting>
  <conditionalFormatting sqref="G87">
    <cfRule type="duplicateValues" dxfId="2402" priority="5105"/>
  </conditionalFormatting>
  <conditionalFormatting sqref="R87">
    <cfRule type="containsText" dxfId="2401" priority="5097" operator="containsText" text="FALSO">
      <formula>NOT(ISERROR(SEARCH("FALSO",R87)))</formula>
    </cfRule>
  </conditionalFormatting>
  <conditionalFormatting sqref="AR86">
    <cfRule type="containsText" dxfId="2400" priority="5082" operator="containsText" text="FALSO">
      <formula>NOT(ISERROR(SEARCH("FALSO",AR86)))</formula>
    </cfRule>
  </conditionalFormatting>
  <conditionalFormatting sqref="A86:C86 P86 G86:L86">
    <cfRule type="containsText" dxfId="2399" priority="5090" operator="containsText" text="FALSO">
      <formula>NOT(ISERROR(SEARCH("FALSO",A86)))</formula>
    </cfRule>
  </conditionalFormatting>
  <conditionalFormatting sqref="AK86:AM86 AP86 AS86">
    <cfRule type="containsText" dxfId="2398" priority="5086" operator="containsText" text="FALSO">
      <formula>NOT(ISERROR(SEARCH("FALSO",AK86)))</formula>
    </cfRule>
  </conditionalFormatting>
  <conditionalFormatting sqref="AN86">
    <cfRule type="containsText" dxfId="2397" priority="5085" operator="containsText" text="FALSO">
      <formula>NOT(ISERROR(SEARCH("FALSO",AN86)))</formula>
    </cfRule>
  </conditionalFormatting>
  <conditionalFormatting sqref="AT86:XFD86 S86 U86 W86">
    <cfRule type="containsText" dxfId="2396" priority="5088" operator="containsText" text="FALSO">
      <formula>NOT(ISERROR(SEARCH("FALSO",S86)))</formula>
    </cfRule>
  </conditionalFormatting>
  <conditionalFormatting sqref="AQ86">
    <cfRule type="containsText" dxfId="2395" priority="5084" operator="containsText" text="FALSO">
      <formula>NOT(ISERROR(SEARCH("FALSO",AQ86)))</formula>
    </cfRule>
  </conditionalFormatting>
  <conditionalFormatting sqref="AO86">
    <cfRule type="containsText" dxfId="2394" priority="5083" operator="containsText" text="FALSO">
      <formula>NOT(ISERROR(SEARCH("FALSO",AO86)))</formula>
    </cfRule>
  </conditionalFormatting>
  <conditionalFormatting sqref="G86">
    <cfRule type="duplicateValues" dxfId="2393" priority="5089"/>
  </conditionalFormatting>
  <conditionalFormatting sqref="R86">
    <cfRule type="containsText" dxfId="2392" priority="5081" operator="containsText" text="FALSO">
      <formula>NOT(ISERROR(SEARCH("FALSO",R86)))</formula>
    </cfRule>
  </conditionalFormatting>
  <conditionalFormatting sqref="G85">
    <cfRule type="duplicateValues" dxfId="2391" priority="5073"/>
  </conditionalFormatting>
  <conditionalFormatting sqref="G84">
    <cfRule type="duplicateValues" dxfId="2390" priority="5057"/>
  </conditionalFormatting>
  <conditionalFormatting sqref="G83">
    <cfRule type="duplicateValues" dxfId="2389" priority="5041"/>
  </conditionalFormatting>
  <conditionalFormatting sqref="AR82">
    <cfRule type="containsText" dxfId="2388" priority="5018" operator="containsText" text="FALSO">
      <formula>NOT(ISERROR(SEARCH("FALSO",AR82)))</formula>
    </cfRule>
  </conditionalFormatting>
  <conditionalFormatting sqref="A82:C82 P82 G82:L82">
    <cfRule type="containsText" dxfId="2387" priority="5026" operator="containsText" text="FALSO">
      <formula>NOT(ISERROR(SEARCH("FALSO",A82)))</formula>
    </cfRule>
  </conditionalFormatting>
  <conditionalFormatting sqref="AK82:AM82 AP82 AS82">
    <cfRule type="containsText" dxfId="2386" priority="5022" operator="containsText" text="FALSO">
      <formula>NOT(ISERROR(SEARCH("FALSO",AK82)))</formula>
    </cfRule>
  </conditionalFormatting>
  <conditionalFormatting sqref="AN82">
    <cfRule type="containsText" dxfId="2385" priority="5021" operator="containsText" text="FALSO">
      <formula>NOT(ISERROR(SEARCH("FALSO",AN82)))</formula>
    </cfRule>
  </conditionalFormatting>
  <conditionalFormatting sqref="AT82:XFD82 S82 U82 W82">
    <cfRule type="containsText" dxfId="2384" priority="5024" operator="containsText" text="FALSO">
      <formula>NOT(ISERROR(SEARCH("FALSO",S82)))</formula>
    </cfRule>
  </conditionalFormatting>
  <conditionalFormatting sqref="AQ82">
    <cfRule type="containsText" dxfId="2383" priority="5020" operator="containsText" text="FALSO">
      <formula>NOT(ISERROR(SEARCH("FALSO",AQ82)))</formula>
    </cfRule>
  </conditionalFormatting>
  <conditionalFormatting sqref="AO82">
    <cfRule type="containsText" dxfId="2382" priority="5019" operator="containsText" text="FALSO">
      <formula>NOT(ISERROR(SEARCH("FALSO",AO82)))</formula>
    </cfRule>
  </conditionalFormatting>
  <conditionalFormatting sqref="G82">
    <cfRule type="duplicateValues" dxfId="2381" priority="5025"/>
  </conditionalFormatting>
  <conditionalFormatting sqref="R82">
    <cfRule type="containsText" dxfId="2380" priority="5017" operator="containsText" text="FALSO">
      <formula>NOT(ISERROR(SEARCH("FALSO",R82)))</formula>
    </cfRule>
  </conditionalFormatting>
  <conditionalFormatting sqref="AR81">
    <cfRule type="containsText" dxfId="2379" priority="5002" operator="containsText" text="FALSO">
      <formula>NOT(ISERROR(SEARCH("FALSO",AR81)))</formula>
    </cfRule>
  </conditionalFormatting>
  <conditionalFormatting sqref="A81:C81 G81:L81">
    <cfRule type="containsText" dxfId="2378" priority="5010" operator="containsText" text="FALSO">
      <formula>NOT(ISERROR(SEARCH("FALSO",A81)))</formula>
    </cfRule>
  </conditionalFormatting>
  <conditionalFormatting sqref="AK81:AM81 AP81 AS81">
    <cfRule type="containsText" dxfId="2377" priority="5006" operator="containsText" text="FALSO">
      <formula>NOT(ISERROR(SEARCH("FALSO",AK81)))</formula>
    </cfRule>
  </conditionalFormatting>
  <conditionalFormatting sqref="AN81">
    <cfRule type="containsText" dxfId="2376" priority="5005" operator="containsText" text="FALSO">
      <formula>NOT(ISERROR(SEARCH("FALSO",AN81)))</formula>
    </cfRule>
  </conditionalFormatting>
  <conditionalFormatting sqref="AT81:XFD81 S81 U81 W81">
    <cfRule type="containsText" dxfId="2375" priority="5008" operator="containsText" text="FALSO">
      <formula>NOT(ISERROR(SEARCH("FALSO",S81)))</formula>
    </cfRule>
  </conditionalFormatting>
  <conditionalFormatting sqref="AQ81">
    <cfRule type="containsText" dxfId="2374" priority="5004" operator="containsText" text="FALSO">
      <formula>NOT(ISERROR(SEARCH("FALSO",AQ81)))</formula>
    </cfRule>
  </conditionalFormatting>
  <conditionalFormatting sqref="AO81">
    <cfRule type="containsText" dxfId="2373" priority="5003" operator="containsText" text="FALSO">
      <formula>NOT(ISERROR(SEARCH("FALSO",AO81)))</formula>
    </cfRule>
  </conditionalFormatting>
  <conditionalFormatting sqref="G81">
    <cfRule type="duplicateValues" dxfId="2372" priority="5009"/>
  </conditionalFormatting>
  <conditionalFormatting sqref="R81">
    <cfRule type="containsText" dxfId="2371" priority="5001" operator="containsText" text="FALSO">
      <formula>NOT(ISERROR(SEARCH("FALSO",R81)))</formula>
    </cfRule>
  </conditionalFormatting>
  <conditionalFormatting sqref="Y81:Z93">
    <cfRule type="containsText" dxfId="2370" priority="4994" operator="containsText" text="FALSO">
      <formula>NOT(ISERROR(SEARCH("FALSO",Y81)))</formula>
    </cfRule>
  </conditionalFormatting>
  <conditionalFormatting sqref="Y78:Z78 AK78:XFD78 A78:C78 S78 U78 W78 N78:P78 F78:L78">
    <cfRule type="containsText" dxfId="2369" priority="4716" operator="containsText" text="FALSO">
      <formula>NOT(ISERROR(SEARCH("FALSO",A78)))</formula>
    </cfRule>
  </conditionalFormatting>
  <conditionalFormatting sqref="Y77:Z77 AK77:XFD77 A77:C77 W77 N77:P77 R77:S77 F77:L77 U77">
    <cfRule type="containsText" dxfId="2368" priority="4708" operator="containsText" text="FALSO">
      <formula>NOT(ISERROR(SEARCH("FALSO",A77)))</formula>
    </cfRule>
  </conditionalFormatting>
  <conditionalFormatting sqref="Y76:Z76 AK76:XFD76 W76 A76:C76 F76:L76 D713:E843 D847:E1063 D1123:E1134 D1066:E1121 U76">
    <cfRule type="containsText" dxfId="2367" priority="4700" operator="containsText" text="FALSO">
      <formula>NOT(ISERROR(SEARCH("FALSO",A76)))</formula>
    </cfRule>
  </conditionalFormatting>
  <conditionalFormatting sqref="R79">
    <cfRule type="containsText" dxfId="2366" priority="4693" operator="containsText" text="FALSO">
      <formula>NOT(ISERROR(SEARCH("FALSO",R79)))</formula>
    </cfRule>
  </conditionalFormatting>
  <conditionalFormatting sqref="R78">
    <cfRule type="containsText" dxfId="2365" priority="4692" operator="containsText" text="FALSO">
      <formula>NOT(ISERROR(SEARCH("FALSO",R78)))</formula>
    </cfRule>
  </conditionalFormatting>
  <conditionalFormatting sqref="Y79:Z79 AK79:XFD79 A79:C79 S79 U79 W79 N79:P79 F79:L79">
    <cfRule type="containsText" dxfId="2364" priority="4724" operator="containsText" text="FALSO">
      <formula>NOT(ISERROR(SEARCH("FALSO",A79)))</formula>
    </cfRule>
  </conditionalFormatting>
  <conditionalFormatting sqref="F172">
    <cfRule type="containsText" dxfId="2363" priority="4846" operator="containsText" text="FALSO">
      <formula>NOT(ISERROR(SEARCH("FALSO",F172)))</formula>
    </cfRule>
  </conditionalFormatting>
  <conditionalFormatting sqref="F173">
    <cfRule type="containsText" dxfId="2362" priority="4845" operator="containsText" text="FALSO">
      <formula>NOT(ISERROR(SEARCH("FALSO",F173)))</formula>
    </cfRule>
  </conditionalFormatting>
  <conditionalFormatting sqref="F174">
    <cfRule type="containsText" dxfId="2361" priority="4844" operator="containsText" text="FALSO">
      <formula>NOT(ISERROR(SEARCH("FALSO",F174)))</formula>
    </cfRule>
  </conditionalFormatting>
  <conditionalFormatting sqref="Y80:Z80 AK80:XFD80 A80:C80 R80:S80 F80:L80 U80 W80 N80:P80">
    <cfRule type="containsText" dxfId="2360" priority="4828" operator="containsText" text="FALSO">
      <formula>NOT(ISERROR(SEARCH("FALSO",A80)))</formula>
    </cfRule>
  </conditionalFormatting>
  <conditionalFormatting sqref="G80">
    <cfRule type="duplicateValues" dxfId="2359" priority="4829"/>
  </conditionalFormatting>
  <conditionalFormatting sqref="G79">
    <cfRule type="duplicateValues" dxfId="2358" priority="4725"/>
  </conditionalFormatting>
  <conditionalFormatting sqref="G78">
    <cfRule type="duplicateValues" dxfId="2357" priority="4717"/>
  </conditionalFormatting>
  <conditionalFormatting sqref="G77">
    <cfRule type="duplicateValues" dxfId="2356" priority="4709"/>
  </conditionalFormatting>
  <conditionalFormatting sqref="G76">
    <cfRule type="duplicateValues" dxfId="2355" priority="4701"/>
  </conditionalFormatting>
  <conditionalFormatting sqref="D3:E3">
    <cfRule type="containsText" dxfId="2354" priority="4679" operator="containsText" text="FALSO">
      <formula>NOT(ISERROR(SEARCH("FALSO",D3)))</formula>
    </cfRule>
  </conditionalFormatting>
  <conditionalFormatting sqref="D76:E76">
    <cfRule type="containsText" dxfId="2353" priority="4678" operator="containsText" text="FALSO">
      <formula>NOT(ISERROR(SEARCH("FALSO",D76)))</formula>
    </cfRule>
  </conditionalFormatting>
  <conditionalFormatting sqref="D77:E77">
    <cfRule type="containsText" dxfId="2352" priority="4677" operator="containsText" text="FALSO">
      <formula>NOT(ISERROR(SEARCH("FALSO",D77)))</formula>
    </cfRule>
  </conditionalFormatting>
  <conditionalFormatting sqref="D78:E78">
    <cfRule type="containsText" dxfId="2351" priority="4676" operator="containsText" text="FALSO">
      <formula>NOT(ISERROR(SEARCH("FALSO",D78)))</formula>
    </cfRule>
  </conditionalFormatting>
  <conditionalFormatting sqref="D79:E79">
    <cfRule type="containsText" dxfId="2350" priority="4675" operator="containsText" text="FALSO">
      <formula>NOT(ISERROR(SEARCH("FALSO",D79)))</formula>
    </cfRule>
  </conditionalFormatting>
  <conditionalFormatting sqref="D711:E711">
    <cfRule type="containsText" dxfId="2349" priority="4674" operator="containsText" text="FALSO">
      <formula>NOT(ISERROR(SEARCH("FALSO",D711)))</formula>
    </cfRule>
  </conditionalFormatting>
  <conditionalFormatting sqref="D712:E712">
    <cfRule type="containsText" dxfId="2348" priority="4673" operator="containsText" text="FALSO">
      <formula>NOT(ISERROR(SEARCH("FALSO",D712)))</formula>
    </cfRule>
  </conditionalFormatting>
  <conditionalFormatting sqref="D844:E844">
    <cfRule type="containsText" dxfId="2347" priority="4672" operator="containsText" text="FALSO">
      <formula>NOT(ISERROR(SEARCH("FALSO",D844)))</formula>
    </cfRule>
  </conditionalFormatting>
  <conditionalFormatting sqref="D845:E845">
    <cfRule type="containsText" dxfId="2346" priority="4671" operator="containsText" text="FALSO">
      <formula>NOT(ISERROR(SEARCH("FALSO",D845)))</formula>
    </cfRule>
  </conditionalFormatting>
  <conditionalFormatting sqref="D846:E846">
    <cfRule type="containsText" dxfId="2345" priority="4670" operator="containsText" text="FALSO">
      <formula>NOT(ISERROR(SEARCH("FALSO",D846)))</formula>
    </cfRule>
  </conditionalFormatting>
  <conditionalFormatting sqref="D1064:E1064">
    <cfRule type="containsText" dxfId="2344" priority="4669" operator="containsText" text="FALSO">
      <formula>NOT(ISERROR(SEARCH("FALSO",D1064)))</formula>
    </cfRule>
  </conditionalFormatting>
  <conditionalFormatting sqref="D1065:E1065">
    <cfRule type="containsText" dxfId="2343" priority="4668" operator="containsText" text="FALSO">
      <formula>NOT(ISERROR(SEARCH("FALSO",D1065)))</formula>
    </cfRule>
  </conditionalFormatting>
  <conditionalFormatting sqref="D1122:E1122">
    <cfRule type="containsText" dxfId="2342" priority="4667" operator="containsText" text="FALSO">
      <formula>NOT(ISERROR(SEARCH("FALSO",D1122)))</formula>
    </cfRule>
  </conditionalFormatting>
  <conditionalFormatting sqref="N62:P62 R62:S62">
    <cfRule type="containsText" dxfId="2341" priority="4232" operator="containsText" text="FALSO">
      <formula>NOT(ISERROR(SEARCH("FALSO",N62)))</formula>
    </cfRule>
  </conditionalFormatting>
  <conditionalFormatting sqref="N63:P63 R63:S63">
    <cfRule type="containsText" dxfId="2340" priority="4245" operator="containsText" text="FALSO">
      <formula>NOT(ISERROR(SEARCH("FALSO",N63)))</formula>
    </cfRule>
  </conditionalFormatting>
  <conditionalFormatting sqref="Y63:Z63 AK63:XFD63 W63 A63:C63 F63:L63 U63">
    <cfRule type="containsText" dxfId="2339" priority="4243" operator="containsText" text="FALSO">
      <formula>NOT(ISERROR(SEARCH("FALSO",A63)))</formula>
    </cfRule>
  </conditionalFormatting>
  <conditionalFormatting sqref="Y62:Z62 AK62:XFD62 W62 A62:C62 F62:L62 U62">
    <cfRule type="containsText" dxfId="2338" priority="4230" operator="containsText" text="FALSO">
      <formula>NOT(ISERROR(SEARCH("FALSO",A62)))</formula>
    </cfRule>
  </conditionalFormatting>
  <conditionalFormatting sqref="N70:P70 R70:S70">
    <cfRule type="containsText" dxfId="2337" priority="4336" operator="containsText" text="FALSO">
      <formula>NOT(ISERROR(SEARCH("FALSO",N70)))</formula>
    </cfRule>
  </conditionalFormatting>
  <conditionalFormatting sqref="Y70:Z70 AK70:XFD70 W70 A70:C70 F70:L70 U70">
    <cfRule type="containsText" dxfId="2336" priority="4334" operator="containsText" text="FALSO">
      <formula>NOT(ISERROR(SEARCH("FALSO",A70)))</formula>
    </cfRule>
  </conditionalFormatting>
  <conditionalFormatting sqref="N69:P69 R69:S69">
    <cfRule type="containsText" dxfId="2335" priority="4323" operator="containsText" text="FALSO">
      <formula>NOT(ISERROR(SEARCH("FALSO",N69)))</formula>
    </cfRule>
  </conditionalFormatting>
  <conditionalFormatting sqref="Y69:Z69 AK69:XFD69 W69 A69:C69 F69:L69 U69">
    <cfRule type="containsText" dxfId="2334" priority="4321" operator="containsText" text="FALSO">
      <formula>NOT(ISERROR(SEARCH("FALSO",A69)))</formula>
    </cfRule>
  </conditionalFormatting>
  <conditionalFormatting sqref="N68:P68 R68:S68">
    <cfRule type="containsText" dxfId="2333" priority="4310" operator="containsText" text="FALSO">
      <formula>NOT(ISERROR(SEARCH("FALSO",N68)))</formula>
    </cfRule>
  </conditionalFormatting>
  <conditionalFormatting sqref="Y68:Z68 AK68:XFD68 W68 A68:C68 F68:L68 U68">
    <cfRule type="containsText" dxfId="2332" priority="4308" operator="containsText" text="FALSO">
      <formula>NOT(ISERROR(SEARCH("FALSO",A68)))</formula>
    </cfRule>
  </conditionalFormatting>
  <conditionalFormatting sqref="N67:P67 R67:S67">
    <cfRule type="containsText" dxfId="2331" priority="4297" operator="containsText" text="FALSO">
      <formula>NOT(ISERROR(SEARCH("FALSO",N67)))</formula>
    </cfRule>
  </conditionalFormatting>
  <conditionalFormatting sqref="Y67:Z67 AK67:XFD67 W67 A67:C67 F67:L67 U67">
    <cfRule type="containsText" dxfId="2330" priority="4295" operator="containsText" text="FALSO">
      <formula>NOT(ISERROR(SEARCH("FALSO",A67)))</formula>
    </cfRule>
  </conditionalFormatting>
  <conditionalFormatting sqref="N75:P75 R75:S75">
    <cfRule type="containsText" dxfId="2329" priority="4414" operator="containsText" text="FALSO">
      <formula>NOT(ISERROR(SEARCH("FALSO",N75)))</formula>
    </cfRule>
  </conditionalFormatting>
  <conditionalFormatting sqref="Y75:Z75 AK75:XFD75 W75 A75:C75 F75:L75 U75">
    <cfRule type="containsText" dxfId="2328" priority="4412" operator="containsText" text="FALSO">
      <formula>NOT(ISERROR(SEARCH("FALSO",A75)))</formula>
    </cfRule>
  </conditionalFormatting>
  <conditionalFormatting sqref="G75">
    <cfRule type="duplicateValues" dxfId="2327" priority="4413"/>
  </conditionalFormatting>
  <conditionalFormatting sqref="Y51:Z51 AK51:AM51 W51 A51:C51 F51:L51 U51 AP51 AS51:XFD51">
    <cfRule type="containsText" dxfId="2326" priority="3989" operator="containsText" text="FALSO">
      <formula>NOT(ISERROR(SEARCH("FALSO",A51)))</formula>
    </cfRule>
  </conditionalFormatting>
  <conditionalFormatting sqref="N74:P74 R74:S74">
    <cfRule type="containsText" dxfId="2325" priority="4401" operator="containsText" text="FALSO">
      <formula>NOT(ISERROR(SEARCH("FALSO",N74)))</formula>
    </cfRule>
  </conditionalFormatting>
  <conditionalFormatting sqref="Y74:Z74 AK74:XFD74 W74 A74:C74 F74:L74 U74">
    <cfRule type="containsText" dxfId="2324" priority="4399" operator="containsText" text="FALSO">
      <formula>NOT(ISERROR(SEARCH("FALSO",A74)))</formula>
    </cfRule>
  </conditionalFormatting>
  <conditionalFormatting sqref="G74">
    <cfRule type="duplicateValues" dxfId="2323" priority="4400"/>
  </conditionalFormatting>
  <conditionalFormatting sqref="N71:P71 R71:S71">
    <cfRule type="containsText" dxfId="2322" priority="4349" operator="containsText" text="FALSO">
      <formula>NOT(ISERROR(SEARCH("FALSO",N71)))</formula>
    </cfRule>
  </conditionalFormatting>
  <conditionalFormatting sqref="N73:P73 R73:S73">
    <cfRule type="containsText" dxfId="2321" priority="4388" operator="containsText" text="FALSO">
      <formula>NOT(ISERROR(SEARCH("FALSO",N73)))</formula>
    </cfRule>
  </conditionalFormatting>
  <conditionalFormatting sqref="Y73:Z73 AK73:XFD73 W73 A73:C73 F73:L73 U73">
    <cfRule type="containsText" dxfId="2320" priority="4386" operator="containsText" text="FALSO">
      <formula>NOT(ISERROR(SEARCH("FALSO",A73)))</formula>
    </cfRule>
  </conditionalFormatting>
  <conditionalFormatting sqref="G73">
    <cfRule type="duplicateValues" dxfId="2319" priority="4387"/>
  </conditionalFormatting>
  <conditionalFormatting sqref="N72:P72 R72:S72">
    <cfRule type="containsText" dxfId="2318" priority="4375" operator="containsText" text="FALSO">
      <formula>NOT(ISERROR(SEARCH("FALSO",N72)))</formula>
    </cfRule>
  </conditionalFormatting>
  <conditionalFormatting sqref="Y72:Z72 AK72:XFD72 W72 A72:C72 F72:L72 U72">
    <cfRule type="containsText" dxfId="2317" priority="4373" operator="containsText" text="FALSO">
      <formula>NOT(ISERROR(SEARCH("FALSO",A72)))</formula>
    </cfRule>
  </conditionalFormatting>
  <conditionalFormatting sqref="G72">
    <cfRule type="duplicateValues" dxfId="2316" priority="4374"/>
  </conditionalFormatting>
  <conditionalFormatting sqref="Y71:Z71 AK71:XFD71 W71 A71:C71 F71:L71 U71">
    <cfRule type="containsText" dxfId="2315" priority="4347" operator="containsText" text="FALSO">
      <formula>NOT(ISERROR(SEARCH("FALSO",A71)))</formula>
    </cfRule>
  </conditionalFormatting>
  <conditionalFormatting sqref="G71">
    <cfRule type="duplicateValues" dxfId="2314" priority="4348"/>
  </conditionalFormatting>
  <conditionalFormatting sqref="G70">
    <cfRule type="duplicateValues" dxfId="2313" priority="4335"/>
  </conditionalFormatting>
  <conditionalFormatting sqref="N66:P66 R66:S66">
    <cfRule type="containsText" dxfId="2312" priority="4284" operator="containsText" text="FALSO">
      <formula>NOT(ISERROR(SEARCH("FALSO",N66)))</formula>
    </cfRule>
  </conditionalFormatting>
  <conditionalFormatting sqref="G69">
    <cfRule type="duplicateValues" dxfId="2311" priority="4322"/>
  </conditionalFormatting>
  <conditionalFormatting sqref="N65:P65 R65:S65">
    <cfRule type="containsText" dxfId="2310" priority="4271" operator="containsText" text="FALSO">
      <formula>NOT(ISERROR(SEARCH("FALSO",N65)))</formula>
    </cfRule>
  </conditionalFormatting>
  <conditionalFormatting sqref="G68">
    <cfRule type="duplicateValues" dxfId="2309" priority="4309"/>
  </conditionalFormatting>
  <conditionalFormatting sqref="N64:P64 R64:S64">
    <cfRule type="containsText" dxfId="2308" priority="4258" operator="containsText" text="FALSO">
      <formula>NOT(ISERROR(SEARCH("FALSO",N64)))</formula>
    </cfRule>
  </conditionalFormatting>
  <conditionalFormatting sqref="G67">
    <cfRule type="duplicateValues" dxfId="2307" priority="4296"/>
  </conditionalFormatting>
  <conditionalFormatting sqref="Y66:Z66 AK66:XFD66 W66 A66:C66 F66:L66 U66">
    <cfRule type="containsText" dxfId="2306" priority="4282" operator="containsText" text="FALSO">
      <formula>NOT(ISERROR(SEARCH("FALSO",A66)))</formula>
    </cfRule>
  </conditionalFormatting>
  <conditionalFormatting sqref="G66">
    <cfRule type="duplicateValues" dxfId="2305" priority="4283"/>
  </conditionalFormatting>
  <conditionalFormatting sqref="Y65:Z65 AK65:XFD65 W65 A65:C65 F65:L65 U65">
    <cfRule type="containsText" dxfId="2304" priority="4269" operator="containsText" text="FALSO">
      <formula>NOT(ISERROR(SEARCH("FALSO",A65)))</formula>
    </cfRule>
  </conditionalFormatting>
  <conditionalFormatting sqref="G65">
    <cfRule type="duplicateValues" dxfId="2303" priority="4270"/>
  </conditionalFormatting>
  <conditionalFormatting sqref="Y64:Z64 AK64:XFD64 W64 A64:C64 F64:L64 U64">
    <cfRule type="containsText" dxfId="2302" priority="4256" operator="containsText" text="FALSO">
      <formula>NOT(ISERROR(SEARCH("FALSO",A64)))</formula>
    </cfRule>
  </conditionalFormatting>
  <conditionalFormatting sqref="G64">
    <cfRule type="duplicateValues" dxfId="2301" priority="4257"/>
  </conditionalFormatting>
  <conditionalFormatting sqref="G63">
    <cfRule type="duplicateValues" dxfId="2300" priority="4244"/>
  </conditionalFormatting>
  <conditionalFormatting sqref="G62">
    <cfRule type="duplicateValues" dxfId="2299" priority="4231"/>
  </conditionalFormatting>
  <conditionalFormatting sqref="N61:P61 R61:S61">
    <cfRule type="containsText" dxfId="2298" priority="4180" operator="containsText" text="FALSO">
      <formula>NOT(ISERROR(SEARCH("FALSO",N61)))</formula>
    </cfRule>
  </conditionalFormatting>
  <conditionalFormatting sqref="Y61 AK61:XFD61 W61 A61:C61 F61:L61 U61">
    <cfRule type="containsText" dxfId="2297" priority="4178" operator="containsText" text="FALSO">
      <formula>NOT(ISERROR(SEARCH("FALSO",A61)))</formula>
    </cfRule>
  </conditionalFormatting>
  <conditionalFormatting sqref="G61">
    <cfRule type="duplicateValues" dxfId="2296" priority="4179"/>
  </conditionalFormatting>
  <conditionalFormatting sqref="Y60:Z60 AK60:XFD60 W60 A60:C60 F60:L60 U60">
    <cfRule type="containsText" dxfId="2295" priority="4165" operator="containsText" text="FALSO">
      <formula>NOT(ISERROR(SEARCH("FALSO",A60)))</formula>
    </cfRule>
  </conditionalFormatting>
  <conditionalFormatting sqref="G60">
    <cfRule type="duplicateValues" dxfId="2294" priority="4166"/>
  </conditionalFormatting>
  <conditionalFormatting sqref="D54">
    <cfRule type="containsText" dxfId="2293" priority="3970" operator="containsText" text="FALSO">
      <formula>NOT(ISERROR(SEARCH("FALSO",D54)))</formula>
    </cfRule>
  </conditionalFormatting>
  <conditionalFormatting sqref="D57">
    <cfRule type="containsText" dxfId="2292" priority="3969" operator="containsText" text="FALSO">
      <formula>NOT(ISERROR(SEARCH("FALSO",D57)))</formula>
    </cfRule>
  </conditionalFormatting>
  <conditionalFormatting sqref="D58">
    <cfRule type="containsText" dxfId="2291" priority="3968" operator="containsText" text="FALSO">
      <formula>NOT(ISERROR(SEARCH("FALSO",D58)))</formula>
    </cfRule>
  </conditionalFormatting>
  <conditionalFormatting sqref="D59">
    <cfRule type="containsText" dxfId="2290" priority="3967" operator="containsText" text="FALSO">
      <formula>NOT(ISERROR(SEARCH("FALSO",D59)))</formula>
    </cfRule>
  </conditionalFormatting>
  <conditionalFormatting sqref="D55">
    <cfRule type="containsText" dxfId="2289" priority="3966" operator="containsText" text="FALSO">
      <formula>NOT(ISERROR(SEARCH("FALSO",D55)))</formula>
    </cfRule>
  </conditionalFormatting>
  <conditionalFormatting sqref="D56">
    <cfRule type="containsText" dxfId="2288" priority="3965" operator="containsText" text="FALSO">
      <formula>NOT(ISERROR(SEARCH("FALSO",D56)))</formula>
    </cfRule>
  </conditionalFormatting>
  <conditionalFormatting sqref="N53:P53 S53">
    <cfRule type="containsText" dxfId="2287" priority="4094" operator="containsText" text="FALSO">
      <formula>NOT(ISERROR(SEARCH("FALSO",N53)))</formula>
    </cfRule>
  </conditionalFormatting>
  <conditionalFormatting sqref="N59:P59 R59:S59">
    <cfRule type="containsText" dxfId="2286" priority="4093" operator="containsText" text="FALSO">
      <formula>NOT(ISERROR(SEARCH("FALSO",N59)))</formula>
    </cfRule>
  </conditionalFormatting>
  <conditionalFormatting sqref="N58:P58 R58:S58">
    <cfRule type="containsText" dxfId="2285" priority="4084" operator="containsText" text="FALSO">
      <formula>NOT(ISERROR(SEARCH("FALSO",N58)))</formula>
    </cfRule>
  </conditionalFormatting>
  <conditionalFormatting sqref="N57:P57 R57:S57">
    <cfRule type="containsText" dxfId="2284" priority="4075" operator="containsText" text="FALSO">
      <formula>NOT(ISERROR(SEARCH("FALSO",N57)))</formula>
    </cfRule>
  </conditionalFormatting>
  <conditionalFormatting sqref="N56:P56 R56:S56">
    <cfRule type="containsText" dxfId="2283" priority="4066" operator="containsText" text="FALSO">
      <formula>NOT(ISERROR(SEARCH("FALSO",N56)))</formula>
    </cfRule>
  </conditionalFormatting>
  <conditionalFormatting sqref="Y59:Z59 AK59:XFD59 W59 A59:C59 F59:L59 U59">
    <cfRule type="containsText" dxfId="2282" priority="4091" operator="containsText" text="FALSO">
      <formula>NOT(ISERROR(SEARCH("FALSO",A59)))</formula>
    </cfRule>
  </conditionalFormatting>
  <conditionalFormatting sqref="G59">
    <cfRule type="duplicateValues" dxfId="2281" priority="4092"/>
  </conditionalFormatting>
  <conditionalFormatting sqref="N55:P55 R55:S55">
    <cfRule type="containsText" dxfId="2280" priority="4057" operator="containsText" text="FALSO">
      <formula>NOT(ISERROR(SEARCH("FALSO",N55)))</formula>
    </cfRule>
  </conditionalFormatting>
  <conditionalFormatting sqref="Y58:Z58 AK58:XFD58 W58 A58:C58 F58:L58 U58">
    <cfRule type="containsText" dxfId="2279" priority="4082" operator="containsText" text="FALSO">
      <formula>NOT(ISERROR(SEARCH("FALSO",A58)))</formula>
    </cfRule>
  </conditionalFormatting>
  <conditionalFormatting sqref="G58">
    <cfRule type="duplicateValues" dxfId="2278" priority="4083"/>
  </conditionalFormatting>
  <conditionalFormatting sqref="N54:P54 S54">
    <cfRule type="containsText" dxfId="2277" priority="4048" operator="containsText" text="FALSO">
      <formula>NOT(ISERROR(SEARCH("FALSO",N54)))</formula>
    </cfRule>
  </conditionalFormatting>
  <conditionalFormatting sqref="Y57:Z57 AK57:XFD57 W57 A57:C57 F57:L57 U57">
    <cfRule type="containsText" dxfId="2276" priority="4073" operator="containsText" text="FALSO">
      <formula>NOT(ISERROR(SEARCH("FALSO",A57)))</formula>
    </cfRule>
  </conditionalFormatting>
  <conditionalFormatting sqref="G57">
    <cfRule type="duplicateValues" dxfId="2275" priority="4074"/>
  </conditionalFormatting>
  <conditionalFormatting sqref="Y56:Z56 AK56:XFD56 W56 A56:C56 F56:L56 U56">
    <cfRule type="containsText" dxfId="2274" priority="4064" operator="containsText" text="FALSO">
      <formula>NOT(ISERROR(SEARCH("FALSO",A56)))</formula>
    </cfRule>
  </conditionalFormatting>
  <conditionalFormatting sqref="G56">
    <cfRule type="duplicateValues" dxfId="2273" priority="4065"/>
  </conditionalFormatting>
  <conditionalFormatting sqref="Y55:Z55 AK55:AM55 W55 A55:C55 F55:L55 U55 AP55 AS55:XFD55">
    <cfRule type="containsText" dxfId="2272" priority="4055" operator="containsText" text="FALSO">
      <formula>NOT(ISERROR(SEARCH("FALSO",A55)))</formula>
    </cfRule>
  </conditionalFormatting>
  <conditionalFormatting sqref="G55">
    <cfRule type="duplicateValues" dxfId="2271" priority="4056"/>
  </conditionalFormatting>
  <conditionalFormatting sqref="Y54:Z54 AK54:AM54 W54 A54:C54 F54:L54 U54 AP54 AS54:XFD54">
    <cfRule type="containsText" dxfId="2270" priority="4046" operator="containsText" text="FALSO">
      <formula>NOT(ISERROR(SEARCH("FALSO",A54)))</formula>
    </cfRule>
  </conditionalFormatting>
  <conditionalFormatting sqref="G54">
    <cfRule type="duplicateValues" dxfId="2269" priority="4047"/>
  </conditionalFormatting>
  <conditionalFormatting sqref="Y53:Z53 AK53:AM53 W53 A53:C53 F53:L53 U53 AP53 AS53:XFD53">
    <cfRule type="containsText" dxfId="2268" priority="4038" operator="containsText" text="FALSO">
      <formula>NOT(ISERROR(SEARCH("FALSO",A53)))</formula>
    </cfRule>
  </conditionalFormatting>
  <conditionalFormatting sqref="G53">
    <cfRule type="duplicateValues" dxfId="2267" priority="4039"/>
  </conditionalFormatting>
  <conditionalFormatting sqref="N52:P52 R52:S52">
    <cfRule type="containsText" dxfId="2266" priority="4008" operator="containsText" text="FALSO">
      <formula>NOT(ISERROR(SEARCH("FALSO",N52)))</formula>
    </cfRule>
  </conditionalFormatting>
  <conditionalFormatting sqref="Y52:Z52 AK52:AM52 W52 A52:C52 F52:L52 U52 AP52 AS52:XFD52">
    <cfRule type="containsText" dxfId="2265" priority="4006" operator="containsText" text="FALSO">
      <formula>NOT(ISERROR(SEARCH("FALSO",A52)))</formula>
    </cfRule>
  </conditionalFormatting>
  <conditionalFormatting sqref="G52">
    <cfRule type="duplicateValues" dxfId="2264" priority="4007"/>
  </conditionalFormatting>
  <conditionalFormatting sqref="G51">
    <cfRule type="duplicateValues" dxfId="2263" priority="3990"/>
  </conditionalFormatting>
  <conditionalFormatting sqref="D53">
    <cfRule type="containsText" dxfId="2262" priority="3971" operator="containsText" text="FALSO">
      <formula>NOT(ISERROR(SEARCH("FALSO",D53)))</formula>
    </cfRule>
  </conditionalFormatting>
  <conditionalFormatting sqref="A49:C49 R49:S49 AK49:AM49 F49:L49 Y49:Z49 U49 W49 AP49 AS49:XFD49">
    <cfRule type="containsText" dxfId="2261" priority="3011" operator="containsText" text="FALSO">
      <formula>NOT(ISERROR(SEARCH("FALSO",A49)))</formula>
    </cfRule>
  </conditionalFormatting>
  <conditionalFormatting sqref="AI2:AI3">
    <cfRule type="containsText" dxfId="2260" priority="3070" operator="containsText" text="FALSO">
      <formula>NOT(ISERROR(SEARCH("FALSO",AI2)))</formula>
    </cfRule>
  </conditionalFormatting>
  <conditionalFormatting sqref="R53">
    <cfRule type="containsText" dxfId="2259" priority="3074" operator="containsText" text="FALSO">
      <formula>NOT(ISERROR(SEARCH("FALSO",R53)))</formula>
    </cfRule>
  </conditionalFormatting>
  <conditionalFormatting sqref="R54">
    <cfRule type="containsText" dxfId="2258" priority="3073" operator="containsText" text="FALSO">
      <formula>NOT(ISERROR(SEARCH("FALSO",R54)))</formula>
    </cfRule>
  </conditionalFormatting>
  <conditionalFormatting sqref="AA3:AB3">
    <cfRule type="containsText" dxfId="2257" priority="3072" operator="containsText" text="FALSO">
      <formula>NOT(ISERROR(SEARCH("FALSO",AA3)))</formula>
    </cfRule>
  </conditionalFormatting>
  <conditionalFormatting sqref="G1">
    <cfRule type="containsText" dxfId="2256" priority="3036" operator="containsText" text="FALSO">
      <formula>NOT(ISERROR(SEARCH("FALSO",G1)))</formula>
    </cfRule>
  </conditionalFormatting>
  <conditionalFormatting sqref="AC50 AI50 N50:P50">
    <cfRule type="containsText" dxfId="2255" priority="3035" operator="containsText" text="FALSO">
      <formula>NOT(ISERROR(SEARCH("FALSO",N50)))</formula>
    </cfRule>
  </conditionalFormatting>
  <conditionalFormatting sqref="A50:C50 R50:S50 AK50:AM50 F50:L50 Y50:Z50 AJ845:AJ1087 U50 W50 AP50 AS50:XFD50">
    <cfRule type="containsText" dxfId="2254" priority="3033" operator="containsText" text="FALSO">
      <formula>NOT(ISERROR(SEARCH("FALSO",A50)))</formula>
    </cfRule>
  </conditionalFormatting>
  <conditionalFormatting sqref="D50:E50">
    <cfRule type="containsText" dxfId="2253" priority="3031" operator="containsText" text="FALSO">
      <formula>NOT(ISERROR(SEARCH("FALSO",D50)))</formula>
    </cfRule>
  </conditionalFormatting>
  <conditionalFormatting sqref="AA50:AB50">
    <cfRule type="containsText" dxfId="2252" priority="3030" operator="containsText" text="FALSO">
      <formula>NOT(ISERROR(SEARCH("FALSO",AA50)))</formula>
    </cfRule>
  </conditionalFormatting>
  <conditionalFormatting sqref="AC49 AI49 N49:P49">
    <cfRule type="containsText" dxfId="2251" priority="3013" operator="containsText" text="FALSO">
      <formula>NOT(ISERROR(SEARCH("FALSO",N49)))</formula>
    </cfRule>
  </conditionalFormatting>
  <conditionalFormatting sqref="AG49">
    <cfRule type="containsText" dxfId="2250" priority="3014" operator="containsText" text="FALSO">
      <formula>NOT(ISERROR(SEARCH("FALSO",AG49)))</formula>
    </cfRule>
  </conditionalFormatting>
  <conditionalFormatting sqref="AA48:AB48">
    <cfRule type="containsText" dxfId="2249" priority="3000" operator="containsText" text="FALSO">
      <formula>NOT(ISERROR(SEARCH("FALSO",AA48)))</formula>
    </cfRule>
  </conditionalFormatting>
  <conditionalFormatting sqref="V171">
    <cfRule type="containsText" dxfId="2248" priority="2189" operator="containsText" text="FALSO">
      <formula>NOT(ISERROR(SEARCH("FALSO",V171)))</formula>
    </cfRule>
  </conditionalFormatting>
  <conditionalFormatting sqref="V192">
    <cfRule type="containsText" dxfId="2247" priority="2209" operator="containsText" text="FALSO">
      <formula>NOT(ISERROR(SEARCH("FALSO",V192)))</formula>
    </cfRule>
  </conditionalFormatting>
  <conditionalFormatting sqref="V191">
    <cfRule type="containsText" dxfId="2246" priority="2208" operator="containsText" text="FALSO">
      <formula>NOT(ISERROR(SEARCH("FALSO",V191)))</formula>
    </cfRule>
  </conditionalFormatting>
  <conditionalFormatting sqref="V190">
    <cfRule type="containsText" dxfId="2245" priority="2207" operator="containsText" text="FALSO">
      <formula>NOT(ISERROR(SEARCH("FALSO",V190)))</formula>
    </cfRule>
  </conditionalFormatting>
  <conditionalFormatting sqref="V188">
    <cfRule type="containsText" dxfId="2244" priority="2206" operator="containsText" text="FALSO">
      <formula>NOT(ISERROR(SEARCH("FALSO",V188)))</formula>
    </cfRule>
  </conditionalFormatting>
  <conditionalFormatting sqref="T149">
    <cfRule type="containsText" dxfId="2243" priority="2361" operator="containsText" text="FALSO">
      <formula>NOT(ISERROR(SEARCH("FALSO",T149)))</formula>
    </cfRule>
  </conditionalFormatting>
  <conditionalFormatting sqref="T139">
    <cfRule type="containsText" dxfId="2242" priority="2351" operator="containsText" text="FALSO">
      <formula>NOT(ISERROR(SEARCH("FALSO",T139)))</formula>
    </cfRule>
  </conditionalFormatting>
  <conditionalFormatting sqref="V259">
    <cfRule type="containsText" dxfId="2241" priority="2898" operator="containsText" text="FALSO">
      <formula>NOT(ISERROR(SEARCH("FALSO",V259)))</formula>
    </cfRule>
  </conditionalFormatting>
  <conditionalFormatting sqref="V258">
    <cfRule type="containsText" dxfId="2240" priority="2897" operator="containsText" text="FALSO">
      <formula>NOT(ISERROR(SEARCH("FALSO",V258)))</formula>
    </cfRule>
  </conditionalFormatting>
  <conditionalFormatting sqref="V257">
    <cfRule type="containsText" dxfId="2239" priority="2896" operator="containsText" text="FALSO">
      <formula>NOT(ISERROR(SEARCH("FALSO",V257)))</formula>
    </cfRule>
  </conditionalFormatting>
  <conditionalFormatting sqref="V256">
    <cfRule type="containsText" dxfId="2238" priority="2895" operator="containsText" text="FALSO">
      <formula>NOT(ISERROR(SEARCH("FALSO",V256)))</formula>
    </cfRule>
  </conditionalFormatting>
  <conditionalFormatting sqref="V255">
    <cfRule type="containsText" dxfId="2237" priority="2894" operator="containsText" text="FALSO">
      <formula>NOT(ISERROR(SEARCH("FALSO",V255)))</formula>
    </cfRule>
  </conditionalFormatting>
  <conditionalFormatting sqref="V252">
    <cfRule type="containsText" dxfId="2236" priority="2893" operator="containsText" text="FALSO">
      <formula>NOT(ISERROR(SEARCH("FALSO",V252)))</formula>
    </cfRule>
  </conditionalFormatting>
  <conditionalFormatting sqref="V249">
    <cfRule type="containsText" dxfId="2235" priority="2890" operator="containsText" text="FALSO">
      <formula>NOT(ISERROR(SEARCH("FALSO",V249)))</formula>
    </cfRule>
  </conditionalFormatting>
  <conditionalFormatting sqref="V251">
    <cfRule type="containsText" dxfId="2234" priority="2892" operator="containsText" text="FALSO">
      <formula>NOT(ISERROR(SEARCH("FALSO",V251)))</formula>
    </cfRule>
  </conditionalFormatting>
  <conditionalFormatting sqref="V248">
    <cfRule type="containsText" dxfId="2233" priority="2889" operator="containsText" text="FALSO">
      <formula>NOT(ISERROR(SEARCH("FALSO",V248)))</formula>
    </cfRule>
  </conditionalFormatting>
  <conditionalFormatting sqref="V250">
    <cfRule type="containsText" dxfId="2232" priority="2891" operator="containsText" text="FALSO">
      <formula>NOT(ISERROR(SEARCH("FALSO",V250)))</formula>
    </cfRule>
  </conditionalFormatting>
  <conditionalFormatting sqref="V247">
    <cfRule type="containsText" dxfId="2231" priority="2888" operator="containsText" text="FALSO">
      <formula>NOT(ISERROR(SEARCH("FALSO",V247)))</formula>
    </cfRule>
  </conditionalFormatting>
  <conditionalFormatting sqref="T150">
    <cfRule type="containsText" dxfId="2230" priority="2362" operator="containsText" text="FALSO">
      <formula>NOT(ISERROR(SEARCH("FALSO",T150)))</formula>
    </cfRule>
  </conditionalFormatting>
  <conditionalFormatting sqref="T148">
    <cfRule type="containsText" dxfId="2229" priority="2360" operator="containsText" text="FALSO">
      <formula>NOT(ISERROR(SEARCH("FALSO",T148)))</formula>
    </cfRule>
  </conditionalFormatting>
  <conditionalFormatting sqref="T147">
    <cfRule type="containsText" dxfId="2228" priority="2359" operator="containsText" text="FALSO">
      <formula>NOT(ISERROR(SEARCH("FALSO",T147)))</formula>
    </cfRule>
  </conditionalFormatting>
  <conditionalFormatting sqref="T146">
    <cfRule type="containsText" dxfId="2227" priority="2358" operator="containsText" text="FALSO">
      <formula>NOT(ISERROR(SEARCH("FALSO",T146)))</formula>
    </cfRule>
  </conditionalFormatting>
  <conditionalFormatting sqref="V253">
    <cfRule type="containsText" dxfId="2226" priority="2882" operator="containsText" text="FALSO">
      <formula>NOT(ISERROR(SEARCH("FALSO",V253)))</formula>
    </cfRule>
  </conditionalFormatting>
  <conditionalFormatting sqref="V254">
    <cfRule type="containsText" dxfId="2225" priority="2881" operator="containsText" text="FALSO">
      <formula>NOT(ISERROR(SEARCH("FALSO",V254)))</formula>
    </cfRule>
  </conditionalFormatting>
  <conditionalFormatting sqref="V260">
    <cfRule type="containsText" dxfId="2224" priority="2880" operator="containsText" text="FALSO">
      <formula>NOT(ISERROR(SEARCH("FALSO",V260)))</formula>
    </cfRule>
  </conditionalFormatting>
  <conditionalFormatting sqref="T142">
    <cfRule type="containsText" dxfId="2223" priority="2354" operator="containsText" text="FALSO">
      <formula>NOT(ISERROR(SEARCH("FALSO",T142)))</formula>
    </cfRule>
  </conditionalFormatting>
  <conditionalFormatting sqref="V265">
    <cfRule type="containsText" dxfId="2222" priority="2878" operator="containsText" text="FALSO">
      <formula>NOT(ISERROR(SEARCH("FALSO",V265)))</formula>
    </cfRule>
  </conditionalFormatting>
  <conditionalFormatting sqref="T140">
    <cfRule type="containsText" dxfId="2221" priority="2352" operator="containsText" text="FALSO">
      <formula>NOT(ISERROR(SEARCH("FALSO",T140)))</formula>
    </cfRule>
  </conditionalFormatting>
  <conditionalFormatting sqref="T138">
    <cfRule type="containsText" dxfId="2220" priority="2350" operator="containsText" text="FALSO">
      <formula>NOT(ISERROR(SEARCH("FALSO",T138)))</formula>
    </cfRule>
  </conditionalFormatting>
  <conditionalFormatting sqref="T137">
    <cfRule type="containsText" dxfId="2219" priority="2349" operator="containsText" text="FALSO">
      <formula>NOT(ISERROR(SEARCH("FALSO",T137)))</formula>
    </cfRule>
  </conditionalFormatting>
  <conditionalFormatting sqref="T136">
    <cfRule type="containsText" dxfId="2218" priority="2348" operator="containsText" text="FALSO">
      <formula>NOT(ISERROR(SEARCH("FALSO",T136)))</formula>
    </cfRule>
  </conditionalFormatting>
  <conditionalFormatting sqref="T135">
    <cfRule type="containsText" dxfId="2217" priority="2347" operator="containsText" text="FALSO">
      <formula>NOT(ISERROR(SEARCH("FALSO",T135)))</formula>
    </cfRule>
  </conditionalFormatting>
  <conditionalFormatting sqref="T134">
    <cfRule type="containsText" dxfId="2216" priority="2346" operator="containsText" text="FALSO">
      <formula>NOT(ISERROR(SEARCH("FALSO",T134)))</formula>
    </cfRule>
  </conditionalFormatting>
  <conditionalFormatting sqref="V174">
    <cfRule type="containsText" dxfId="2215" priority="2192" operator="containsText" text="FALSO">
      <formula>NOT(ISERROR(SEARCH("FALSO",V174)))</formula>
    </cfRule>
  </conditionalFormatting>
  <conditionalFormatting sqref="V162">
    <cfRule type="containsText" dxfId="2214" priority="2179" operator="containsText" text="FALSO">
      <formula>NOT(ISERROR(SEARCH("FALSO",V162)))</formula>
    </cfRule>
  </conditionalFormatting>
  <conditionalFormatting sqref="V180">
    <cfRule type="containsText" dxfId="2213" priority="2198" operator="containsText" text="FALSO">
      <formula>NOT(ISERROR(SEARCH("FALSO",V180)))</formula>
    </cfRule>
  </conditionalFormatting>
  <conditionalFormatting sqref="V168">
    <cfRule type="containsText" dxfId="2212" priority="2185" operator="containsText" text="FALSO">
      <formula>NOT(ISERROR(SEARCH("FALSO",V168)))</formula>
    </cfRule>
  </conditionalFormatting>
  <conditionalFormatting sqref="V177">
    <cfRule type="containsText" dxfId="2211" priority="2195" operator="containsText" text="FALSO">
      <formula>NOT(ISERROR(SEARCH("FALSO",V177)))</formula>
    </cfRule>
  </conditionalFormatting>
  <conditionalFormatting sqref="V165">
    <cfRule type="containsText" dxfId="2210" priority="2182" operator="containsText" text="FALSO">
      <formula>NOT(ISERROR(SEARCH("FALSO",V165)))</formula>
    </cfRule>
  </conditionalFormatting>
  <conditionalFormatting sqref="V179">
    <cfRule type="containsText" dxfId="2209" priority="2197" operator="containsText" text="FALSO">
      <formula>NOT(ISERROR(SEARCH("FALSO",V179)))</formula>
    </cfRule>
  </conditionalFormatting>
  <conditionalFormatting sqref="V178">
    <cfRule type="containsText" dxfId="2208" priority="2196" operator="containsText" text="FALSO">
      <formula>NOT(ISERROR(SEARCH("FALSO",V178)))</formula>
    </cfRule>
  </conditionalFormatting>
  <conditionalFormatting sqref="V175">
    <cfRule type="containsText" dxfId="2207" priority="2193" operator="containsText" text="FALSO">
      <formula>NOT(ISERROR(SEARCH("FALSO",V175)))</formula>
    </cfRule>
  </conditionalFormatting>
  <conditionalFormatting sqref="V173">
    <cfRule type="containsText" dxfId="2206" priority="2191" operator="containsText" text="FALSO">
      <formula>NOT(ISERROR(SEARCH("FALSO",V173)))</formula>
    </cfRule>
  </conditionalFormatting>
  <conditionalFormatting sqref="V172">
    <cfRule type="containsText" dxfId="2205" priority="2190" operator="containsText" text="FALSO">
      <formula>NOT(ISERROR(SEARCH("FALSO",V172)))</formula>
    </cfRule>
  </conditionalFormatting>
  <conditionalFormatting sqref="V170">
    <cfRule type="containsText" dxfId="2204" priority="2188" operator="containsText" text="FALSO">
      <formula>NOT(ISERROR(SEARCH("FALSO",V170)))</formula>
    </cfRule>
  </conditionalFormatting>
  <conditionalFormatting sqref="V169">
    <cfRule type="containsText" dxfId="2203" priority="2187" operator="containsText" text="FALSO">
      <formula>NOT(ISERROR(SEARCH("FALSO",V169)))</formula>
    </cfRule>
  </conditionalFormatting>
  <conditionalFormatting sqref="V157 V155">
    <cfRule type="containsText" dxfId="2202" priority="2186" operator="containsText" text="FALSO">
      <formula>NOT(ISERROR(SEARCH("FALSO",V155)))</formula>
    </cfRule>
  </conditionalFormatting>
  <conditionalFormatting sqref="V167">
    <cfRule type="containsText" dxfId="2201" priority="2184" operator="containsText" text="FALSO">
      <formula>NOT(ISERROR(SEARCH("FALSO",V167)))</formula>
    </cfRule>
  </conditionalFormatting>
  <conditionalFormatting sqref="V166">
    <cfRule type="containsText" dxfId="2200" priority="2183" operator="containsText" text="FALSO">
      <formula>NOT(ISERROR(SEARCH("FALSO",V166)))</formula>
    </cfRule>
  </conditionalFormatting>
  <conditionalFormatting sqref="V164">
    <cfRule type="containsText" dxfId="2199" priority="2181" operator="containsText" text="FALSO">
      <formula>NOT(ISERROR(SEARCH("FALSO",V164)))</formula>
    </cfRule>
  </conditionalFormatting>
  <conditionalFormatting sqref="V163">
    <cfRule type="containsText" dxfId="2198" priority="2180" operator="containsText" text="FALSO">
      <formula>NOT(ISERROR(SEARCH("FALSO",V163)))</formula>
    </cfRule>
  </conditionalFormatting>
  <conditionalFormatting sqref="V181">
    <cfRule type="containsText" dxfId="2197" priority="2199" operator="containsText" text="FALSO">
      <formula>NOT(ISERROR(SEARCH("FALSO",V181)))</formula>
    </cfRule>
  </conditionalFormatting>
  <conditionalFormatting sqref="V183">
    <cfRule type="containsText" dxfId="2196" priority="2201" operator="containsText" text="FALSO">
      <formula>NOT(ISERROR(SEARCH("FALSO",V183)))</formula>
    </cfRule>
  </conditionalFormatting>
  <conditionalFormatting sqref="V182">
    <cfRule type="containsText" dxfId="2195" priority="2200" operator="containsText" text="FALSO">
      <formula>NOT(ISERROR(SEARCH("FALSO",V182)))</formula>
    </cfRule>
  </conditionalFormatting>
  <conditionalFormatting sqref="V187">
    <cfRule type="containsText" dxfId="2194" priority="2205" operator="containsText" text="FALSO">
      <formula>NOT(ISERROR(SEARCH("FALSO",V187)))</formula>
    </cfRule>
  </conditionalFormatting>
  <conditionalFormatting sqref="V186">
    <cfRule type="containsText" dxfId="2193" priority="2204" operator="containsText" text="FALSO">
      <formula>NOT(ISERROR(SEARCH("FALSO",V186)))</formula>
    </cfRule>
  </conditionalFormatting>
  <conditionalFormatting sqref="V185">
    <cfRule type="containsText" dxfId="2192" priority="2203" operator="containsText" text="FALSO">
      <formula>NOT(ISERROR(SEARCH("FALSO",V185)))</formula>
    </cfRule>
  </conditionalFormatting>
  <conditionalFormatting sqref="V184">
    <cfRule type="containsText" dxfId="2191" priority="2202" operator="containsText" text="FALSO">
      <formula>NOT(ISERROR(SEARCH("FALSO",V184)))</formula>
    </cfRule>
  </conditionalFormatting>
  <conditionalFormatting sqref="V176">
    <cfRule type="containsText" dxfId="2190" priority="2194" operator="containsText" text="FALSO">
      <formula>NOT(ISERROR(SEARCH("FALSO",V176)))</formula>
    </cfRule>
  </conditionalFormatting>
  <conditionalFormatting sqref="V161">
    <cfRule type="containsText" dxfId="2189" priority="2178" operator="containsText" text="FALSO">
      <formula>NOT(ISERROR(SEARCH("FALSO",V161)))</formula>
    </cfRule>
  </conditionalFormatting>
  <conditionalFormatting sqref="V146">
    <cfRule type="containsText" dxfId="2188" priority="2165" operator="containsText" text="FALSO">
      <formula>NOT(ISERROR(SEARCH("FALSO",V146)))</formula>
    </cfRule>
  </conditionalFormatting>
  <conditionalFormatting sqref="M272">
    <cfRule type="containsText" dxfId="2187" priority="2680" operator="containsText" text="FALSO">
      <formula>NOT(ISERROR(SEARCH("FALSO",M272)))</formula>
    </cfRule>
  </conditionalFormatting>
  <conditionalFormatting sqref="V160">
    <cfRule type="containsText" dxfId="2186" priority="2177" operator="containsText" text="FALSO">
      <formula>NOT(ISERROR(SEARCH("FALSO",V160)))</formula>
    </cfRule>
  </conditionalFormatting>
  <conditionalFormatting sqref="V159">
    <cfRule type="containsText" dxfId="2185" priority="2176" operator="containsText" text="FALSO">
      <formula>NOT(ISERROR(SEARCH("FALSO",V159)))</formula>
    </cfRule>
  </conditionalFormatting>
  <conditionalFormatting sqref="V158">
    <cfRule type="containsText" dxfId="2184" priority="2175" operator="containsText" text="FALSO">
      <formula>NOT(ISERROR(SEARCH("FALSO",V158)))</formula>
    </cfRule>
  </conditionalFormatting>
  <conditionalFormatting sqref="V156">
    <cfRule type="containsText" dxfId="2183" priority="2174" operator="containsText" text="FALSO">
      <formula>NOT(ISERROR(SEARCH("FALSO",V156)))</formula>
    </cfRule>
  </conditionalFormatting>
  <conditionalFormatting sqref="V154">
    <cfRule type="containsText" dxfId="2182" priority="2173" operator="containsText" text="FALSO">
      <formula>NOT(ISERROR(SEARCH("FALSO",V154)))</formula>
    </cfRule>
  </conditionalFormatting>
  <conditionalFormatting sqref="V153">
    <cfRule type="containsText" dxfId="2181" priority="2172" operator="containsText" text="FALSO">
      <formula>NOT(ISERROR(SEARCH("FALSO",V153)))</formula>
    </cfRule>
  </conditionalFormatting>
  <conditionalFormatting sqref="V150">
    <cfRule type="containsText" dxfId="2180" priority="2169" operator="containsText" text="FALSO">
      <formula>NOT(ISERROR(SEARCH("FALSO",V150)))</formula>
    </cfRule>
  </conditionalFormatting>
  <conditionalFormatting sqref="V152">
    <cfRule type="containsText" dxfId="2179" priority="2171" operator="containsText" text="FALSO">
      <formula>NOT(ISERROR(SEARCH("FALSO",V152)))</formula>
    </cfRule>
  </conditionalFormatting>
  <conditionalFormatting sqref="V149">
    <cfRule type="containsText" dxfId="2178" priority="2168" operator="containsText" text="FALSO">
      <formula>NOT(ISERROR(SEARCH("FALSO",V149)))</formula>
    </cfRule>
  </conditionalFormatting>
  <conditionalFormatting sqref="V151">
    <cfRule type="containsText" dxfId="2177" priority="2170" operator="containsText" text="FALSO">
      <formula>NOT(ISERROR(SEARCH("FALSO",V151)))</formula>
    </cfRule>
  </conditionalFormatting>
  <conditionalFormatting sqref="V145">
    <cfRule type="containsText" dxfId="2176" priority="2164" operator="containsText" text="FALSO">
      <formula>NOT(ISERROR(SEARCH("FALSO",V145)))</formula>
    </cfRule>
  </conditionalFormatting>
  <conditionalFormatting sqref="M273">
    <cfRule type="containsText" dxfId="2175" priority="2688" operator="containsText" text="FALSO">
      <formula>NOT(ISERROR(SEARCH("FALSO",M273)))</formula>
    </cfRule>
  </conditionalFormatting>
  <conditionalFormatting sqref="M281">
    <cfRule type="containsText" dxfId="2174" priority="2687" operator="containsText" text="FALSO">
      <formula>NOT(ISERROR(SEARCH("FALSO",M281)))</formula>
    </cfRule>
  </conditionalFormatting>
  <conditionalFormatting sqref="M279">
    <cfRule type="containsText" dxfId="2173" priority="2686" operator="containsText" text="FALSO">
      <formula>NOT(ISERROR(SEARCH("FALSO",M279)))</formula>
    </cfRule>
  </conditionalFormatting>
  <conditionalFormatting sqref="M280">
    <cfRule type="containsText" dxfId="2172" priority="2685" operator="containsText" text="FALSO">
      <formula>NOT(ISERROR(SEARCH("FALSO",M280)))</formula>
    </cfRule>
  </conditionalFormatting>
  <conditionalFormatting sqref="M277:M278">
    <cfRule type="containsText" dxfId="2171" priority="2684" operator="containsText" text="FALSO">
      <formula>NOT(ISERROR(SEARCH("FALSO",M277)))</formula>
    </cfRule>
  </conditionalFormatting>
  <conditionalFormatting sqref="M275:M276">
    <cfRule type="containsText" dxfId="2170" priority="2683" operator="containsText" text="FALSO">
      <formula>NOT(ISERROR(SEARCH("FALSO",M275)))</formula>
    </cfRule>
  </conditionalFormatting>
  <conditionalFormatting sqref="M274">
    <cfRule type="containsText" dxfId="2169" priority="2682" operator="containsText" text="FALSO">
      <formula>NOT(ISERROR(SEARCH("FALSO",M274)))</formula>
    </cfRule>
  </conditionalFormatting>
  <conditionalFormatting sqref="M271">
    <cfRule type="containsText" dxfId="2168" priority="2681" operator="containsText" text="FALSO">
      <formula>NOT(ISERROR(SEARCH("FALSO",M271)))</formula>
    </cfRule>
  </conditionalFormatting>
  <conditionalFormatting sqref="M269">
    <cfRule type="containsText" dxfId="2167" priority="2679" operator="containsText" text="FALSO">
      <formula>NOT(ISERROR(SEARCH("FALSO",M269)))</formula>
    </cfRule>
  </conditionalFormatting>
  <conditionalFormatting sqref="M270">
    <cfRule type="containsText" dxfId="2166" priority="2678" operator="containsText" text="FALSO">
      <formula>NOT(ISERROR(SEARCH("FALSO",M270)))</formula>
    </cfRule>
  </conditionalFormatting>
  <conditionalFormatting sqref="M268">
    <cfRule type="containsText" dxfId="2165" priority="2677" operator="containsText" text="FALSO">
      <formula>NOT(ISERROR(SEARCH("FALSO",M268)))</formula>
    </cfRule>
  </conditionalFormatting>
  <conditionalFormatting sqref="M267">
    <cfRule type="containsText" dxfId="2164" priority="2676" operator="containsText" text="FALSO">
      <formula>NOT(ISERROR(SEARCH("FALSO",M267)))</formula>
    </cfRule>
  </conditionalFormatting>
  <conditionalFormatting sqref="M266">
    <cfRule type="containsText" dxfId="2163" priority="2675" operator="containsText" text="FALSO">
      <formula>NOT(ISERROR(SEARCH("FALSO",M266)))</formula>
    </cfRule>
  </conditionalFormatting>
  <conditionalFormatting sqref="V264">
    <cfRule type="containsText" dxfId="2162" priority="2902" operator="containsText" text="FALSO">
      <formula>NOT(ISERROR(SEARCH("FALSO",V264)))</formula>
    </cfRule>
  </conditionalFormatting>
  <conditionalFormatting sqref="V263">
    <cfRule type="containsText" dxfId="2161" priority="2901" operator="containsText" text="FALSO">
      <formula>NOT(ISERROR(SEARCH("FALSO",V263)))</formula>
    </cfRule>
  </conditionalFormatting>
  <conditionalFormatting sqref="V262">
    <cfRule type="containsText" dxfId="2160" priority="2900" operator="containsText" text="FALSO">
      <formula>NOT(ISERROR(SEARCH("FALSO",V262)))</formula>
    </cfRule>
  </conditionalFormatting>
  <conditionalFormatting sqref="V261">
    <cfRule type="containsText" dxfId="2159" priority="2899" operator="containsText" text="FALSO">
      <formula>NOT(ISERROR(SEARCH("FALSO",V261)))</formula>
    </cfRule>
  </conditionalFormatting>
  <conditionalFormatting sqref="T133">
    <cfRule type="containsText" dxfId="2158" priority="2345" operator="containsText" text="FALSO">
      <formula>NOT(ISERROR(SEARCH("FALSO",T133)))</formula>
    </cfRule>
  </conditionalFormatting>
  <conditionalFormatting sqref="T132">
    <cfRule type="containsText" dxfId="2157" priority="2344" operator="containsText" text="FALSO">
      <formula>NOT(ISERROR(SEARCH("FALSO",T132)))</formula>
    </cfRule>
  </conditionalFormatting>
  <conditionalFormatting sqref="T131">
    <cfRule type="containsText" dxfId="2156" priority="2343" operator="containsText" text="FALSO">
      <formula>NOT(ISERROR(SEARCH("FALSO",T131)))</formula>
    </cfRule>
  </conditionalFormatting>
  <conditionalFormatting sqref="T130">
    <cfRule type="containsText" dxfId="2155" priority="2342" operator="containsText" text="FALSO">
      <formula>NOT(ISERROR(SEARCH("FALSO",T130)))</formula>
    </cfRule>
  </conditionalFormatting>
  <conditionalFormatting sqref="G1">
    <cfRule type="duplicateValues" dxfId="2154" priority="3037"/>
  </conditionalFormatting>
  <conditionalFormatting sqref="G50">
    <cfRule type="duplicateValues" dxfId="2153" priority="3034"/>
  </conditionalFormatting>
  <conditionalFormatting sqref="V246">
    <cfRule type="containsText" dxfId="2152" priority="2262" operator="containsText" text="FALSO">
      <formula>NOT(ISERROR(SEARCH("FALSO",V246)))</formula>
    </cfRule>
  </conditionalFormatting>
  <conditionalFormatting sqref="V244">
    <cfRule type="containsText" dxfId="2151" priority="2261" operator="containsText" text="FALSO">
      <formula>NOT(ISERROR(SEARCH("FALSO",V244)))</formula>
    </cfRule>
  </conditionalFormatting>
  <conditionalFormatting sqref="V243">
    <cfRule type="containsText" dxfId="2150" priority="2260" operator="containsText" text="FALSO">
      <formula>NOT(ISERROR(SEARCH("FALSO",V243)))</formula>
    </cfRule>
  </conditionalFormatting>
  <conditionalFormatting sqref="V242">
    <cfRule type="containsText" dxfId="2149" priority="2259" operator="containsText" text="FALSO">
      <formula>NOT(ISERROR(SEARCH("FALSO",V242)))</formula>
    </cfRule>
  </conditionalFormatting>
  <conditionalFormatting sqref="G49">
    <cfRule type="duplicateValues" dxfId="2148" priority="3012"/>
  </conditionalFormatting>
  <conditionalFormatting sqref="AA49:AB49">
    <cfRule type="containsText" dxfId="2147" priority="3009" operator="containsText" text="FALSO">
      <formula>NOT(ISERROR(SEARCH("FALSO",AA49)))</formula>
    </cfRule>
  </conditionalFormatting>
  <conditionalFormatting sqref="V234">
    <cfRule type="containsText" dxfId="2146" priority="2250" operator="containsText" text="FALSO">
      <formula>NOT(ISERROR(SEARCH("FALSO",V234)))</formula>
    </cfRule>
  </conditionalFormatting>
  <conditionalFormatting sqref="AG48">
    <cfRule type="containsText" dxfId="2145" priority="3005" operator="containsText" text="FALSO">
      <formula>NOT(ISERROR(SEARCH("FALSO",AG48)))</formula>
    </cfRule>
  </conditionalFormatting>
  <conditionalFormatting sqref="AC48 AI48 N48:P48">
    <cfRule type="containsText" dxfId="2144" priority="3004" operator="containsText" text="FALSO">
      <formula>NOT(ISERROR(SEARCH("FALSO",N48)))</formula>
    </cfRule>
  </conditionalFormatting>
  <conditionalFormatting sqref="A48:C48 R48:S48 AK48:AM48 F48:L48 Y48:Z48 U48 W48 AP48 AS48:XFD48">
    <cfRule type="containsText" dxfId="2143" priority="3002" operator="containsText" text="FALSO">
      <formula>NOT(ISERROR(SEARCH("FALSO",A48)))</formula>
    </cfRule>
  </conditionalFormatting>
  <conditionalFormatting sqref="G48">
    <cfRule type="duplicateValues" dxfId="2142" priority="3003"/>
  </conditionalFormatting>
  <conditionalFormatting sqref="V225">
    <cfRule type="containsText" dxfId="2141" priority="2241" operator="containsText" text="FALSO">
      <formula>NOT(ISERROR(SEARCH("FALSO",V225)))</formula>
    </cfRule>
  </conditionalFormatting>
  <conditionalFormatting sqref="AG47">
    <cfRule type="containsText" dxfId="2140" priority="2969" operator="containsText" text="FALSO">
      <formula>NOT(ISERROR(SEARCH("FALSO",AG47)))</formula>
    </cfRule>
  </conditionalFormatting>
  <conditionalFormatting sqref="AC47 AI47 N47:P47">
    <cfRule type="containsText" dxfId="2139" priority="2968" operator="containsText" text="FALSO">
      <formula>NOT(ISERROR(SEARCH("FALSO",N47)))</formula>
    </cfRule>
  </conditionalFormatting>
  <conditionalFormatting sqref="A47:C47 R47:S47 AK47:AM47 F47:I47 Y47:Z47 U47 K47:L47 W47 AP47 AS47:XFD47">
    <cfRule type="containsText" dxfId="2138" priority="2966" operator="containsText" text="FALSO">
      <formula>NOT(ISERROR(SEARCH("FALSO",A47)))</formula>
    </cfRule>
  </conditionalFormatting>
  <conditionalFormatting sqref="G47">
    <cfRule type="duplicateValues" dxfId="2137" priority="2967"/>
  </conditionalFormatting>
  <conditionalFormatting sqref="AA47:AB47">
    <cfRule type="containsText" dxfId="2136" priority="2964" operator="containsText" text="FALSO">
      <formula>NOT(ISERROR(SEARCH("FALSO",AA47)))</formula>
    </cfRule>
  </conditionalFormatting>
  <conditionalFormatting sqref="V229">
    <cfRule type="containsText" dxfId="2135" priority="2245" operator="containsText" text="FALSO">
      <formula>NOT(ISERROR(SEARCH("FALSO",V229)))</formula>
    </cfRule>
  </conditionalFormatting>
  <conditionalFormatting sqref="AG46">
    <cfRule type="containsText" dxfId="2134" priority="2951" operator="containsText" text="FALSO">
      <formula>NOT(ISERROR(SEARCH("FALSO",AG46)))</formula>
    </cfRule>
  </conditionalFormatting>
  <conditionalFormatting sqref="AC46:AD46 N46:P46 AH46:AI46">
    <cfRule type="containsText" dxfId="2133" priority="2950" operator="containsText" text="FALSO">
      <formula>NOT(ISERROR(SEARCH("FALSO",N46)))</formula>
    </cfRule>
  </conditionalFormatting>
  <conditionalFormatting sqref="A46:C46 R46:S46 AK46:AM46 F46:I46 Y46:Z46 U46 K46:L46 W46 AP46 AS46:XFD46">
    <cfRule type="containsText" dxfId="2132" priority="2948" operator="containsText" text="FALSO">
      <formula>NOT(ISERROR(SEARCH("FALSO",A46)))</formula>
    </cfRule>
  </conditionalFormatting>
  <conditionalFormatting sqref="G46">
    <cfRule type="duplicateValues" dxfId="2131" priority="2949"/>
  </conditionalFormatting>
  <conditionalFormatting sqref="AA46:AB46">
    <cfRule type="containsText" dxfId="2130" priority="2946" operator="containsText" text="FALSO">
      <formula>NOT(ISERROR(SEARCH("FALSO",AA46)))</formula>
    </cfRule>
  </conditionalFormatting>
  <conditionalFormatting sqref="V211">
    <cfRule type="containsText" dxfId="2129" priority="2227" operator="containsText" text="FALSO">
      <formula>NOT(ISERROR(SEARCH("FALSO",V211)))</formula>
    </cfRule>
  </conditionalFormatting>
  <conditionalFormatting sqref="J46">
    <cfRule type="containsText" dxfId="2128" priority="2922" operator="containsText" text="FALSO">
      <formula>NOT(ISERROR(SEARCH("FALSO",J46)))</formula>
    </cfRule>
  </conditionalFormatting>
  <conditionalFormatting sqref="J47">
    <cfRule type="containsText" dxfId="2127" priority="2920" operator="containsText" text="FALSO">
      <formula>NOT(ISERROR(SEARCH("FALSO",J47)))</formula>
    </cfRule>
  </conditionalFormatting>
  <conditionalFormatting sqref="V273">
    <cfRule type="containsText" dxfId="2126" priority="2916" operator="containsText" text="FALSO">
      <formula>NOT(ISERROR(SEARCH("FALSO",V273)))</formula>
    </cfRule>
  </conditionalFormatting>
  <conditionalFormatting sqref="V281">
    <cfRule type="containsText" dxfId="2125" priority="2915" operator="containsText" text="FALSO">
      <formula>NOT(ISERROR(SEARCH("FALSO",V281)))</formula>
    </cfRule>
  </conditionalFormatting>
  <conditionalFormatting sqref="V279">
    <cfRule type="containsText" dxfId="2124" priority="2914" operator="containsText" text="FALSO">
      <formula>NOT(ISERROR(SEARCH("FALSO",V279)))</formula>
    </cfRule>
  </conditionalFormatting>
  <conditionalFormatting sqref="V280">
    <cfRule type="containsText" dxfId="2123" priority="2913" operator="containsText" text="FALSO">
      <formula>NOT(ISERROR(SEARCH("FALSO",V280)))</formula>
    </cfRule>
  </conditionalFormatting>
  <conditionalFormatting sqref="V277:V278">
    <cfRule type="containsText" dxfId="2122" priority="2912" operator="containsText" text="FALSO">
      <formula>NOT(ISERROR(SEARCH("FALSO",V277)))</formula>
    </cfRule>
  </conditionalFormatting>
  <conditionalFormatting sqref="V275:V276">
    <cfRule type="containsText" dxfId="2121" priority="2911" operator="containsText" text="FALSO">
      <formula>NOT(ISERROR(SEARCH("FALSO",V275)))</formula>
    </cfRule>
  </conditionalFormatting>
  <conditionalFormatting sqref="V274">
    <cfRule type="containsText" dxfId="2120" priority="2910" operator="containsText" text="FALSO">
      <formula>NOT(ISERROR(SEARCH("FALSO",V274)))</formula>
    </cfRule>
  </conditionalFormatting>
  <conditionalFormatting sqref="V271">
    <cfRule type="containsText" dxfId="2119" priority="2909" operator="containsText" text="FALSO">
      <formula>NOT(ISERROR(SEARCH("FALSO",V271)))</formula>
    </cfRule>
  </conditionalFormatting>
  <conditionalFormatting sqref="V272">
    <cfRule type="containsText" dxfId="2118" priority="2908" operator="containsText" text="FALSO">
      <formula>NOT(ISERROR(SEARCH("FALSO",V272)))</formula>
    </cfRule>
  </conditionalFormatting>
  <conditionalFormatting sqref="V266">
    <cfRule type="containsText" dxfId="2117" priority="2903" operator="containsText" text="FALSO">
      <formula>NOT(ISERROR(SEARCH("FALSO",V266)))</formula>
    </cfRule>
  </conditionalFormatting>
  <conditionalFormatting sqref="V269">
    <cfRule type="containsText" dxfId="2116" priority="2907" operator="containsText" text="FALSO">
      <formula>NOT(ISERROR(SEARCH("FALSO",V269)))</formula>
    </cfRule>
  </conditionalFormatting>
  <conditionalFormatting sqref="V270">
    <cfRule type="containsText" dxfId="2115" priority="2906" operator="containsText" text="FALSO">
      <formula>NOT(ISERROR(SEARCH("FALSO",V270)))</formula>
    </cfRule>
  </conditionalFormatting>
  <conditionalFormatting sqref="V268">
    <cfRule type="containsText" dxfId="2114" priority="2905" operator="containsText" text="FALSO">
      <formula>NOT(ISERROR(SEARCH("FALSO",V268)))</formula>
    </cfRule>
  </conditionalFormatting>
  <conditionalFormatting sqref="V267">
    <cfRule type="containsText" dxfId="2113" priority="2904" operator="containsText" text="FALSO">
      <formula>NOT(ISERROR(SEARCH("FALSO",V267)))</formula>
    </cfRule>
  </conditionalFormatting>
  <conditionalFormatting sqref="V221">
    <cfRule type="containsText" dxfId="2112" priority="2237" operator="containsText" text="FALSO">
      <formula>NOT(ISERROR(SEARCH("FALSO",V221)))</formula>
    </cfRule>
  </conditionalFormatting>
  <conditionalFormatting sqref="V208">
    <cfRule type="containsText" dxfId="2111" priority="2224" operator="containsText" text="FALSO">
      <formula>NOT(ISERROR(SEARCH("FALSO",V208)))</formula>
    </cfRule>
  </conditionalFormatting>
  <conditionalFormatting sqref="V194">
    <cfRule type="containsText" dxfId="2110" priority="2211" operator="containsText" text="FALSO">
      <formula>NOT(ISERROR(SEARCH("FALSO",V194)))</formula>
    </cfRule>
  </conditionalFormatting>
  <conditionalFormatting sqref="V200">
    <cfRule type="containsText" dxfId="2109" priority="2217" operator="containsText" text="FALSO">
      <formula>NOT(ISERROR(SEARCH("FALSO",V200)))</formula>
    </cfRule>
  </conditionalFormatting>
  <conditionalFormatting sqref="V197">
    <cfRule type="containsText" dxfId="2108" priority="2214" operator="containsText" text="FALSO">
      <formula>NOT(ISERROR(SEARCH("FALSO",V197)))</formula>
    </cfRule>
  </conditionalFormatting>
  <conditionalFormatting sqref="V199">
    <cfRule type="containsText" dxfId="2107" priority="2216" operator="containsText" text="FALSO">
      <formula>NOT(ISERROR(SEARCH("FALSO",V199)))</formula>
    </cfRule>
  </conditionalFormatting>
  <conditionalFormatting sqref="V198">
    <cfRule type="containsText" dxfId="2106" priority="2215" operator="containsText" text="FALSO">
      <formula>NOT(ISERROR(SEARCH("FALSO",V198)))</formula>
    </cfRule>
  </conditionalFormatting>
  <conditionalFormatting sqref="V195">
    <cfRule type="containsText" dxfId="2105" priority="2212" operator="containsText" text="FALSO">
      <formula>NOT(ISERROR(SEARCH("FALSO",V195)))</formula>
    </cfRule>
  </conditionalFormatting>
  <conditionalFormatting sqref="V193">
    <cfRule type="containsText" dxfId="2104" priority="2210" operator="containsText" text="FALSO">
      <formula>NOT(ISERROR(SEARCH("FALSO",V193)))</formula>
    </cfRule>
  </conditionalFormatting>
  <conditionalFormatting sqref="V201">
    <cfRule type="containsText" dxfId="2103" priority="2218" operator="containsText" text="FALSO">
      <formula>NOT(ISERROR(SEARCH("FALSO",V201)))</formula>
    </cfRule>
  </conditionalFormatting>
  <conditionalFormatting sqref="V207">
    <cfRule type="containsText" dxfId="2102" priority="2223" operator="containsText" text="FALSO">
      <formula>NOT(ISERROR(SEARCH("FALSO",V207)))</formula>
    </cfRule>
  </conditionalFormatting>
  <conditionalFormatting sqref="V206">
    <cfRule type="containsText" dxfId="2101" priority="2222" operator="containsText" text="FALSO">
      <formula>NOT(ISERROR(SEARCH("FALSO",V206)))</formula>
    </cfRule>
  </conditionalFormatting>
  <conditionalFormatting sqref="V205">
    <cfRule type="containsText" dxfId="2100" priority="2221" operator="containsText" text="FALSO">
      <formula>NOT(ISERROR(SEARCH("FALSO",V205)))</formula>
    </cfRule>
  </conditionalFormatting>
  <conditionalFormatting sqref="V204">
    <cfRule type="containsText" dxfId="2099" priority="2220" operator="containsText" text="FALSO">
      <formula>NOT(ISERROR(SEARCH("FALSO",V204)))</formula>
    </cfRule>
  </conditionalFormatting>
  <conditionalFormatting sqref="V202">
    <cfRule type="containsText" dxfId="2098" priority="2219" operator="containsText" text="FALSO">
      <formula>NOT(ISERROR(SEARCH("FALSO",V202)))</formula>
    </cfRule>
  </conditionalFormatting>
  <conditionalFormatting sqref="V226">
    <cfRule type="containsText" dxfId="2097" priority="2242" operator="containsText" text="FALSO">
      <formula>NOT(ISERROR(SEARCH("FALSO",V226)))</formula>
    </cfRule>
  </conditionalFormatting>
  <conditionalFormatting sqref="V228">
    <cfRule type="containsText" dxfId="2096" priority="2244" operator="containsText" text="FALSO">
      <formula>NOT(ISERROR(SEARCH("FALSO",V228)))</formula>
    </cfRule>
  </conditionalFormatting>
  <conditionalFormatting sqref="V227">
    <cfRule type="containsText" dxfId="2095" priority="2243" operator="containsText" text="FALSO">
      <formula>NOT(ISERROR(SEARCH("FALSO",V227)))</formula>
    </cfRule>
  </conditionalFormatting>
  <conditionalFormatting sqref="V241">
    <cfRule type="containsText" dxfId="2094" priority="2258" operator="containsText" text="FALSO">
      <formula>NOT(ISERROR(SEARCH("FALSO",V241)))</formula>
    </cfRule>
  </conditionalFormatting>
  <conditionalFormatting sqref="V245">
    <cfRule type="containsText" dxfId="2093" priority="2257" operator="containsText" text="FALSO">
      <formula>NOT(ISERROR(SEARCH("FALSO",V245)))</formula>
    </cfRule>
  </conditionalFormatting>
  <conditionalFormatting sqref="V239 V203 V189">
    <cfRule type="containsText" dxfId="2092" priority="2256" operator="containsText" text="FALSO">
      <formula>NOT(ISERROR(SEARCH("FALSO",V189)))</formula>
    </cfRule>
  </conditionalFormatting>
  <conditionalFormatting sqref="V240">
    <cfRule type="containsText" dxfId="2091" priority="2255" operator="containsText" text="FALSO">
      <formula>NOT(ISERROR(SEARCH("FALSO",V240)))</formula>
    </cfRule>
  </conditionalFormatting>
  <conditionalFormatting sqref="V238">
    <cfRule type="containsText" dxfId="2090" priority="2254" operator="containsText" text="FALSO">
      <formula>NOT(ISERROR(SEARCH("FALSO",V238)))</formula>
    </cfRule>
  </conditionalFormatting>
  <conditionalFormatting sqref="V237">
    <cfRule type="containsText" dxfId="2089" priority="2253" operator="containsText" text="FALSO">
      <formula>NOT(ISERROR(SEARCH("FALSO",V237)))</formula>
    </cfRule>
  </conditionalFormatting>
  <conditionalFormatting sqref="V236">
    <cfRule type="containsText" dxfId="2088" priority="2252" operator="containsText" text="FALSO">
      <formula>NOT(ISERROR(SEARCH("FALSO",V236)))</formula>
    </cfRule>
  </conditionalFormatting>
  <conditionalFormatting sqref="V235">
    <cfRule type="containsText" dxfId="2087" priority="2251" operator="containsText" text="FALSO">
      <formula>NOT(ISERROR(SEARCH("FALSO",V235)))</formula>
    </cfRule>
  </conditionalFormatting>
  <conditionalFormatting sqref="V233">
    <cfRule type="containsText" dxfId="2086" priority="2249" operator="containsText" text="FALSO">
      <formula>NOT(ISERROR(SEARCH("FALSO",V233)))</formula>
    </cfRule>
  </conditionalFormatting>
  <conditionalFormatting sqref="V232">
    <cfRule type="containsText" dxfId="2085" priority="2248" operator="containsText" text="FALSO">
      <formula>NOT(ISERROR(SEARCH("FALSO",V232)))</formula>
    </cfRule>
  </conditionalFormatting>
  <conditionalFormatting sqref="V231">
    <cfRule type="containsText" dxfId="2084" priority="2247" operator="containsText" text="FALSO">
      <formula>NOT(ISERROR(SEARCH("FALSO",V231)))</formula>
    </cfRule>
  </conditionalFormatting>
  <conditionalFormatting sqref="V230">
    <cfRule type="containsText" dxfId="2083" priority="2246" operator="containsText" text="FALSO">
      <formula>NOT(ISERROR(SEARCH("FALSO",V230)))</formula>
    </cfRule>
  </conditionalFormatting>
  <conditionalFormatting sqref="V223">
    <cfRule type="containsText" dxfId="2082" priority="2239" operator="containsText" text="FALSO">
      <formula>NOT(ISERROR(SEARCH("FALSO",V223)))</formula>
    </cfRule>
  </conditionalFormatting>
  <conditionalFormatting sqref="V224">
    <cfRule type="containsText" dxfId="2081" priority="2240" operator="containsText" text="FALSO">
      <formula>NOT(ISERROR(SEARCH("FALSO",V224)))</formula>
    </cfRule>
  </conditionalFormatting>
  <conditionalFormatting sqref="V222">
    <cfRule type="containsText" dxfId="2080" priority="2238" operator="containsText" text="FALSO">
      <formula>NOT(ISERROR(SEARCH("FALSO",V222)))</formula>
    </cfRule>
  </conditionalFormatting>
  <conditionalFormatting sqref="V220">
    <cfRule type="containsText" dxfId="2079" priority="2236" operator="containsText" text="FALSO">
      <formula>NOT(ISERROR(SEARCH("FALSO",V220)))</formula>
    </cfRule>
  </conditionalFormatting>
  <conditionalFormatting sqref="V219">
    <cfRule type="containsText" dxfId="2078" priority="2235" operator="containsText" text="FALSO">
      <formula>NOT(ISERROR(SEARCH("FALSO",V219)))</formula>
    </cfRule>
  </conditionalFormatting>
  <conditionalFormatting sqref="V218">
    <cfRule type="containsText" dxfId="2077" priority="2234" operator="containsText" text="FALSO">
      <formula>NOT(ISERROR(SEARCH("FALSO",V218)))</formula>
    </cfRule>
  </conditionalFormatting>
  <conditionalFormatting sqref="V217">
    <cfRule type="containsText" dxfId="2076" priority="2233" operator="containsText" text="FALSO">
      <formula>NOT(ISERROR(SEARCH("FALSO",V217)))</formula>
    </cfRule>
  </conditionalFormatting>
  <conditionalFormatting sqref="V216">
    <cfRule type="containsText" dxfId="2075" priority="2232" operator="containsText" text="FALSO">
      <formula>NOT(ISERROR(SEARCH("FALSO",V216)))</formula>
    </cfRule>
  </conditionalFormatting>
  <conditionalFormatting sqref="V215">
    <cfRule type="containsText" dxfId="2074" priority="2231" operator="containsText" text="FALSO">
      <formula>NOT(ISERROR(SEARCH("FALSO",V215)))</formula>
    </cfRule>
  </conditionalFormatting>
  <conditionalFormatting sqref="V214">
    <cfRule type="containsText" dxfId="2073" priority="2230" operator="containsText" text="FALSO">
      <formula>NOT(ISERROR(SEARCH("FALSO",V214)))</formula>
    </cfRule>
  </conditionalFormatting>
  <conditionalFormatting sqref="V213">
    <cfRule type="containsText" dxfId="2072" priority="2229" operator="containsText" text="FALSO">
      <formula>NOT(ISERROR(SEARCH("FALSO",V213)))</formula>
    </cfRule>
  </conditionalFormatting>
  <conditionalFormatting sqref="V212">
    <cfRule type="containsText" dxfId="2071" priority="2228" operator="containsText" text="FALSO">
      <formula>NOT(ISERROR(SEARCH("FALSO",V212)))</formula>
    </cfRule>
  </conditionalFormatting>
  <conditionalFormatting sqref="V210">
    <cfRule type="containsText" dxfId="2070" priority="2226" operator="containsText" text="FALSO">
      <formula>NOT(ISERROR(SEARCH("FALSO",V210)))</formula>
    </cfRule>
  </conditionalFormatting>
  <conditionalFormatting sqref="V209">
    <cfRule type="containsText" dxfId="2069" priority="2225" operator="containsText" text="FALSO">
      <formula>NOT(ISERROR(SEARCH("FALSO",V209)))</formula>
    </cfRule>
  </conditionalFormatting>
  <conditionalFormatting sqref="V196">
    <cfRule type="containsText" dxfId="2068" priority="2213" operator="containsText" text="FALSO">
      <formula>NOT(ISERROR(SEARCH("FALSO",V196)))</formula>
    </cfRule>
  </conditionalFormatting>
  <conditionalFormatting sqref="M258">
    <cfRule type="containsText" dxfId="2067" priority="2669" operator="containsText" text="FALSO">
      <formula>NOT(ISERROR(SEARCH("FALSO",M258)))</formula>
    </cfRule>
  </conditionalFormatting>
  <conditionalFormatting sqref="M264">
    <cfRule type="containsText" dxfId="2066" priority="2674" operator="containsText" text="FALSO">
      <formula>NOT(ISERROR(SEARCH("FALSO",M264)))</formula>
    </cfRule>
  </conditionalFormatting>
  <conditionalFormatting sqref="M263">
    <cfRule type="containsText" dxfId="2065" priority="2673" operator="containsText" text="FALSO">
      <formula>NOT(ISERROR(SEARCH("FALSO",M263)))</formula>
    </cfRule>
  </conditionalFormatting>
  <conditionalFormatting sqref="M262">
    <cfRule type="containsText" dxfId="2064" priority="2672" operator="containsText" text="FALSO">
      <formula>NOT(ISERROR(SEARCH("FALSO",M262)))</formula>
    </cfRule>
  </conditionalFormatting>
  <conditionalFormatting sqref="M261">
    <cfRule type="containsText" dxfId="2063" priority="2671" operator="containsText" text="FALSO">
      <formula>NOT(ISERROR(SEARCH("FALSO",M261)))</formula>
    </cfRule>
  </conditionalFormatting>
  <conditionalFormatting sqref="M259">
    <cfRule type="containsText" dxfId="2062" priority="2670" operator="containsText" text="FALSO">
      <formula>NOT(ISERROR(SEARCH("FALSO",M259)))</formula>
    </cfRule>
  </conditionalFormatting>
  <conditionalFormatting sqref="M257">
    <cfRule type="containsText" dxfId="2061" priority="2668" operator="containsText" text="FALSO">
      <formula>NOT(ISERROR(SEARCH("FALSO",M257)))</formula>
    </cfRule>
  </conditionalFormatting>
  <conditionalFormatting sqref="M256">
    <cfRule type="containsText" dxfId="2060" priority="2667" operator="containsText" text="FALSO">
      <formula>NOT(ISERROR(SEARCH("FALSO",M256)))</formula>
    </cfRule>
  </conditionalFormatting>
  <conditionalFormatting sqref="M255">
    <cfRule type="containsText" dxfId="2059" priority="2666" operator="containsText" text="FALSO">
      <formula>NOT(ISERROR(SEARCH("FALSO",M255)))</formula>
    </cfRule>
  </conditionalFormatting>
  <conditionalFormatting sqref="M252">
    <cfRule type="containsText" dxfId="2058" priority="2665" operator="containsText" text="FALSO">
      <formula>NOT(ISERROR(SEARCH("FALSO",M252)))</formula>
    </cfRule>
  </conditionalFormatting>
  <conditionalFormatting sqref="M251">
    <cfRule type="containsText" dxfId="2057" priority="2664" operator="containsText" text="FALSO">
      <formula>NOT(ISERROR(SEARCH("FALSO",M251)))</formula>
    </cfRule>
  </conditionalFormatting>
  <conditionalFormatting sqref="M250">
    <cfRule type="containsText" dxfId="2056" priority="2663" operator="containsText" text="FALSO">
      <formula>NOT(ISERROR(SEARCH("FALSO",M250)))</formula>
    </cfRule>
  </conditionalFormatting>
  <conditionalFormatting sqref="M249">
    <cfRule type="containsText" dxfId="2055" priority="2662" operator="containsText" text="FALSO">
      <formula>NOT(ISERROR(SEARCH("FALSO",M249)))</formula>
    </cfRule>
  </conditionalFormatting>
  <conditionalFormatting sqref="M248">
    <cfRule type="containsText" dxfId="2054" priority="2661" operator="containsText" text="FALSO">
      <formula>NOT(ISERROR(SEARCH("FALSO",M248)))</formula>
    </cfRule>
  </conditionalFormatting>
  <conditionalFormatting sqref="M247">
    <cfRule type="containsText" dxfId="2053" priority="2660" operator="containsText" text="FALSO">
      <formula>NOT(ISERROR(SEARCH("FALSO",M247)))</formula>
    </cfRule>
  </conditionalFormatting>
  <conditionalFormatting sqref="M253">
    <cfRule type="containsText" dxfId="2052" priority="2654" operator="containsText" text="FALSO">
      <formula>NOT(ISERROR(SEARCH("FALSO",M253)))</formula>
    </cfRule>
  </conditionalFormatting>
  <conditionalFormatting sqref="M254">
    <cfRule type="containsText" dxfId="2051" priority="2653" operator="containsText" text="FALSO">
      <formula>NOT(ISERROR(SEARCH("FALSO",M254)))</formula>
    </cfRule>
  </conditionalFormatting>
  <conditionalFormatting sqref="M260">
    <cfRule type="containsText" dxfId="2050" priority="2652" operator="containsText" text="FALSO">
      <formula>NOT(ISERROR(SEARCH("FALSO",M260)))</formula>
    </cfRule>
  </conditionalFormatting>
  <conditionalFormatting sqref="M265">
    <cfRule type="containsText" dxfId="2049" priority="2650" operator="containsText" text="FALSO">
      <formula>NOT(ISERROR(SEARCH("FALSO",M265)))</formula>
    </cfRule>
  </conditionalFormatting>
  <conditionalFormatting sqref="V144">
    <cfRule type="containsText" dxfId="2048" priority="2163" operator="containsText" text="FALSO">
      <formula>NOT(ISERROR(SEARCH("FALSO",V144)))</formula>
    </cfRule>
  </conditionalFormatting>
  <conditionalFormatting sqref="V147">
    <cfRule type="containsText" dxfId="2047" priority="2166" operator="containsText" text="FALSO">
      <formula>NOT(ISERROR(SEARCH("FALSO",V147)))</formula>
    </cfRule>
  </conditionalFormatting>
  <conditionalFormatting sqref="V148">
    <cfRule type="containsText" dxfId="2046" priority="2167" operator="containsText" text="FALSO">
      <formula>NOT(ISERROR(SEARCH("FALSO",V148)))</formula>
    </cfRule>
  </conditionalFormatting>
  <conditionalFormatting sqref="V143">
    <cfRule type="containsText" dxfId="2045" priority="2162" operator="containsText" text="FALSO">
      <formula>NOT(ISERROR(SEARCH("FALSO",V143)))</formula>
    </cfRule>
  </conditionalFormatting>
  <conditionalFormatting sqref="V142">
    <cfRule type="containsText" dxfId="2044" priority="2161" operator="containsText" text="FALSO">
      <formula>NOT(ISERROR(SEARCH("FALSO",V142)))</formula>
    </cfRule>
  </conditionalFormatting>
  <conditionalFormatting sqref="M221">
    <cfRule type="containsText" dxfId="2043" priority="2044" operator="containsText" text="FALSO">
      <formula>NOT(ISERROR(SEARCH("FALSO",M221)))</formula>
    </cfRule>
  </conditionalFormatting>
  <conditionalFormatting sqref="V141">
    <cfRule type="containsText" dxfId="2042" priority="2160" operator="containsText" text="FALSO">
      <formula>NOT(ISERROR(SEARCH("FALSO",V141)))</formula>
    </cfRule>
  </conditionalFormatting>
  <conditionalFormatting sqref="V140">
    <cfRule type="containsText" dxfId="2041" priority="2159" operator="containsText" text="FALSO">
      <formula>NOT(ISERROR(SEARCH("FALSO",V140)))</formula>
    </cfRule>
  </conditionalFormatting>
  <conditionalFormatting sqref="V139">
    <cfRule type="containsText" dxfId="2040" priority="2158" operator="containsText" text="FALSO">
      <formula>NOT(ISERROR(SEARCH("FALSO",V139)))</formula>
    </cfRule>
  </conditionalFormatting>
  <conditionalFormatting sqref="V138">
    <cfRule type="containsText" dxfId="2039" priority="2157" operator="containsText" text="FALSO">
      <formula>NOT(ISERROR(SEARCH("FALSO",V138)))</formula>
    </cfRule>
  </conditionalFormatting>
  <conditionalFormatting sqref="V137">
    <cfRule type="containsText" dxfId="2038" priority="2156" operator="containsText" text="FALSO">
      <formula>NOT(ISERROR(SEARCH("FALSO",V137)))</formula>
    </cfRule>
  </conditionalFormatting>
  <conditionalFormatting sqref="V136">
    <cfRule type="containsText" dxfId="2037" priority="2155" operator="containsText" text="FALSO">
      <formula>NOT(ISERROR(SEARCH("FALSO",V136)))</formula>
    </cfRule>
  </conditionalFormatting>
  <conditionalFormatting sqref="V133">
    <cfRule type="containsText" dxfId="2036" priority="2152" operator="containsText" text="FALSO">
      <formula>NOT(ISERROR(SEARCH("FALSO",V133)))</formula>
    </cfRule>
  </conditionalFormatting>
  <conditionalFormatting sqref="V135">
    <cfRule type="containsText" dxfId="2035" priority="2154" operator="containsText" text="FALSO">
      <formula>NOT(ISERROR(SEARCH("FALSO",V135)))</formula>
    </cfRule>
  </conditionalFormatting>
  <conditionalFormatting sqref="V132">
    <cfRule type="containsText" dxfId="2034" priority="2151" operator="containsText" text="FALSO">
      <formula>NOT(ISERROR(SEARCH("FALSO",V132)))</formula>
    </cfRule>
  </conditionalFormatting>
  <conditionalFormatting sqref="V134">
    <cfRule type="containsText" dxfId="2033" priority="2153" operator="containsText" text="FALSO">
      <formula>NOT(ISERROR(SEARCH("FALSO",V134)))</formula>
    </cfRule>
  </conditionalFormatting>
  <conditionalFormatting sqref="V131">
    <cfRule type="containsText" dxfId="2032" priority="2150" operator="containsText" text="FALSO">
      <formula>NOT(ISERROR(SEARCH("FALSO",V131)))</formula>
    </cfRule>
  </conditionalFormatting>
  <conditionalFormatting sqref="V130">
    <cfRule type="containsText" dxfId="2031" priority="2149" operator="containsText" text="FALSO">
      <formula>NOT(ISERROR(SEARCH("FALSO",V130)))</formula>
    </cfRule>
  </conditionalFormatting>
  <conditionalFormatting sqref="M220">
    <cfRule type="containsText" dxfId="2030" priority="2043" operator="containsText" text="FALSO">
      <formula>NOT(ISERROR(SEARCH("FALSO",M220)))</formula>
    </cfRule>
  </conditionalFormatting>
  <conditionalFormatting sqref="M219">
    <cfRule type="containsText" dxfId="2029" priority="2042" operator="containsText" text="FALSO">
      <formula>NOT(ISERROR(SEARCH("FALSO",M219)))</formula>
    </cfRule>
  </conditionalFormatting>
  <conditionalFormatting sqref="M218">
    <cfRule type="containsText" dxfId="2028" priority="2041" operator="containsText" text="FALSO">
      <formula>NOT(ISERROR(SEARCH("FALSO",M218)))</formula>
    </cfRule>
  </conditionalFormatting>
  <conditionalFormatting sqref="M154">
    <cfRule type="containsText" dxfId="2027" priority="1980" operator="containsText" text="FALSO">
      <formula>NOT(ISERROR(SEARCH("FALSO",M154)))</formula>
    </cfRule>
  </conditionalFormatting>
  <conditionalFormatting sqref="M153">
    <cfRule type="containsText" dxfId="2026" priority="1979" operator="containsText" text="FALSO">
      <formula>NOT(ISERROR(SEARCH("FALSO",M153)))</formula>
    </cfRule>
  </conditionalFormatting>
  <conditionalFormatting sqref="M150">
    <cfRule type="containsText" dxfId="2025" priority="1976" operator="containsText" text="FALSO">
      <formula>NOT(ISERROR(SEARCH("FALSO",M150)))</formula>
    </cfRule>
  </conditionalFormatting>
  <conditionalFormatting sqref="M152">
    <cfRule type="containsText" dxfId="2024" priority="1978" operator="containsText" text="FALSO">
      <formula>NOT(ISERROR(SEARCH("FALSO",M152)))</formula>
    </cfRule>
  </conditionalFormatting>
  <conditionalFormatting sqref="M151">
    <cfRule type="containsText" dxfId="2023" priority="1977" operator="containsText" text="FALSO">
      <formula>NOT(ISERROR(SEARCH("FALSO",M151)))</formula>
    </cfRule>
  </conditionalFormatting>
  <conditionalFormatting sqref="M149">
    <cfRule type="containsText" dxfId="2022" priority="1975" operator="containsText" text="FALSO">
      <formula>NOT(ISERROR(SEARCH("FALSO",M149)))</formula>
    </cfRule>
  </conditionalFormatting>
  <conditionalFormatting sqref="M148">
    <cfRule type="containsText" dxfId="2021" priority="1974" operator="containsText" text="FALSO">
      <formula>NOT(ISERROR(SEARCH("FALSO",M148)))</formula>
    </cfRule>
  </conditionalFormatting>
  <conditionalFormatting sqref="M147">
    <cfRule type="containsText" dxfId="2020" priority="1973" operator="containsText" text="FALSO">
      <formula>NOT(ISERROR(SEARCH("FALSO",M147)))</formula>
    </cfRule>
  </conditionalFormatting>
  <conditionalFormatting sqref="M146">
    <cfRule type="containsText" dxfId="2019" priority="1972" operator="containsText" text="FALSO">
      <formula>NOT(ISERROR(SEARCH("FALSO",M146)))</formula>
    </cfRule>
  </conditionalFormatting>
  <conditionalFormatting sqref="M145">
    <cfRule type="containsText" dxfId="2018" priority="1971" operator="containsText" text="FALSO">
      <formula>NOT(ISERROR(SEARCH("FALSO",M145)))</formula>
    </cfRule>
  </conditionalFormatting>
  <conditionalFormatting sqref="M144">
    <cfRule type="containsText" dxfId="2017" priority="1970" operator="containsText" text="FALSO">
      <formula>NOT(ISERROR(SEARCH("FALSO",M144)))</formula>
    </cfRule>
  </conditionalFormatting>
  <conditionalFormatting sqref="M143">
    <cfRule type="containsText" dxfId="2016" priority="1969" operator="containsText" text="FALSO">
      <formula>NOT(ISERROR(SEARCH("FALSO",M143)))</formula>
    </cfRule>
  </conditionalFormatting>
  <conditionalFormatting sqref="M140">
    <cfRule type="containsText" dxfId="2015" priority="1966" operator="containsText" text="FALSO">
      <formula>NOT(ISERROR(SEARCH("FALSO",M140)))</formula>
    </cfRule>
  </conditionalFormatting>
  <conditionalFormatting sqref="M139">
    <cfRule type="containsText" dxfId="2014" priority="1965" operator="containsText" text="FALSO">
      <formula>NOT(ISERROR(SEARCH("FALSO",M139)))</formula>
    </cfRule>
  </conditionalFormatting>
  <conditionalFormatting sqref="AE176:AF176">
    <cfRule type="containsText" dxfId="2013" priority="1853" operator="containsText" text="FALSO">
      <formula>NOT(ISERROR(SEARCH("FALSO",AE176)))</formula>
    </cfRule>
  </conditionalFormatting>
  <conditionalFormatting sqref="AE175:AF175">
    <cfRule type="containsText" dxfId="2012" priority="1852" operator="containsText" text="FALSO">
      <formula>NOT(ISERROR(SEARCH("FALSO",AE175)))</formula>
    </cfRule>
  </conditionalFormatting>
  <conditionalFormatting sqref="M136">
    <cfRule type="containsText" dxfId="2011" priority="1962" operator="containsText" text="FALSO">
      <formula>NOT(ISERROR(SEARCH("FALSO",M136)))</formula>
    </cfRule>
  </conditionalFormatting>
  <conditionalFormatting sqref="M135">
    <cfRule type="containsText" dxfId="2010" priority="1961" operator="containsText" text="FALSO">
      <formula>NOT(ISERROR(SEARCH("FALSO",M135)))</formula>
    </cfRule>
  </conditionalFormatting>
  <conditionalFormatting sqref="T152">
    <cfRule type="containsText" dxfId="2009" priority="2364" operator="containsText" text="FALSO">
      <formula>NOT(ISERROR(SEARCH("FALSO",T152)))</formula>
    </cfRule>
  </conditionalFormatting>
  <conditionalFormatting sqref="T246">
    <cfRule type="containsText" dxfId="2008" priority="2455" operator="containsText" text="FALSO">
      <formula>NOT(ISERROR(SEARCH("FALSO",T246)))</formula>
    </cfRule>
  </conditionalFormatting>
  <conditionalFormatting sqref="T244">
    <cfRule type="containsText" dxfId="2007" priority="2454" operator="containsText" text="FALSO">
      <formula>NOT(ISERROR(SEARCH("FALSO",T244)))</formula>
    </cfRule>
  </conditionalFormatting>
  <conditionalFormatting sqref="T243">
    <cfRule type="containsText" dxfId="2006" priority="2453" operator="containsText" text="FALSO">
      <formula>NOT(ISERROR(SEARCH("FALSO",T243)))</formula>
    </cfRule>
  </conditionalFormatting>
  <conditionalFormatting sqref="T242">
    <cfRule type="containsText" dxfId="2005" priority="2452" operator="containsText" text="FALSO">
      <formula>NOT(ISERROR(SEARCH("FALSO",T242)))</formula>
    </cfRule>
  </conditionalFormatting>
  <conditionalFormatting sqref="T241">
    <cfRule type="containsText" dxfId="2004" priority="2451" operator="containsText" text="FALSO">
      <formula>NOT(ISERROR(SEARCH("FALSO",T241)))</formula>
    </cfRule>
  </conditionalFormatting>
  <conditionalFormatting sqref="T245">
    <cfRule type="containsText" dxfId="2003" priority="2450" operator="containsText" text="FALSO">
      <formula>NOT(ISERROR(SEARCH("FALSO",T245)))</formula>
    </cfRule>
  </conditionalFormatting>
  <conditionalFormatting sqref="T230">
    <cfRule type="containsText" dxfId="2002" priority="2439" operator="containsText" text="FALSO">
      <formula>NOT(ISERROR(SEARCH("FALSO",T230)))</formula>
    </cfRule>
  </conditionalFormatting>
  <conditionalFormatting sqref="T215">
    <cfRule type="containsText" dxfId="2001" priority="2424" operator="containsText" text="FALSO">
      <formula>NOT(ISERROR(SEARCH("FALSO",T215)))</formula>
    </cfRule>
  </conditionalFormatting>
  <conditionalFormatting sqref="T199">
    <cfRule type="containsText" dxfId="2000" priority="2409" operator="containsText" text="FALSO">
      <formula>NOT(ISERROR(SEARCH("FALSO",T199)))</formula>
    </cfRule>
  </conditionalFormatting>
  <conditionalFormatting sqref="T183">
    <cfRule type="containsText" dxfId="1999" priority="2394" operator="containsText" text="FALSO">
      <formula>NOT(ISERROR(SEARCH("FALSO",T183)))</formula>
    </cfRule>
  </conditionalFormatting>
  <conditionalFormatting sqref="T224">
    <cfRule type="containsText" dxfId="1998" priority="2433" operator="containsText" text="FALSO">
      <formula>NOT(ISERROR(SEARCH("FALSO",T224)))</formula>
    </cfRule>
  </conditionalFormatting>
  <conditionalFormatting sqref="T222">
    <cfRule type="containsText" dxfId="1997" priority="2431" operator="containsText" text="FALSO">
      <formula>NOT(ISERROR(SEARCH("FALSO",T222)))</formula>
    </cfRule>
  </conditionalFormatting>
  <conditionalFormatting sqref="T239 T203 T189">
    <cfRule type="containsText" dxfId="1996" priority="2449" operator="containsText" text="FALSO">
      <formula>NOT(ISERROR(SEARCH("FALSO",T189)))</formula>
    </cfRule>
  </conditionalFormatting>
  <conditionalFormatting sqref="T240">
    <cfRule type="containsText" dxfId="1995" priority="2448" operator="containsText" text="FALSO">
      <formula>NOT(ISERROR(SEARCH("FALSO",T240)))</formula>
    </cfRule>
  </conditionalFormatting>
  <conditionalFormatting sqref="T238">
    <cfRule type="containsText" dxfId="1994" priority="2447" operator="containsText" text="FALSO">
      <formula>NOT(ISERROR(SEARCH("FALSO",T238)))</formula>
    </cfRule>
  </conditionalFormatting>
  <conditionalFormatting sqref="T237">
    <cfRule type="containsText" dxfId="1993" priority="2446" operator="containsText" text="FALSO">
      <formula>NOT(ISERROR(SEARCH("FALSO",T237)))</formula>
    </cfRule>
  </conditionalFormatting>
  <conditionalFormatting sqref="T236">
    <cfRule type="containsText" dxfId="1992" priority="2445" operator="containsText" text="FALSO">
      <formula>NOT(ISERROR(SEARCH("FALSO",T236)))</formula>
    </cfRule>
  </conditionalFormatting>
  <conditionalFormatting sqref="T235">
    <cfRule type="containsText" dxfId="1991" priority="2444" operator="containsText" text="FALSO">
      <formula>NOT(ISERROR(SEARCH("FALSO",T235)))</formula>
    </cfRule>
  </conditionalFormatting>
  <conditionalFormatting sqref="T234">
    <cfRule type="containsText" dxfId="1990" priority="2443" operator="containsText" text="FALSO">
      <formula>NOT(ISERROR(SEARCH("FALSO",T234)))</formula>
    </cfRule>
  </conditionalFormatting>
  <conditionalFormatting sqref="T233">
    <cfRule type="containsText" dxfId="1989" priority="2442" operator="containsText" text="FALSO">
      <formula>NOT(ISERROR(SEARCH("FALSO",T233)))</formula>
    </cfRule>
  </conditionalFormatting>
  <conditionalFormatting sqref="T232">
    <cfRule type="containsText" dxfId="1988" priority="2441" operator="containsText" text="FALSO">
      <formula>NOT(ISERROR(SEARCH("FALSO",T232)))</formula>
    </cfRule>
  </conditionalFormatting>
  <conditionalFormatting sqref="T231">
    <cfRule type="containsText" dxfId="1987" priority="2440" operator="containsText" text="FALSO">
      <formula>NOT(ISERROR(SEARCH("FALSO",T231)))</formula>
    </cfRule>
  </conditionalFormatting>
  <conditionalFormatting sqref="T229">
    <cfRule type="containsText" dxfId="1986" priority="2438" operator="containsText" text="FALSO">
      <formula>NOT(ISERROR(SEARCH("FALSO",T229)))</formula>
    </cfRule>
  </conditionalFormatting>
  <conditionalFormatting sqref="T228">
    <cfRule type="containsText" dxfId="1985" priority="2437" operator="containsText" text="FALSO">
      <formula>NOT(ISERROR(SEARCH("FALSO",T228)))</formula>
    </cfRule>
  </conditionalFormatting>
  <conditionalFormatting sqref="T227">
    <cfRule type="containsText" dxfId="1984" priority="2436" operator="containsText" text="FALSO">
      <formula>NOT(ISERROR(SEARCH("FALSO",T227)))</formula>
    </cfRule>
  </conditionalFormatting>
  <conditionalFormatting sqref="T226">
    <cfRule type="containsText" dxfId="1983" priority="2435" operator="containsText" text="FALSO">
      <formula>NOT(ISERROR(SEARCH("FALSO",T226)))</formula>
    </cfRule>
  </conditionalFormatting>
  <conditionalFormatting sqref="T225">
    <cfRule type="containsText" dxfId="1982" priority="2434" operator="containsText" text="FALSO">
      <formula>NOT(ISERROR(SEARCH("FALSO",T225)))</formula>
    </cfRule>
  </conditionalFormatting>
  <conditionalFormatting sqref="T223">
    <cfRule type="containsText" dxfId="1981" priority="2432" operator="containsText" text="FALSO">
      <formula>NOT(ISERROR(SEARCH("FALSO",T223)))</formula>
    </cfRule>
  </conditionalFormatting>
  <conditionalFormatting sqref="T221">
    <cfRule type="containsText" dxfId="1980" priority="2430" operator="containsText" text="FALSO">
      <formula>NOT(ISERROR(SEARCH("FALSO",T221)))</formula>
    </cfRule>
  </conditionalFormatting>
  <conditionalFormatting sqref="T220">
    <cfRule type="containsText" dxfId="1979" priority="2429" operator="containsText" text="FALSO">
      <formula>NOT(ISERROR(SEARCH("FALSO",T220)))</formula>
    </cfRule>
  </conditionalFormatting>
  <conditionalFormatting sqref="T219">
    <cfRule type="containsText" dxfId="1978" priority="2428" operator="containsText" text="FALSO">
      <formula>NOT(ISERROR(SEARCH("FALSO",T219)))</formula>
    </cfRule>
  </conditionalFormatting>
  <conditionalFormatting sqref="T218">
    <cfRule type="containsText" dxfId="1977" priority="2427" operator="containsText" text="FALSO">
      <formula>NOT(ISERROR(SEARCH("FALSO",T218)))</formula>
    </cfRule>
  </conditionalFormatting>
  <conditionalFormatting sqref="T217">
    <cfRule type="containsText" dxfId="1976" priority="2426" operator="containsText" text="FALSO">
      <formula>NOT(ISERROR(SEARCH("FALSO",T217)))</formula>
    </cfRule>
  </conditionalFormatting>
  <conditionalFormatting sqref="T216">
    <cfRule type="containsText" dxfId="1975" priority="2425" operator="containsText" text="FALSO">
      <formula>NOT(ISERROR(SEARCH("FALSO",T216)))</formula>
    </cfRule>
  </conditionalFormatting>
  <conditionalFormatting sqref="T214">
    <cfRule type="containsText" dxfId="1974" priority="2423" operator="containsText" text="FALSO">
      <formula>NOT(ISERROR(SEARCH("FALSO",T214)))</formula>
    </cfRule>
  </conditionalFormatting>
  <conditionalFormatting sqref="T187">
    <cfRule type="containsText" dxfId="1973" priority="2398" operator="containsText" text="FALSO">
      <formula>NOT(ISERROR(SEARCH("FALSO",T187)))</formula>
    </cfRule>
  </conditionalFormatting>
  <conditionalFormatting sqref="T170">
    <cfRule type="containsText" dxfId="1972" priority="2381" operator="containsText" text="FALSO">
      <formula>NOT(ISERROR(SEARCH("FALSO",T170)))</formula>
    </cfRule>
  </conditionalFormatting>
  <conditionalFormatting sqref="T175">
    <cfRule type="containsText" dxfId="1971" priority="2386" operator="containsText" text="FALSO">
      <formula>NOT(ISERROR(SEARCH("FALSO",T175)))</formula>
    </cfRule>
  </conditionalFormatting>
  <conditionalFormatting sqref="T186">
    <cfRule type="containsText" dxfId="1970" priority="2397" operator="containsText" text="FALSO">
      <formula>NOT(ISERROR(SEARCH("FALSO",T186)))</formula>
    </cfRule>
  </conditionalFormatting>
  <conditionalFormatting sqref="T185">
    <cfRule type="containsText" dxfId="1969" priority="2396" operator="containsText" text="FALSO">
      <formula>NOT(ISERROR(SEARCH("FALSO",T185)))</formula>
    </cfRule>
  </conditionalFormatting>
  <conditionalFormatting sqref="T184">
    <cfRule type="containsText" dxfId="1968" priority="2395" operator="containsText" text="FALSO">
      <formula>NOT(ISERROR(SEARCH("FALSO",T184)))</formula>
    </cfRule>
  </conditionalFormatting>
  <conditionalFormatting sqref="T182">
    <cfRule type="containsText" dxfId="1967" priority="2393" operator="containsText" text="FALSO">
      <formula>NOT(ISERROR(SEARCH("FALSO",T182)))</formula>
    </cfRule>
  </conditionalFormatting>
  <conditionalFormatting sqref="T181">
    <cfRule type="containsText" dxfId="1966" priority="2392" operator="containsText" text="FALSO">
      <formula>NOT(ISERROR(SEARCH("FALSO",T181)))</formula>
    </cfRule>
  </conditionalFormatting>
  <conditionalFormatting sqref="T180">
    <cfRule type="containsText" dxfId="1965" priority="2391" operator="containsText" text="FALSO">
      <formula>NOT(ISERROR(SEARCH("FALSO",T180)))</formula>
    </cfRule>
  </conditionalFormatting>
  <conditionalFormatting sqref="T179">
    <cfRule type="containsText" dxfId="1964" priority="2390" operator="containsText" text="FALSO">
      <formula>NOT(ISERROR(SEARCH("FALSO",T179)))</formula>
    </cfRule>
  </conditionalFormatting>
  <conditionalFormatting sqref="T178">
    <cfRule type="containsText" dxfId="1963" priority="2389" operator="containsText" text="FALSO">
      <formula>NOT(ISERROR(SEARCH("FALSO",T178)))</formula>
    </cfRule>
  </conditionalFormatting>
  <conditionalFormatting sqref="T177">
    <cfRule type="containsText" dxfId="1962" priority="2388" operator="containsText" text="FALSO">
      <formula>NOT(ISERROR(SEARCH("FALSO",T177)))</formula>
    </cfRule>
  </conditionalFormatting>
  <conditionalFormatting sqref="T176">
    <cfRule type="containsText" dxfId="1961" priority="2387" operator="containsText" text="FALSO">
      <formula>NOT(ISERROR(SEARCH("FALSO",T176)))</formula>
    </cfRule>
  </conditionalFormatting>
  <conditionalFormatting sqref="T174">
    <cfRule type="containsText" dxfId="1960" priority="2385" operator="containsText" text="FALSO">
      <formula>NOT(ISERROR(SEARCH("FALSO",T174)))</formula>
    </cfRule>
  </conditionalFormatting>
  <conditionalFormatting sqref="T173">
    <cfRule type="containsText" dxfId="1959" priority="2384" operator="containsText" text="FALSO">
      <formula>NOT(ISERROR(SEARCH("FALSO",T173)))</formula>
    </cfRule>
  </conditionalFormatting>
  <conditionalFormatting sqref="T172">
    <cfRule type="containsText" dxfId="1958" priority="2383" operator="containsText" text="FALSO">
      <formula>NOT(ISERROR(SEARCH("FALSO",T172)))</formula>
    </cfRule>
  </conditionalFormatting>
  <conditionalFormatting sqref="T171">
    <cfRule type="containsText" dxfId="1957" priority="2382" operator="containsText" text="FALSO">
      <formula>NOT(ISERROR(SEARCH("FALSO",T171)))</formula>
    </cfRule>
  </conditionalFormatting>
  <conditionalFormatting sqref="T169">
    <cfRule type="containsText" dxfId="1956" priority="2380" operator="containsText" text="FALSO">
      <formula>NOT(ISERROR(SEARCH("FALSO",T169)))</formula>
    </cfRule>
  </conditionalFormatting>
  <conditionalFormatting sqref="T211">
    <cfRule type="containsText" dxfId="1955" priority="2420" operator="containsText" text="FALSO">
      <formula>NOT(ISERROR(SEARCH("FALSO",T211)))</formula>
    </cfRule>
  </conditionalFormatting>
  <conditionalFormatting sqref="T208">
    <cfRule type="containsText" dxfId="1954" priority="2417" operator="containsText" text="FALSO">
      <formula>NOT(ISERROR(SEARCH("FALSO",T208)))</formula>
    </cfRule>
  </conditionalFormatting>
  <conditionalFormatting sqref="T201">
    <cfRule type="containsText" dxfId="1953" priority="2411" operator="containsText" text="FALSO">
      <formula>NOT(ISERROR(SEARCH("FALSO",T201)))</formula>
    </cfRule>
  </conditionalFormatting>
  <conditionalFormatting sqref="T188">
    <cfRule type="containsText" dxfId="1952" priority="2399" operator="containsText" text="FALSO">
      <formula>NOT(ISERROR(SEARCH("FALSO",T188)))</formula>
    </cfRule>
  </conditionalFormatting>
  <conditionalFormatting sqref="T194">
    <cfRule type="containsText" dxfId="1951" priority="2404" operator="containsText" text="FALSO">
      <formula>NOT(ISERROR(SEARCH("FALSO",T194)))</formula>
    </cfRule>
  </conditionalFormatting>
  <conditionalFormatting sqref="T193">
    <cfRule type="containsText" dxfId="1950" priority="2403" operator="containsText" text="FALSO">
      <formula>NOT(ISERROR(SEARCH("FALSO",T193)))</formula>
    </cfRule>
  </conditionalFormatting>
  <conditionalFormatting sqref="T192">
    <cfRule type="containsText" dxfId="1949" priority="2402" operator="containsText" text="FALSO">
      <formula>NOT(ISERROR(SEARCH("FALSO",T192)))</formula>
    </cfRule>
  </conditionalFormatting>
  <conditionalFormatting sqref="T191">
    <cfRule type="containsText" dxfId="1948" priority="2401" operator="containsText" text="FALSO">
      <formula>NOT(ISERROR(SEARCH("FALSO",T191)))</formula>
    </cfRule>
  </conditionalFormatting>
  <conditionalFormatting sqref="T190">
    <cfRule type="containsText" dxfId="1947" priority="2400" operator="containsText" text="FALSO">
      <formula>NOT(ISERROR(SEARCH("FALSO",T190)))</formula>
    </cfRule>
  </conditionalFormatting>
  <conditionalFormatting sqref="T210">
    <cfRule type="containsText" dxfId="1946" priority="2419" operator="containsText" text="FALSO">
      <formula>NOT(ISERROR(SEARCH("FALSO",T210)))</formula>
    </cfRule>
  </conditionalFormatting>
  <conditionalFormatting sqref="T209">
    <cfRule type="containsText" dxfId="1945" priority="2418" operator="containsText" text="FALSO">
      <formula>NOT(ISERROR(SEARCH("FALSO",T209)))</formula>
    </cfRule>
  </conditionalFormatting>
  <conditionalFormatting sqref="T207">
    <cfRule type="containsText" dxfId="1944" priority="2416" operator="containsText" text="FALSO">
      <formula>NOT(ISERROR(SEARCH("FALSO",T207)))</formula>
    </cfRule>
  </conditionalFormatting>
  <conditionalFormatting sqref="T206">
    <cfRule type="containsText" dxfId="1943" priority="2415" operator="containsText" text="FALSO">
      <formula>NOT(ISERROR(SEARCH("FALSO",T206)))</formula>
    </cfRule>
  </conditionalFormatting>
  <conditionalFormatting sqref="T202">
    <cfRule type="containsText" dxfId="1942" priority="2412" operator="containsText" text="FALSO">
      <formula>NOT(ISERROR(SEARCH("FALSO",T202)))</formula>
    </cfRule>
  </conditionalFormatting>
  <conditionalFormatting sqref="T200">
    <cfRule type="containsText" dxfId="1941" priority="2410" operator="containsText" text="FALSO">
      <formula>NOT(ISERROR(SEARCH("FALSO",T200)))</formula>
    </cfRule>
  </conditionalFormatting>
  <conditionalFormatting sqref="T213">
    <cfRule type="containsText" dxfId="1940" priority="2422" operator="containsText" text="FALSO">
      <formula>NOT(ISERROR(SEARCH("FALSO",T213)))</formula>
    </cfRule>
  </conditionalFormatting>
  <conditionalFormatting sqref="T212">
    <cfRule type="containsText" dxfId="1939" priority="2421" operator="containsText" text="FALSO">
      <formula>NOT(ISERROR(SEARCH("FALSO",T212)))</formula>
    </cfRule>
  </conditionalFormatting>
  <conditionalFormatting sqref="T205">
    <cfRule type="containsText" dxfId="1938" priority="2414" operator="containsText" text="FALSO">
      <formula>NOT(ISERROR(SEARCH("FALSO",T205)))</formula>
    </cfRule>
  </conditionalFormatting>
  <conditionalFormatting sqref="T204">
    <cfRule type="containsText" dxfId="1937" priority="2413" operator="containsText" text="FALSO">
      <formula>NOT(ISERROR(SEARCH("FALSO",T204)))</formula>
    </cfRule>
  </conditionalFormatting>
  <conditionalFormatting sqref="T198">
    <cfRule type="containsText" dxfId="1936" priority="2408" operator="containsText" text="FALSO">
      <formula>NOT(ISERROR(SEARCH("FALSO",T198)))</formula>
    </cfRule>
  </conditionalFormatting>
  <conditionalFormatting sqref="T197">
    <cfRule type="containsText" dxfId="1935" priority="2407" operator="containsText" text="FALSO">
      <formula>NOT(ISERROR(SEARCH("FALSO",T197)))</formula>
    </cfRule>
  </conditionalFormatting>
  <conditionalFormatting sqref="T196">
    <cfRule type="containsText" dxfId="1934" priority="2406" operator="containsText" text="FALSO">
      <formula>NOT(ISERROR(SEARCH("FALSO",T196)))</formula>
    </cfRule>
  </conditionalFormatting>
  <conditionalFormatting sqref="T195">
    <cfRule type="containsText" dxfId="1933" priority="2405" operator="containsText" text="FALSO">
      <formula>NOT(ISERROR(SEARCH("FALSO",T195)))</formula>
    </cfRule>
  </conditionalFormatting>
  <conditionalFormatting sqref="T168">
    <cfRule type="containsText" dxfId="1932" priority="2378" operator="containsText" text="FALSO">
      <formula>NOT(ISERROR(SEARCH("FALSO",T168)))</formula>
    </cfRule>
  </conditionalFormatting>
  <conditionalFormatting sqref="T154">
    <cfRule type="containsText" dxfId="1931" priority="2366" operator="containsText" text="FALSO">
      <formula>NOT(ISERROR(SEARCH("FALSO",T154)))</formula>
    </cfRule>
  </conditionalFormatting>
  <conditionalFormatting sqref="T167">
    <cfRule type="containsText" dxfId="1930" priority="2377" operator="containsText" text="FALSO">
      <formula>NOT(ISERROR(SEARCH("FALSO",T167)))</formula>
    </cfRule>
  </conditionalFormatting>
  <conditionalFormatting sqref="T166">
    <cfRule type="containsText" dxfId="1929" priority="2376" operator="containsText" text="FALSO">
      <formula>NOT(ISERROR(SEARCH("FALSO",T166)))</formula>
    </cfRule>
  </conditionalFormatting>
  <conditionalFormatting sqref="T165">
    <cfRule type="containsText" dxfId="1928" priority="2375" operator="containsText" text="FALSO">
      <formula>NOT(ISERROR(SEARCH("FALSO",T165)))</formula>
    </cfRule>
  </conditionalFormatting>
  <conditionalFormatting sqref="T164">
    <cfRule type="containsText" dxfId="1927" priority="2374" operator="containsText" text="FALSO">
      <formula>NOT(ISERROR(SEARCH("FALSO",T164)))</formula>
    </cfRule>
  </conditionalFormatting>
  <conditionalFormatting sqref="T163">
    <cfRule type="containsText" dxfId="1926" priority="2373" operator="containsText" text="FALSO">
      <formula>NOT(ISERROR(SEARCH("FALSO",T163)))</formula>
    </cfRule>
  </conditionalFormatting>
  <conditionalFormatting sqref="T162">
    <cfRule type="containsText" dxfId="1925" priority="2372" operator="containsText" text="FALSO">
      <formula>NOT(ISERROR(SEARCH("FALSO",T162)))</formula>
    </cfRule>
  </conditionalFormatting>
  <conditionalFormatting sqref="T161">
    <cfRule type="containsText" dxfId="1924" priority="2371" operator="containsText" text="FALSO">
      <formula>NOT(ISERROR(SEARCH("FALSO",T161)))</formula>
    </cfRule>
  </conditionalFormatting>
  <conditionalFormatting sqref="T160">
    <cfRule type="containsText" dxfId="1923" priority="2370" operator="containsText" text="FALSO">
      <formula>NOT(ISERROR(SEARCH("FALSO",T160)))</formula>
    </cfRule>
  </conditionalFormatting>
  <conditionalFormatting sqref="T159">
    <cfRule type="containsText" dxfId="1922" priority="2369" operator="containsText" text="FALSO">
      <formula>NOT(ISERROR(SEARCH("FALSO",T159)))</formula>
    </cfRule>
  </conditionalFormatting>
  <conditionalFormatting sqref="T158">
    <cfRule type="containsText" dxfId="1921" priority="2368" operator="containsText" text="FALSO">
      <formula>NOT(ISERROR(SEARCH("FALSO",T158)))</formula>
    </cfRule>
  </conditionalFormatting>
  <conditionalFormatting sqref="T156">
    <cfRule type="containsText" dxfId="1920" priority="2367" operator="containsText" text="FALSO">
      <formula>NOT(ISERROR(SEARCH("FALSO",T156)))</formula>
    </cfRule>
  </conditionalFormatting>
  <conditionalFormatting sqref="T157 T155">
    <cfRule type="containsText" dxfId="1919" priority="2379" operator="containsText" text="FALSO">
      <formula>NOT(ISERROR(SEARCH("FALSO",T155)))</formula>
    </cfRule>
  </conditionalFormatting>
  <conditionalFormatting sqref="T153">
    <cfRule type="containsText" dxfId="1918" priority="2365" operator="containsText" text="FALSO">
      <formula>NOT(ISERROR(SEARCH("FALSO",T153)))</formula>
    </cfRule>
  </conditionalFormatting>
  <conditionalFormatting sqref="T151">
    <cfRule type="containsText" dxfId="1917" priority="2363" operator="containsText" text="FALSO">
      <formula>NOT(ISERROR(SEARCH("FALSO",T151)))</formula>
    </cfRule>
  </conditionalFormatting>
  <conditionalFormatting sqref="T145">
    <cfRule type="containsText" dxfId="1916" priority="2357" operator="containsText" text="FALSO">
      <formula>NOT(ISERROR(SEARCH("FALSO",T145)))</formula>
    </cfRule>
  </conditionalFormatting>
  <conditionalFormatting sqref="T144">
    <cfRule type="containsText" dxfId="1915" priority="2356" operator="containsText" text="FALSO">
      <formula>NOT(ISERROR(SEARCH("FALSO",T144)))</formula>
    </cfRule>
  </conditionalFormatting>
  <conditionalFormatting sqref="T143">
    <cfRule type="containsText" dxfId="1914" priority="2355" operator="containsText" text="FALSO">
      <formula>NOT(ISERROR(SEARCH("FALSO",T143)))</formula>
    </cfRule>
  </conditionalFormatting>
  <conditionalFormatting sqref="T141">
    <cfRule type="containsText" dxfId="1913" priority="2353" operator="containsText" text="FALSO">
      <formula>NOT(ISERROR(SEARCH("FALSO",T141)))</formula>
    </cfRule>
  </conditionalFormatting>
  <conditionalFormatting sqref="M130">
    <cfRule type="containsText" dxfId="1912" priority="1956" operator="containsText" text="FALSO">
      <formula>NOT(ISERROR(SEARCH("FALSO",M130)))</formula>
    </cfRule>
  </conditionalFormatting>
  <conditionalFormatting sqref="M142">
    <cfRule type="containsText" dxfId="1911" priority="1968" operator="containsText" text="FALSO">
      <formula>NOT(ISERROR(SEARCH("FALSO",M142)))</formula>
    </cfRule>
  </conditionalFormatting>
  <conditionalFormatting sqref="M141">
    <cfRule type="containsText" dxfId="1910" priority="1967" operator="containsText" text="FALSO">
      <formula>NOT(ISERROR(SEARCH("FALSO",M141)))</formula>
    </cfRule>
  </conditionalFormatting>
  <conditionalFormatting sqref="M138">
    <cfRule type="containsText" dxfId="1909" priority="1964" operator="containsText" text="FALSO">
      <formula>NOT(ISERROR(SEARCH("FALSO",M138)))</formula>
    </cfRule>
  </conditionalFormatting>
  <conditionalFormatting sqref="M137">
    <cfRule type="containsText" dxfId="1908" priority="1963" operator="containsText" text="FALSO">
      <formula>NOT(ISERROR(SEARCH("FALSO",M137)))</formula>
    </cfRule>
  </conditionalFormatting>
  <conditionalFormatting sqref="M134">
    <cfRule type="containsText" dxfId="1907" priority="1960" operator="containsText" text="FALSO">
      <formula>NOT(ISERROR(SEARCH("FALSO",M134)))</formula>
    </cfRule>
  </conditionalFormatting>
  <conditionalFormatting sqref="M133">
    <cfRule type="containsText" dxfId="1906" priority="1959" operator="containsText" text="FALSO">
      <formula>NOT(ISERROR(SEARCH("FALSO",M133)))</formula>
    </cfRule>
  </conditionalFormatting>
  <conditionalFormatting sqref="M132">
    <cfRule type="containsText" dxfId="1905" priority="1958" operator="containsText" text="FALSO">
      <formula>NOT(ISERROR(SEARCH("FALSO",M132)))</formula>
    </cfRule>
  </conditionalFormatting>
  <conditionalFormatting sqref="M131">
    <cfRule type="containsText" dxfId="1904" priority="1957" operator="containsText" text="FALSO">
      <formula>NOT(ISERROR(SEARCH("FALSO",M131)))</formula>
    </cfRule>
  </conditionalFormatting>
  <conditionalFormatting sqref="M129">
    <cfRule type="containsText" dxfId="1903" priority="1955" operator="containsText" text="FALSO">
      <formula>NOT(ISERROR(SEARCH("FALSO",M129)))</formula>
    </cfRule>
  </conditionalFormatting>
  <conditionalFormatting sqref="M128">
    <cfRule type="containsText" dxfId="1902" priority="1954" operator="containsText" text="FALSO">
      <formula>NOT(ISERROR(SEARCH("FALSO",M128)))</formula>
    </cfRule>
  </conditionalFormatting>
  <conditionalFormatting sqref="M127">
    <cfRule type="containsText" dxfId="1901" priority="1953" operator="containsText" text="FALSO">
      <formula>NOT(ISERROR(SEARCH("FALSO",M127)))</formula>
    </cfRule>
  </conditionalFormatting>
  <conditionalFormatting sqref="M126">
    <cfRule type="containsText" dxfId="1900" priority="1952" operator="containsText" text="FALSO">
      <formula>NOT(ISERROR(SEARCH("FALSO",M126)))</formula>
    </cfRule>
  </conditionalFormatting>
  <conditionalFormatting sqref="M164">
    <cfRule type="containsText" dxfId="1899" priority="1988" operator="containsText" text="FALSO">
      <formula>NOT(ISERROR(SEARCH("FALSO",M164)))</formula>
    </cfRule>
  </conditionalFormatting>
  <conditionalFormatting sqref="M246">
    <cfRule type="containsText" dxfId="1898" priority="2069" operator="containsText" text="FALSO">
      <formula>NOT(ISERROR(SEARCH("FALSO",M246)))</formula>
    </cfRule>
  </conditionalFormatting>
  <conditionalFormatting sqref="M244">
    <cfRule type="containsText" dxfId="1897" priority="2068" operator="containsText" text="FALSO">
      <formula>NOT(ISERROR(SEARCH("FALSO",M244)))</formula>
    </cfRule>
  </conditionalFormatting>
  <conditionalFormatting sqref="M243">
    <cfRule type="containsText" dxfId="1896" priority="2067" operator="containsText" text="FALSO">
      <formula>NOT(ISERROR(SEARCH("FALSO",M243)))</formula>
    </cfRule>
  </conditionalFormatting>
  <conditionalFormatting sqref="M242">
    <cfRule type="containsText" dxfId="1895" priority="2066" operator="containsText" text="FALSO">
      <formula>NOT(ISERROR(SEARCH("FALSO",M242)))</formula>
    </cfRule>
  </conditionalFormatting>
  <conditionalFormatting sqref="M241">
    <cfRule type="containsText" dxfId="1894" priority="2065" operator="containsText" text="FALSO">
      <formula>NOT(ISERROR(SEARCH("FALSO",M241)))</formula>
    </cfRule>
  </conditionalFormatting>
  <conditionalFormatting sqref="M245">
    <cfRule type="containsText" dxfId="1893" priority="2064" operator="containsText" text="FALSO">
      <formula>NOT(ISERROR(SEARCH("FALSO",M245)))</formula>
    </cfRule>
  </conditionalFormatting>
  <conditionalFormatting sqref="M230">
    <cfRule type="containsText" dxfId="1892" priority="2053" operator="containsText" text="FALSO">
      <formula>NOT(ISERROR(SEARCH("FALSO",M230)))</formula>
    </cfRule>
  </conditionalFormatting>
  <conditionalFormatting sqref="M215">
    <cfRule type="containsText" dxfId="1891" priority="2038" operator="containsText" text="FALSO">
      <formula>NOT(ISERROR(SEARCH("FALSO",M215)))</formula>
    </cfRule>
  </conditionalFormatting>
  <conditionalFormatting sqref="M199">
    <cfRule type="containsText" dxfId="1890" priority="2023" operator="containsText" text="FALSO">
      <formula>NOT(ISERROR(SEARCH("FALSO",M199)))</formula>
    </cfRule>
  </conditionalFormatting>
  <conditionalFormatting sqref="M183">
    <cfRule type="containsText" dxfId="1889" priority="2008" operator="containsText" text="FALSO">
      <formula>NOT(ISERROR(SEARCH("FALSO",M183)))</formula>
    </cfRule>
  </conditionalFormatting>
  <conditionalFormatting sqref="M224">
    <cfRule type="containsText" dxfId="1888" priority="2047" operator="containsText" text="FALSO">
      <formula>NOT(ISERROR(SEARCH("FALSO",M224)))</formula>
    </cfRule>
  </conditionalFormatting>
  <conditionalFormatting sqref="M222">
    <cfRule type="containsText" dxfId="1887" priority="2045" operator="containsText" text="FALSO">
      <formula>NOT(ISERROR(SEARCH("FALSO",M222)))</formula>
    </cfRule>
  </conditionalFormatting>
  <conditionalFormatting sqref="M239 M203 M189">
    <cfRule type="containsText" dxfId="1886" priority="2063" operator="containsText" text="FALSO">
      <formula>NOT(ISERROR(SEARCH("FALSO",M189)))</formula>
    </cfRule>
  </conditionalFormatting>
  <conditionalFormatting sqref="M240">
    <cfRule type="containsText" dxfId="1885" priority="2062" operator="containsText" text="FALSO">
      <formula>NOT(ISERROR(SEARCH("FALSO",M240)))</formula>
    </cfRule>
  </conditionalFormatting>
  <conditionalFormatting sqref="M238">
    <cfRule type="containsText" dxfId="1884" priority="2061" operator="containsText" text="FALSO">
      <formula>NOT(ISERROR(SEARCH("FALSO",M238)))</formula>
    </cfRule>
  </conditionalFormatting>
  <conditionalFormatting sqref="M237">
    <cfRule type="containsText" dxfId="1883" priority="2060" operator="containsText" text="FALSO">
      <formula>NOT(ISERROR(SEARCH("FALSO",M237)))</formula>
    </cfRule>
  </conditionalFormatting>
  <conditionalFormatting sqref="M236">
    <cfRule type="containsText" dxfId="1882" priority="2059" operator="containsText" text="FALSO">
      <formula>NOT(ISERROR(SEARCH("FALSO",M236)))</formula>
    </cfRule>
  </conditionalFormatting>
  <conditionalFormatting sqref="M235">
    <cfRule type="containsText" dxfId="1881" priority="2058" operator="containsText" text="FALSO">
      <formula>NOT(ISERROR(SEARCH("FALSO",M235)))</formula>
    </cfRule>
  </conditionalFormatting>
  <conditionalFormatting sqref="M234">
    <cfRule type="containsText" dxfId="1880" priority="2057" operator="containsText" text="FALSO">
      <formula>NOT(ISERROR(SEARCH("FALSO",M234)))</formula>
    </cfRule>
  </conditionalFormatting>
  <conditionalFormatting sqref="M233">
    <cfRule type="containsText" dxfId="1879" priority="2056" operator="containsText" text="FALSO">
      <formula>NOT(ISERROR(SEARCH("FALSO",M233)))</formula>
    </cfRule>
  </conditionalFormatting>
  <conditionalFormatting sqref="M232">
    <cfRule type="containsText" dxfId="1878" priority="2055" operator="containsText" text="FALSO">
      <formula>NOT(ISERROR(SEARCH("FALSO",M232)))</formula>
    </cfRule>
  </conditionalFormatting>
  <conditionalFormatting sqref="M231">
    <cfRule type="containsText" dxfId="1877" priority="2054" operator="containsText" text="FALSO">
      <formula>NOT(ISERROR(SEARCH("FALSO",M231)))</formula>
    </cfRule>
  </conditionalFormatting>
  <conditionalFormatting sqref="M229">
    <cfRule type="containsText" dxfId="1876" priority="2052" operator="containsText" text="FALSO">
      <formula>NOT(ISERROR(SEARCH("FALSO",M229)))</formula>
    </cfRule>
  </conditionalFormatting>
  <conditionalFormatting sqref="M228">
    <cfRule type="containsText" dxfId="1875" priority="2051" operator="containsText" text="FALSO">
      <formula>NOT(ISERROR(SEARCH("FALSO",M228)))</formula>
    </cfRule>
  </conditionalFormatting>
  <conditionalFormatting sqref="M227">
    <cfRule type="containsText" dxfId="1874" priority="2050" operator="containsText" text="FALSO">
      <formula>NOT(ISERROR(SEARCH("FALSO",M227)))</formula>
    </cfRule>
  </conditionalFormatting>
  <conditionalFormatting sqref="M226">
    <cfRule type="containsText" dxfId="1873" priority="2049" operator="containsText" text="FALSO">
      <formula>NOT(ISERROR(SEARCH("FALSO",M226)))</formula>
    </cfRule>
  </conditionalFormatting>
  <conditionalFormatting sqref="M225">
    <cfRule type="containsText" dxfId="1872" priority="2048" operator="containsText" text="FALSO">
      <formula>NOT(ISERROR(SEARCH("FALSO",M225)))</formula>
    </cfRule>
  </conditionalFormatting>
  <conditionalFormatting sqref="M223">
    <cfRule type="containsText" dxfId="1871" priority="2046" operator="containsText" text="FALSO">
      <formula>NOT(ISERROR(SEARCH("FALSO",M223)))</formula>
    </cfRule>
  </conditionalFormatting>
  <conditionalFormatting sqref="M217">
    <cfRule type="containsText" dxfId="1870" priority="2040" operator="containsText" text="FALSO">
      <formula>NOT(ISERROR(SEARCH("FALSO",M217)))</formula>
    </cfRule>
  </conditionalFormatting>
  <conditionalFormatting sqref="M216">
    <cfRule type="containsText" dxfId="1869" priority="2039" operator="containsText" text="FALSO">
      <formula>NOT(ISERROR(SEARCH("FALSO",M216)))</formula>
    </cfRule>
  </conditionalFormatting>
  <conditionalFormatting sqref="M214">
    <cfRule type="containsText" dxfId="1868" priority="2037" operator="containsText" text="FALSO">
      <formula>NOT(ISERROR(SEARCH("FALSO",M214)))</formula>
    </cfRule>
  </conditionalFormatting>
  <conditionalFormatting sqref="M187">
    <cfRule type="containsText" dxfId="1867" priority="2012" operator="containsText" text="FALSO">
      <formula>NOT(ISERROR(SEARCH("FALSO",M187)))</formula>
    </cfRule>
  </conditionalFormatting>
  <conditionalFormatting sqref="M170">
    <cfRule type="containsText" dxfId="1866" priority="1995" operator="containsText" text="FALSO">
      <formula>NOT(ISERROR(SEARCH("FALSO",M170)))</formula>
    </cfRule>
  </conditionalFormatting>
  <conditionalFormatting sqref="M175">
    <cfRule type="containsText" dxfId="1865" priority="2000" operator="containsText" text="FALSO">
      <formula>NOT(ISERROR(SEARCH("FALSO",M175)))</formula>
    </cfRule>
  </conditionalFormatting>
  <conditionalFormatting sqref="M186">
    <cfRule type="containsText" dxfId="1864" priority="2011" operator="containsText" text="FALSO">
      <formula>NOT(ISERROR(SEARCH("FALSO",M186)))</formula>
    </cfRule>
  </conditionalFormatting>
  <conditionalFormatting sqref="M185">
    <cfRule type="containsText" dxfId="1863" priority="2010" operator="containsText" text="FALSO">
      <formula>NOT(ISERROR(SEARCH("FALSO",M185)))</formula>
    </cfRule>
  </conditionalFormatting>
  <conditionalFormatting sqref="M184">
    <cfRule type="containsText" dxfId="1862" priority="2009" operator="containsText" text="FALSO">
      <formula>NOT(ISERROR(SEARCH("FALSO",M184)))</formula>
    </cfRule>
  </conditionalFormatting>
  <conditionalFormatting sqref="M182">
    <cfRule type="containsText" dxfId="1861" priority="2007" operator="containsText" text="FALSO">
      <formula>NOT(ISERROR(SEARCH("FALSO",M182)))</formula>
    </cfRule>
  </conditionalFormatting>
  <conditionalFormatting sqref="M181">
    <cfRule type="containsText" dxfId="1860" priority="2006" operator="containsText" text="FALSO">
      <formula>NOT(ISERROR(SEARCH("FALSO",M181)))</formula>
    </cfRule>
  </conditionalFormatting>
  <conditionalFormatting sqref="M180">
    <cfRule type="containsText" dxfId="1859" priority="2005" operator="containsText" text="FALSO">
      <formula>NOT(ISERROR(SEARCH("FALSO",M180)))</formula>
    </cfRule>
  </conditionalFormatting>
  <conditionalFormatting sqref="M179">
    <cfRule type="containsText" dxfId="1858" priority="2004" operator="containsText" text="FALSO">
      <formula>NOT(ISERROR(SEARCH("FALSO",M179)))</formula>
    </cfRule>
  </conditionalFormatting>
  <conditionalFormatting sqref="M178">
    <cfRule type="containsText" dxfId="1857" priority="2003" operator="containsText" text="FALSO">
      <formula>NOT(ISERROR(SEARCH("FALSO",M178)))</formula>
    </cfRule>
  </conditionalFormatting>
  <conditionalFormatting sqref="M177">
    <cfRule type="containsText" dxfId="1856" priority="2002" operator="containsText" text="FALSO">
      <formula>NOT(ISERROR(SEARCH("FALSO",M177)))</formula>
    </cfRule>
  </conditionalFormatting>
  <conditionalFormatting sqref="M176">
    <cfRule type="containsText" dxfId="1855" priority="2001" operator="containsText" text="FALSO">
      <formula>NOT(ISERROR(SEARCH("FALSO",M176)))</formula>
    </cfRule>
  </conditionalFormatting>
  <conditionalFormatting sqref="M174">
    <cfRule type="containsText" dxfId="1854" priority="1999" operator="containsText" text="FALSO">
      <formula>NOT(ISERROR(SEARCH("FALSO",M174)))</formula>
    </cfRule>
  </conditionalFormatting>
  <conditionalFormatting sqref="M173">
    <cfRule type="containsText" dxfId="1853" priority="1998" operator="containsText" text="FALSO">
      <formula>NOT(ISERROR(SEARCH("FALSO",M173)))</formula>
    </cfRule>
  </conditionalFormatting>
  <conditionalFormatting sqref="M172">
    <cfRule type="containsText" dxfId="1852" priority="1997" operator="containsText" text="FALSO">
      <formula>NOT(ISERROR(SEARCH("FALSO",M172)))</formula>
    </cfRule>
  </conditionalFormatting>
  <conditionalFormatting sqref="M171">
    <cfRule type="containsText" dxfId="1851" priority="1996" operator="containsText" text="FALSO">
      <formula>NOT(ISERROR(SEARCH("FALSO",M171)))</formula>
    </cfRule>
  </conditionalFormatting>
  <conditionalFormatting sqref="M169">
    <cfRule type="containsText" dxfId="1850" priority="1994" operator="containsText" text="FALSO">
      <formula>NOT(ISERROR(SEARCH("FALSO",M169)))</formula>
    </cfRule>
  </conditionalFormatting>
  <conditionalFormatting sqref="M211">
    <cfRule type="containsText" dxfId="1849" priority="2034" operator="containsText" text="FALSO">
      <formula>NOT(ISERROR(SEARCH("FALSO",M211)))</formula>
    </cfRule>
  </conditionalFormatting>
  <conditionalFormatting sqref="M208">
    <cfRule type="containsText" dxfId="1848" priority="2031" operator="containsText" text="FALSO">
      <formula>NOT(ISERROR(SEARCH("FALSO",M208)))</formula>
    </cfRule>
  </conditionalFormatting>
  <conditionalFormatting sqref="M201">
    <cfRule type="containsText" dxfId="1847" priority="2025" operator="containsText" text="FALSO">
      <formula>NOT(ISERROR(SEARCH("FALSO",M201)))</formula>
    </cfRule>
  </conditionalFormatting>
  <conditionalFormatting sqref="M188">
    <cfRule type="containsText" dxfId="1846" priority="2013" operator="containsText" text="FALSO">
      <formula>NOT(ISERROR(SEARCH("FALSO",M188)))</formula>
    </cfRule>
  </conditionalFormatting>
  <conditionalFormatting sqref="M194">
    <cfRule type="containsText" dxfId="1845" priority="2018" operator="containsText" text="FALSO">
      <formula>NOT(ISERROR(SEARCH("FALSO",M194)))</formula>
    </cfRule>
  </conditionalFormatting>
  <conditionalFormatting sqref="M193">
    <cfRule type="containsText" dxfId="1844" priority="2017" operator="containsText" text="FALSO">
      <formula>NOT(ISERROR(SEARCH("FALSO",M193)))</formula>
    </cfRule>
  </conditionalFormatting>
  <conditionalFormatting sqref="M192">
    <cfRule type="containsText" dxfId="1843" priority="2016" operator="containsText" text="FALSO">
      <formula>NOT(ISERROR(SEARCH("FALSO",M192)))</formula>
    </cfRule>
  </conditionalFormatting>
  <conditionalFormatting sqref="M191">
    <cfRule type="containsText" dxfId="1842" priority="2015" operator="containsText" text="FALSO">
      <formula>NOT(ISERROR(SEARCH("FALSO",M191)))</formula>
    </cfRule>
  </conditionalFormatting>
  <conditionalFormatting sqref="M190">
    <cfRule type="containsText" dxfId="1841" priority="2014" operator="containsText" text="FALSO">
      <formula>NOT(ISERROR(SEARCH("FALSO",M190)))</formula>
    </cfRule>
  </conditionalFormatting>
  <conditionalFormatting sqref="M210">
    <cfRule type="containsText" dxfId="1840" priority="2033" operator="containsText" text="FALSO">
      <formula>NOT(ISERROR(SEARCH("FALSO",M210)))</formula>
    </cfRule>
  </conditionalFormatting>
  <conditionalFormatting sqref="M209">
    <cfRule type="containsText" dxfId="1839" priority="2032" operator="containsText" text="FALSO">
      <formula>NOT(ISERROR(SEARCH("FALSO",M209)))</formula>
    </cfRule>
  </conditionalFormatting>
  <conditionalFormatting sqref="M207">
    <cfRule type="containsText" dxfId="1838" priority="2030" operator="containsText" text="FALSO">
      <formula>NOT(ISERROR(SEARCH("FALSO",M207)))</formula>
    </cfRule>
  </conditionalFormatting>
  <conditionalFormatting sqref="M206">
    <cfRule type="containsText" dxfId="1837" priority="2029" operator="containsText" text="FALSO">
      <formula>NOT(ISERROR(SEARCH("FALSO",M206)))</formula>
    </cfRule>
  </conditionalFormatting>
  <conditionalFormatting sqref="M202">
    <cfRule type="containsText" dxfId="1836" priority="2026" operator="containsText" text="FALSO">
      <formula>NOT(ISERROR(SEARCH("FALSO",M202)))</formula>
    </cfRule>
  </conditionalFormatting>
  <conditionalFormatting sqref="M200">
    <cfRule type="containsText" dxfId="1835" priority="2024" operator="containsText" text="FALSO">
      <formula>NOT(ISERROR(SEARCH("FALSO",M200)))</formula>
    </cfRule>
  </conditionalFormatting>
  <conditionalFormatting sqref="M213">
    <cfRule type="containsText" dxfId="1834" priority="2036" operator="containsText" text="FALSO">
      <formula>NOT(ISERROR(SEARCH("FALSO",M213)))</formula>
    </cfRule>
  </conditionalFormatting>
  <conditionalFormatting sqref="M212">
    <cfRule type="containsText" dxfId="1833" priority="2035" operator="containsText" text="FALSO">
      <formula>NOT(ISERROR(SEARCH("FALSO",M212)))</formula>
    </cfRule>
  </conditionalFormatting>
  <conditionalFormatting sqref="M205">
    <cfRule type="containsText" dxfId="1832" priority="2028" operator="containsText" text="FALSO">
      <formula>NOT(ISERROR(SEARCH("FALSO",M205)))</formula>
    </cfRule>
  </conditionalFormatting>
  <conditionalFormatting sqref="M204">
    <cfRule type="containsText" dxfId="1831" priority="2027" operator="containsText" text="FALSO">
      <formula>NOT(ISERROR(SEARCH("FALSO",M204)))</formula>
    </cfRule>
  </conditionalFormatting>
  <conditionalFormatting sqref="M198">
    <cfRule type="containsText" dxfId="1830" priority="2022" operator="containsText" text="FALSO">
      <formula>NOT(ISERROR(SEARCH("FALSO",M198)))</formula>
    </cfRule>
  </conditionalFormatting>
  <conditionalFormatting sqref="M197">
    <cfRule type="containsText" dxfId="1829" priority="2021" operator="containsText" text="FALSO">
      <formula>NOT(ISERROR(SEARCH("FALSO",M197)))</formula>
    </cfRule>
  </conditionalFormatting>
  <conditionalFormatting sqref="M196">
    <cfRule type="containsText" dxfId="1828" priority="2020" operator="containsText" text="FALSO">
      <formula>NOT(ISERROR(SEARCH("FALSO",M196)))</formula>
    </cfRule>
  </conditionalFormatting>
  <conditionalFormatting sqref="M195">
    <cfRule type="containsText" dxfId="1827" priority="2019" operator="containsText" text="FALSO">
      <formula>NOT(ISERROR(SEARCH("FALSO",M195)))</formula>
    </cfRule>
  </conditionalFormatting>
  <conditionalFormatting sqref="AE168:AF168">
    <cfRule type="containsText" dxfId="1826" priority="1845" operator="containsText" text="FALSO">
      <formula>NOT(ISERROR(SEARCH("FALSO",AE168)))</formula>
    </cfRule>
  </conditionalFormatting>
  <conditionalFormatting sqref="M168">
    <cfRule type="containsText" dxfId="1825" priority="1992" operator="containsText" text="FALSO">
      <formula>NOT(ISERROR(SEARCH("FALSO",M168)))</formula>
    </cfRule>
  </conditionalFormatting>
  <conditionalFormatting sqref="M167">
    <cfRule type="containsText" dxfId="1824" priority="1991" operator="containsText" text="FALSO">
      <formula>NOT(ISERROR(SEARCH("FALSO",M167)))</formula>
    </cfRule>
  </conditionalFormatting>
  <conditionalFormatting sqref="M166">
    <cfRule type="containsText" dxfId="1823" priority="1990" operator="containsText" text="FALSO">
      <formula>NOT(ISERROR(SEARCH("FALSO",M166)))</formula>
    </cfRule>
  </conditionalFormatting>
  <conditionalFormatting sqref="M165">
    <cfRule type="containsText" dxfId="1822" priority="1989" operator="containsText" text="FALSO">
      <formula>NOT(ISERROR(SEARCH("FALSO",M165)))</formula>
    </cfRule>
  </conditionalFormatting>
  <conditionalFormatting sqref="M163">
    <cfRule type="containsText" dxfId="1821" priority="1987" operator="containsText" text="FALSO">
      <formula>NOT(ISERROR(SEARCH("FALSO",M163)))</formula>
    </cfRule>
  </conditionalFormatting>
  <conditionalFormatting sqref="M162">
    <cfRule type="containsText" dxfId="1820" priority="1986" operator="containsText" text="FALSO">
      <formula>NOT(ISERROR(SEARCH("FALSO",M162)))</formula>
    </cfRule>
  </conditionalFormatting>
  <conditionalFormatting sqref="M161">
    <cfRule type="containsText" dxfId="1819" priority="1985" operator="containsText" text="FALSO">
      <formula>NOT(ISERROR(SEARCH("FALSO",M161)))</formula>
    </cfRule>
  </conditionalFormatting>
  <conditionalFormatting sqref="M160">
    <cfRule type="containsText" dxfId="1818" priority="1984" operator="containsText" text="FALSO">
      <formula>NOT(ISERROR(SEARCH("FALSO",M160)))</formula>
    </cfRule>
  </conditionalFormatting>
  <conditionalFormatting sqref="M159">
    <cfRule type="containsText" dxfId="1817" priority="1983" operator="containsText" text="FALSO">
      <formula>NOT(ISERROR(SEARCH("FALSO",M159)))</formula>
    </cfRule>
  </conditionalFormatting>
  <conditionalFormatting sqref="M158">
    <cfRule type="containsText" dxfId="1816" priority="1982" operator="containsText" text="FALSO">
      <formula>NOT(ISERROR(SEARCH("FALSO",M158)))</formula>
    </cfRule>
  </conditionalFormatting>
  <conditionalFormatting sqref="M156">
    <cfRule type="containsText" dxfId="1815" priority="1981" operator="containsText" text="FALSO">
      <formula>NOT(ISERROR(SEARCH("FALSO",M156)))</formula>
    </cfRule>
  </conditionalFormatting>
  <conditionalFormatting sqref="M157 M155">
    <cfRule type="containsText" dxfId="1814" priority="1993" operator="containsText" text="FALSO">
      <formula>NOT(ISERROR(SEARCH("FALSO",M155)))</formula>
    </cfRule>
  </conditionalFormatting>
  <conditionalFormatting sqref="AE193:AF193">
    <cfRule type="containsText" dxfId="1813" priority="1869" operator="containsText" text="FALSO">
      <formula>NOT(ISERROR(SEARCH("FALSO",AE193)))</formula>
    </cfRule>
  </conditionalFormatting>
  <conditionalFormatting sqref="AE192:AF192">
    <cfRule type="containsText" dxfId="1812" priority="1868" operator="containsText" text="FALSO">
      <formula>NOT(ISERROR(SEARCH("FALSO",AE192)))</formula>
    </cfRule>
  </conditionalFormatting>
  <conditionalFormatting sqref="AE191:AF191">
    <cfRule type="containsText" dxfId="1811" priority="1867" operator="containsText" text="FALSO">
      <formula>NOT(ISERROR(SEARCH("FALSO",AE191)))</formula>
    </cfRule>
  </conditionalFormatting>
  <conditionalFormatting sqref="AE190:AF190">
    <cfRule type="containsText" dxfId="1810" priority="1866" operator="containsText" text="FALSO">
      <formula>NOT(ISERROR(SEARCH("FALSO",AE190)))</formula>
    </cfRule>
  </conditionalFormatting>
  <conditionalFormatting sqref="AE188:AF188">
    <cfRule type="containsText" dxfId="1809" priority="1865" operator="containsText" text="FALSO">
      <formula>NOT(ISERROR(SEARCH("FALSO",AE188)))</formula>
    </cfRule>
  </conditionalFormatting>
  <conditionalFormatting sqref="AE187:AF187">
    <cfRule type="containsText" dxfId="1808" priority="1864" operator="containsText" text="FALSO">
      <formula>NOT(ISERROR(SEARCH("FALSO",AE187)))</formula>
    </cfRule>
  </conditionalFormatting>
  <conditionalFormatting sqref="AE186:AF186">
    <cfRule type="containsText" dxfId="1807" priority="1863" operator="containsText" text="FALSO">
      <formula>NOT(ISERROR(SEARCH("FALSO",AE186)))</formula>
    </cfRule>
  </conditionalFormatting>
  <conditionalFormatting sqref="AE185:AF185">
    <cfRule type="containsText" dxfId="1806" priority="1862" operator="containsText" text="FALSO">
      <formula>NOT(ISERROR(SEARCH("FALSO",AE185)))</formula>
    </cfRule>
  </conditionalFormatting>
  <conditionalFormatting sqref="AE184:AF184">
    <cfRule type="containsText" dxfId="1805" priority="1861" operator="containsText" text="FALSO">
      <formula>NOT(ISERROR(SEARCH("FALSO",AE184)))</formula>
    </cfRule>
  </conditionalFormatting>
  <conditionalFormatting sqref="AE183:AF183">
    <cfRule type="containsText" dxfId="1804" priority="1860" operator="containsText" text="FALSO">
      <formula>NOT(ISERROR(SEARCH("FALSO",AE183)))</formula>
    </cfRule>
  </conditionalFormatting>
  <conditionalFormatting sqref="AE182:AF182">
    <cfRule type="containsText" dxfId="1803" priority="1859" operator="containsText" text="FALSO">
      <formula>NOT(ISERROR(SEARCH("FALSO",AE182)))</formula>
    </cfRule>
  </conditionalFormatting>
  <conditionalFormatting sqref="AE181:AF181">
    <cfRule type="containsText" dxfId="1802" priority="1858" operator="containsText" text="FALSO">
      <formula>NOT(ISERROR(SEARCH("FALSO",AE181)))</formula>
    </cfRule>
  </conditionalFormatting>
  <conditionalFormatting sqref="AE180:AF180">
    <cfRule type="containsText" dxfId="1801" priority="1857" operator="containsText" text="FALSO">
      <formula>NOT(ISERROR(SEARCH("FALSO",AE180)))</formula>
    </cfRule>
  </conditionalFormatting>
  <conditionalFormatting sqref="AE179:AF179">
    <cfRule type="containsText" dxfId="1800" priority="1856" operator="containsText" text="FALSO">
      <formula>NOT(ISERROR(SEARCH("FALSO",AE179)))</formula>
    </cfRule>
  </conditionalFormatting>
  <conditionalFormatting sqref="AE178:AF178">
    <cfRule type="containsText" dxfId="1799" priority="1855" operator="containsText" text="FALSO">
      <formula>NOT(ISERROR(SEARCH("FALSO",AE178)))</formula>
    </cfRule>
  </conditionalFormatting>
  <conditionalFormatting sqref="AE177:AF177">
    <cfRule type="containsText" dxfId="1798" priority="1854" operator="containsText" text="FALSO">
      <formula>NOT(ISERROR(SEARCH("FALSO",AE177)))</formula>
    </cfRule>
  </conditionalFormatting>
  <conditionalFormatting sqref="AE174:AF174">
    <cfRule type="containsText" dxfId="1797" priority="1851" operator="containsText" text="FALSO">
      <formula>NOT(ISERROR(SEARCH("FALSO",AE174)))</formula>
    </cfRule>
  </conditionalFormatting>
  <conditionalFormatting sqref="AE173:AF173">
    <cfRule type="containsText" dxfId="1796" priority="1850" operator="containsText" text="FALSO">
      <formula>NOT(ISERROR(SEARCH("FALSO",AE173)))</formula>
    </cfRule>
  </conditionalFormatting>
  <conditionalFormatting sqref="AE172:AF172">
    <cfRule type="containsText" dxfId="1795" priority="1849" operator="containsText" text="FALSO">
      <formula>NOT(ISERROR(SEARCH("FALSO",AE172)))</formula>
    </cfRule>
  </conditionalFormatting>
  <conditionalFormatting sqref="AE171:AF171">
    <cfRule type="containsText" dxfId="1794" priority="1848" operator="containsText" text="FALSO">
      <formula>NOT(ISERROR(SEARCH("FALSO",AE171)))</formula>
    </cfRule>
  </conditionalFormatting>
  <conditionalFormatting sqref="AE170:AF170">
    <cfRule type="containsText" dxfId="1793" priority="1847" operator="containsText" text="FALSO">
      <formula>NOT(ISERROR(SEARCH("FALSO",AE170)))</formula>
    </cfRule>
  </conditionalFormatting>
  <conditionalFormatting sqref="AE169:AF169">
    <cfRule type="containsText" dxfId="1792" priority="1846" operator="containsText" text="FALSO">
      <formula>NOT(ISERROR(SEARCH("FALSO",AE169)))</formula>
    </cfRule>
  </conditionalFormatting>
  <conditionalFormatting sqref="AE167:AF167">
    <cfRule type="containsText" dxfId="1791" priority="1844" operator="containsText" text="FALSO">
      <formula>NOT(ISERROR(SEARCH("FALSO",AE167)))</formula>
    </cfRule>
  </conditionalFormatting>
  <conditionalFormatting sqref="AE166:AF166">
    <cfRule type="containsText" dxfId="1790" priority="1843" operator="containsText" text="FALSO">
      <formula>NOT(ISERROR(SEARCH("FALSO",AE166)))</formula>
    </cfRule>
  </conditionalFormatting>
  <conditionalFormatting sqref="AE165:AF165">
    <cfRule type="containsText" dxfId="1789" priority="1842" operator="containsText" text="FALSO">
      <formula>NOT(ISERROR(SEARCH("FALSO",AE165)))</formula>
    </cfRule>
  </conditionalFormatting>
  <conditionalFormatting sqref="AE164:AF164">
    <cfRule type="containsText" dxfId="1788" priority="1841" operator="containsText" text="FALSO">
      <formula>NOT(ISERROR(SEARCH("FALSO",AE164)))</formula>
    </cfRule>
  </conditionalFormatting>
  <conditionalFormatting sqref="AE163:AF163">
    <cfRule type="containsText" dxfId="1787" priority="1840" operator="containsText" text="FALSO">
      <formula>NOT(ISERROR(SEARCH("FALSO",AE163)))</formula>
    </cfRule>
  </conditionalFormatting>
  <conditionalFormatting sqref="AE162:AF162">
    <cfRule type="containsText" dxfId="1786" priority="1839" operator="containsText" text="FALSO">
      <formula>NOT(ISERROR(SEARCH("FALSO",AE162)))</formula>
    </cfRule>
  </conditionalFormatting>
  <conditionalFormatting sqref="AE161:AF161">
    <cfRule type="containsText" dxfId="1785" priority="1838" operator="containsText" text="FALSO">
      <formula>NOT(ISERROR(SEARCH("FALSO",AE161)))</formula>
    </cfRule>
  </conditionalFormatting>
  <conditionalFormatting sqref="AE160:AF160">
    <cfRule type="containsText" dxfId="1784" priority="1837" operator="containsText" text="FALSO">
      <formula>NOT(ISERROR(SEARCH("FALSO",AE160)))</formula>
    </cfRule>
  </conditionalFormatting>
  <conditionalFormatting sqref="AE159:AF159">
    <cfRule type="containsText" dxfId="1783" priority="1836" operator="containsText" text="FALSO">
      <formula>NOT(ISERROR(SEARCH("FALSO",AE159)))</formula>
    </cfRule>
  </conditionalFormatting>
  <conditionalFormatting sqref="AE158:AF158">
    <cfRule type="containsText" dxfId="1782" priority="1835" operator="containsText" text="FALSO">
      <formula>NOT(ISERROR(SEARCH("FALSO",AE158)))</formula>
    </cfRule>
  </conditionalFormatting>
  <conditionalFormatting sqref="AE156:AF156">
    <cfRule type="containsText" dxfId="1781" priority="1834" operator="containsText" text="FALSO">
      <formula>NOT(ISERROR(SEARCH("FALSO",AE156)))</formula>
    </cfRule>
  </conditionalFormatting>
  <conditionalFormatting sqref="AE155:AF155">
    <cfRule type="containsText" dxfId="1780" priority="1833" operator="containsText" text="FALSO">
      <formula>NOT(ISERROR(SEARCH("FALSO",AE155)))</formula>
    </cfRule>
  </conditionalFormatting>
  <conditionalFormatting sqref="AE154:AF154">
    <cfRule type="containsText" dxfId="1779" priority="1832" operator="containsText" text="FALSO">
      <formula>NOT(ISERROR(SEARCH("FALSO",AE154)))</formula>
    </cfRule>
  </conditionalFormatting>
  <conditionalFormatting sqref="AE153:AF153">
    <cfRule type="containsText" dxfId="1778" priority="1831" operator="containsText" text="FALSO">
      <formula>NOT(ISERROR(SEARCH("FALSO",AE153)))</formula>
    </cfRule>
  </conditionalFormatting>
  <conditionalFormatting sqref="AE152:AF152">
    <cfRule type="containsText" dxfId="1777" priority="1830" operator="containsText" text="FALSO">
      <formula>NOT(ISERROR(SEARCH("FALSO",AE152)))</formula>
    </cfRule>
  </conditionalFormatting>
  <conditionalFormatting sqref="AE151:AF151">
    <cfRule type="containsText" dxfId="1776" priority="1829" operator="containsText" text="FALSO">
      <formula>NOT(ISERROR(SEARCH("FALSO",AE151)))</formula>
    </cfRule>
  </conditionalFormatting>
  <conditionalFormatting sqref="AE150:AF150">
    <cfRule type="containsText" dxfId="1775" priority="1828" operator="containsText" text="FALSO">
      <formula>NOT(ISERROR(SEARCH("FALSO",AE150)))</formula>
    </cfRule>
  </conditionalFormatting>
  <conditionalFormatting sqref="AE148:AF148">
    <cfRule type="containsText" dxfId="1774" priority="1826" operator="containsText" text="FALSO">
      <formula>NOT(ISERROR(SEARCH("FALSO",AE148)))</formula>
    </cfRule>
  </conditionalFormatting>
  <conditionalFormatting sqref="AE147:AF147">
    <cfRule type="containsText" dxfId="1773" priority="1825" operator="containsText" text="FALSO">
      <formula>NOT(ISERROR(SEARCH("FALSO",AE147)))</formula>
    </cfRule>
  </conditionalFormatting>
  <conditionalFormatting sqref="AE146:AF146">
    <cfRule type="containsText" dxfId="1772" priority="1824" operator="containsText" text="FALSO">
      <formula>NOT(ISERROR(SEARCH("FALSO",AE146)))</formula>
    </cfRule>
  </conditionalFormatting>
  <conditionalFormatting sqref="AE149:AF149">
    <cfRule type="containsText" dxfId="1771" priority="1827" operator="containsText" text="FALSO">
      <formula>NOT(ISERROR(SEARCH("FALSO",AE149)))</formula>
    </cfRule>
  </conditionalFormatting>
  <conditionalFormatting sqref="AE131:AF131">
    <cfRule type="containsText" dxfId="1770" priority="1810" operator="containsText" text="FALSO">
      <formula>NOT(ISERROR(SEARCH("FALSO",AE131)))</formula>
    </cfRule>
  </conditionalFormatting>
  <conditionalFormatting sqref="AE132:AF132">
    <cfRule type="containsText" dxfId="1769" priority="1811" operator="containsText" text="FALSO">
      <formula>NOT(ISERROR(SEARCH("FALSO",AE132)))</formula>
    </cfRule>
  </conditionalFormatting>
  <conditionalFormatting sqref="AE140:AF140">
    <cfRule type="containsText" dxfId="1768" priority="1818" operator="containsText" text="FALSO">
      <formula>NOT(ISERROR(SEARCH("FALSO",AE140)))</formula>
    </cfRule>
  </conditionalFormatting>
  <conditionalFormatting sqref="AE139:AF139">
    <cfRule type="containsText" dxfId="1767" priority="1817" operator="containsText" text="FALSO">
      <formula>NOT(ISERROR(SEARCH("FALSO",AE139)))</formula>
    </cfRule>
  </conditionalFormatting>
  <conditionalFormatting sqref="AE138:AF138">
    <cfRule type="containsText" dxfId="1766" priority="1816" operator="containsText" text="FALSO">
      <formula>NOT(ISERROR(SEARCH("FALSO",AE138)))</formula>
    </cfRule>
  </conditionalFormatting>
  <conditionalFormatting sqref="AE137:AF137">
    <cfRule type="containsText" dxfId="1765" priority="1815" operator="containsText" text="FALSO">
      <formula>NOT(ISERROR(SEARCH("FALSO",AE137)))</formula>
    </cfRule>
  </conditionalFormatting>
  <conditionalFormatting sqref="AE145:AF145">
    <cfRule type="containsText" dxfId="1764" priority="1823" operator="containsText" text="FALSO">
      <formula>NOT(ISERROR(SEARCH("FALSO",AE145)))</formula>
    </cfRule>
  </conditionalFormatting>
  <conditionalFormatting sqref="AE144:AF144">
    <cfRule type="containsText" dxfId="1763" priority="1822" operator="containsText" text="FALSO">
      <formula>NOT(ISERROR(SEARCH("FALSO",AE144)))</formula>
    </cfRule>
  </conditionalFormatting>
  <conditionalFormatting sqref="AE141:AF141">
    <cfRule type="containsText" dxfId="1762" priority="1819" operator="containsText" text="FALSO">
      <formula>NOT(ISERROR(SEARCH("FALSO",AE141)))</formula>
    </cfRule>
  </conditionalFormatting>
  <conditionalFormatting sqref="AE143:AF143">
    <cfRule type="containsText" dxfId="1761" priority="1821" operator="containsText" text="FALSO">
      <formula>NOT(ISERROR(SEARCH("FALSO",AE143)))</formula>
    </cfRule>
  </conditionalFormatting>
  <conditionalFormatting sqref="AE142:AF142">
    <cfRule type="containsText" dxfId="1760" priority="1820" operator="containsText" text="FALSO">
      <formula>NOT(ISERROR(SEARCH("FALSO",AE142)))</formula>
    </cfRule>
  </conditionalFormatting>
  <conditionalFormatting sqref="AE136:AF136">
    <cfRule type="containsText" dxfId="1759" priority="1814" operator="containsText" text="FALSO">
      <formula>NOT(ISERROR(SEARCH("FALSO",AE136)))</formula>
    </cfRule>
  </conditionalFormatting>
  <conditionalFormatting sqref="AE135:AF135">
    <cfRule type="containsText" dxfId="1758" priority="1813" operator="containsText" text="FALSO">
      <formula>NOT(ISERROR(SEARCH("FALSO",AE135)))</formula>
    </cfRule>
  </conditionalFormatting>
  <conditionalFormatting sqref="AE133:AF133">
    <cfRule type="containsText" dxfId="1757" priority="1812" operator="containsText" text="FALSO">
      <formula>NOT(ISERROR(SEARCH("FALSO",AE133)))</formula>
    </cfRule>
  </conditionalFormatting>
  <conditionalFormatting sqref="AE130:AF130">
    <cfRule type="containsText" dxfId="1756" priority="1809" operator="containsText" text="FALSO">
      <formula>NOT(ISERROR(SEARCH("FALSO",AE130)))</formula>
    </cfRule>
  </conditionalFormatting>
  <conditionalFormatting sqref="AE129:AF129">
    <cfRule type="containsText" dxfId="1755" priority="1808" operator="containsText" text="FALSO">
      <formula>NOT(ISERROR(SEARCH("FALSO",AE129)))</formula>
    </cfRule>
  </conditionalFormatting>
  <conditionalFormatting sqref="AE128:AF128">
    <cfRule type="containsText" dxfId="1754" priority="1807" operator="containsText" text="FALSO">
      <formula>NOT(ISERROR(SEARCH("FALSO",AE128)))</formula>
    </cfRule>
  </conditionalFormatting>
  <conditionalFormatting sqref="AE127:AF127">
    <cfRule type="containsText" dxfId="1753" priority="1806" operator="containsText" text="FALSO">
      <formula>NOT(ISERROR(SEARCH("FALSO",AE127)))</formula>
    </cfRule>
  </conditionalFormatting>
  <conditionalFormatting sqref="AE126:AF126">
    <cfRule type="containsText" dxfId="1752" priority="1805" operator="containsText" text="FALSO">
      <formula>NOT(ISERROR(SEARCH("FALSO",AE126)))</formula>
    </cfRule>
  </conditionalFormatting>
  <conditionalFormatting sqref="AE125:AF125">
    <cfRule type="containsText" dxfId="1751" priority="1804" operator="containsText" text="FALSO">
      <formula>NOT(ISERROR(SEARCH("FALSO",AE125)))</formula>
    </cfRule>
  </conditionalFormatting>
  <conditionalFormatting sqref="AE124:AF124">
    <cfRule type="containsText" dxfId="1750" priority="1803" operator="containsText" text="FALSO">
      <formula>NOT(ISERROR(SEARCH("FALSO",AE124)))</formula>
    </cfRule>
  </conditionalFormatting>
  <conditionalFormatting sqref="AE112:AF112">
    <cfRule type="containsText" dxfId="1749" priority="1799" operator="containsText" text="FALSO">
      <formula>NOT(ISERROR(SEARCH("FALSO",AE112)))</formula>
    </cfRule>
  </conditionalFormatting>
  <conditionalFormatting sqref="AE123:AF123">
    <cfRule type="containsText" dxfId="1748" priority="1802" operator="containsText" text="FALSO">
      <formula>NOT(ISERROR(SEARCH("FALSO",AE123)))</formula>
    </cfRule>
  </conditionalFormatting>
  <conditionalFormatting sqref="AE122:AF122">
    <cfRule type="containsText" dxfId="1747" priority="1801" operator="containsText" text="FALSO">
      <formula>NOT(ISERROR(SEARCH("FALSO",AE122)))</formula>
    </cfRule>
  </conditionalFormatting>
  <conditionalFormatting sqref="AE113:AF113">
    <cfRule type="containsText" dxfId="1746" priority="1800" operator="containsText" text="FALSO">
      <formula>NOT(ISERROR(SEARCH("FALSO",AE113)))</formula>
    </cfRule>
  </conditionalFormatting>
  <conditionalFormatting sqref="AE111:AF111">
    <cfRule type="containsText" dxfId="1745" priority="1798" operator="containsText" text="FALSO">
      <formula>NOT(ISERROR(SEARCH("FALSO",AE111)))</formula>
    </cfRule>
  </conditionalFormatting>
  <conditionalFormatting sqref="AE110:AF110">
    <cfRule type="containsText" dxfId="1744" priority="1797" operator="containsText" text="FALSO">
      <formula>NOT(ISERROR(SEARCH("FALSO",AE110)))</formula>
    </cfRule>
  </conditionalFormatting>
  <conditionalFormatting sqref="AE109:AF109">
    <cfRule type="containsText" dxfId="1743" priority="1796" operator="containsText" text="FALSO">
      <formula>NOT(ISERROR(SEARCH("FALSO",AE109)))</formula>
    </cfRule>
  </conditionalFormatting>
  <conditionalFormatting sqref="AE189:AF189 AE157:AF157 AE134:AF134">
    <cfRule type="containsText" dxfId="1742" priority="1877" operator="containsText" text="FALSO">
      <formula>NOT(ISERROR(SEARCH("FALSO",AE134)))</formula>
    </cfRule>
  </conditionalFormatting>
  <conditionalFormatting sqref="AE200:AF200">
    <cfRule type="containsText" dxfId="1741" priority="1876" operator="containsText" text="FALSO">
      <formula>NOT(ISERROR(SEARCH("FALSO",AE200)))</formula>
    </cfRule>
  </conditionalFormatting>
  <conditionalFormatting sqref="AE199:AF199">
    <cfRule type="containsText" dxfId="1740" priority="1875" operator="containsText" text="FALSO">
      <formula>NOT(ISERROR(SEARCH("FALSO",AE199)))</formula>
    </cfRule>
  </conditionalFormatting>
  <conditionalFormatting sqref="AE198:AF198">
    <cfRule type="containsText" dxfId="1739" priority="1874" operator="containsText" text="FALSO">
      <formula>NOT(ISERROR(SEARCH("FALSO",AE198)))</formula>
    </cfRule>
  </conditionalFormatting>
  <conditionalFormatting sqref="AE197:AF197">
    <cfRule type="containsText" dxfId="1738" priority="1873" operator="containsText" text="FALSO">
      <formula>NOT(ISERROR(SEARCH("FALSO",AE197)))</formula>
    </cfRule>
  </conditionalFormatting>
  <conditionalFormatting sqref="AE196:AF196">
    <cfRule type="containsText" dxfId="1737" priority="1872" operator="containsText" text="FALSO">
      <formula>NOT(ISERROR(SEARCH("FALSO",AE196)))</formula>
    </cfRule>
  </conditionalFormatting>
  <conditionalFormatting sqref="AE195:AF195">
    <cfRule type="containsText" dxfId="1736" priority="1871" operator="containsText" text="FALSO">
      <formula>NOT(ISERROR(SEARCH("FALSO",AE195)))</formula>
    </cfRule>
  </conditionalFormatting>
  <conditionalFormatting sqref="AE194:AF194">
    <cfRule type="containsText" dxfId="1735" priority="1870" operator="containsText" text="FALSO">
      <formula>NOT(ISERROR(SEARCH("FALSO",AE194)))</formula>
    </cfRule>
  </conditionalFormatting>
  <conditionalFormatting sqref="AE108:AF108">
    <cfRule type="containsText" dxfId="1734" priority="1795" operator="containsText" text="FALSO">
      <formula>NOT(ISERROR(SEARCH("FALSO",AE108)))</formula>
    </cfRule>
  </conditionalFormatting>
  <conditionalFormatting sqref="AE107:AF107">
    <cfRule type="containsText" dxfId="1733" priority="1794" operator="containsText" text="FALSO">
      <formula>NOT(ISERROR(SEARCH("FALSO",AE107)))</formula>
    </cfRule>
  </conditionalFormatting>
  <conditionalFormatting sqref="AE106:AF106">
    <cfRule type="containsText" dxfId="1732" priority="1793" operator="containsText" text="FALSO">
      <formula>NOT(ISERROR(SEARCH("FALSO",AE106)))</formula>
    </cfRule>
  </conditionalFormatting>
  <conditionalFormatting sqref="AE121:AF121">
    <cfRule type="containsText" dxfId="1731" priority="1792" operator="containsText" text="FALSO">
      <formula>NOT(ISERROR(SEARCH("FALSO",AE121)))</formula>
    </cfRule>
  </conditionalFormatting>
  <conditionalFormatting sqref="AE120:AF120">
    <cfRule type="containsText" dxfId="1730" priority="1791" operator="containsText" text="FALSO">
      <formula>NOT(ISERROR(SEARCH("FALSO",AE120)))</formula>
    </cfRule>
  </conditionalFormatting>
  <conditionalFormatting sqref="AE119:AF119">
    <cfRule type="containsText" dxfId="1729" priority="1790" operator="containsText" text="FALSO">
      <formula>NOT(ISERROR(SEARCH("FALSO",AE119)))</formula>
    </cfRule>
  </conditionalFormatting>
  <conditionalFormatting sqref="AE118:AF118">
    <cfRule type="containsText" dxfId="1728" priority="1789" operator="containsText" text="FALSO">
      <formula>NOT(ISERROR(SEARCH("FALSO",AE118)))</formula>
    </cfRule>
  </conditionalFormatting>
  <conditionalFormatting sqref="AE117:AF117">
    <cfRule type="containsText" dxfId="1727" priority="1788" operator="containsText" text="FALSO">
      <formula>NOT(ISERROR(SEARCH("FALSO",AE117)))</formula>
    </cfRule>
  </conditionalFormatting>
  <conditionalFormatting sqref="AE116:AF116">
    <cfRule type="containsText" dxfId="1726" priority="1787" operator="containsText" text="FALSO">
      <formula>NOT(ISERROR(SEARCH("FALSO",AE116)))</formula>
    </cfRule>
  </conditionalFormatting>
  <conditionalFormatting sqref="AE115:AF115">
    <cfRule type="containsText" dxfId="1725" priority="1786" operator="containsText" text="FALSO">
      <formula>NOT(ISERROR(SEARCH("FALSO",AE115)))</formula>
    </cfRule>
  </conditionalFormatting>
  <conditionalFormatting sqref="AE114:AF114">
    <cfRule type="containsText" dxfId="1724" priority="1785" operator="containsText" text="FALSO">
      <formula>NOT(ISERROR(SEARCH("FALSO",AE114)))</formula>
    </cfRule>
  </conditionalFormatting>
  <conditionalFormatting sqref="AE101:AF101">
    <cfRule type="containsText" dxfId="1723" priority="1780" operator="containsText" text="FALSO">
      <formula>NOT(ISERROR(SEARCH("FALSO",AE101)))</formula>
    </cfRule>
  </conditionalFormatting>
  <conditionalFormatting sqref="AE100:AF100">
    <cfRule type="containsText" dxfId="1722" priority="1779" operator="containsText" text="FALSO">
      <formula>NOT(ISERROR(SEARCH("FALSO",AE100)))</formula>
    </cfRule>
  </conditionalFormatting>
  <conditionalFormatting sqref="AE104:AF104">
    <cfRule type="containsText" dxfId="1721" priority="1783" operator="containsText" text="FALSO">
      <formula>NOT(ISERROR(SEARCH("FALSO",AE104)))</formula>
    </cfRule>
  </conditionalFormatting>
  <conditionalFormatting sqref="AE103:AF103">
    <cfRule type="containsText" dxfId="1720" priority="1782" operator="containsText" text="FALSO">
      <formula>NOT(ISERROR(SEARCH("FALSO",AE103)))</formula>
    </cfRule>
  </conditionalFormatting>
  <conditionalFormatting sqref="AE102:AF102">
    <cfRule type="containsText" dxfId="1719" priority="1781" operator="containsText" text="FALSO">
      <formula>NOT(ISERROR(SEARCH("FALSO",AE102)))</formula>
    </cfRule>
  </conditionalFormatting>
  <conditionalFormatting sqref="AE105:AF105">
    <cfRule type="containsText" dxfId="1718" priority="1784" operator="containsText" text="FALSO">
      <formula>NOT(ISERROR(SEARCH("FALSO",AE105)))</formula>
    </cfRule>
  </conditionalFormatting>
  <conditionalFormatting sqref="AE94:AF94">
    <cfRule type="containsText" dxfId="1717" priority="1775" operator="containsText" text="FALSO">
      <formula>NOT(ISERROR(SEARCH("FALSO",AE94)))</formula>
    </cfRule>
  </conditionalFormatting>
  <conditionalFormatting sqref="AE97:AF97">
    <cfRule type="containsText" dxfId="1716" priority="1777" operator="containsText" text="FALSO">
      <formula>NOT(ISERROR(SEARCH("FALSO",AE97)))</formula>
    </cfRule>
  </conditionalFormatting>
  <conditionalFormatting sqref="AE95:AF96">
    <cfRule type="containsText" dxfId="1715" priority="1776" operator="containsText" text="FALSO">
      <formula>NOT(ISERROR(SEARCH("FALSO",AE95)))</formula>
    </cfRule>
  </conditionalFormatting>
  <conditionalFormatting sqref="AE98:AF99">
    <cfRule type="containsText" dxfId="1714" priority="1778" operator="containsText" text="FALSO">
      <formula>NOT(ISERROR(SEARCH("FALSO",AE98)))</formula>
    </cfRule>
  </conditionalFormatting>
  <conditionalFormatting sqref="AE81:AF93">
    <cfRule type="containsText" dxfId="1713" priority="1774" operator="containsText" text="FALSO">
      <formula>NOT(ISERROR(SEARCH("FALSO",AE81)))</formula>
    </cfRule>
  </conditionalFormatting>
  <conditionalFormatting sqref="AE78:AF78">
    <cfRule type="containsText" dxfId="1712" priority="1771" operator="containsText" text="FALSO">
      <formula>NOT(ISERROR(SEARCH("FALSO",AE78)))</formula>
    </cfRule>
  </conditionalFormatting>
  <conditionalFormatting sqref="AE77:AF77">
    <cfRule type="containsText" dxfId="1711" priority="1770" operator="containsText" text="FALSO">
      <formula>NOT(ISERROR(SEARCH("FALSO",AE77)))</formula>
    </cfRule>
  </conditionalFormatting>
  <conditionalFormatting sqref="AE76:AF76">
    <cfRule type="containsText" dxfId="1710" priority="1769" operator="containsText" text="FALSO">
      <formula>NOT(ISERROR(SEARCH("FALSO",AE76)))</formula>
    </cfRule>
  </conditionalFormatting>
  <conditionalFormatting sqref="AE79:AF79">
    <cfRule type="containsText" dxfId="1709" priority="1772" operator="containsText" text="FALSO">
      <formula>NOT(ISERROR(SEARCH("FALSO",AE79)))</formula>
    </cfRule>
  </conditionalFormatting>
  <conditionalFormatting sqref="AE80:AF80">
    <cfRule type="containsText" dxfId="1708" priority="1773" operator="containsText" text="FALSO">
      <formula>NOT(ISERROR(SEARCH("FALSO",AE80)))</formula>
    </cfRule>
  </conditionalFormatting>
  <conditionalFormatting sqref="AE63:AF63">
    <cfRule type="containsText" dxfId="1707" priority="1756" operator="containsText" text="FALSO">
      <formula>NOT(ISERROR(SEARCH("FALSO",AE63)))</formula>
    </cfRule>
  </conditionalFormatting>
  <conditionalFormatting sqref="AE62:AF62">
    <cfRule type="containsText" dxfId="1706" priority="1755" operator="containsText" text="FALSO">
      <formula>NOT(ISERROR(SEARCH("FALSO",AE62)))</formula>
    </cfRule>
  </conditionalFormatting>
  <conditionalFormatting sqref="AE70:AF70">
    <cfRule type="containsText" dxfId="1705" priority="1763" operator="containsText" text="FALSO">
      <formula>NOT(ISERROR(SEARCH("FALSO",AE70)))</formula>
    </cfRule>
  </conditionalFormatting>
  <conditionalFormatting sqref="AE69:AF69">
    <cfRule type="containsText" dxfId="1704" priority="1762" operator="containsText" text="FALSO">
      <formula>NOT(ISERROR(SEARCH("FALSO",AE69)))</formula>
    </cfRule>
  </conditionalFormatting>
  <conditionalFormatting sqref="AE68:AF68">
    <cfRule type="containsText" dxfId="1703" priority="1761" operator="containsText" text="FALSO">
      <formula>NOT(ISERROR(SEARCH("FALSO",AE68)))</formula>
    </cfRule>
  </conditionalFormatting>
  <conditionalFormatting sqref="AE67:AF67">
    <cfRule type="containsText" dxfId="1702" priority="1760" operator="containsText" text="FALSO">
      <formula>NOT(ISERROR(SEARCH("FALSO",AE67)))</formula>
    </cfRule>
  </conditionalFormatting>
  <conditionalFormatting sqref="AE75:AF75">
    <cfRule type="containsText" dxfId="1701" priority="1768" operator="containsText" text="FALSO">
      <formula>NOT(ISERROR(SEARCH("FALSO",AE75)))</formula>
    </cfRule>
  </conditionalFormatting>
  <conditionalFormatting sqref="AE51:AF51">
    <cfRule type="containsText" dxfId="1700" priority="1744" operator="containsText" text="FALSO">
      <formula>NOT(ISERROR(SEARCH("FALSO",AE51)))</formula>
    </cfRule>
  </conditionalFormatting>
  <conditionalFormatting sqref="AE74:AF74">
    <cfRule type="containsText" dxfId="1699" priority="1767" operator="containsText" text="FALSO">
      <formula>NOT(ISERROR(SEARCH("FALSO",AE74)))</formula>
    </cfRule>
  </conditionalFormatting>
  <conditionalFormatting sqref="AE73:AF73">
    <cfRule type="containsText" dxfId="1698" priority="1766" operator="containsText" text="FALSO">
      <formula>NOT(ISERROR(SEARCH("FALSO",AE73)))</formula>
    </cfRule>
  </conditionalFormatting>
  <conditionalFormatting sqref="AE72:AF72">
    <cfRule type="containsText" dxfId="1697" priority="1765" operator="containsText" text="FALSO">
      <formula>NOT(ISERROR(SEARCH("FALSO",AE72)))</formula>
    </cfRule>
  </conditionalFormatting>
  <conditionalFormatting sqref="AE71:AF71">
    <cfRule type="containsText" dxfId="1696" priority="1764" operator="containsText" text="FALSO">
      <formula>NOT(ISERROR(SEARCH("FALSO",AE71)))</formula>
    </cfRule>
  </conditionalFormatting>
  <conditionalFormatting sqref="AE66:AF66">
    <cfRule type="containsText" dxfId="1695" priority="1759" operator="containsText" text="FALSO">
      <formula>NOT(ISERROR(SEARCH("FALSO",AE66)))</formula>
    </cfRule>
  </conditionalFormatting>
  <conditionalFormatting sqref="AE65:AF65">
    <cfRule type="containsText" dxfId="1694" priority="1758" operator="containsText" text="FALSO">
      <formula>NOT(ISERROR(SEARCH("FALSO",AE65)))</formula>
    </cfRule>
  </conditionalFormatting>
  <conditionalFormatting sqref="AE64:AF64">
    <cfRule type="containsText" dxfId="1693" priority="1757" operator="containsText" text="FALSO">
      <formula>NOT(ISERROR(SEARCH("FALSO",AE64)))</formula>
    </cfRule>
  </conditionalFormatting>
  <conditionalFormatting sqref="AE61:AF61">
    <cfRule type="containsText" dxfId="1692" priority="1754" operator="containsText" text="FALSO">
      <formula>NOT(ISERROR(SEARCH("FALSO",AE61)))</formula>
    </cfRule>
  </conditionalFormatting>
  <conditionalFormatting sqref="AE60:AF60">
    <cfRule type="containsText" dxfId="1691" priority="1753" operator="containsText" text="FALSO">
      <formula>NOT(ISERROR(SEARCH("FALSO",AE60)))</formula>
    </cfRule>
  </conditionalFormatting>
  <conditionalFormatting sqref="AE59:AF59">
    <cfRule type="containsText" dxfId="1690" priority="1752" operator="containsText" text="FALSO">
      <formula>NOT(ISERROR(SEARCH("FALSO",AE59)))</formula>
    </cfRule>
  </conditionalFormatting>
  <conditionalFormatting sqref="AE58:AF58">
    <cfRule type="containsText" dxfId="1689" priority="1751" operator="containsText" text="FALSO">
      <formula>NOT(ISERROR(SEARCH("FALSO",AE58)))</formula>
    </cfRule>
  </conditionalFormatting>
  <conditionalFormatting sqref="AE57:AF57">
    <cfRule type="containsText" dxfId="1688" priority="1750" operator="containsText" text="FALSO">
      <formula>NOT(ISERROR(SEARCH("FALSO",AE57)))</formula>
    </cfRule>
  </conditionalFormatting>
  <conditionalFormatting sqref="AE56:AF56">
    <cfRule type="containsText" dxfId="1687" priority="1749" operator="containsText" text="FALSO">
      <formula>NOT(ISERROR(SEARCH("FALSO",AE56)))</formula>
    </cfRule>
  </conditionalFormatting>
  <conditionalFormatting sqref="AE55:AF55">
    <cfRule type="containsText" dxfId="1686" priority="1748" operator="containsText" text="FALSO">
      <formula>NOT(ISERROR(SEARCH("FALSO",AE55)))</formula>
    </cfRule>
  </conditionalFormatting>
  <conditionalFormatting sqref="AE54:AF54">
    <cfRule type="containsText" dxfId="1685" priority="1747" operator="containsText" text="FALSO">
      <formula>NOT(ISERROR(SEARCH("FALSO",AE54)))</formula>
    </cfRule>
  </conditionalFormatting>
  <conditionalFormatting sqref="AE53:AF53">
    <cfRule type="containsText" dxfId="1684" priority="1746" operator="containsText" text="FALSO">
      <formula>NOT(ISERROR(SEARCH("FALSO",AE53)))</formula>
    </cfRule>
  </conditionalFormatting>
  <conditionalFormatting sqref="AE52:AF52">
    <cfRule type="containsText" dxfId="1683" priority="1745" operator="containsText" text="FALSO">
      <formula>NOT(ISERROR(SEARCH("FALSO",AE52)))</formula>
    </cfRule>
  </conditionalFormatting>
  <conditionalFormatting sqref="AE49:AF49">
    <cfRule type="containsText" dxfId="1682" priority="1742" operator="containsText" text="FALSO">
      <formula>NOT(ISERROR(SEARCH("FALSO",AE49)))</formula>
    </cfRule>
  </conditionalFormatting>
  <conditionalFormatting sqref="AE50:AF50">
    <cfRule type="containsText" dxfId="1681" priority="1743" operator="containsText" text="FALSO">
      <formula>NOT(ISERROR(SEARCH("FALSO",AE50)))</formula>
    </cfRule>
  </conditionalFormatting>
  <conditionalFormatting sqref="AE48:AF48">
    <cfRule type="containsText" dxfId="1680" priority="1741" operator="containsText" text="FALSO">
      <formula>NOT(ISERROR(SEARCH("FALSO",AE48)))</formula>
    </cfRule>
  </conditionalFormatting>
  <conditionalFormatting sqref="AE47:AF47">
    <cfRule type="containsText" dxfId="1679" priority="1740" operator="containsText" text="FALSO">
      <formula>NOT(ISERROR(SEARCH("FALSO",AE47)))</formula>
    </cfRule>
  </conditionalFormatting>
  <conditionalFormatting sqref="AE46:AF46">
    <cfRule type="containsText" dxfId="1678" priority="1739" operator="containsText" text="FALSO">
      <formula>NOT(ISERROR(SEARCH("FALSO",AE46)))</formula>
    </cfRule>
  </conditionalFormatting>
  <conditionalFormatting sqref="G282:G470">
    <cfRule type="duplicateValues" dxfId="1677" priority="34995"/>
  </conditionalFormatting>
  <conditionalFormatting sqref="A45:L45 AA45:AD45 AG45:AI45">
    <cfRule type="containsText" dxfId="1676" priority="1727" operator="containsText" text="FALSO">
      <formula>NOT(ISERROR(SEARCH("FALSO",A45)))</formula>
    </cfRule>
  </conditionalFormatting>
  <conditionalFormatting sqref="P45 Y45:Z45 S45 W45 AK45:AM45 AP45 AS45:XFD45 U45">
    <cfRule type="containsText" dxfId="1675" priority="1726" operator="containsText" text="FALSO">
      <formula>NOT(ISERROR(SEARCH("FALSO",P45)))</formula>
    </cfRule>
  </conditionalFormatting>
  <conditionalFormatting sqref="G45">
    <cfRule type="duplicateValues" dxfId="1674" priority="1725"/>
  </conditionalFormatting>
  <conditionalFormatting sqref="R45">
    <cfRule type="containsText" dxfId="1673" priority="1722" operator="containsText" text="FALSO">
      <formula>NOT(ISERROR(SEARCH("FALSO",R45)))</formula>
    </cfRule>
  </conditionalFormatting>
  <conditionalFormatting sqref="M101">
    <cfRule type="containsText" dxfId="1672" priority="1509" operator="containsText" text="FALSO">
      <formula>NOT(ISERROR(SEARCH("FALSO",M101)))</formula>
    </cfRule>
  </conditionalFormatting>
  <conditionalFormatting sqref="AE44:AF44">
    <cfRule type="containsText" dxfId="1671" priority="1628" operator="containsText" text="FALSO">
      <formula>NOT(ISERROR(SEARCH("FALSO",AE44)))</formula>
    </cfRule>
  </conditionalFormatting>
  <conditionalFormatting sqref="P43 Y43:Z43 S43 W43 AK43:AM43 AP43 AS43:XFD43 U43">
    <cfRule type="containsText" dxfId="1670" priority="1704" operator="containsText" text="FALSO">
      <formula>NOT(ISERROR(SEARCH("FALSO",P43)))</formula>
    </cfRule>
  </conditionalFormatting>
  <conditionalFormatting sqref="A44:L44 AA44:AD44 AG44:AI44">
    <cfRule type="containsText" dxfId="1669" priority="1716" operator="containsText" text="FALSO">
      <formula>NOT(ISERROR(SEARCH("FALSO",A44)))</formula>
    </cfRule>
  </conditionalFormatting>
  <conditionalFormatting sqref="P44 Y44:Z44 S44 W44 AK44:AM44 AP44 AS44:XFD44 U44">
    <cfRule type="containsText" dxfId="1668" priority="1715" operator="containsText" text="FALSO">
      <formula>NOT(ISERROR(SEARCH("FALSO",P44)))</formula>
    </cfRule>
  </conditionalFormatting>
  <conditionalFormatting sqref="G44">
    <cfRule type="duplicateValues" dxfId="1667" priority="1714"/>
  </conditionalFormatting>
  <conditionalFormatting sqref="R40">
    <cfRule type="containsText" dxfId="1666" priority="1645" operator="containsText" text="FALSO">
      <formula>NOT(ISERROR(SEARCH("FALSO",R40)))</formula>
    </cfRule>
  </conditionalFormatting>
  <conditionalFormatting sqref="R44">
    <cfRule type="containsText" dxfId="1665" priority="1711" operator="containsText" text="FALSO">
      <formula>NOT(ISERROR(SEARCH("FALSO",R44)))</formula>
    </cfRule>
  </conditionalFormatting>
  <conditionalFormatting sqref="M87">
    <cfRule type="containsText" dxfId="1664" priority="1498" operator="containsText" text="FALSO">
      <formula>NOT(ISERROR(SEARCH("FALSO",M87)))</formula>
    </cfRule>
  </conditionalFormatting>
  <conditionalFormatting sqref="AI42">
    <cfRule type="containsText" dxfId="1663" priority="1617" operator="containsText" text="FALSO">
      <formula>NOT(ISERROR(SEARCH("FALSO",AI42)))</formula>
    </cfRule>
  </conditionalFormatting>
  <conditionalFormatting sqref="AE40">
    <cfRule type="containsText" dxfId="1662" priority="1625" operator="containsText" text="FALSO">
      <formula>NOT(ISERROR(SEARCH("FALSO",AE40)))</formula>
    </cfRule>
  </conditionalFormatting>
  <conditionalFormatting sqref="P42 S42 W42 AK42:AM42 AP42 AS42:XFD42 U42">
    <cfRule type="containsText" dxfId="1661" priority="1693" operator="containsText" text="FALSO">
      <formula>NOT(ISERROR(SEARCH("FALSO",P42)))</formula>
    </cfRule>
  </conditionalFormatting>
  <conditionalFormatting sqref="A43:L43 AA43:AD43 AG43:AI43">
    <cfRule type="containsText" dxfId="1660" priority="1705" operator="containsText" text="FALSO">
      <formula>NOT(ISERROR(SEARCH("FALSO",A43)))</formula>
    </cfRule>
  </conditionalFormatting>
  <conditionalFormatting sqref="M83">
    <cfRule type="containsText" dxfId="1659" priority="1494" operator="containsText" text="FALSO">
      <formula>NOT(ISERROR(SEARCH("FALSO",M83)))</formula>
    </cfRule>
  </conditionalFormatting>
  <conditionalFormatting sqref="G43">
    <cfRule type="duplicateValues" dxfId="1658" priority="1703"/>
  </conditionalFormatting>
  <conditionalFormatting sqref="Y41">
    <cfRule type="containsText" dxfId="1657" priority="1634" operator="containsText" text="FALSO">
      <formula>NOT(ISERROR(SEARCH("FALSO",Y41)))</formula>
    </cfRule>
  </conditionalFormatting>
  <conditionalFormatting sqref="R43">
    <cfRule type="containsText" dxfId="1656" priority="1700" operator="containsText" text="FALSO">
      <formula>NOT(ISERROR(SEARCH("FALSO",R43)))</formula>
    </cfRule>
  </conditionalFormatting>
  <conditionalFormatting sqref="Z41">
    <cfRule type="containsText" dxfId="1655" priority="1631" operator="containsText" text="FALSO">
      <formula>NOT(ISERROR(SEARCH("FALSO",Z41)))</formula>
    </cfRule>
  </conditionalFormatting>
  <conditionalFormatting sqref="M125">
    <cfRule type="containsText" dxfId="1654" priority="1533" operator="containsText" text="FALSO">
      <formula>NOT(ISERROR(SEARCH("FALSO",M125)))</formula>
    </cfRule>
  </conditionalFormatting>
  <conditionalFormatting sqref="M91">
    <cfRule type="containsText" dxfId="1653" priority="1502" operator="containsText" text="FALSO">
      <formula>NOT(ISERROR(SEARCH("FALSO",M91)))</formula>
    </cfRule>
  </conditionalFormatting>
  <conditionalFormatting sqref="M102">
    <cfRule type="containsText" dxfId="1652" priority="1510" operator="containsText" text="FALSO">
      <formula>NOT(ISERROR(SEARCH("FALSO",M102)))</formula>
    </cfRule>
  </conditionalFormatting>
  <conditionalFormatting sqref="P41 S41 W41 AK41:AM41 AP41 AS41:XFD41 U41">
    <cfRule type="containsText" dxfId="1651" priority="1682" operator="containsText" text="FALSO">
      <formula>NOT(ISERROR(SEARCH("FALSO",P41)))</formula>
    </cfRule>
  </conditionalFormatting>
  <conditionalFormatting sqref="A42:L42 AA42:AD42 AG42:AH42">
    <cfRule type="containsText" dxfId="1650" priority="1694" operator="containsText" text="FALSO">
      <formula>NOT(ISERROR(SEARCH("FALSO",A42)))</formula>
    </cfRule>
  </conditionalFormatting>
  <conditionalFormatting sqref="M113">
    <cfRule type="containsText" dxfId="1649" priority="1529" operator="containsText" text="FALSO">
      <formula>NOT(ISERROR(SEARCH("FALSO",M113)))</formula>
    </cfRule>
  </conditionalFormatting>
  <conditionalFormatting sqref="G42">
    <cfRule type="duplicateValues" dxfId="1648" priority="1692"/>
  </conditionalFormatting>
  <conditionalFormatting sqref="AE42">
    <cfRule type="containsText" dxfId="1647" priority="1623" operator="containsText" text="FALSO">
      <formula>NOT(ISERROR(SEARCH("FALSO",AE42)))</formula>
    </cfRule>
  </conditionalFormatting>
  <conditionalFormatting sqref="AF42">
    <cfRule type="containsText" dxfId="1646" priority="1620" operator="containsText" text="FALSO">
      <formula>NOT(ISERROR(SEARCH("FALSO",AF42)))</formula>
    </cfRule>
  </conditionalFormatting>
  <conditionalFormatting sqref="M88">
    <cfRule type="containsText" dxfId="1645" priority="1499" operator="containsText" text="FALSO">
      <formula>NOT(ISERROR(SEARCH("FALSO",M88)))</formula>
    </cfRule>
  </conditionalFormatting>
  <conditionalFormatting sqref="M79">
    <cfRule type="containsText" dxfId="1644" priority="1489" operator="containsText" text="FALSO">
      <formula>NOT(ISERROR(SEARCH("FALSO",M79)))</formula>
    </cfRule>
  </conditionalFormatting>
  <conditionalFormatting sqref="P40 S40 W40 AK40:AM40 AP40 AS40:XFD40 U40">
    <cfRule type="containsText" dxfId="1643" priority="1671" operator="containsText" text="FALSO">
      <formula>NOT(ISERROR(SEARCH("FALSO",P40)))</formula>
    </cfRule>
  </conditionalFormatting>
  <conditionalFormatting sqref="A41:L41 AA41:AD41 AG41:AH41">
    <cfRule type="containsText" dxfId="1642" priority="1683" operator="containsText" text="FALSO">
      <formula>NOT(ISERROR(SEARCH("FALSO",A41)))</formula>
    </cfRule>
  </conditionalFormatting>
  <conditionalFormatting sqref="M118">
    <cfRule type="containsText" dxfId="1641" priority="1518" operator="containsText" text="FALSO">
      <formula>NOT(ISERROR(SEARCH("FALSO",M118)))</formula>
    </cfRule>
  </conditionalFormatting>
  <conditionalFormatting sqref="G41">
    <cfRule type="duplicateValues" dxfId="1640" priority="1681"/>
  </conditionalFormatting>
  <conditionalFormatting sqref="M120">
    <cfRule type="containsText" dxfId="1639" priority="1520" operator="containsText" text="FALSO">
      <formula>NOT(ISERROR(SEARCH("FALSO",M120)))</formula>
    </cfRule>
  </conditionalFormatting>
  <conditionalFormatting sqref="M75">
    <cfRule type="containsText" dxfId="1638" priority="1487" operator="containsText" text="FALSO">
      <formula>NOT(ISERROR(SEARCH("FALSO",M75)))</formula>
    </cfRule>
  </conditionalFormatting>
  <conditionalFormatting sqref="P39 Y39:Z39 S39 W39 AK39:AM39 AP39 AS39:XFD39 U39">
    <cfRule type="containsText" dxfId="1637" priority="1660" operator="containsText" text="FALSO">
      <formula>NOT(ISERROR(SEARCH("FALSO",P39)))</formula>
    </cfRule>
  </conditionalFormatting>
  <conditionalFormatting sqref="A40:L40 AA40:AD40 AG40:AH40">
    <cfRule type="containsText" dxfId="1636" priority="1672" operator="containsText" text="FALSO">
      <formula>NOT(ISERROR(SEARCH("FALSO",A40)))</formula>
    </cfRule>
  </conditionalFormatting>
  <conditionalFormatting sqref="M98:M99">
    <cfRule type="containsText" dxfId="1635" priority="1507" operator="containsText" text="FALSO">
      <formula>NOT(ISERROR(SEARCH("FALSO",M98)))</formula>
    </cfRule>
  </conditionalFormatting>
  <conditionalFormatting sqref="G40">
    <cfRule type="duplicateValues" dxfId="1634" priority="1670"/>
  </conditionalFormatting>
  <conditionalFormatting sqref="M62">
    <cfRule type="containsText" dxfId="1633" priority="1474" operator="containsText" text="FALSO">
      <formula>NOT(ISERROR(SEARCH("FALSO",M62)))</formula>
    </cfRule>
  </conditionalFormatting>
  <conditionalFormatting sqref="M63">
    <cfRule type="containsText" dxfId="1632" priority="1475" operator="containsText" text="FALSO">
      <formula>NOT(ISERROR(SEARCH("FALSO",M63)))</formula>
    </cfRule>
  </conditionalFormatting>
  <conditionalFormatting sqref="AE45:AF45">
    <cfRule type="containsText" dxfId="1631" priority="1629" operator="containsText" text="FALSO">
      <formula>NOT(ISERROR(SEARCH("FALSO",AE45)))</formula>
    </cfRule>
  </conditionalFormatting>
  <conditionalFormatting sqref="M121">
    <cfRule type="containsText" dxfId="1630" priority="1521" operator="containsText" text="FALSO">
      <formula>NOT(ISERROR(SEARCH("FALSO",M121)))</formula>
    </cfRule>
  </conditionalFormatting>
  <conditionalFormatting sqref="A39:L39 AA39:AD39 AG39:AI39">
    <cfRule type="containsText" dxfId="1629" priority="1661" operator="containsText" text="FALSO">
      <formula>NOT(ISERROR(SEARCH("FALSO",A39)))</formula>
    </cfRule>
  </conditionalFormatting>
  <conditionalFormatting sqref="M85">
    <cfRule type="containsText" dxfId="1628" priority="1496" operator="containsText" text="FALSO">
      <formula>NOT(ISERROR(SEARCH("FALSO",M85)))</formula>
    </cfRule>
  </conditionalFormatting>
  <conditionalFormatting sqref="G39">
    <cfRule type="duplicateValues" dxfId="1627" priority="1659"/>
  </conditionalFormatting>
  <conditionalFormatting sqref="Y42">
    <cfRule type="containsText" dxfId="1626" priority="1633" operator="containsText" text="FALSO">
      <formula>NOT(ISERROR(SEARCH("FALSO",Y42)))</formula>
    </cfRule>
  </conditionalFormatting>
  <conditionalFormatting sqref="AE43:AF43">
    <cfRule type="containsText" dxfId="1625" priority="1627" operator="containsText" text="FALSO">
      <formula>NOT(ISERROR(SEARCH("FALSO",AE43)))</formula>
    </cfRule>
  </conditionalFormatting>
  <conditionalFormatting sqref="M108">
    <cfRule type="containsText" dxfId="1624" priority="1524" operator="containsText" text="FALSO">
      <formula>NOT(ISERROR(SEARCH("FALSO",M108)))</formula>
    </cfRule>
  </conditionalFormatting>
  <conditionalFormatting sqref="M106">
    <cfRule type="containsText" dxfId="1623" priority="1522" operator="containsText" text="FALSO">
      <formula>NOT(ISERROR(SEARCH("FALSO",M106)))</formula>
    </cfRule>
  </conditionalFormatting>
  <conditionalFormatting sqref="M73">
    <cfRule type="containsText" dxfId="1622" priority="1485" operator="containsText" text="FALSO">
      <formula>NOT(ISERROR(SEARCH("FALSO",M73)))</formula>
    </cfRule>
  </conditionalFormatting>
  <conditionalFormatting sqref="M72">
    <cfRule type="containsText" dxfId="1621" priority="1484" operator="containsText" text="FALSO">
      <formula>NOT(ISERROR(SEARCH("FALSO",M72)))</formula>
    </cfRule>
  </conditionalFormatting>
  <conditionalFormatting sqref="R42">
    <cfRule type="containsText" dxfId="1620" priority="1647" operator="containsText" text="FALSO">
      <formula>NOT(ISERROR(SEARCH("FALSO",R42)))</formula>
    </cfRule>
  </conditionalFormatting>
  <conditionalFormatting sqref="R41">
    <cfRule type="containsText" dxfId="1619" priority="1646" operator="containsText" text="FALSO">
      <formula>NOT(ISERROR(SEARCH("FALSO",R41)))</formula>
    </cfRule>
  </conditionalFormatting>
  <conditionalFormatting sqref="R39">
    <cfRule type="containsText" dxfId="1618" priority="1644" operator="containsText" text="FALSO">
      <formula>NOT(ISERROR(SEARCH("FALSO",R39)))</formula>
    </cfRule>
  </conditionalFormatting>
  <conditionalFormatting sqref="M67">
    <cfRule type="containsText" dxfId="1617" priority="1479" operator="containsText" text="FALSO">
      <formula>NOT(ISERROR(SEARCH("FALSO",M67)))</formula>
    </cfRule>
  </conditionalFormatting>
  <conditionalFormatting sqref="M65">
    <cfRule type="containsText" dxfId="1616" priority="1477" operator="containsText" text="FALSO">
      <formula>NOT(ISERROR(SEARCH("FALSO",M65)))</formula>
    </cfRule>
  </conditionalFormatting>
  <conditionalFormatting sqref="M61">
    <cfRule type="containsText" dxfId="1615" priority="1473" operator="containsText" text="FALSO">
      <formula>NOT(ISERROR(SEARCH("FALSO",M61)))</formula>
    </cfRule>
  </conditionalFormatting>
  <conditionalFormatting sqref="M59">
    <cfRule type="containsText" dxfId="1614" priority="1472" operator="containsText" text="FALSO">
      <formula>NOT(ISERROR(SEARCH("FALSO",M59)))</formula>
    </cfRule>
  </conditionalFormatting>
  <conditionalFormatting sqref="Y40">
    <cfRule type="containsText" dxfId="1613" priority="1635" operator="containsText" text="FALSO">
      <formula>NOT(ISERROR(SEARCH("FALSO",Y40)))</formula>
    </cfRule>
  </conditionalFormatting>
  <conditionalFormatting sqref="M56">
    <cfRule type="containsText" dxfId="1612" priority="1469" operator="containsText" text="FALSO">
      <formula>NOT(ISERROR(SEARCH("FALSO",M56)))</formula>
    </cfRule>
  </conditionalFormatting>
  <conditionalFormatting sqref="Z40">
    <cfRule type="containsText" dxfId="1611" priority="1632" operator="containsText" text="FALSO">
      <formula>NOT(ISERROR(SEARCH("FALSO",Z40)))</formula>
    </cfRule>
  </conditionalFormatting>
  <conditionalFormatting sqref="Z42">
    <cfRule type="containsText" dxfId="1610" priority="1630" operator="containsText" text="FALSO">
      <formula>NOT(ISERROR(SEARCH("FALSO",Z42)))</formula>
    </cfRule>
  </conditionalFormatting>
  <conditionalFormatting sqref="M54">
    <cfRule type="containsText" dxfId="1609" priority="1465" operator="containsText" text="FALSO">
      <formula>NOT(ISERROR(SEARCH("FALSO",M54)))</formula>
    </cfRule>
  </conditionalFormatting>
  <conditionalFormatting sqref="M50">
    <cfRule type="containsText" dxfId="1608" priority="1464" operator="containsText" text="FALSO">
      <formula>NOT(ISERROR(SEARCH("FALSO",M50)))</formula>
    </cfRule>
  </conditionalFormatting>
  <conditionalFormatting sqref="M49">
    <cfRule type="containsText" dxfId="1607" priority="1463" operator="containsText" text="FALSO">
      <formula>NOT(ISERROR(SEARCH("FALSO",M49)))</formula>
    </cfRule>
  </conditionalFormatting>
  <conditionalFormatting sqref="AE39:AF39">
    <cfRule type="containsText" dxfId="1606" priority="1626" operator="containsText" text="FALSO">
      <formula>NOT(ISERROR(SEARCH("FALSO",AE39)))</formula>
    </cfRule>
  </conditionalFormatting>
  <conditionalFormatting sqref="AE41">
    <cfRule type="containsText" dxfId="1605" priority="1624" operator="containsText" text="FALSO">
      <formula>NOT(ISERROR(SEARCH("FALSO",AE41)))</formula>
    </cfRule>
  </conditionalFormatting>
  <conditionalFormatting sqref="AF40">
    <cfRule type="containsText" dxfId="1604" priority="1622" operator="containsText" text="FALSO">
      <formula>NOT(ISERROR(SEARCH("FALSO",AF40)))</formula>
    </cfRule>
  </conditionalFormatting>
  <conditionalFormatting sqref="AF41">
    <cfRule type="containsText" dxfId="1603" priority="1621" operator="containsText" text="FALSO">
      <formula>NOT(ISERROR(SEARCH("FALSO",AF41)))</formula>
    </cfRule>
  </conditionalFormatting>
  <conditionalFormatting sqref="AI40">
    <cfRule type="containsText" dxfId="1602" priority="1619" operator="containsText" text="FALSO">
      <formula>NOT(ISERROR(SEARCH("FALSO",AI40)))</formula>
    </cfRule>
  </conditionalFormatting>
  <conditionalFormatting sqref="AI41">
    <cfRule type="containsText" dxfId="1601" priority="1618" operator="containsText" text="FALSO">
      <formula>NOT(ISERROR(SEARCH("FALSO",AI41)))</formula>
    </cfRule>
  </conditionalFormatting>
  <conditionalFormatting sqref="M68">
    <cfRule type="containsText" dxfId="1600" priority="1480" operator="containsText" text="FALSO">
      <formula>NOT(ISERROR(SEARCH("FALSO",M68)))</formula>
    </cfRule>
  </conditionalFormatting>
  <conditionalFormatting sqref="M71">
    <cfRule type="containsText" dxfId="1599" priority="1483" operator="containsText" text="FALSO">
      <formula>NOT(ISERROR(SEARCH("FALSO",M71)))</formula>
    </cfRule>
  </conditionalFormatting>
  <conditionalFormatting sqref="M70">
    <cfRule type="containsText" dxfId="1598" priority="1482" operator="containsText" text="FALSO">
      <formula>NOT(ISERROR(SEARCH("FALSO",M70)))</formula>
    </cfRule>
  </conditionalFormatting>
  <conditionalFormatting sqref="M69">
    <cfRule type="containsText" dxfId="1597" priority="1481" operator="containsText" text="FALSO">
      <formula>NOT(ISERROR(SEARCH("FALSO",M69)))</formula>
    </cfRule>
  </conditionalFormatting>
  <conditionalFormatting sqref="M105">
    <cfRule type="containsText" dxfId="1596" priority="1513" operator="containsText" text="FALSO">
      <formula>NOT(ISERROR(SEARCH("FALSO",M105)))</formula>
    </cfRule>
  </conditionalFormatting>
  <conditionalFormatting sqref="M86">
    <cfRule type="containsText" dxfId="1595" priority="1497" operator="containsText" text="FALSO">
      <formula>NOT(ISERROR(SEARCH("FALSO",M86)))</formula>
    </cfRule>
  </conditionalFormatting>
  <conditionalFormatting sqref="M103">
    <cfRule type="containsText" dxfId="1594" priority="1511" operator="containsText" text="FALSO">
      <formula>NOT(ISERROR(SEARCH("FALSO",M103)))</formula>
    </cfRule>
  </conditionalFormatting>
  <conditionalFormatting sqref="M100">
    <cfRule type="containsText" dxfId="1593" priority="1508" operator="containsText" text="FALSO">
      <formula>NOT(ISERROR(SEARCH("FALSO",M100)))</formula>
    </cfRule>
  </conditionalFormatting>
  <conditionalFormatting sqref="M97">
    <cfRule type="containsText" dxfId="1592" priority="1506" operator="containsText" text="FALSO">
      <formula>NOT(ISERROR(SEARCH("FALSO",M97)))</formula>
    </cfRule>
  </conditionalFormatting>
  <conditionalFormatting sqref="M95:M96">
    <cfRule type="containsText" dxfId="1591" priority="1505" operator="containsText" text="FALSO">
      <formula>NOT(ISERROR(SEARCH("FALSO",M95)))</formula>
    </cfRule>
  </conditionalFormatting>
  <conditionalFormatting sqref="M93:M94">
    <cfRule type="containsText" dxfId="1590" priority="1504" operator="containsText" text="FALSO">
      <formula>NOT(ISERROR(SEARCH("FALSO",M93)))</formula>
    </cfRule>
  </conditionalFormatting>
  <conditionalFormatting sqref="M92">
    <cfRule type="containsText" dxfId="1589" priority="1503" operator="containsText" text="FALSO">
      <formula>NOT(ISERROR(SEARCH("FALSO",M92)))</formula>
    </cfRule>
  </conditionalFormatting>
  <conditionalFormatting sqref="M90">
    <cfRule type="containsText" dxfId="1588" priority="1501" operator="containsText" text="FALSO">
      <formula>NOT(ISERROR(SEARCH("FALSO",M90)))</formula>
    </cfRule>
  </conditionalFormatting>
  <conditionalFormatting sqref="M78">
    <cfRule type="containsText" dxfId="1587" priority="1488" operator="containsText" text="FALSO">
      <formula>NOT(ISERROR(SEARCH("FALSO",M78)))</formula>
    </cfRule>
  </conditionalFormatting>
  <conditionalFormatting sqref="M66">
    <cfRule type="containsText" dxfId="1586" priority="1478" operator="containsText" text="FALSO">
      <formula>NOT(ISERROR(SEARCH("FALSO",M66)))</formula>
    </cfRule>
  </conditionalFormatting>
  <conditionalFormatting sqref="M84">
    <cfRule type="containsText" dxfId="1585" priority="1495" operator="containsText" text="FALSO">
      <formula>NOT(ISERROR(SEARCH("FALSO",M84)))</formula>
    </cfRule>
  </conditionalFormatting>
  <conditionalFormatting sqref="M82">
    <cfRule type="containsText" dxfId="1584" priority="1493" operator="containsText" text="FALSO">
      <formula>NOT(ISERROR(SEARCH("FALSO",M82)))</formula>
    </cfRule>
  </conditionalFormatting>
  <conditionalFormatting sqref="M81">
    <cfRule type="containsText" dxfId="1583" priority="1492" operator="containsText" text="FALSO">
      <formula>NOT(ISERROR(SEARCH("FALSO",M81)))</formula>
    </cfRule>
  </conditionalFormatting>
  <conditionalFormatting sqref="M89">
    <cfRule type="containsText" dxfId="1582" priority="1500" operator="containsText" text="FALSO">
      <formula>NOT(ISERROR(SEARCH("FALSO",M89)))</formula>
    </cfRule>
  </conditionalFormatting>
  <conditionalFormatting sqref="M80">
    <cfRule type="containsText" dxfId="1581" priority="1491" operator="containsText" text="FALSO">
      <formula>NOT(ISERROR(SEARCH("FALSO",M80)))</formula>
    </cfRule>
  </conditionalFormatting>
  <conditionalFormatting sqref="M77">
    <cfRule type="containsText" dxfId="1580" priority="1490" operator="containsText" text="FALSO">
      <formula>NOT(ISERROR(SEARCH("FALSO",M77)))</formula>
    </cfRule>
  </conditionalFormatting>
  <conditionalFormatting sqref="M74">
    <cfRule type="containsText" dxfId="1579" priority="1486" operator="containsText" text="FALSO">
      <formula>NOT(ISERROR(SEARCH("FALSO",M74)))</formula>
    </cfRule>
  </conditionalFormatting>
  <conditionalFormatting sqref="M64">
    <cfRule type="containsText" dxfId="1578" priority="1476" operator="containsText" text="FALSO">
      <formula>NOT(ISERROR(SEARCH("FALSO",M64)))</formula>
    </cfRule>
  </conditionalFormatting>
  <conditionalFormatting sqref="M112">
    <cfRule type="containsText" dxfId="1577" priority="1528" operator="containsText" text="FALSO">
      <formula>NOT(ISERROR(SEARCH("FALSO",M112)))</formula>
    </cfRule>
  </conditionalFormatting>
  <conditionalFormatting sqref="M115">
    <cfRule type="containsText" dxfId="1576" priority="1515" operator="containsText" text="FALSO">
      <formula>NOT(ISERROR(SEARCH("FALSO",M115)))</formula>
    </cfRule>
  </conditionalFormatting>
  <conditionalFormatting sqref="M122">
    <cfRule type="containsText" dxfId="1575" priority="1530" operator="containsText" text="FALSO">
      <formula>NOT(ISERROR(SEARCH("FALSO",M122)))</formula>
    </cfRule>
  </conditionalFormatting>
  <conditionalFormatting sqref="M111">
    <cfRule type="containsText" dxfId="1574" priority="1527" operator="containsText" text="FALSO">
      <formula>NOT(ISERROR(SEARCH("FALSO",M111)))</formula>
    </cfRule>
  </conditionalFormatting>
  <conditionalFormatting sqref="M110">
    <cfRule type="containsText" dxfId="1573" priority="1526" operator="containsText" text="FALSO">
      <formula>NOT(ISERROR(SEARCH("FALSO",M110)))</formula>
    </cfRule>
  </conditionalFormatting>
  <conditionalFormatting sqref="M109">
    <cfRule type="containsText" dxfId="1572" priority="1525" operator="containsText" text="FALSO">
      <formula>NOT(ISERROR(SEARCH("FALSO",M109)))</formula>
    </cfRule>
  </conditionalFormatting>
  <conditionalFormatting sqref="M107">
    <cfRule type="containsText" dxfId="1571" priority="1523" operator="containsText" text="FALSO">
      <formula>NOT(ISERROR(SEARCH("FALSO",M107)))</formula>
    </cfRule>
  </conditionalFormatting>
  <conditionalFormatting sqref="M119">
    <cfRule type="containsText" dxfId="1570" priority="1519" operator="containsText" text="FALSO">
      <formula>NOT(ISERROR(SEARCH("FALSO",M119)))</formula>
    </cfRule>
  </conditionalFormatting>
  <conditionalFormatting sqref="M117">
    <cfRule type="containsText" dxfId="1569" priority="1517" operator="containsText" text="FALSO">
      <formula>NOT(ISERROR(SEARCH("FALSO",M117)))</formula>
    </cfRule>
  </conditionalFormatting>
  <conditionalFormatting sqref="M116">
    <cfRule type="containsText" dxfId="1568" priority="1516" operator="containsText" text="FALSO">
      <formula>NOT(ISERROR(SEARCH("FALSO",M116)))</formula>
    </cfRule>
  </conditionalFormatting>
  <conditionalFormatting sqref="M114">
    <cfRule type="containsText" dxfId="1567" priority="1514" operator="containsText" text="FALSO">
      <formula>NOT(ISERROR(SEARCH("FALSO",M114)))</formula>
    </cfRule>
  </conditionalFormatting>
  <conditionalFormatting sqref="M104">
    <cfRule type="containsText" dxfId="1566" priority="1512" operator="containsText" text="FALSO">
      <formula>NOT(ISERROR(SEARCH("FALSO",M104)))</formula>
    </cfRule>
  </conditionalFormatting>
  <conditionalFormatting sqref="M124">
    <cfRule type="containsText" dxfId="1565" priority="1532" operator="containsText" text="FALSO">
      <formula>NOT(ISERROR(SEARCH("FALSO",M124)))</formula>
    </cfRule>
  </conditionalFormatting>
  <conditionalFormatting sqref="M123">
    <cfRule type="containsText" dxfId="1564" priority="1531" operator="containsText" text="FALSO">
      <formula>NOT(ISERROR(SEARCH("FALSO",M123)))</formula>
    </cfRule>
  </conditionalFormatting>
  <conditionalFormatting sqref="M47">
    <cfRule type="containsText" dxfId="1563" priority="1461" operator="containsText" text="FALSO">
      <formula>NOT(ISERROR(SEARCH("FALSO",M47)))</formula>
    </cfRule>
  </conditionalFormatting>
  <conditionalFormatting sqref="M46">
    <cfRule type="containsText" dxfId="1562" priority="1460" operator="containsText" text="FALSO">
      <formula>NOT(ISERROR(SEARCH("FALSO",M46)))</formula>
    </cfRule>
  </conditionalFormatting>
  <conditionalFormatting sqref="M58">
    <cfRule type="containsText" dxfId="1561" priority="1471" operator="containsText" text="FALSO">
      <formula>NOT(ISERROR(SEARCH("FALSO",M58)))</formula>
    </cfRule>
  </conditionalFormatting>
  <conditionalFormatting sqref="M48">
    <cfRule type="containsText" dxfId="1560" priority="1462" operator="containsText" text="FALSO">
      <formula>NOT(ISERROR(SEARCH("FALSO",M48)))</formula>
    </cfRule>
  </conditionalFormatting>
  <conditionalFormatting sqref="M57">
    <cfRule type="containsText" dxfId="1559" priority="1470" operator="containsText" text="FALSO">
      <formula>NOT(ISERROR(SEARCH("FALSO",M57)))</formula>
    </cfRule>
  </conditionalFormatting>
  <conditionalFormatting sqref="M55">
    <cfRule type="containsText" dxfId="1558" priority="1468" operator="containsText" text="FALSO">
      <formula>NOT(ISERROR(SEARCH("FALSO",M55)))</formula>
    </cfRule>
  </conditionalFormatting>
  <conditionalFormatting sqref="M52">
    <cfRule type="containsText" dxfId="1557" priority="1467" operator="containsText" text="FALSO">
      <formula>NOT(ISERROR(SEARCH("FALSO",M52)))</formula>
    </cfRule>
  </conditionalFormatting>
  <conditionalFormatting sqref="M53">
    <cfRule type="containsText" dxfId="1556" priority="1466" operator="containsText" text="FALSO">
      <formula>NOT(ISERROR(SEARCH("FALSO",M53)))</formula>
    </cfRule>
  </conditionalFormatting>
  <conditionalFormatting sqref="M60 M76 M51">
    <cfRule type="containsText" dxfId="1555" priority="1534" operator="containsText" text="FALSO">
      <formula>NOT(ISERROR(SEARCH("FALSO",M51)))</formula>
    </cfRule>
  </conditionalFormatting>
  <conditionalFormatting sqref="M45">
    <cfRule type="containsText" dxfId="1554" priority="1459" operator="containsText" text="FALSO">
      <formula>NOT(ISERROR(SEARCH("FALSO",M45)))</formula>
    </cfRule>
  </conditionalFormatting>
  <conditionalFormatting sqref="M44">
    <cfRule type="containsText" dxfId="1553" priority="1458" operator="containsText" text="FALSO">
      <formula>NOT(ISERROR(SEARCH("FALSO",M44)))</formula>
    </cfRule>
  </conditionalFormatting>
  <conditionalFormatting sqref="M43">
    <cfRule type="containsText" dxfId="1552" priority="1457" operator="containsText" text="FALSO">
      <formula>NOT(ISERROR(SEARCH("FALSO",M43)))</formula>
    </cfRule>
  </conditionalFormatting>
  <conditionalFormatting sqref="M41">
    <cfRule type="containsText" dxfId="1551" priority="1454" operator="containsText" text="FALSO">
      <formula>NOT(ISERROR(SEARCH("FALSO",M41)))</formula>
    </cfRule>
  </conditionalFormatting>
  <conditionalFormatting sqref="A38:H38 AA38:AD38 AG38:AH38 J38:L38">
    <cfRule type="containsText" dxfId="1550" priority="1452" operator="containsText" text="FALSO">
      <formula>NOT(ISERROR(SEARCH("FALSO",A38)))</formula>
    </cfRule>
  </conditionalFormatting>
  <conditionalFormatting sqref="M40">
    <cfRule type="containsText" dxfId="1549" priority="1455" operator="containsText" text="FALSO">
      <formula>NOT(ISERROR(SEARCH("FALSO",M40)))</formula>
    </cfRule>
  </conditionalFormatting>
  <conditionalFormatting sqref="M42">
    <cfRule type="containsText" dxfId="1548" priority="1453" operator="containsText" text="FALSO">
      <formula>NOT(ISERROR(SEARCH("FALSO",M42)))</formula>
    </cfRule>
  </conditionalFormatting>
  <conditionalFormatting sqref="P38 S38 W38 AK38:AM38 AP38 AS38:XFD38 U38">
    <cfRule type="containsText" dxfId="1547" priority="1451" operator="containsText" text="FALSO">
      <formula>NOT(ISERROR(SEARCH("FALSO",P38)))</formula>
    </cfRule>
  </conditionalFormatting>
  <conditionalFormatting sqref="P37 S37 W37 AK37:AM37 AP37 AS37:XFD37 U37">
    <cfRule type="containsText" dxfId="1546" priority="1445" operator="containsText" text="FALSO">
      <formula>NOT(ISERROR(SEARCH("FALSO",P37)))</formula>
    </cfRule>
  </conditionalFormatting>
  <conditionalFormatting sqref="G38">
    <cfRule type="duplicateValues" dxfId="1545" priority="1450"/>
  </conditionalFormatting>
  <conditionalFormatting sqref="I38">
    <cfRule type="containsText" dxfId="1544" priority="1410" operator="containsText" text="FALSO">
      <formula>NOT(ISERROR(SEARCH("FALSO",I38)))</formula>
    </cfRule>
  </conditionalFormatting>
  <conditionalFormatting sqref="Y36:Z36 S36 W36 AK36:AM36 AP36 AS36:XFD36 U36 N37:O45">
    <cfRule type="containsText" dxfId="1543" priority="1439" operator="containsText" text="FALSO">
      <formula>NOT(ISERROR(SEARCH("FALSO",N36)))</formula>
    </cfRule>
  </conditionalFormatting>
  <conditionalFormatting sqref="A37:H37 AA37:AD37 AG37:AH37 J37:L37">
    <cfRule type="containsText" dxfId="1542" priority="1446" operator="containsText" text="FALSO">
      <formula>NOT(ISERROR(SEARCH("FALSO",A37)))</formula>
    </cfRule>
  </conditionalFormatting>
  <conditionalFormatting sqref="G37">
    <cfRule type="duplicateValues" dxfId="1541" priority="1444"/>
  </conditionalFormatting>
  <conditionalFormatting sqref="A36:L36 AA36:AD36 AG36:AH36 X833:X868">
    <cfRule type="containsText" dxfId="1540" priority="1440" operator="containsText" text="FALSO">
      <formula>NOT(ISERROR(SEARCH("FALSO",A36)))</formula>
    </cfRule>
  </conditionalFormatting>
  <conditionalFormatting sqref="G36">
    <cfRule type="duplicateValues" dxfId="1539" priority="1438"/>
  </conditionalFormatting>
  <conditionalFormatting sqref="AE36:AF36">
    <cfRule type="containsText" dxfId="1538" priority="1424" operator="containsText" text="FALSO">
      <formula>NOT(ISERROR(SEARCH("FALSO",AE36)))</formula>
    </cfRule>
  </conditionalFormatting>
  <conditionalFormatting sqref="R36">
    <cfRule type="containsText" dxfId="1537" priority="1432" operator="containsText" text="FALSO">
      <formula>NOT(ISERROR(SEARCH("FALSO",R36)))</formula>
    </cfRule>
  </conditionalFormatting>
  <conditionalFormatting sqref="AE38:AF38">
    <cfRule type="containsText" dxfId="1536" priority="1392" operator="containsText" text="FALSO">
      <formula>NOT(ISERROR(SEARCH("FALSO",AE38)))</formula>
    </cfRule>
  </conditionalFormatting>
  <conditionalFormatting sqref="I37">
    <cfRule type="containsText" dxfId="1535" priority="1411" operator="containsText" text="FALSO">
      <formula>NOT(ISERROR(SEARCH("FALSO",I37)))</formula>
    </cfRule>
  </conditionalFormatting>
  <conditionalFormatting sqref="AI37">
    <cfRule type="containsText" dxfId="1534" priority="1390" operator="containsText" text="FALSO">
      <formula>NOT(ISERROR(SEARCH("FALSO",AI37)))</formula>
    </cfRule>
  </conditionalFormatting>
  <conditionalFormatting sqref="R37">
    <cfRule type="containsText" dxfId="1533" priority="1397" operator="containsText" text="FALSO">
      <formula>NOT(ISERROR(SEARCH("FALSO",R37)))</formula>
    </cfRule>
  </conditionalFormatting>
  <conditionalFormatting sqref="R38">
    <cfRule type="containsText" dxfId="1532" priority="1396" operator="containsText" text="FALSO">
      <formula>NOT(ISERROR(SEARCH("FALSO",R38)))</formula>
    </cfRule>
  </conditionalFormatting>
  <conditionalFormatting sqref="Y37:Z37">
    <cfRule type="containsText" dxfId="1531" priority="1395" operator="containsText" text="FALSO">
      <formula>NOT(ISERROR(SEARCH("FALSO",Y37)))</formula>
    </cfRule>
  </conditionalFormatting>
  <conditionalFormatting sqref="Y38:Z38">
    <cfRule type="containsText" dxfId="1530" priority="1394" operator="containsText" text="FALSO">
      <formula>NOT(ISERROR(SEARCH("FALSO",Y38)))</formula>
    </cfRule>
  </conditionalFormatting>
  <conditionalFormatting sqref="AE37:AF37">
    <cfRule type="containsText" dxfId="1529" priority="1393" operator="containsText" text="FALSO">
      <formula>NOT(ISERROR(SEARCH("FALSO",AE37)))</formula>
    </cfRule>
  </conditionalFormatting>
  <conditionalFormatting sqref="AI38">
    <cfRule type="containsText" dxfId="1528" priority="1391" operator="containsText" text="FALSO">
      <formula>NOT(ISERROR(SEARCH("FALSO",AI38)))</formula>
    </cfRule>
  </conditionalFormatting>
  <conditionalFormatting sqref="AI36">
    <cfRule type="containsText" dxfId="1527" priority="1389" operator="containsText" text="FALSO">
      <formula>NOT(ISERROR(SEARCH("FALSO",AI36)))</formula>
    </cfRule>
  </conditionalFormatting>
  <conditionalFormatting sqref="AA26:AB26">
    <cfRule type="containsText" dxfId="1526" priority="1175" operator="containsText" text="FALSO">
      <formula>NOT(ISERROR(SEARCH("FALSO",AA26)))</formula>
    </cfRule>
  </conditionalFormatting>
  <conditionalFormatting sqref="AE26:AF26">
    <cfRule type="containsText" dxfId="1525" priority="1173" operator="containsText" text="FALSO">
      <formula>NOT(ISERROR(SEARCH("FALSO",AE26)))</formula>
    </cfRule>
  </conditionalFormatting>
  <conditionalFormatting sqref="M25">
    <cfRule type="containsText" dxfId="1524" priority="1160" operator="containsText" text="FALSO">
      <formula>NOT(ISERROR(SEARCH("FALSO",M25)))</formula>
    </cfRule>
  </conditionalFormatting>
  <conditionalFormatting sqref="AE25:AF25">
    <cfRule type="containsText" dxfId="1523" priority="1161" operator="containsText" text="FALSO">
      <formula>NOT(ISERROR(SEARCH("FALSO",AE25)))</formula>
    </cfRule>
  </conditionalFormatting>
  <conditionalFormatting sqref="AD26 AG26:AH26">
    <cfRule type="containsText" dxfId="1522" priority="1180" operator="containsText" text="FALSO">
      <formula>NOT(ISERROR(SEARCH("FALSO",AD26)))</formula>
    </cfRule>
  </conditionalFormatting>
  <conditionalFormatting sqref="A25:C25 R25:S25 AK25:AM25 F25:L25 Y25:Z25 U25 W25 AP25 AS25:XFD25">
    <cfRule type="containsText" dxfId="1521" priority="1165" operator="containsText" text="FALSO">
      <formula>NOT(ISERROR(SEARCH("FALSO",A25)))</formula>
    </cfRule>
  </conditionalFormatting>
  <conditionalFormatting sqref="AA25:AB25">
    <cfRule type="containsText" dxfId="1520" priority="1163" operator="containsText" text="FALSO">
      <formula>NOT(ISERROR(SEARCH("FALSO",AA25)))</formula>
    </cfRule>
  </conditionalFormatting>
  <conditionalFormatting sqref="AC24 AI24 N24:P24">
    <cfRule type="containsText" dxfId="1519" priority="1155" operator="containsText" text="FALSO">
      <formula>NOT(ISERROR(SEARCH("FALSO",N24)))</formula>
    </cfRule>
  </conditionalFormatting>
  <conditionalFormatting sqref="AA24:AB24">
    <cfRule type="containsText" dxfId="1518" priority="1151" operator="containsText" text="FALSO">
      <formula>NOT(ISERROR(SEARCH("FALSO",AA24)))</formula>
    </cfRule>
  </conditionalFormatting>
  <conditionalFormatting sqref="AE24:AF24">
    <cfRule type="containsText" dxfId="1517" priority="1149" operator="containsText" text="FALSO">
      <formula>NOT(ISERROR(SEARCH("FALSO",AE24)))</formula>
    </cfRule>
  </conditionalFormatting>
  <conditionalFormatting sqref="M26">
    <cfRule type="containsText" dxfId="1516" priority="1172" operator="containsText" text="FALSO">
      <formula>NOT(ISERROR(SEARCH("FALSO",M26)))</formula>
    </cfRule>
  </conditionalFormatting>
  <conditionalFormatting sqref="M24">
    <cfRule type="containsText" dxfId="1515" priority="1148" operator="containsText" text="FALSO">
      <formula>NOT(ISERROR(SEARCH("FALSO",M24)))</formula>
    </cfRule>
  </conditionalFormatting>
  <conditionalFormatting sqref="AC26 AI26 N26:P26">
    <cfRule type="containsText" dxfId="1514" priority="1179" operator="containsText" text="FALSO">
      <formula>NOT(ISERROR(SEARCH("FALSO",N26)))</formula>
    </cfRule>
  </conditionalFormatting>
  <conditionalFormatting sqref="A26:C26 R26:S26 AK26:AM26 F26:L26 Y26:Z26 U26 W26 AP26 AS26:XFD26">
    <cfRule type="containsText" dxfId="1513" priority="1177" operator="containsText" text="FALSO">
      <formula>NOT(ISERROR(SEARCH("FALSO",A26)))</formula>
    </cfRule>
  </conditionalFormatting>
  <conditionalFormatting sqref="D26:E26">
    <cfRule type="containsText" dxfId="1512" priority="1176" operator="containsText" text="FALSO">
      <formula>NOT(ISERROR(SEARCH("FALSO",D26)))</formula>
    </cfRule>
  </conditionalFormatting>
  <conditionalFormatting sqref="AD25 AG25:AH25">
    <cfRule type="containsText" dxfId="1511" priority="1168" operator="containsText" text="FALSO">
      <formula>NOT(ISERROR(SEARCH("FALSO",AD25)))</formula>
    </cfRule>
  </conditionalFormatting>
  <conditionalFormatting sqref="AC25 AI25 N25:P25">
    <cfRule type="containsText" dxfId="1510" priority="1167" operator="containsText" text="FALSO">
      <formula>NOT(ISERROR(SEARCH("FALSO",N25)))</formula>
    </cfRule>
  </conditionalFormatting>
  <conditionalFormatting sqref="D25:E25">
    <cfRule type="containsText" dxfId="1509" priority="1164" operator="containsText" text="FALSO">
      <formula>NOT(ISERROR(SEARCH("FALSO",D25)))</formula>
    </cfRule>
  </conditionalFormatting>
  <conditionalFormatting sqref="AD24 AG24:AH24">
    <cfRule type="containsText" dxfId="1508" priority="1156" operator="containsText" text="FALSO">
      <formula>NOT(ISERROR(SEARCH("FALSO",AD24)))</formula>
    </cfRule>
  </conditionalFormatting>
  <conditionalFormatting sqref="A24:C24 R24:S24 AK24:AM24 F24:L24 Y24:Z24 U24 W24 AP24 AS24:XFD24">
    <cfRule type="containsText" dxfId="1507" priority="1153" operator="containsText" text="FALSO">
      <formula>NOT(ISERROR(SEARCH("FALSO",A24)))</formula>
    </cfRule>
  </conditionalFormatting>
  <conditionalFormatting sqref="D24:E24">
    <cfRule type="containsText" dxfId="1506" priority="1152" operator="containsText" text="FALSO">
      <formula>NOT(ISERROR(SEARCH("FALSO",D24)))</formula>
    </cfRule>
  </conditionalFormatting>
  <conditionalFormatting sqref="AD23 AG23:AH23">
    <cfRule type="containsText" dxfId="1505" priority="1144" operator="containsText" text="FALSO">
      <formula>NOT(ISERROR(SEARCH("FALSO",AD23)))</formula>
    </cfRule>
  </conditionalFormatting>
  <conditionalFormatting sqref="AC23 AI23 N23:P23">
    <cfRule type="containsText" dxfId="1504" priority="1143" operator="containsText" text="FALSO">
      <formula>NOT(ISERROR(SEARCH("FALSO",N23)))</formula>
    </cfRule>
  </conditionalFormatting>
  <conditionalFormatting sqref="D23:E23">
    <cfRule type="containsText" dxfId="1503" priority="1140" operator="containsText" text="FALSO">
      <formula>NOT(ISERROR(SEARCH("FALSO",D23)))</formula>
    </cfRule>
  </conditionalFormatting>
  <conditionalFormatting sqref="A23:C23 R23:S23 AK23:AM23 F23:L23 Y23:Z23 U23 W23 AP23 AS23:XFD23">
    <cfRule type="containsText" dxfId="1502" priority="1141" operator="containsText" text="FALSO">
      <formula>NOT(ISERROR(SEARCH("FALSO",A23)))</formula>
    </cfRule>
  </conditionalFormatting>
  <conditionalFormatting sqref="AA23:AB23">
    <cfRule type="containsText" dxfId="1501" priority="1139" operator="containsText" text="FALSO">
      <formula>NOT(ISERROR(SEARCH("FALSO",AA23)))</formula>
    </cfRule>
  </conditionalFormatting>
  <conditionalFormatting sqref="J129">
    <cfRule type="containsText" dxfId="1500" priority="1070" operator="containsText" text="FALSO">
      <formula>NOT(ISERROR(SEARCH("FALSO",J129)))</formula>
    </cfRule>
  </conditionalFormatting>
  <conditionalFormatting sqref="AE23:AF23">
    <cfRule type="containsText" dxfId="1499" priority="1137" operator="containsText" text="FALSO">
      <formula>NOT(ISERROR(SEARCH("FALSO",AE23)))</formula>
    </cfRule>
  </conditionalFormatting>
  <conditionalFormatting sqref="M23">
    <cfRule type="containsText" dxfId="1498" priority="1136" operator="containsText" text="FALSO">
      <formula>NOT(ISERROR(SEARCH("FALSO",M23)))</formula>
    </cfRule>
  </conditionalFormatting>
  <conditionalFormatting sqref="M31">
    <cfRule type="containsText" dxfId="1497" priority="1232" operator="containsText" text="FALSO">
      <formula>NOT(ISERROR(SEARCH("FALSO",M31)))</formula>
    </cfRule>
  </conditionalFormatting>
  <conditionalFormatting sqref="A31:C31 R31:S31 AK31:AM31 F31:I31 Y31:Z31 U31 W31 K31:L31 AP31 AS31:XFD31">
    <cfRule type="containsText" dxfId="1496" priority="1237" operator="containsText" text="FALSO">
      <formula>NOT(ISERROR(SEARCH("FALSO",A31)))</formula>
    </cfRule>
  </conditionalFormatting>
  <conditionalFormatting sqref="AD30 AG30:AH30">
    <cfRule type="containsText" dxfId="1495" priority="1228" operator="containsText" text="FALSO">
      <formula>NOT(ISERROR(SEARCH("FALSO",AD30)))</formula>
    </cfRule>
  </conditionalFormatting>
  <conditionalFormatting sqref="AC30 AI30 N30:P30">
    <cfRule type="containsText" dxfId="1494" priority="1227" operator="containsText" text="FALSO">
      <formula>NOT(ISERROR(SEARCH("FALSO",N30)))</formula>
    </cfRule>
  </conditionalFormatting>
  <conditionalFormatting sqref="M30">
    <cfRule type="containsText" dxfId="1493" priority="1220" operator="containsText" text="FALSO">
      <formula>NOT(ISERROR(SEARCH("FALSO",M30)))</formula>
    </cfRule>
  </conditionalFormatting>
  <conditionalFormatting sqref="AD29 AG29:AH29">
    <cfRule type="containsText" dxfId="1492" priority="1216" operator="containsText" text="FALSO">
      <formula>NOT(ISERROR(SEARCH("FALSO",AD29)))</formula>
    </cfRule>
  </conditionalFormatting>
  <conditionalFormatting sqref="AC29 AI29 N29:P29">
    <cfRule type="containsText" dxfId="1491" priority="1215" operator="containsText" text="FALSO">
      <formula>NOT(ISERROR(SEARCH("FALSO",N29)))</formula>
    </cfRule>
  </conditionalFormatting>
  <conditionalFormatting sqref="D29:E29">
    <cfRule type="containsText" dxfId="1490" priority="1212" operator="containsText" text="FALSO">
      <formula>NOT(ISERROR(SEARCH("FALSO",D29)))</formula>
    </cfRule>
  </conditionalFormatting>
  <conditionalFormatting sqref="M29">
    <cfRule type="containsText" dxfId="1489" priority="1208" operator="containsText" text="FALSO">
      <formula>NOT(ISERROR(SEARCH("FALSO",M29)))</formula>
    </cfRule>
  </conditionalFormatting>
  <conditionalFormatting sqref="AD28 AG28:AH28">
    <cfRule type="containsText" dxfId="1488" priority="1204" operator="containsText" text="FALSO">
      <formula>NOT(ISERROR(SEARCH("FALSO",AD28)))</formula>
    </cfRule>
  </conditionalFormatting>
  <conditionalFormatting sqref="AC28 AI28 N28:P28">
    <cfRule type="containsText" dxfId="1487" priority="1203" operator="containsText" text="FALSO">
      <formula>NOT(ISERROR(SEARCH("FALSO",N28)))</formula>
    </cfRule>
  </conditionalFormatting>
  <conditionalFormatting sqref="AA31:AB31">
    <cfRule type="containsText" dxfId="1486" priority="1235" operator="containsText" text="FALSO">
      <formula>NOT(ISERROR(SEARCH("FALSO",AA31)))</formula>
    </cfRule>
  </conditionalFormatting>
  <conditionalFormatting sqref="D31:E31">
    <cfRule type="containsText" dxfId="1485" priority="1236" operator="containsText" text="FALSO">
      <formula>NOT(ISERROR(SEARCH("FALSO",D31)))</formula>
    </cfRule>
  </conditionalFormatting>
  <conditionalFormatting sqref="AE31:AF31">
    <cfRule type="containsText" dxfId="1484" priority="1233" operator="containsText" text="FALSO">
      <formula>NOT(ISERROR(SEARCH("FALSO",AE31)))</formula>
    </cfRule>
  </conditionalFormatting>
  <conditionalFormatting sqref="A30:C30 R30:S30 AK30:AM30 F30:L30 Y30:Z30 U30 W30 AP30 AS30:XFD30">
    <cfRule type="containsText" dxfId="1483" priority="1225" operator="containsText" text="FALSO">
      <formula>NOT(ISERROR(SEARCH("FALSO",A30)))</formula>
    </cfRule>
  </conditionalFormatting>
  <conditionalFormatting sqref="D30:E30">
    <cfRule type="containsText" dxfId="1482" priority="1224" operator="containsText" text="FALSO">
      <formula>NOT(ISERROR(SEARCH("FALSO",D30)))</formula>
    </cfRule>
  </conditionalFormatting>
  <conditionalFormatting sqref="AA30:AB30">
    <cfRule type="containsText" dxfId="1481" priority="1223" operator="containsText" text="FALSO">
      <formula>NOT(ISERROR(SEARCH("FALSO",AA30)))</formula>
    </cfRule>
  </conditionalFormatting>
  <conditionalFormatting sqref="AE30:AF30">
    <cfRule type="containsText" dxfId="1480" priority="1221" operator="containsText" text="FALSO">
      <formula>NOT(ISERROR(SEARCH("FALSO",AE30)))</formula>
    </cfRule>
  </conditionalFormatting>
  <conditionalFormatting sqref="A29:C29 R29:S29 AK29:AM29 F29:L29 Y29:Z29 U29 W29 AP29 AS29:XFD29">
    <cfRule type="containsText" dxfId="1479" priority="1213" operator="containsText" text="FALSO">
      <formula>NOT(ISERROR(SEARCH("FALSO",A29)))</formula>
    </cfRule>
  </conditionalFormatting>
  <conditionalFormatting sqref="AA29:AB29">
    <cfRule type="containsText" dxfId="1478" priority="1211" operator="containsText" text="FALSO">
      <formula>NOT(ISERROR(SEARCH("FALSO",AA29)))</formula>
    </cfRule>
  </conditionalFormatting>
  <conditionalFormatting sqref="AE29:AF29">
    <cfRule type="containsText" dxfId="1477" priority="1209" operator="containsText" text="FALSO">
      <formula>NOT(ISERROR(SEARCH("FALSO",AE29)))</formula>
    </cfRule>
  </conditionalFormatting>
  <conditionalFormatting sqref="A28:C28 R28:S28 AK28:AM28 F28:L28 Y28:Z28 U28 W28 AP28 AS28:XFD28">
    <cfRule type="containsText" dxfId="1476" priority="1201" operator="containsText" text="FALSO">
      <formula>NOT(ISERROR(SEARCH("FALSO",A28)))</formula>
    </cfRule>
  </conditionalFormatting>
  <conditionalFormatting sqref="D28:E28">
    <cfRule type="containsText" dxfId="1475" priority="1200" operator="containsText" text="FALSO">
      <formula>NOT(ISERROR(SEARCH("FALSO",D28)))</formula>
    </cfRule>
  </conditionalFormatting>
  <conditionalFormatting sqref="AE28:AF28">
    <cfRule type="containsText" dxfId="1474" priority="1197" operator="containsText" text="FALSO">
      <formula>NOT(ISERROR(SEARCH("FALSO",AE28)))</formula>
    </cfRule>
  </conditionalFormatting>
  <conditionalFormatting sqref="AC27 AI27 N27:P27">
    <cfRule type="containsText" dxfId="1473" priority="1191" operator="containsText" text="FALSO">
      <formula>NOT(ISERROR(SEARCH("FALSO",N27)))</formula>
    </cfRule>
  </conditionalFormatting>
  <conditionalFormatting sqref="M28">
    <cfRule type="containsText" dxfId="1472" priority="1196" operator="containsText" text="FALSO">
      <formula>NOT(ISERROR(SEARCH("FALSO",M28)))</formula>
    </cfRule>
  </conditionalFormatting>
  <conditionalFormatting sqref="M36">
    <cfRule type="containsText" dxfId="1471" priority="1291" operator="containsText" text="FALSO">
      <formula>NOT(ISERROR(SEARCH("FALSO",M36)))</formula>
    </cfRule>
  </conditionalFormatting>
  <conditionalFormatting sqref="M37">
    <cfRule type="containsText" dxfId="1470" priority="1290" operator="containsText" text="FALSO">
      <formula>NOT(ISERROR(SEARCH("FALSO",M37)))</formula>
    </cfRule>
  </conditionalFormatting>
  <conditionalFormatting sqref="M38">
    <cfRule type="containsText" dxfId="1469" priority="1289" operator="containsText" text="FALSO">
      <formula>NOT(ISERROR(SEARCH("FALSO",M38)))</formula>
    </cfRule>
  </conditionalFormatting>
  <conditionalFormatting sqref="AD27 AG27:AH27">
    <cfRule type="containsText" dxfId="1468" priority="1192" operator="containsText" text="FALSO">
      <formula>NOT(ISERROR(SEARCH("FALSO",AD27)))</formula>
    </cfRule>
  </conditionalFormatting>
  <conditionalFormatting sqref="A27:C27 R27:S27 AK27:AM27 F27:L27 Y27:Z27 U27 W27 AP27 AS27:XFD27">
    <cfRule type="containsText" dxfId="1467" priority="1189" operator="containsText" text="FALSO">
      <formula>NOT(ISERROR(SEARCH("FALSO",A27)))</formula>
    </cfRule>
  </conditionalFormatting>
  <conditionalFormatting sqref="M39">
    <cfRule type="containsText" dxfId="1466" priority="1292" operator="containsText" text="FALSO">
      <formula>NOT(ISERROR(SEARCH("FALSO",M39)))</formula>
    </cfRule>
  </conditionalFormatting>
  <conditionalFormatting sqref="AD35 AG35:AH35">
    <cfRule type="containsText" dxfId="1465" priority="1288" operator="containsText" text="FALSO">
      <formula>NOT(ISERROR(SEARCH("FALSO",AD35)))</formula>
    </cfRule>
  </conditionalFormatting>
  <conditionalFormatting sqref="AC35 AI35 N35:P35">
    <cfRule type="containsText" dxfId="1464" priority="1287" operator="containsText" text="FALSO">
      <formula>NOT(ISERROR(SEARCH("FALSO",N35)))</formula>
    </cfRule>
  </conditionalFormatting>
  <conditionalFormatting sqref="A35:C35 R35:S35 AK35:AM35 F35:L35 Y35:Z35 U35 W35 AP35 AS35:XFD35">
    <cfRule type="containsText" dxfId="1463" priority="1285" operator="containsText" text="FALSO">
      <formula>NOT(ISERROR(SEARCH("FALSO",A35)))</formula>
    </cfRule>
  </conditionalFormatting>
  <conditionalFormatting sqref="D35:E35">
    <cfRule type="containsText" dxfId="1462" priority="1284" operator="containsText" text="FALSO">
      <formula>NOT(ISERROR(SEARCH("FALSO",D35)))</formula>
    </cfRule>
  </conditionalFormatting>
  <conditionalFormatting sqref="AA35:AB35">
    <cfRule type="containsText" dxfId="1461" priority="1283" operator="containsText" text="FALSO">
      <formula>NOT(ISERROR(SEARCH("FALSO",AA35)))</formula>
    </cfRule>
  </conditionalFormatting>
  <conditionalFormatting sqref="G35">
    <cfRule type="duplicateValues" dxfId="1460" priority="1286"/>
  </conditionalFormatting>
  <conditionalFormatting sqref="AE35:AF35">
    <cfRule type="containsText" dxfId="1459" priority="1281" operator="containsText" text="FALSO">
      <formula>NOT(ISERROR(SEARCH("FALSO",AE35)))</formula>
    </cfRule>
  </conditionalFormatting>
  <conditionalFormatting sqref="M35">
    <cfRule type="containsText" dxfId="1458" priority="1280" operator="containsText" text="FALSO">
      <formula>NOT(ISERROR(SEARCH("FALSO",M35)))</formula>
    </cfRule>
  </conditionalFormatting>
  <conditionalFormatting sqref="J125">
    <cfRule type="containsText" dxfId="1457" priority="1071" operator="containsText" text="FALSO">
      <formula>NOT(ISERROR(SEARCH("FALSO",J125)))</formula>
    </cfRule>
  </conditionalFormatting>
  <conditionalFormatting sqref="AD34 AG34:AH34">
    <cfRule type="containsText" dxfId="1456" priority="1276" operator="containsText" text="FALSO">
      <formula>NOT(ISERROR(SEARCH("FALSO",AD34)))</formula>
    </cfRule>
  </conditionalFormatting>
  <conditionalFormatting sqref="AC34 AI34 N34:P34">
    <cfRule type="containsText" dxfId="1455" priority="1275" operator="containsText" text="FALSO">
      <formula>NOT(ISERROR(SEARCH("FALSO",N34)))</formula>
    </cfRule>
  </conditionalFormatting>
  <conditionalFormatting sqref="A34:C34 R34:S34 AK34:AM34 F34:L34 Y34:Z34 U34 W34 AP34 AS34:XFD34">
    <cfRule type="containsText" dxfId="1454" priority="1273" operator="containsText" text="FALSO">
      <formula>NOT(ISERROR(SEARCH("FALSO",A34)))</formula>
    </cfRule>
  </conditionalFormatting>
  <conditionalFormatting sqref="D34:E34">
    <cfRule type="containsText" dxfId="1453" priority="1272" operator="containsText" text="FALSO">
      <formula>NOT(ISERROR(SEARCH("FALSO",D34)))</formula>
    </cfRule>
  </conditionalFormatting>
  <conditionalFormatting sqref="AA34:AB34">
    <cfRule type="containsText" dxfId="1452" priority="1271" operator="containsText" text="FALSO">
      <formula>NOT(ISERROR(SEARCH("FALSO",AA34)))</formula>
    </cfRule>
  </conditionalFormatting>
  <conditionalFormatting sqref="G34">
    <cfRule type="duplicateValues" dxfId="1451" priority="1274"/>
  </conditionalFormatting>
  <conditionalFormatting sqref="AE34:AF34">
    <cfRule type="containsText" dxfId="1450" priority="1269" operator="containsText" text="FALSO">
      <formula>NOT(ISERROR(SEARCH("FALSO",AE34)))</formula>
    </cfRule>
  </conditionalFormatting>
  <conditionalFormatting sqref="M34">
    <cfRule type="containsText" dxfId="1449" priority="1268" operator="containsText" text="FALSO">
      <formula>NOT(ISERROR(SEARCH("FALSO",M34)))</formula>
    </cfRule>
  </conditionalFormatting>
  <conditionalFormatting sqref="AN46:AO46">
    <cfRule type="containsText" dxfId="1448" priority="853" operator="containsText" text="FALSO">
      <formula>NOT(ISERROR(SEARCH("FALSO",AN46)))</formula>
    </cfRule>
  </conditionalFormatting>
  <conditionalFormatting sqref="AD33 AG33:AH33">
    <cfRule type="containsText" dxfId="1447" priority="1264" operator="containsText" text="FALSO">
      <formula>NOT(ISERROR(SEARCH("FALSO",AD33)))</formula>
    </cfRule>
  </conditionalFormatting>
  <conditionalFormatting sqref="AC33 AI33 N33:P33">
    <cfRule type="containsText" dxfId="1446" priority="1263" operator="containsText" text="FALSO">
      <formula>NOT(ISERROR(SEARCH("FALSO",N33)))</formula>
    </cfRule>
  </conditionalFormatting>
  <conditionalFormatting sqref="A33:C33 R33:S33 AK33:AM33 F33:L33 Y33:Z33 U33 W33 AP33 AS33:XFD33">
    <cfRule type="containsText" dxfId="1445" priority="1261" operator="containsText" text="FALSO">
      <formula>NOT(ISERROR(SEARCH("FALSO",A33)))</formula>
    </cfRule>
  </conditionalFormatting>
  <conditionalFormatting sqref="D33:E33">
    <cfRule type="containsText" dxfId="1444" priority="1260" operator="containsText" text="FALSO">
      <formula>NOT(ISERROR(SEARCH("FALSO",D33)))</formula>
    </cfRule>
  </conditionalFormatting>
  <conditionalFormatting sqref="AA33:AB33">
    <cfRule type="containsText" dxfId="1443" priority="1259" operator="containsText" text="FALSO">
      <formula>NOT(ISERROR(SEARCH("FALSO",AA33)))</formula>
    </cfRule>
  </conditionalFormatting>
  <conditionalFormatting sqref="G33">
    <cfRule type="duplicateValues" dxfId="1442" priority="1262"/>
  </conditionalFormatting>
  <conditionalFormatting sqref="AE33:AF33">
    <cfRule type="containsText" dxfId="1441" priority="1257" operator="containsText" text="FALSO">
      <formula>NOT(ISERROR(SEARCH("FALSO",AE33)))</formula>
    </cfRule>
  </conditionalFormatting>
  <conditionalFormatting sqref="M33">
    <cfRule type="containsText" dxfId="1440" priority="1256" operator="containsText" text="FALSO">
      <formula>NOT(ISERROR(SEARCH("FALSO",M33)))</formula>
    </cfRule>
  </conditionalFormatting>
  <conditionalFormatting sqref="AN34:AO34">
    <cfRule type="containsText" dxfId="1439" priority="841" operator="containsText" text="FALSO">
      <formula>NOT(ISERROR(SEARCH("FALSO",AN34)))</formula>
    </cfRule>
  </conditionalFormatting>
  <conditionalFormatting sqref="AD32 AG32:AH32">
    <cfRule type="containsText" dxfId="1438" priority="1252" operator="containsText" text="FALSO">
      <formula>NOT(ISERROR(SEARCH("FALSO",AD32)))</formula>
    </cfRule>
  </conditionalFormatting>
  <conditionalFormatting sqref="AC32 AI32 N32:P32">
    <cfRule type="containsText" dxfId="1437" priority="1251" operator="containsText" text="FALSO">
      <formula>NOT(ISERROR(SEARCH("FALSO",N32)))</formula>
    </cfRule>
  </conditionalFormatting>
  <conditionalFormatting sqref="A32:C32 R32:S32 AK32:AM32 F32:L32 Y32:Z32 U32 W32 AP32 AS32:XFD32">
    <cfRule type="containsText" dxfId="1436" priority="1249" operator="containsText" text="FALSO">
      <formula>NOT(ISERROR(SEARCH("FALSO",A32)))</formula>
    </cfRule>
  </conditionalFormatting>
  <conditionalFormatting sqref="D32:E32">
    <cfRule type="containsText" dxfId="1435" priority="1248" operator="containsText" text="FALSO">
      <formula>NOT(ISERROR(SEARCH("FALSO",D32)))</formula>
    </cfRule>
  </conditionalFormatting>
  <conditionalFormatting sqref="AA32:AB32">
    <cfRule type="containsText" dxfId="1434" priority="1247" operator="containsText" text="FALSO">
      <formula>NOT(ISERROR(SEARCH("FALSO",AA32)))</formula>
    </cfRule>
  </conditionalFormatting>
  <conditionalFormatting sqref="G32">
    <cfRule type="duplicateValues" dxfId="1433" priority="1250"/>
  </conditionalFormatting>
  <conditionalFormatting sqref="AE32:AF32">
    <cfRule type="containsText" dxfId="1432" priority="1245" operator="containsText" text="FALSO">
      <formula>NOT(ISERROR(SEARCH("FALSO",AE32)))</formula>
    </cfRule>
  </conditionalFormatting>
  <conditionalFormatting sqref="M32">
    <cfRule type="containsText" dxfId="1431" priority="1244" operator="containsText" text="FALSO">
      <formula>NOT(ISERROR(SEARCH("FALSO",M32)))</formula>
    </cfRule>
  </conditionalFormatting>
  <conditionalFormatting sqref="AN22:AO22">
    <cfRule type="containsText" dxfId="1430" priority="829" operator="containsText" text="FALSO">
      <formula>NOT(ISERROR(SEARCH("FALSO",AN22)))</formula>
    </cfRule>
  </conditionalFormatting>
  <conditionalFormatting sqref="AD31 AG31:AH31">
    <cfRule type="containsText" dxfId="1429" priority="1240" operator="containsText" text="FALSO">
      <formula>NOT(ISERROR(SEARCH("FALSO",AD31)))</formula>
    </cfRule>
  </conditionalFormatting>
  <conditionalFormatting sqref="AC31 AI31 N31:P31">
    <cfRule type="containsText" dxfId="1428" priority="1239" operator="containsText" text="FALSO">
      <formula>NOT(ISERROR(SEARCH("FALSO",N31)))</formula>
    </cfRule>
  </conditionalFormatting>
  <conditionalFormatting sqref="G31">
    <cfRule type="duplicateValues" dxfId="1427" priority="1238"/>
  </conditionalFormatting>
  <conditionalFormatting sqref="AQ44:AR44">
    <cfRule type="containsText" dxfId="1426" priority="817" operator="containsText" text="FALSO">
      <formula>NOT(ISERROR(SEARCH("FALSO",AQ44)))</formula>
    </cfRule>
  </conditionalFormatting>
  <conditionalFormatting sqref="G30">
    <cfRule type="duplicateValues" dxfId="1425" priority="1226"/>
  </conditionalFormatting>
  <conditionalFormatting sqref="AQ32:AR32">
    <cfRule type="containsText" dxfId="1424" priority="805" operator="containsText" text="FALSO">
      <formula>NOT(ISERROR(SEARCH("FALSO",AQ32)))</formula>
    </cfRule>
  </conditionalFormatting>
  <conditionalFormatting sqref="G29">
    <cfRule type="duplicateValues" dxfId="1423" priority="1214"/>
  </conditionalFormatting>
  <conditionalFormatting sqref="T129">
    <cfRule type="containsText" dxfId="1422" priority="793" operator="containsText" text="FALSO">
      <formula>NOT(ISERROR(SEARCH("FALSO",T129)))</formula>
    </cfRule>
  </conditionalFormatting>
  <conditionalFormatting sqref="AA28:AB28">
    <cfRule type="containsText" dxfId="1421" priority="1199" operator="containsText" text="FALSO">
      <formula>NOT(ISERROR(SEARCH("FALSO",AA28)))</formula>
    </cfRule>
  </conditionalFormatting>
  <conditionalFormatting sqref="G28">
    <cfRule type="duplicateValues" dxfId="1420" priority="1202"/>
  </conditionalFormatting>
  <conditionalFormatting sqref="T110">
    <cfRule type="containsText" dxfId="1419" priority="781" operator="containsText" text="FALSO">
      <formula>NOT(ISERROR(SEARCH("FALSO",T110)))</formula>
    </cfRule>
  </conditionalFormatting>
  <conditionalFormatting sqref="D27:E27">
    <cfRule type="containsText" dxfId="1418" priority="1188" operator="containsText" text="FALSO">
      <formula>NOT(ISERROR(SEARCH("FALSO",D27)))</formula>
    </cfRule>
  </conditionalFormatting>
  <conditionalFormatting sqref="AA27:AB27">
    <cfRule type="containsText" dxfId="1417" priority="1187" operator="containsText" text="FALSO">
      <formula>NOT(ISERROR(SEARCH("FALSO",AA27)))</formula>
    </cfRule>
  </conditionalFormatting>
  <conditionalFormatting sqref="G27">
    <cfRule type="duplicateValues" dxfId="1416" priority="1190"/>
  </conditionalFormatting>
  <conditionalFormatting sqref="AE27:AF27">
    <cfRule type="containsText" dxfId="1415" priority="1185" operator="containsText" text="FALSO">
      <formula>NOT(ISERROR(SEARCH("FALSO",AE27)))</formula>
    </cfRule>
  </conditionalFormatting>
  <conditionalFormatting sqref="M27">
    <cfRule type="containsText" dxfId="1414" priority="1184" operator="containsText" text="FALSO">
      <formula>NOT(ISERROR(SEARCH("FALSO",M27)))</formula>
    </cfRule>
  </conditionalFormatting>
  <conditionalFormatting sqref="AE22:AF22">
    <cfRule type="containsText" dxfId="1413" priority="1077" operator="containsText" text="FALSO">
      <formula>NOT(ISERROR(SEARCH("FALSO",AE22)))</formula>
    </cfRule>
  </conditionalFormatting>
  <conditionalFormatting sqref="T114">
    <cfRule type="containsText" dxfId="1412" priority="769" operator="containsText" text="FALSO">
      <formula>NOT(ISERROR(SEARCH("FALSO",T114)))</formula>
    </cfRule>
  </conditionalFormatting>
  <conditionalFormatting sqref="G26">
    <cfRule type="duplicateValues" dxfId="1411" priority="1178"/>
  </conditionalFormatting>
  <conditionalFormatting sqref="AN52:AO52">
    <cfRule type="containsText" dxfId="1410" priority="859" operator="containsText" text="FALSO">
      <formula>NOT(ISERROR(SEARCH("FALSO",AN52)))</formula>
    </cfRule>
  </conditionalFormatting>
  <conditionalFormatting sqref="AN53:AO53">
    <cfRule type="containsText" dxfId="1409" priority="860" operator="containsText" text="FALSO">
      <formula>NOT(ISERROR(SEARCH("FALSO",AN53)))</formula>
    </cfRule>
  </conditionalFormatting>
  <conditionalFormatting sqref="G25">
    <cfRule type="duplicateValues" dxfId="1408" priority="1166"/>
  </conditionalFormatting>
  <conditionalFormatting sqref="AN40:AO40">
    <cfRule type="containsText" dxfId="1407" priority="847" operator="containsText" text="FALSO">
      <formula>NOT(ISERROR(SEARCH("FALSO",AN40)))</formula>
    </cfRule>
  </conditionalFormatting>
  <conditionalFormatting sqref="AN41:AO41">
    <cfRule type="containsText" dxfId="1406" priority="848" operator="containsText" text="FALSO">
      <formula>NOT(ISERROR(SEARCH("FALSO",AN41)))</formula>
    </cfRule>
  </conditionalFormatting>
  <conditionalFormatting sqref="G24">
    <cfRule type="duplicateValues" dxfId="1405" priority="1154"/>
  </conditionalFormatting>
  <conditionalFormatting sqref="AN28:AO28">
    <cfRule type="containsText" dxfId="1404" priority="835" operator="containsText" text="FALSO">
      <formula>NOT(ISERROR(SEARCH("FALSO",AN28)))</formula>
    </cfRule>
  </conditionalFormatting>
  <conditionalFormatting sqref="AN29:AO29">
    <cfRule type="containsText" dxfId="1403" priority="836" operator="containsText" text="FALSO">
      <formula>NOT(ISERROR(SEARCH("FALSO",AN29)))</formula>
    </cfRule>
  </conditionalFormatting>
  <conditionalFormatting sqref="G23">
    <cfRule type="duplicateValues" dxfId="1402" priority="1142"/>
  </conditionalFormatting>
  <conditionalFormatting sqref="AQ50:AR50">
    <cfRule type="containsText" dxfId="1401" priority="823" operator="containsText" text="FALSO">
      <formula>NOT(ISERROR(SEARCH("FALSO",AQ50)))</formula>
    </cfRule>
  </conditionalFormatting>
  <conditionalFormatting sqref="AQ51:AR51">
    <cfRule type="containsText" dxfId="1400" priority="824" operator="containsText" text="FALSO">
      <formula>NOT(ISERROR(SEARCH("FALSO",AQ51)))</formula>
    </cfRule>
  </conditionalFormatting>
  <conditionalFormatting sqref="AD22 AG22:AH22 Q829:Q831">
    <cfRule type="containsText" dxfId="1399" priority="1084" operator="containsText" text="FALSO">
      <formula>NOT(ISERROR(SEARCH("FALSO",Q22)))</formula>
    </cfRule>
  </conditionalFormatting>
  <conditionalFormatting sqref="AC22 AI22 N22:P22">
    <cfRule type="containsText" dxfId="1398" priority="1083" operator="containsText" text="FALSO">
      <formula>NOT(ISERROR(SEARCH("FALSO",N22)))</formula>
    </cfRule>
  </conditionalFormatting>
  <conditionalFormatting sqref="A22:C22 R22:S22 AK22:AM22 F22:L22 Y22:Z22 U22 W22 AP22 AS22:XFD22">
    <cfRule type="containsText" dxfId="1397" priority="1081" operator="containsText" text="FALSO">
      <formula>NOT(ISERROR(SEARCH("FALSO",A22)))</formula>
    </cfRule>
  </conditionalFormatting>
  <conditionalFormatting sqref="D22:E22">
    <cfRule type="containsText" dxfId="1396" priority="1080" operator="containsText" text="FALSO">
      <formula>NOT(ISERROR(SEARCH("FALSO",D22)))</formula>
    </cfRule>
  </conditionalFormatting>
  <conditionalFormatting sqref="AA22:AB22">
    <cfRule type="containsText" dxfId="1395" priority="1079" operator="containsText" text="FALSO">
      <formula>NOT(ISERROR(SEARCH("FALSO",AA22)))</formula>
    </cfRule>
  </conditionalFormatting>
  <conditionalFormatting sqref="G22">
    <cfRule type="duplicateValues" dxfId="1394" priority="1082"/>
  </conditionalFormatting>
  <conditionalFormatting sqref="AJ22:AJ831">
    <cfRule type="containsText" dxfId="1393" priority="1078" operator="containsText" text="FALSO">
      <formula>NOT(ISERROR(SEARCH("FALSO",AJ22)))</formula>
    </cfRule>
  </conditionalFormatting>
  <conditionalFormatting sqref="M22">
    <cfRule type="containsText" dxfId="1392" priority="1076" operator="containsText" text="FALSO">
      <formula>NOT(ISERROR(SEARCH("FALSO",M22)))</formula>
    </cfRule>
  </conditionalFormatting>
  <conditionalFormatting sqref="X22:X832">
    <cfRule type="containsText" dxfId="1391" priority="1075" operator="containsText" text="FALSO">
      <formula>NOT(ISERROR(SEARCH("FALSO",X22)))</formula>
    </cfRule>
  </conditionalFormatting>
  <conditionalFormatting sqref="T100">
    <cfRule type="containsText" dxfId="1390" priority="763" operator="containsText" text="FALSO">
      <formula>NOT(ISERROR(SEARCH("FALSO",T100)))</formula>
    </cfRule>
  </conditionalFormatting>
  <conditionalFormatting sqref="T101">
    <cfRule type="containsText" dxfId="1389" priority="764" operator="containsText" text="FALSO">
      <formula>NOT(ISERROR(SEARCH("FALSO",T101)))</formula>
    </cfRule>
  </conditionalFormatting>
  <conditionalFormatting sqref="J126">
    <cfRule type="containsText" dxfId="1388" priority="1072" operator="containsText" text="FALSO">
      <formula>NOT(ISERROR(SEARCH("FALSO",J126)))</formula>
    </cfRule>
  </conditionalFormatting>
  <conditionalFormatting sqref="J31">
    <cfRule type="containsText" dxfId="1387" priority="863" operator="containsText" text="FALSO">
      <formula>NOT(ISERROR(SEARCH("FALSO",J31)))</formula>
    </cfRule>
  </conditionalFormatting>
  <conditionalFormatting sqref="AN55:AO55">
    <cfRule type="containsText" dxfId="1386" priority="862" operator="containsText" text="FALSO">
      <formula>NOT(ISERROR(SEARCH("FALSO",AN55)))</formula>
    </cfRule>
  </conditionalFormatting>
  <conditionalFormatting sqref="AN54:AO54">
    <cfRule type="containsText" dxfId="1385" priority="861" operator="containsText" text="FALSO">
      <formula>NOT(ISERROR(SEARCH("FALSO",AN54)))</formula>
    </cfRule>
  </conditionalFormatting>
  <conditionalFormatting sqref="AN27:AO27">
    <cfRule type="containsText" dxfId="1384" priority="834" operator="containsText" text="FALSO">
      <formula>NOT(ISERROR(SEARCH("FALSO",AN27)))</formula>
    </cfRule>
  </conditionalFormatting>
  <conditionalFormatting sqref="AQ46:AR46">
    <cfRule type="containsText" dxfId="1383" priority="819" operator="containsText" text="FALSO">
      <formula>NOT(ISERROR(SEARCH("FALSO",AQ46)))</formula>
    </cfRule>
  </conditionalFormatting>
  <conditionalFormatting sqref="AN51:AO51">
    <cfRule type="containsText" dxfId="1382" priority="858" operator="containsText" text="FALSO">
      <formula>NOT(ISERROR(SEARCH("FALSO",AN51)))</formula>
    </cfRule>
  </conditionalFormatting>
  <conditionalFormatting sqref="AN47:AO47">
    <cfRule type="containsText" dxfId="1381" priority="854" operator="containsText" text="FALSO">
      <formula>NOT(ISERROR(SEARCH("FALSO",AN47)))</formula>
    </cfRule>
  </conditionalFormatting>
  <conditionalFormatting sqref="AQ41:AR41">
    <cfRule type="containsText" dxfId="1380" priority="814" operator="containsText" text="FALSO">
      <formula>NOT(ISERROR(SEARCH("FALSO",AQ41)))</formula>
    </cfRule>
  </conditionalFormatting>
  <conditionalFormatting sqref="AN36:AO36">
    <cfRule type="containsText" dxfId="1379" priority="843" operator="containsText" text="FALSO">
      <formula>NOT(ISERROR(SEARCH("FALSO",AN36)))</formula>
    </cfRule>
  </conditionalFormatting>
  <conditionalFormatting sqref="AN38:AO38">
    <cfRule type="containsText" dxfId="1378" priority="845" operator="containsText" text="FALSO">
      <formula>NOT(ISERROR(SEARCH("FALSO",AN38)))</formula>
    </cfRule>
  </conditionalFormatting>
  <conditionalFormatting sqref="AQ39:AR39">
    <cfRule type="containsText" dxfId="1377" priority="812" operator="containsText" text="FALSO">
      <formula>NOT(ISERROR(SEARCH("FALSO",AQ39)))</formula>
    </cfRule>
  </conditionalFormatting>
  <conditionalFormatting sqref="AN25:AO25">
    <cfRule type="containsText" dxfId="1376" priority="832" operator="containsText" text="FALSO">
      <formula>NOT(ISERROR(SEARCH("FALSO",AN25)))</formula>
    </cfRule>
  </conditionalFormatting>
  <conditionalFormatting sqref="AQ26:AR26">
    <cfRule type="containsText" dxfId="1375" priority="799" operator="containsText" text="FALSO">
      <formula>NOT(ISERROR(SEARCH("FALSO",AQ26)))</formula>
    </cfRule>
  </conditionalFormatting>
  <conditionalFormatting sqref="AQ27:AR27">
    <cfRule type="containsText" dxfId="1374" priority="800" operator="containsText" text="FALSO">
      <formula>NOT(ISERROR(SEARCH("FALSO",AQ27)))</formula>
    </cfRule>
  </conditionalFormatting>
  <conditionalFormatting sqref="AN39:AO39">
    <cfRule type="containsText" dxfId="1373" priority="846" operator="containsText" text="FALSO">
      <formula>NOT(ISERROR(SEARCH("FALSO",AN39)))</formula>
    </cfRule>
  </conditionalFormatting>
  <conditionalFormatting sqref="AQ48:AR48">
    <cfRule type="containsText" dxfId="1372" priority="821" operator="containsText" text="FALSO">
      <formula>NOT(ISERROR(SEARCH("FALSO",AQ48)))</formula>
    </cfRule>
  </conditionalFormatting>
  <conditionalFormatting sqref="AN42:AO42">
    <cfRule type="containsText" dxfId="1371" priority="849" operator="containsText" text="FALSO">
      <formula>NOT(ISERROR(SEARCH("FALSO",AN42)))</formula>
    </cfRule>
  </conditionalFormatting>
  <conditionalFormatting sqref="AQ37:AR37">
    <cfRule type="containsText" dxfId="1370" priority="810" operator="containsText" text="FALSO">
      <formula>NOT(ISERROR(SEARCH("FALSO",AQ37)))</formula>
    </cfRule>
  </conditionalFormatting>
  <conditionalFormatting sqref="AQ36:AR36">
    <cfRule type="containsText" dxfId="1369" priority="809" operator="containsText" text="FALSO">
      <formula>NOT(ISERROR(SEARCH("FALSO",AQ36)))</formula>
    </cfRule>
  </conditionalFormatting>
  <conditionalFormatting sqref="AQ31:AR31">
    <cfRule type="containsText" dxfId="1368" priority="804" operator="containsText" text="FALSO">
      <formula>NOT(ISERROR(SEARCH("FALSO",AQ31)))</formula>
    </cfRule>
  </conditionalFormatting>
  <conditionalFormatting sqref="AQ29:AR29">
    <cfRule type="containsText" dxfId="1367" priority="802" operator="containsText" text="FALSO">
      <formula>NOT(ISERROR(SEARCH("FALSO",AQ29)))</formula>
    </cfRule>
  </conditionalFormatting>
  <conditionalFormatting sqref="AQ25:AR25">
    <cfRule type="containsText" dxfId="1366" priority="798" operator="containsText" text="FALSO">
      <formula>NOT(ISERROR(SEARCH("FALSO",AQ25)))</formula>
    </cfRule>
  </conditionalFormatting>
  <conditionalFormatting sqref="AQ24:AR24">
    <cfRule type="containsText" dxfId="1365" priority="797" operator="containsText" text="FALSO">
      <formula>NOT(ISERROR(SEARCH("FALSO",AQ24)))</formula>
    </cfRule>
  </conditionalFormatting>
  <conditionalFormatting sqref="Z61">
    <cfRule type="containsText" dxfId="1364" priority="794" operator="containsText" text="FALSO">
      <formula>NOT(ISERROR(SEARCH("FALSO",Z61)))</formula>
    </cfRule>
  </conditionalFormatting>
  <conditionalFormatting sqref="T126">
    <cfRule type="containsText" dxfId="1363" priority="790" operator="containsText" text="FALSO">
      <formula>NOT(ISERROR(SEARCH("FALSO",T126)))</formula>
    </cfRule>
  </conditionalFormatting>
  <conditionalFormatting sqref="T60 T76 T51">
    <cfRule type="containsText" dxfId="1362" priority="789" operator="containsText" text="FALSO">
      <formula>NOT(ISERROR(SEARCH("FALSO",T51)))</formula>
    </cfRule>
  </conditionalFormatting>
  <conditionalFormatting sqref="T125">
    <cfRule type="containsText" dxfId="1361" priority="788" operator="containsText" text="FALSO">
      <formula>NOT(ISERROR(SEARCH("FALSO",T125)))</formula>
    </cfRule>
  </conditionalFormatting>
  <conditionalFormatting sqref="AN31:AO31">
    <cfRule type="containsText" dxfId="1360" priority="838" operator="containsText" text="FALSO">
      <formula>NOT(ISERROR(SEARCH("FALSO",AN31)))</formula>
    </cfRule>
  </conditionalFormatting>
  <conditionalFormatting sqref="AQ49:AR49">
    <cfRule type="containsText" dxfId="1359" priority="822" operator="containsText" text="FALSO">
      <formula>NOT(ISERROR(SEARCH("FALSO",AQ49)))</formula>
    </cfRule>
  </conditionalFormatting>
  <conditionalFormatting sqref="AN33:AO33">
    <cfRule type="containsText" dxfId="1358" priority="840" operator="containsText" text="FALSO">
      <formula>NOT(ISERROR(SEARCH("FALSO",AN33)))</formula>
    </cfRule>
  </conditionalFormatting>
  <conditionalFormatting sqref="AN48:AO48">
    <cfRule type="containsText" dxfId="1357" priority="855" operator="containsText" text="FALSO">
      <formula>NOT(ISERROR(SEARCH("FALSO",AN48)))</formula>
    </cfRule>
  </conditionalFormatting>
  <conditionalFormatting sqref="AN45:AO45">
    <cfRule type="containsText" dxfId="1356" priority="852" operator="containsText" text="FALSO">
      <formula>NOT(ISERROR(SEARCH("FALSO",AN45)))</formula>
    </cfRule>
  </conditionalFormatting>
  <conditionalFormatting sqref="AN44:AO44">
    <cfRule type="containsText" dxfId="1355" priority="851" operator="containsText" text="FALSO">
      <formula>NOT(ISERROR(SEARCH("FALSO",AN44)))</formula>
    </cfRule>
  </conditionalFormatting>
  <conditionalFormatting sqref="AN43:AO43">
    <cfRule type="containsText" dxfId="1354" priority="850" operator="containsText" text="FALSO">
      <formula>NOT(ISERROR(SEARCH("FALSO",AN43)))</formula>
    </cfRule>
  </conditionalFormatting>
  <conditionalFormatting sqref="AN37:AO37">
    <cfRule type="containsText" dxfId="1353" priority="844" operator="containsText" text="FALSO">
      <formula>NOT(ISERROR(SEARCH("FALSO",AN37)))</formula>
    </cfRule>
  </conditionalFormatting>
  <conditionalFormatting sqref="AN35:AO35">
    <cfRule type="containsText" dxfId="1352" priority="842" operator="containsText" text="FALSO">
      <formula>NOT(ISERROR(SEARCH("FALSO",AN35)))</formula>
    </cfRule>
  </conditionalFormatting>
  <conditionalFormatting sqref="AN32:AO32">
    <cfRule type="containsText" dxfId="1351" priority="839" operator="containsText" text="FALSO">
      <formula>NOT(ISERROR(SEARCH("FALSO",AN32)))</formula>
    </cfRule>
  </conditionalFormatting>
  <conditionalFormatting sqref="AN30:AO30">
    <cfRule type="containsText" dxfId="1350" priority="837" operator="containsText" text="FALSO">
      <formula>NOT(ISERROR(SEARCH("FALSO",AN30)))</formula>
    </cfRule>
  </conditionalFormatting>
  <conditionalFormatting sqref="AQ52:AR52">
    <cfRule type="containsText" dxfId="1349" priority="825" operator="containsText" text="FALSO">
      <formula>NOT(ISERROR(SEARCH("FALSO",AQ52)))</formula>
    </cfRule>
  </conditionalFormatting>
  <conditionalFormatting sqref="AN26:AO26">
    <cfRule type="containsText" dxfId="1348" priority="833" operator="containsText" text="FALSO">
      <formula>NOT(ISERROR(SEARCH("FALSO",AN26)))</formula>
    </cfRule>
  </conditionalFormatting>
  <conditionalFormatting sqref="AN24:AO24">
    <cfRule type="containsText" dxfId="1347" priority="831" operator="containsText" text="FALSO">
      <formula>NOT(ISERROR(SEARCH("FALSO",AN24)))</formula>
    </cfRule>
  </conditionalFormatting>
  <conditionalFormatting sqref="AN23:AO23">
    <cfRule type="containsText" dxfId="1346" priority="830" operator="containsText" text="FALSO">
      <formula>NOT(ISERROR(SEARCH("FALSO",AN23)))</formula>
    </cfRule>
  </conditionalFormatting>
  <conditionalFormatting sqref="AQ55:AR55">
    <cfRule type="containsText" dxfId="1345" priority="828" operator="containsText" text="FALSO">
      <formula>NOT(ISERROR(SEARCH("FALSO",AQ55)))</formula>
    </cfRule>
  </conditionalFormatting>
  <conditionalFormatting sqref="AQ54:AR54">
    <cfRule type="containsText" dxfId="1344" priority="827" operator="containsText" text="FALSO">
      <formula>NOT(ISERROR(SEARCH("FALSO",AQ54)))</formula>
    </cfRule>
  </conditionalFormatting>
  <conditionalFormatting sqref="AQ53:AR53">
    <cfRule type="containsText" dxfId="1343" priority="826" operator="containsText" text="FALSO">
      <formula>NOT(ISERROR(SEARCH("FALSO",AQ53)))</formula>
    </cfRule>
  </conditionalFormatting>
  <conditionalFormatting sqref="AQ47:AR47">
    <cfRule type="containsText" dxfId="1342" priority="820" operator="containsText" text="FALSO">
      <formula>NOT(ISERROR(SEARCH("FALSO",AQ47)))</formula>
    </cfRule>
  </conditionalFormatting>
  <conditionalFormatting sqref="AQ45:AR45">
    <cfRule type="containsText" dxfId="1341" priority="818" operator="containsText" text="FALSO">
      <formula>NOT(ISERROR(SEARCH("FALSO",AQ45)))</formula>
    </cfRule>
  </conditionalFormatting>
  <conditionalFormatting sqref="AQ42:AR42">
    <cfRule type="containsText" dxfId="1340" priority="815" operator="containsText" text="FALSO">
      <formula>NOT(ISERROR(SEARCH("FALSO",AQ42)))</formula>
    </cfRule>
  </conditionalFormatting>
  <conditionalFormatting sqref="AQ43:AR43">
    <cfRule type="containsText" dxfId="1339" priority="816" operator="containsText" text="FALSO">
      <formula>NOT(ISERROR(SEARCH("FALSO",AQ43)))</formula>
    </cfRule>
  </conditionalFormatting>
  <conditionalFormatting sqref="AN50:AO50">
    <cfRule type="containsText" dxfId="1338" priority="857" operator="containsText" text="FALSO">
      <formula>NOT(ISERROR(SEARCH("FALSO",AN50)))</formula>
    </cfRule>
  </conditionalFormatting>
  <conditionalFormatting sqref="AN49:AO49">
    <cfRule type="containsText" dxfId="1337" priority="856" operator="containsText" text="FALSO">
      <formula>NOT(ISERROR(SEARCH("FALSO",AN49)))</formula>
    </cfRule>
  </conditionalFormatting>
  <conditionalFormatting sqref="T123">
    <cfRule type="containsText" dxfId="1336" priority="786" operator="containsText" text="FALSO">
      <formula>NOT(ISERROR(SEARCH("FALSO",T123)))</formula>
    </cfRule>
  </conditionalFormatting>
  <conditionalFormatting sqref="T122">
    <cfRule type="containsText" dxfId="1335" priority="785" operator="containsText" text="FALSO">
      <formula>NOT(ISERROR(SEARCH("FALSO",T122)))</formula>
    </cfRule>
  </conditionalFormatting>
  <conditionalFormatting sqref="AQ38:AR38">
    <cfRule type="containsText" dxfId="1334" priority="811" operator="containsText" text="FALSO">
      <formula>NOT(ISERROR(SEARCH("FALSO",AQ38)))</formula>
    </cfRule>
  </conditionalFormatting>
  <conditionalFormatting sqref="AQ23:AR23">
    <cfRule type="containsText" dxfId="1333" priority="796" operator="containsText" text="FALSO">
      <formula>NOT(ISERROR(SEARCH("FALSO",AQ23)))</formula>
    </cfRule>
  </conditionalFormatting>
  <conditionalFormatting sqref="T124">
    <cfRule type="containsText" dxfId="1332" priority="787" operator="containsText" text="FALSO">
      <formula>NOT(ISERROR(SEARCH("FALSO",T124)))</formula>
    </cfRule>
  </conditionalFormatting>
  <conditionalFormatting sqref="AQ40:AR40">
    <cfRule type="containsText" dxfId="1331" priority="813" operator="containsText" text="FALSO">
      <formula>NOT(ISERROR(SEARCH("FALSO",AQ40)))</formula>
    </cfRule>
  </conditionalFormatting>
  <conditionalFormatting sqref="AQ35:AR35">
    <cfRule type="containsText" dxfId="1330" priority="808" operator="containsText" text="FALSO">
      <formula>NOT(ISERROR(SEARCH("FALSO",AQ35)))</formula>
    </cfRule>
  </conditionalFormatting>
  <conditionalFormatting sqref="AQ34:AR34">
    <cfRule type="containsText" dxfId="1329" priority="807" operator="containsText" text="FALSO">
      <formula>NOT(ISERROR(SEARCH("FALSO",AQ34)))</formula>
    </cfRule>
  </conditionalFormatting>
  <conditionalFormatting sqref="AQ33:AR33">
    <cfRule type="containsText" dxfId="1328" priority="806" operator="containsText" text="FALSO">
      <formula>NOT(ISERROR(SEARCH("FALSO",AQ33)))</formula>
    </cfRule>
  </conditionalFormatting>
  <conditionalFormatting sqref="AQ30:AR30">
    <cfRule type="containsText" dxfId="1327" priority="803" operator="containsText" text="FALSO">
      <formula>NOT(ISERROR(SEARCH("FALSO",AQ30)))</formula>
    </cfRule>
  </conditionalFormatting>
  <conditionalFormatting sqref="AQ28:AR28">
    <cfRule type="containsText" dxfId="1326" priority="801" operator="containsText" text="FALSO">
      <formula>NOT(ISERROR(SEARCH("FALSO",AQ28)))</formula>
    </cfRule>
  </conditionalFormatting>
  <conditionalFormatting sqref="AQ22:AR22">
    <cfRule type="containsText" dxfId="1325" priority="795" operator="containsText" text="FALSO">
      <formula>NOT(ISERROR(SEARCH("FALSO",AQ22)))</formula>
    </cfRule>
  </conditionalFormatting>
  <conditionalFormatting sqref="T128">
    <cfRule type="containsText" dxfId="1324" priority="792" operator="containsText" text="FALSO">
      <formula>NOT(ISERROR(SEARCH("FALSO",T128)))</formula>
    </cfRule>
  </conditionalFormatting>
  <conditionalFormatting sqref="T127">
    <cfRule type="containsText" dxfId="1323" priority="791" operator="containsText" text="FALSO">
      <formula>NOT(ISERROR(SEARCH("FALSO",T127)))</formula>
    </cfRule>
  </conditionalFormatting>
  <conditionalFormatting sqref="T113">
    <cfRule type="containsText" dxfId="1322" priority="784" operator="containsText" text="FALSO">
      <formula>NOT(ISERROR(SEARCH("FALSO",T113)))</formula>
    </cfRule>
  </conditionalFormatting>
  <conditionalFormatting sqref="T112">
    <cfRule type="containsText" dxfId="1321" priority="783" operator="containsText" text="FALSO">
      <formula>NOT(ISERROR(SEARCH("FALSO",T112)))</formula>
    </cfRule>
  </conditionalFormatting>
  <conditionalFormatting sqref="T111">
    <cfRule type="containsText" dxfId="1320" priority="782" operator="containsText" text="FALSO">
      <formula>NOT(ISERROR(SEARCH("FALSO",T111)))</formula>
    </cfRule>
  </conditionalFormatting>
  <conditionalFormatting sqref="T109">
    <cfRule type="containsText" dxfId="1319" priority="780" operator="containsText" text="FALSO">
      <formula>NOT(ISERROR(SEARCH("FALSO",T109)))</formula>
    </cfRule>
  </conditionalFormatting>
  <conditionalFormatting sqref="T108">
    <cfRule type="containsText" dxfId="1318" priority="779" operator="containsText" text="FALSO">
      <formula>NOT(ISERROR(SEARCH("FALSO",T108)))</formula>
    </cfRule>
  </conditionalFormatting>
  <conditionalFormatting sqref="T106">
    <cfRule type="containsText" dxfId="1317" priority="777" operator="containsText" text="FALSO">
      <formula>NOT(ISERROR(SEARCH("FALSO",T106)))</formula>
    </cfRule>
  </conditionalFormatting>
  <conditionalFormatting sqref="T121">
    <cfRule type="containsText" dxfId="1316" priority="776" operator="containsText" text="FALSO">
      <formula>NOT(ISERROR(SEARCH("FALSO",T121)))</formula>
    </cfRule>
  </conditionalFormatting>
  <conditionalFormatting sqref="T120">
    <cfRule type="containsText" dxfId="1315" priority="775" operator="containsText" text="FALSO">
      <formula>NOT(ISERROR(SEARCH("FALSO",T120)))</formula>
    </cfRule>
  </conditionalFormatting>
  <conditionalFormatting sqref="T107">
    <cfRule type="containsText" dxfId="1314" priority="778" operator="containsText" text="FALSO">
      <formula>NOT(ISERROR(SEARCH("FALSO",T107)))</formula>
    </cfRule>
  </conditionalFormatting>
  <conditionalFormatting sqref="T119">
    <cfRule type="containsText" dxfId="1313" priority="774" operator="containsText" text="FALSO">
      <formula>NOT(ISERROR(SEARCH("FALSO",T119)))</formula>
    </cfRule>
  </conditionalFormatting>
  <conditionalFormatting sqref="T118">
    <cfRule type="containsText" dxfId="1312" priority="773" operator="containsText" text="FALSO">
      <formula>NOT(ISERROR(SEARCH("FALSO",T118)))</formula>
    </cfRule>
  </conditionalFormatting>
  <conditionalFormatting sqref="T117">
    <cfRule type="containsText" dxfId="1311" priority="772" operator="containsText" text="FALSO">
      <formula>NOT(ISERROR(SEARCH("FALSO",T117)))</formula>
    </cfRule>
  </conditionalFormatting>
  <conditionalFormatting sqref="T116">
    <cfRule type="containsText" dxfId="1310" priority="771" operator="containsText" text="FALSO">
      <formula>NOT(ISERROR(SEARCH("FALSO",T116)))</formula>
    </cfRule>
  </conditionalFormatting>
  <conditionalFormatting sqref="T115">
    <cfRule type="containsText" dxfId="1309" priority="770" operator="containsText" text="FALSO">
      <formula>NOT(ISERROR(SEARCH("FALSO",T115)))</formula>
    </cfRule>
  </conditionalFormatting>
  <conditionalFormatting sqref="T105">
    <cfRule type="containsText" dxfId="1308" priority="768" operator="containsText" text="FALSO">
      <formula>NOT(ISERROR(SEARCH("FALSO",T105)))</formula>
    </cfRule>
  </conditionalFormatting>
  <conditionalFormatting sqref="T104">
    <cfRule type="containsText" dxfId="1307" priority="767" operator="containsText" text="FALSO">
      <formula>NOT(ISERROR(SEARCH("FALSO",T104)))</formula>
    </cfRule>
  </conditionalFormatting>
  <conditionalFormatting sqref="T103">
    <cfRule type="containsText" dxfId="1306" priority="766" operator="containsText" text="FALSO">
      <formula>NOT(ISERROR(SEARCH("FALSO",T103)))</formula>
    </cfRule>
  </conditionalFormatting>
  <conditionalFormatting sqref="T102">
    <cfRule type="containsText" dxfId="1305" priority="765" operator="containsText" text="FALSO">
      <formula>NOT(ISERROR(SEARCH("FALSO",T102)))</formula>
    </cfRule>
  </conditionalFormatting>
  <conditionalFormatting sqref="T98:T99">
    <cfRule type="containsText" dxfId="1304" priority="762" operator="containsText" text="FALSO">
      <formula>NOT(ISERROR(SEARCH("FALSO",T98)))</formula>
    </cfRule>
  </conditionalFormatting>
  <conditionalFormatting sqref="T97">
    <cfRule type="containsText" dxfId="1303" priority="761" operator="containsText" text="FALSO">
      <formula>NOT(ISERROR(SEARCH("FALSO",T97)))</formula>
    </cfRule>
  </conditionalFormatting>
  <conditionalFormatting sqref="T87">
    <cfRule type="containsText" dxfId="1302" priority="753" operator="containsText" text="FALSO">
      <formula>NOT(ISERROR(SEARCH("FALSO",T87)))</formula>
    </cfRule>
  </conditionalFormatting>
  <conditionalFormatting sqref="T83">
    <cfRule type="containsText" dxfId="1301" priority="749" operator="containsText" text="FALSO">
      <formula>NOT(ISERROR(SEARCH("FALSO",T83)))</formula>
    </cfRule>
  </conditionalFormatting>
  <conditionalFormatting sqref="T91">
    <cfRule type="containsText" dxfId="1300" priority="757" operator="containsText" text="FALSO">
      <formula>NOT(ISERROR(SEARCH("FALSO",T91)))</formula>
    </cfRule>
  </conditionalFormatting>
  <conditionalFormatting sqref="T88">
    <cfRule type="containsText" dxfId="1299" priority="754" operator="containsText" text="FALSO">
      <formula>NOT(ISERROR(SEARCH("FALSO",T88)))</formula>
    </cfRule>
  </conditionalFormatting>
  <conditionalFormatting sqref="T79">
    <cfRule type="containsText" dxfId="1298" priority="744" operator="containsText" text="FALSO">
      <formula>NOT(ISERROR(SEARCH("FALSO",T79)))</formula>
    </cfRule>
  </conditionalFormatting>
  <conditionalFormatting sqref="T75">
    <cfRule type="containsText" dxfId="1297" priority="742" operator="containsText" text="FALSO">
      <formula>NOT(ISERROR(SEARCH("FALSO",T75)))</formula>
    </cfRule>
  </conditionalFormatting>
  <conditionalFormatting sqref="T62">
    <cfRule type="containsText" dxfId="1296" priority="729" operator="containsText" text="FALSO">
      <formula>NOT(ISERROR(SEARCH("FALSO",T62)))</formula>
    </cfRule>
  </conditionalFormatting>
  <conditionalFormatting sqref="T63">
    <cfRule type="containsText" dxfId="1295" priority="730" operator="containsText" text="FALSO">
      <formula>NOT(ISERROR(SEARCH("FALSO",T63)))</formula>
    </cfRule>
  </conditionalFormatting>
  <conditionalFormatting sqref="T85">
    <cfRule type="containsText" dxfId="1294" priority="751" operator="containsText" text="FALSO">
      <formula>NOT(ISERROR(SEARCH("FALSO",T85)))</formula>
    </cfRule>
  </conditionalFormatting>
  <conditionalFormatting sqref="T73">
    <cfRule type="containsText" dxfId="1293" priority="740" operator="containsText" text="FALSO">
      <formula>NOT(ISERROR(SEARCH("FALSO",T73)))</formula>
    </cfRule>
  </conditionalFormatting>
  <conditionalFormatting sqref="T72">
    <cfRule type="containsText" dxfId="1292" priority="739" operator="containsText" text="FALSO">
      <formula>NOT(ISERROR(SEARCH("FALSO",T72)))</formula>
    </cfRule>
  </conditionalFormatting>
  <conditionalFormatting sqref="T67">
    <cfRule type="containsText" dxfId="1291" priority="734" operator="containsText" text="FALSO">
      <formula>NOT(ISERROR(SEARCH("FALSO",T67)))</formula>
    </cfRule>
  </conditionalFormatting>
  <conditionalFormatting sqref="T65">
    <cfRule type="containsText" dxfId="1290" priority="732" operator="containsText" text="FALSO">
      <formula>NOT(ISERROR(SEARCH("FALSO",T65)))</formula>
    </cfRule>
  </conditionalFormatting>
  <conditionalFormatting sqref="T61">
    <cfRule type="containsText" dxfId="1289" priority="728" operator="containsText" text="FALSO">
      <formula>NOT(ISERROR(SEARCH("FALSO",T61)))</formula>
    </cfRule>
  </conditionalFormatting>
  <conditionalFormatting sqref="T59">
    <cfRule type="containsText" dxfId="1288" priority="727" operator="containsText" text="FALSO">
      <formula>NOT(ISERROR(SEARCH("FALSO",T59)))</formula>
    </cfRule>
  </conditionalFormatting>
  <conditionalFormatting sqref="T56">
    <cfRule type="containsText" dxfId="1287" priority="724" operator="containsText" text="FALSO">
      <formula>NOT(ISERROR(SEARCH("FALSO",T56)))</formula>
    </cfRule>
  </conditionalFormatting>
  <conditionalFormatting sqref="T54">
    <cfRule type="containsText" dxfId="1286" priority="720" operator="containsText" text="FALSO">
      <formula>NOT(ISERROR(SEARCH("FALSO",T54)))</formula>
    </cfRule>
  </conditionalFormatting>
  <conditionalFormatting sqref="T50">
    <cfRule type="containsText" dxfId="1285" priority="719" operator="containsText" text="FALSO">
      <formula>NOT(ISERROR(SEARCH("FALSO",T50)))</formula>
    </cfRule>
  </conditionalFormatting>
  <conditionalFormatting sqref="T49">
    <cfRule type="containsText" dxfId="1284" priority="718" operator="containsText" text="FALSO">
      <formula>NOT(ISERROR(SEARCH("FALSO",T49)))</formula>
    </cfRule>
  </conditionalFormatting>
  <conditionalFormatting sqref="T68">
    <cfRule type="containsText" dxfId="1283" priority="735" operator="containsText" text="FALSO">
      <formula>NOT(ISERROR(SEARCH("FALSO",T68)))</formula>
    </cfRule>
  </conditionalFormatting>
  <conditionalFormatting sqref="T71">
    <cfRule type="containsText" dxfId="1282" priority="738" operator="containsText" text="FALSO">
      <formula>NOT(ISERROR(SEARCH("FALSO",T71)))</formula>
    </cfRule>
  </conditionalFormatting>
  <conditionalFormatting sqref="T70">
    <cfRule type="containsText" dxfId="1281" priority="737" operator="containsText" text="FALSO">
      <formula>NOT(ISERROR(SEARCH("FALSO",T70)))</formula>
    </cfRule>
  </conditionalFormatting>
  <conditionalFormatting sqref="T69">
    <cfRule type="containsText" dxfId="1280" priority="736" operator="containsText" text="FALSO">
      <formula>NOT(ISERROR(SEARCH("FALSO",T69)))</formula>
    </cfRule>
  </conditionalFormatting>
  <conditionalFormatting sqref="T86">
    <cfRule type="containsText" dxfId="1279" priority="752" operator="containsText" text="FALSO">
      <formula>NOT(ISERROR(SEARCH("FALSO",T86)))</formula>
    </cfRule>
  </conditionalFormatting>
  <conditionalFormatting sqref="T95:T96">
    <cfRule type="containsText" dxfId="1278" priority="760" operator="containsText" text="FALSO">
      <formula>NOT(ISERROR(SEARCH("FALSO",T95)))</formula>
    </cfRule>
  </conditionalFormatting>
  <conditionalFormatting sqref="T93:T94">
    <cfRule type="containsText" dxfId="1277" priority="759" operator="containsText" text="FALSO">
      <formula>NOT(ISERROR(SEARCH("FALSO",T93)))</formula>
    </cfRule>
  </conditionalFormatting>
  <conditionalFormatting sqref="T92">
    <cfRule type="containsText" dxfId="1276" priority="758" operator="containsText" text="FALSO">
      <formula>NOT(ISERROR(SEARCH("FALSO",T92)))</formula>
    </cfRule>
  </conditionalFormatting>
  <conditionalFormatting sqref="T90">
    <cfRule type="containsText" dxfId="1275" priority="756" operator="containsText" text="FALSO">
      <formula>NOT(ISERROR(SEARCH("FALSO",T90)))</formula>
    </cfRule>
  </conditionalFormatting>
  <conditionalFormatting sqref="T78">
    <cfRule type="containsText" dxfId="1274" priority="743" operator="containsText" text="FALSO">
      <formula>NOT(ISERROR(SEARCH("FALSO",T78)))</formula>
    </cfRule>
  </conditionalFormatting>
  <conditionalFormatting sqref="T66">
    <cfRule type="containsText" dxfId="1273" priority="733" operator="containsText" text="FALSO">
      <formula>NOT(ISERROR(SEARCH("FALSO",T66)))</formula>
    </cfRule>
  </conditionalFormatting>
  <conditionalFormatting sqref="T84">
    <cfRule type="containsText" dxfId="1272" priority="750" operator="containsText" text="FALSO">
      <formula>NOT(ISERROR(SEARCH("FALSO",T84)))</formula>
    </cfRule>
  </conditionalFormatting>
  <conditionalFormatting sqref="T82">
    <cfRule type="containsText" dxfId="1271" priority="748" operator="containsText" text="FALSO">
      <formula>NOT(ISERROR(SEARCH("FALSO",T82)))</formula>
    </cfRule>
  </conditionalFormatting>
  <conditionalFormatting sqref="T81">
    <cfRule type="containsText" dxfId="1270" priority="747" operator="containsText" text="FALSO">
      <formula>NOT(ISERROR(SEARCH("FALSO",T81)))</formula>
    </cfRule>
  </conditionalFormatting>
  <conditionalFormatting sqref="T89">
    <cfRule type="containsText" dxfId="1269" priority="755" operator="containsText" text="FALSO">
      <formula>NOT(ISERROR(SEARCH("FALSO",T89)))</formula>
    </cfRule>
  </conditionalFormatting>
  <conditionalFormatting sqref="T80">
    <cfRule type="containsText" dxfId="1268" priority="746" operator="containsText" text="FALSO">
      <formula>NOT(ISERROR(SEARCH("FALSO",T80)))</formula>
    </cfRule>
  </conditionalFormatting>
  <conditionalFormatting sqref="T77">
    <cfRule type="containsText" dxfId="1267" priority="745" operator="containsText" text="FALSO">
      <formula>NOT(ISERROR(SEARCH("FALSO",T77)))</formula>
    </cfRule>
  </conditionalFormatting>
  <conditionalFormatting sqref="T74">
    <cfRule type="containsText" dxfId="1266" priority="741" operator="containsText" text="FALSO">
      <formula>NOT(ISERROR(SEARCH("FALSO",T74)))</formula>
    </cfRule>
  </conditionalFormatting>
  <conditionalFormatting sqref="T64">
    <cfRule type="containsText" dxfId="1265" priority="731" operator="containsText" text="FALSO">
      <formula>NOT(ISERROR(SEARCH("FALSO",T64)))</formula>
    </cfRule>
  </conditionalFormatting>
  <conditionalFormatting sqref="T47">
    <cfRule type="containsText" dxfId="1264" priority="716" operator="containsText" text="FALSO">
      <formula>NOT(ISERROR(SEARCH("FALSO",T47)))</formula>
    </cfRule>
  </conditionalFormatting>
  <conditionalFormatting sqref="T46">
    <cfRule type="containsText" dxfId="1263" priority="715" operator="containsText" text="FALSO">
      <formula>NOT(ISERROR(SEARCH("FALSO",T46)))</formula>
    </cfRule>
  </conditionalFormatting>
  <conditionalFormatting sqref="T58">
    <cfRule type="containsText" dxfId="1262" priority="726" operator="containsText" text="FALSO">
      <formula>NOT(ISERROR(SEARCH("FALSO",T58)))</formula>
    </cfRule>
  </conditionalFormatting>
  <conditionalFormatting sqref="T48">
    <cfRule type="containsText" dxfId="1261" priority="717" operator="containsText" text="FALSO">
      <formula>NOT(ISERROR(SEARCH("FALSO",T48)))</formula>
    </cfRule>
  </conditionalFormatting>
  <conditionalFormatting sqref="T57">
    <cfRule type="containsText" dxfId="1260" priority="725" operator="containsText" text="FALSO">
      <formula>NOT(ISERROR(SEARCH("FALSO",T57)))</formula>
    </cfRule>
  </conditionalFormatting>
  <conditionalFormatting sqref="T55">
    <cfRule type="containsText" dxfId="1259" priority="723" operator="containsText" text="FALSO">
      <formula>NOT(ISERROR(SEARCH("FALSO",T55)))</formula>
    </cfRule>
  </conditionalFormatting>
  <conditionalFormatting sqref="T52">
    <cfRule type="containsText" dxfId="1258" priority="722" operator="containsText" text="FALSO">
      <formula>NOT(ISERROR(SEARCH("FALSO",T52)))</formula>
    </cfRule>
  </conditionalFormatting>
  <conditionalFormatting sqref="T53">
    <cfRule type="containsText" dxfId="1257" priority="721" operator="containsText" text="FALSO">
      <formula>NOT(ISERROR(SEARCH("FALSO",T53)))</formula>
    </cfRule>
  </conditionalFormatting>
  <conditionalFormatting sqref="T45">
    <cfRule type="containsText" dxfId="1256" priority="714" operator="containsText" text="FALSO">
      <formula>NOT(ISERROR(SEARCH("FALSO",T45)))</formula>
    </cfRule>
  </conditionalFormatting>
  <conditionalFormatting sqref="T44">
    <cfRule type="containsText" dxfId="1255" priority="713" operator="containsText" text="FALSO">
      <formula>NOT(ISERROR(SEARCH("FALSO",T44)))</formula>
    </cfRule>
  </conditionalFormatting>
  <conditionalFormatting sqref="T43">
    <cfRule type="containsText" dxfId="1254" priority="712" operator="containsText" text="FALSO">
      <formula>NOT(ISERROR(SEARCH("FALSO",T43)))</formula>
    </cfRule>
  </conditionalFormatting>
  <conditionalFormatting sqref="T41">
    <cfRule type="containsText" dxfId="1253" priority="710" operator="containsText" text="FALSO">
      <formula>NOT(ISERROR(SEARCH("FALSO",T41)))</formula>
    </cfRule>
  </conditionalFormatting>
  <conditionalFormatting sqref="T40">
    <cfRule type="containsText" dxfId="1252" priority="711" operator="containsText" text="FALSO">
      <formula>NOT(ISERROR(SEARCH("FALSO",T40)))</formula>
    </cfRule>
  </conditionalFormatting>
  <conditionalFormatting sqref="T42">
    <cfRule type="containsText" dxfId="1251" priority="709" operator="containsText" text="FALSO">
      <formula>NOT(ISERROR(SEARCH("FALSO",T42)))</formula>
    </cfRule>
  </conditionalFormatting>
  <conditionalFormatting sqref="V70">
    <cfRule type="containsText" dxfId="1250" priority="634" operator="containsText" text="FALSO">
      <formula>NOT(ISERROR(SEARCH("FALSO",V70)))</formula>
    </cfRule>
  </conditionalFormatting>
  <conditionalFormatting sqref="V71">
    <cfRule type="containsText" dxfId="1249" priority="635" operator="containsText" text="FALSO">
      <formula>NOT(ISERROR(SEARCH("FALSO",V71)))</formula>
    </cfRule>
  </conditionalFormatting>
  <conditionalFormatting sqref="V69">
    <cfRule type="containsText" dxfId="1248" priority="633" operator="containsText" text="FALSO">
      <formula>NOT(ISERROR(SEARCH("FALSO",V69)))</formula>
    </cfRule>
  </conditionalFormatting>
  <conditionalFormatting sqref="V68">
    <cfRule type="containsText" dxfId="1247" priority="632" operator="containsText" text="FALSO">
      <formula>NOT(ISERROR(SEARCH("FALSO",V68)))</formula>
    </cfRule>
  </conditionalFormatting>
  <conditionalFormatting sqref="V78">
    <cfRule type="containsText" dxfId="1246" priority="640" operator="containsText" text="FALSO">
      <formula>NOT(ISERROR(SEARCH("FALSO",V78)))</formula>
    </cfRule>
  </conditionalFormatting>
  <conditionalFormatting sqref="V75">
    <cfRule type="containsText" dxfId="1245" priority="639" operator="containsText" text="FALSO">
      <formula>NOT(ISERROR(SEARCH("FALSO",V75)))</formula>
    </cfRule>
  </conditionalFormatting>
  <conditionalFormatting sqref="V74">
    <cfRule type="containsText" dxfId="1244" priority="638" operator="containsText" text="FALSO">
      <formula>NOT(ISERROR(SEARCH("FALSO",V74)))</formula>
    </cfRule>
  </conditionalFormatting>
  <conditionalFormatting sqref="V73">
    <cfRule type="containsText" dxfId="1243" priority="637" operator="containsText" text="FALSO">
      <formula>NOT(ISERROR(SEARCH("FALSO",V73)))</formula>
    </cfRule>
  </conditionalFormatting>
  <conditionalFormatting sqref="T36">
    <cfRule type="containsText" dxfId="1242" priority="707" operator="containsText" text="FALSO">
      <formula>NOT(ISERROR(SEARCH("FALSO",T36)))</formula>
    </cfRule>
  </conditionalFormatting>
  <conditionalFormatting sqref="T37">
    <cfRule type="containsText" dxfId="1241" priority="706" operator="containsText" text="FALSO">
      <formula>NOT(ISERROR(SEARCH("FALSO",T37)))</formula>
    </cfRule>
  </conditionalFormatting>
  <conditionalFormatting sqref="T38">
    <cfRule type="containsText" dxfId="1240" priority="705" operator="containsText" text="FALSO">
      <formula>NOT(ISERROR(SEARCH("FALSO",T38)))</formula>
    </cfRule>
  </conditionalFormatting>
  <conditionalFormatting sqref="T39">
    <cfRule type="containsText" dxfId="1239" priority="708" operator="containsText" text="FALSO">
      <formula>NOT(ISERROR(SEARCH("FALSO",T39)))</formula>
    </cfRule>
  </conditionalFormatting>
  <conditionalFormatting sqref="T35">
    <cfRule type="containsText" dxfId="1238" priority="704" operator="containsText" text="FALSO">
      <formula>NOT(ISERROR(SEARCH("FALSO",T35)))</formula>
    </cfRule>
  </conditionalFormatting>
  <conditionalFormatting sqref="T34">
    <cfRule type="containsText" dxfId="1237" priority="703" operator="containsText" text="FALSO">
      <formula>NOT(ISERROR(SEARCH("FALSO",T34)))</formula>
    </cfRule>
  </conditionalFormatting>
  <conditionalFormatting sqref="V77">
    <cfRule type="containsText" dxfId="1236" priority="642" operator="containsText" text="FALSO">
      <formula>NOT(ISERROR(SEARCH("FALSO",V77)))</formula>
    </cfRule>
  </conditionalFormatting>
  <conditionalFormatting sqref="V79">
    <cfRule type="containsText" dxfId="1235" priority="641" operator="containsText" text="FALSO">
      <formula>NOT(ISERROR(SEARCH("FALSO",V79)))</formula>
    </cfRule>
  </conditionalFormatting>
  <conditionalFormatting sqref="V72">
    <cfRule type="containsText" dxfId="1234" priority="636" operator="containsText" text="FALSO">
      <formula>NOT(ISERROR(SEARCH("FALSO",V72)))</formula>
    </cfRule>
  </conditionalFormatting>
  <conditionalFormatting sqref="V67">
    <cfRule type="containsText" dxfId="1233" priority="631" operator="containsText" text="FALSO">
      <formula>NOT(ISERROR(SEARCH("FALSO",V67)))</formula>
    </cfRule>
  </conditionalFormatting>
  <conditionalFormatting sqref="V129">
    <cfRule type="containsText" dxfId="1232" priority="690" operator="containsText" text="FALSO">
      <formula>NOT(ISERROR(SEARCH("FALSO",V129)))</formula>
    </cfRule>
  </conditionalFormatting>
  <conditionalFormatting sqref="V128">
    <cfRule type="containsText" dxfId="1231" priority="689" operator="containsText" text="FALSO">
      <formula>NOT(ISERROR(SEARCH("FALSO",V128)))</formula>
    </cfRule>
  </conditionalFormatting>
  <conditionalFormatting sqref="V127">
    <cfRule type="containsText" dxfId="1230" priority="688" operator="containsText" text="FALSO">
      <formula>NOT(ISERROR(SEARCH("FALSO",V127)))</formula>
    </cfRule>
  </conditionalFormatting>
  <conditionalFormatting sqref="V126">
    <cfRule type="containsText" dxfId="1229" priority="687" operator="containsText" text="FALSO">
      <formula>NOT(ISERROR(SEARCH("FALSO",V126)))</formula>
    </cfRule>
  </conditionalFormatting>
  <conditionalFormatting sqref="V101">
    <cfRule type="containsText" dxfId="1228" priority="661" operator="containsText" text="FALSO">
      <formula>NOT(ISERROR(SEARCH("FALSO",V101)))</formula>
    </cfRule>
  </conditionalFormatting>
  <conditionalFormatting sqref="V87">
    <cfRule type="containsText" dxfId="1227" priority="650" operator="containsText" text="FALSO">
      <formula>NOT(ISERROR(SEARCH("FALSO",V87)))</formula>
    </cfRule>
  </conditionalFormatting>
  <conditionalFormatting sqref="V83">
    <cfRule type="containsText" dxfId="1226" priority="646" operator="containsText" text="FALSO">
      <formula>NOT(ISERROR(SEARCH("FALSO",V83)))</formula>
    </cfRule>
  </conditionalFormatting>
  <conditionalFormatting sqref="V125">
    <cfRule type="containsText" dxfId="1225" priority="685" operator="containsText" text="FALSO">
      <formula>NOT(ISERROR(SEARCH("FALSO",V125)))</formula>
    </cfRule>
  </conditionalFormatting>
  <conditionalFormatting sqref="V91">
    <cfRule type="containsText" dxfId="1224" priority="654" operator="containsText" text="FALSO">
      <formula>NOT(ISERROR(SEARCH("FALSO",V91)))</formula>
    </cfRule>
  </conditionalFormatting>
  <conditionalFormatting sqref="V102">
    <cfRule type="containsText" dxfId="1223" priority="662" operator="containsText" text="FALSO">
      <formula>NOT(ISERROR(SEARCH("FALSO",V102)))</formula>
    </cfRule>
  </conditionalFormatting>
  <conditionalFormatting sqref="V113">
    <cfRule type="containsText" dxfId="1222" priority="681" operator="containsText" text="FALSO">
      <formula>NOT(ISERROR(SEARCH("FALSO",V113)))</formula>
    </cfRule>
  </conditionalFormatting>
  <conditionalFormatting sqref="V88">
    <cfRule type="containsText" dxfId="1221" priority="651" operator="containsText" text="FALSO">
      <formula>NOT(ISERROR(SEARCH("FALSO",V88)))</formula>
    </cfRule>
  </conditionalFormatting>
  <conditionalFormatting sqref="V118">
    <cfRule type="containsText" dxfId="1220" priority="670" operator="containsText" text="FALSO">
      <formula>NOT(ISERROR(SEARCH("FALSO",V118)))</formula>
    </cfRule>
  </conditionalFormatting>
  <conditionalFormatting sqref="V120">
    <cfRule type="containsText" dxfId="1219" priority="672" operator="containsText" text="FALSO">
      <formula>NOT(ISERROR(SEARCH("FALSO",V120)))</formula>
    </cfRule>
  </conditionalFormatting>
  <conditionalFormatting sqref="V98:V99">
    <cfRule type="containsText" dxfId="1218" priority="659" operator="containsText" text="FALSO">
      <formula>NOT(ISERROR(SEARCH("FALSO",V98)))</formula>
    </cfRule>
  </conditionalFormatting>
  <conditionalFormatting sqref="V62">
    <cfRule type="containsText" dxfId="1217" priority="626" operator="containsText" text="FALSO">
      <formula>NOT(ISERROR(SEARCH("FALSO",V62)))</formula>
    </cfRule>
  </conditionalFormatting>
  <conditionalFormatting sqref="V63">
    <cfRule type="containsText" dxfId="1216" priority="627" operator="containsText" text="FALSO">
      <formula>NOT(ISERROR(SEARCH("FALSO",V63)))</formula>
    </cfRule>
  </conditionalFormatting>
  <conditionalFormatting sqref="V121">
    <cfRule type="containsText" dxfId="1215" priority="673" operator="containsText" text="FALSO">
      <formula>NOT(ISERROR(SEARCH("FALSO",V121)))</formula>
    </cfRule>
  </conditionalFormatting>
  <conditionalFormatting sqref="V85">
    <cfRule type="containsText" dxfId="1214" priority="648" operator="containsText" text="FALSO">
      <formula>NOT(ISERROR(SEARCH("FALSO",V85)))</formula>
    </cfRule>
  </conditionalFormatting>
  <conditionalFormatting sqref="V108">
    <cfRule type="containsText" dxfId="1213" priority="676" operator="containsText" text="FALSO">
      <formula>NOT(ISERROR(SEARCH("FALSO",V108)))</formula>
    </cfRule>
  </conditionalFormatting>
  <conditionalFormatting sqref="V106">
    <cfRule type="containsText" dxfId="1212" priority="674" operator="containsText" text="FALSO">
      <formula>NOT(ISERROR(SEARCH("FALSO",V106)))</formula>
    </cfRule>
  </conditionalFormatting>
  <conditionalFormatting sqref="V65">
    <cfRule type="containsText" dxfId="1211" priority="629" operator="containsText" text="FALSO">
      <formula>NOT(ISERROR(SEARCH("FALSO",V65)))</formula>
    </cfRule>
  </conditionalFormatting>
  <conditionalFormatting sqref="V61">
    <cfRule type="containsText" dxfId="1210" priority="625" operator="containsText" text="FALSO">
      <formula>NOT(ISERROR(SEARCH("FALSO",V61)))</formula>
    </cfRule>
  </conditionalFormatting>
  <conditionalFormatting sqref="V59">
    <cfRule type="containsText" dxfId="1209" priority="624" operator="containsText" text="FALSO">
      <formula>NOT(ISERROR(SEARCH("FALSO",V59)))</formula>
    </cfRule>
  </conditionalFormatting>
  <conditionalFormatting sqref="V56">
    <cfRule type="containsText" dxfId="1208" priority="621" operator="containsText" text="FALSO">
      <formula>NOT(ISERROR(SEARCH("FALSO",V56)))</formula>
    </cfRule>
  </conditionalFormatting>
  <conditionalFormatting sqref="V54">
    <cfRule type="containsText" dxfId="1207" priority="617" operator="containsText" text="FALSO">
      <formula>NOT(ISERROR(SEARCH("FALSO",V54)))</formula>
    </cfRule>
  </conditionalFormatting>
  <conditionalFormatting sqref="V50">
    <cfRule type="containsText" dxfId="1206" priority="616" operator="containsText" text="FALSO">
      <formula>NOT(ISERROR(SEARCH("FALSO",V50)))</formula>
    </cfRule>
  </conditionalFormatting>
  <conditionalFormatting sqref="V49">
    <cfRule type="containsText" dxfId="1205" priority="615" operator="containsText" text="FALSO">
      <formula>NOT(ISERROR(SEARCH("FALSO",V49)))</formula>
    </cfRule>
  </conditionalFormatting>
  <conditionalFormatting sqref="V105">
    <cfRule type="containsText" dxfId="1204" priority="665" operator="containsText" text="FALSO">
      <formula>NOT(ISERROR(SEARCH("FALSO",V105)))</formula>
    </cfRule>
  </conditionalFormatting>
  <conditionalFormatting sqref="V86">
    <cfRule type="containsText" dxfId="1203" priority="649" operator="containsText" text="FALSO">
      <formula>NOT(ISERROR(SEARCH("FALSO",V86)))</formula>
    </cfRule>
  </conditionalFormatting>
  <conditionalFormatting sqref="V103">
    <cfRule type="containsText" dxfId="1202" priority="663" operator="containsText" text="FALSO">
      <formula>NOT(ISERROR(SEARCH("FALSO",V103)))</formula>
    </cfRule>
  </conditionalFormatting>
  <conditionalFormatting sqref="V100">
    <cfRule type="containsText" dxfId="1201" priority="660" operator="containsText" text="FALSO">
      <formula>NOT(ISERROR(SEARCH("FALSO",V100)))</formula>
    </cfRule>
  </conditionalFormatting>
  <conditionalFormatting sqref="V97">
    <cfRule type="containsText" dxfId="1200" priority="658" operator="containsText" text="FALSO">
      <formula>NOT(ISERROR(SEARCH("FALSO",V97)))</formula>
    </cfRule>
  </conditionalFormatting>
  <conditionalFormatting sqref="V95:V96">
    <cfRule type="containsText" dxfId="1199" priority="657" operator="containsText" text="FALSO">
      <formula>NOT(ISERROR(SEARCH("FALSO",V95)))</formula>
    </cfRule>
  </conditionalFormatting>
  <conditionalFormatting sqref="V93:V94">
    <cfRule type="containsText" dxfId="1198" priority="656" operator="containsText" text="FALSO">
      <formula>NOT(ISERROR(SEARCH("FALSO",V93)))</formula>
    </cfRule>
  </conditionalFormatting>
  <conditionalFormatting sqref="V92">
    <cfRule type="containsText" dxfId="1197" priority="655" operator="containsText" text="FALSO">
      <formula>NOT(ISERROR(SEARCH("FALSO",V92)))</formula>
    </cfRule>
  </conditionalFormatting>
  <conditionalFormatting sqref="V90">
    <cfRule type="containsText" dxfId="1196" priority="653" operator="containsText" text="FALSO">
      <formula>NOT(ISERROR(SEARCH("FALSO",V90)))</formula>
    </cfRule>
  </conditionalFormatting>
  <conditionalFormatting sqref="V66">
    <cfRule type="containsText" dxfId="1195" priority="630" operator="containsText" text="FALSO">
      <formula>NOT(ISERROR(SEARCH("FALSO",V66)))</formula>
    </cfRule>
  </conditionalFormatting>
  <conditionalFormatting sqref="V84">
    <cfRule type="containsText" dxfId="1194" priority="647" operator="containsText" text="FALSO">
      <formula>NOT(ISERROR(SEARCH("FALSO",V84)))</formula>
    </cfRule>
  </conditionalFormatting>
  <conditionalFormatting sqref="V82">
    <cfRule type="containsText" dxfId="1193" priority="645" operator="containsText" text="FALSO">
      <formula>NOT(ISERROR(SEARCH("FALSO",V82)))</formula>
    </cfRule>
  </conditionalFormatting>
  <conditionalFormatting sqref="V81">
    <cfRule type="containsText" dxfId="1192" priority="644" operator="containsText" text="FALSO">
      <formula>NOT(ISERROR(SEARCH("FALSO",V81)))</formula>
    </cfRule>
  </conditionalFormatting>
  <conditionalFormatting sqref="V89">
    <cfRule type="containsText" dxfId="1191" priority="652" operator="containsText" text="FALSO">
      <formula>NOT(ISERROR(SEARCH("FALSO",V89)))</formula>
    </cfRule>
  </conditionalFormatting>
  <conditionalFormatting sqref="V80">
    <cfRule type="containsText" dxfId="1190" priority="643" operator="containsText" text="FALSO">
      <formula>NOT(ISERROR(SEARCH("FALSO",V80)))</formula>
    </cfRule>
  </conditionalFormatting>
  <conditionalFormatting sqref="V64">
    <cfRule type="containsText" dxfId="1189" priority="628" operator="containsText" text="FALSO">
      <formula>NOT(ISERROR(SEARCH("FALSO",V64)))</formula>
    </cfRule>
  </conditionalFormatting>
  <conditionalFormatting sqref="V112">
    <cfRule type="containsText" dxfId="1188" priority="680" operator="containsText" text="FALSO">
      <formula>NOT(ISERROR(SEARCH("FALSO",V112)))</formula>
    </cfRule>
  </conditionalFormatting>
  <conditionalFormatting sqref="V115">
    <cfRule type="containsText" dxfId="1187" priority="667" operator="containsText" text="FALSO">
      <formula>NOT(ISERROR(SEARCH("FALSO",V115)))</formula>
    </cfRule>
  </conditionalFormatting>
  <conditionalFormatting sqref="V122">
    <cfRule type="containsText" dxfId="1186" priority="682" operator="containsText" text="FALSO">
      <formula>NOT(ISERROR(SEARCH("FALSO",V122)))</formula>
    </cfRule>
  </conditionalFormatting>
  <conditionalFormatting sqref="V111">
    <cfRule type="containsText" dxfId="1185" priority="679" operator="containsText" text="FALSO">
      <formula>NOT(ISERROR(SEARCH("FALSO",V111)))</formula>
    </cfRule>
  </conditionalFormatting>
  <conditionalFormatting sqref="V110">
    <cfRule type="containsText" dxfId="1184" priority="678" operator="containsText" text="FALSO">
      <formula>NOT(ISERROR(SEARCH("FALSO",V110)))</formula>
    </cfRule>
  </conditionalFormatting>
  <conditionalFormatting sqref="V109">
    <cfRule type="containsText" dxfId="1183" priority="677" operator="containsText" text="FALSO">
      <formula>NOT(ISERROR(SEARCH("FALSO",V109)))</formula>
    </cfRule>
  </conditionalFormatting>
  <conditionalFormatting sqref="V107">
    <cfRule type="containsText" dxfId="1182" priority="675" operator="containsText" text="FALSO">
      <formula>NOT(ISERROR(SEARCH("FALSO",V107)))</formula>
    </cfRule>
  </conditionalFormatting>
  <conditionalFormatting sqref="V119">
    <cfRule type="containsText" dxfId="1181" priority="671" operator="containsText" text="FALSO">
      <formula>NOT(ISERROR(SEARCH("FALSO",V119)))</formula>
    </cfRule>
  </conditionalFormatting>
  <conditionalFormatting sqref="V117">
    <cfRule type="containsText" dxfId="1180" priority="669" operator="containsText" text="FALSO">
      <formula>NOT(ISERROR(SEARCH("FALSO",V117)))</formula>
    </cfRule>
  </conditionalFormatting>
  <conditionalFormatting sqref="V116">
    <cfRule type="containsText" dxfId="1179" priority="668" operator="containsText" text="FALSO">
      <formula>NOT(ISERROR(SEARCH("FALSO",V116)))</formula>
    </cfRule>
  </conditionalFormatting>
  <conditionalFormatting sqref="V114">
    <cfRule type="containsText" dxfId="1178" priority="666" operator="containsText" text="FALSO">
      <formula>NOT(ISERROR(SEARCH("FALSO",V114)))</formula>
    </cfRule>
  </conditionalFormatting>
  <conditionalFormatting sqref="V104">
    <cfRule type="containsText" dxfId="1177" priority="664" operator="containsText" text="FALSO">
      <formula>NOT(ISERROR(SEARCH("FALSO",V104)))</formula>
    </cfRule>
  </conditionalFormatting>
  <conditionalFormatting sqref="V124">
    <cfRule type="containsText" dxfId="1176" priority="684" operator="containsText" text="FALSO">
      <formula>NOT(ISERROR(SEARCH("FALSO",V124)))</formula>
    </cfRule>
  </conditionalFormatting>
  <conditionalFormatting sqref="V123">
    <cfRule type="containsText" dxfId="1175" priority="683" operator="containsText" text="FALSO">
      <formula>NOT(ISERROR(SEARCH("FALSO",V123)))</formula>
    </cfRule>
  </conditionalFormatting>
  <conditionalFormatting sqref="V47">
    <cfRule type="containsText" dxfId="1174" priority="613" operator="containsText" text="FALSO">
      <formula>NOT(ISERROR(SEARCH("FALSO",V47)))</formula>
    </cfRule>
  </conditionalFormatting>
  <conditionalFormatting sqref="V46">
    <cfRule type="containsText" dxfId="1173" priority="612" operator="containsText" text="FALSO">
      <formula>NOT(ISERROR(SEARCH("FALSO",V46)))</formula>
    </cfRule>
  </conditionalFormatting>
  <conditionalFormatting sqref="V58">
    <cfRule type="containsText" dxfId="1172" priority="623" operator="containsText" text="FALSO">
      <formula>NOT(ISERROR(SEARCH("FALSO",V58)))</formula>
    </cfRule>
  </conditionalFormatting>
  <conditionalFormatting sqref="V48">
    <cfRule type="containsText" dxfId="1171" priority="614" operator="containsText" text="FALSO">
      <formula>NOT(ISERROR(SEARCH("FALSO",V48)))</formula>
    </cfRule>
  </conditionalFormatting>
  <conditionalFormatting sqref="V57">
    <cfRule type="containsText" dxfId="1170" priority="622" operator="containsText" text="FALSO">
      <formula>NOT(ISERROR(SEARCH("FALSO",V57)))</formula>
    </cfRule>
  </conditionalFormatting>
  <conditionalFormatting sqref="V55">
    <cfRule type="containsText" dxfId="1169" priority="620" operator="containsText" text="FALSO">
      <formula>NOT(ISERROR(SEARCH("FALSO",V55)))</formula>
    </cfRule>
  </conditionalFormatting>
  <conditionalFormatting sqref="V52">
    <cfRule type="containsText" dxfId="1168" priority="619" operator="containsText" text="FALSO">
      <formula>NOT(ISERROR(SEARCH("FALSO",V52)))</formula>
    </cfRule>
  </conditionalFormatting>
  <conditionalFormatting sqref="V53">
    <cfRule type="containsText" dxfId="1167" priority="618" operator="containsText" text="FALSO">
      <formula>NOT(ISERROR(SEARCH("FALSO",V53)))</formula>
    </cfRule>
  </conditionalFormatting>
  <conditionalFormatting sqref="V60 V76 V51">
    <cfRule type="containsText" dxfId="1166" priority="686" operator="containsText" text="FALSO">
      <formula>NOT(ISERROR(SEARCH("FALSO",V51)))</formula>
    </cfRule>
  </conditionalFormatting>
  <conditionalFormatting sqref="V45">
    <cfRule type="containsText" dxfId="1165" priority="611" operator="containsText" text="FALSO">
      <formula>NOT(ISERROR(SEARCH("FALSO",V45)))</formula>
    </cfRule>
  </conditionalFormatting>
  <conditionalFormatting sqref="V44">
    <cfRule type="containsText" dxfId="1164" priority="610" operator="containsText" text="FALSO">
      <formula>NOT(ISERROR(SEARCH("FALSO",V44)))</formula>
    </cfRule>
  </conditionalFormatting>
  <conditionalFormatting sqref="V43">
    <cfRule type="containsText" dxfId="1163" priority="609" operator="containsText" text="FALSO">
      <formula>NOT(ISERROR(SEARCH("FALSO",V43)))</formula>
    </cfRule>
  </conditionalFormatting>
  <conditionalFormatting sqref="V41">
    <cfRule type="containsText" dxfId="1162" priority="607" operator="containsText" text="FALSO">
      <formula>NOT(ISERROR(SEARCH("FALSO",V41)))</formula>
    </cfRule>
  </conditionalFormatting>
  <conditionalFormatting sqref="V40">
    <cfRule type="containsText" dxfId="1161" priority="608" operator="containsText" text="FALSO">
      <formula>NOT(ISERROR(SEARCH("FALSO",V40)))</formula>
    </cfRule>
  </conditionalFormatting>
  <conditionalFormatting sqref="V42">
    <cfRule type="containsText" dxfId="1160" priority="606" operator="containsText" text="FALSO">
      <formula>NOT(ISERROR(SEARCH("FALSO",V42)))</formula>
    </cfRule>
  </conditionalFormatting>
  <conditionalFormatting sqref="V36">
    <cfRule type="containsText" dxfId="1159" priority="604" operator="containsText" text="FALSO">
      <formula>NOT(ISERROR(SEARCH("FALSO",V36)))</formula>
    </cfRule>
  </conditionalFormatting>
  <conditionalFormatting sqref="V37">
    <cfRule type="containsText" dxfId="1158" priority="603" operator="containsText" text="FALSO">
      <formula>NOT(ISERROR(SEARCH("FALSO",V37)))</formula>
    </cfRule>
  </conditionalFormatting>
  <conditionalFormatting sqref="V38">
    <cfRule type="containsText" dxfId="1157" priority="602" operator="containsText" text="FALSO">
      <formula>NOT(ISERROR(SEARCH("FALSO",V38)))</formula>
    </cfRule>
  </conditionalFormatting>
  <conditionalFormatting sqref="V39">
    <cfRule type="containsText" dxfId="1156" priority="605" operator="containsText" text="FALSO">
      <formula>NOT(ISERROR(SEARCH("FALSO",V39)))</formula>
    </cfRule>
  </conditionalFormatting>
  <conditionalFormatting sqref="V35">
    <cfRule type="containsText" dxfId="1155" priority="601" operator="containsText" text="FALSO">
      <formula>NOT(ISERROR(SEARCH("FALSO",V35)))</formula>
    </cfRule>
  </conditionalFormatting>
  <conditionalFormatting sqref="V34">
    <cfRule type="containsText" dxfId="1154" priority="600" operator="containsText" text="FALSO">
      <formula>NOT(ISERROR(SEARCH("FALSO",V34)))</formula>
    </cfRule>
  </conditionalFormatting>
  <conditionalFormatting sqref="AN21:AO21">
    <cfRule type="containsText" dxfId="1153" priority="409" operator="containsText" text="FALSO">
      <formula>NOT(ISERROR(SEARCH("FALSO",AN21)))</formula>
    </cfRule>
  </conditionalFormatting>
  <conditionalFormatting sqref="AD21 AG21:AH21">
    <cfRule type="containsText" dxfId="1152" priority="419" operator="containsText" text="FALSO">
      <formula>NOT(ISERROR(SEARCH("FALSO",AD21)))</formula>
    </cfRule>
  </conditionalFormatting>
  <conditionalFormatting sqref="AC21 N21:P21">
    <cfRule type="containsText" dxfId="1151" priority="418" operator="containsText" text="FALSO">
      <formula>NOT(ISERROR(SEARCH("FALSO",N21)))</formula>
    </cfRule>
  </conditionalFormatting>
  <conditionalFormatting sqref="A21:C21 S21 AK21:AM21 G21:K21 U21 W21 AP21 AS21:XFD21">
    <cfRule type="containsText" dxfId="1150" priority="416" operator="containsText" text="FALSO">
      <formula>NOT(ISERROR(SEARCH("FALSO",A21)))</formula>
    </cfRule>
  </conditionalFormatting>
  <conditionalFormatting sqref="D21:E21">
    <cfRule type="containsText" dxfId="1149" priority="415" operator="containsText" text="FALSO">
      <formula>NOT(ISERROR(SEARCH("FALSO",D21)))</formula>
    </cfRule>
  </conditionalFormatting>
  <conditionalFormatting sqref="AA21:AB21">
    <cfRule type="containsText" dxfId="1148" priority="414" operator="containsText" text="FALSO">
      <formula>NOT(ISERROR(SEARCH("FALSO",AA21)))</formula>
    </cfRule>
  </conditionalFormatting>
  <conditionalFormatting sqref="G21">
    <cfRule type="duplicateValues" dxfId="1147" priority="417"/>
  </conditionalFormatting>
  <conditionalFormatting sqref="AJ21">
    <cfRule type="containsText" dxfId="1146" priority="413" operator="containsText" text="FALSO">
      <formula>NOT(ISERROR(SEARCH("FALSO",AJ21)))</formula>
    </cfRule>
  </conditionalFormatting>
  <conditionalFormatting sqref="X21">
    <cfRule type="containsText" dxfId="1145" priority="410" operator="containsText" text="FALSO">
      <formula>NOT(ISERROR(SEARCH("FALSO",X21)))</formula>
    </cfRule>
  </conditionalFormatting>
  <conditionalFormatting sqref="AQ21:AR21">
    <cfRule type="containsText" dxfId="1144" priority="408" operator="containsText" text="FALSO">
      <formula>NOT(ISERROR(SEARCH("FALSO",AQ21)))</formula>
    </cfRule>
  </conditionalFormatting>
  <conditionalFormatting sqref="AN20:AO20">
    <cfRule type="containsText" dxfId="1143" priority="395" operator="containsText" text="FALSO">
      <formula>NOT(ISERROR(SEARCH("FALSO",AN20)))</formula>
    </cfRule>
  </conditionalFormatting>
  <conditionalFormatting sqref="AD20 AG20:AH20">
    <cfRule type="containsText" dxfId="1142" priority="405" operator="containsText" text="FALSO">
      <formula>NOT(ISERROR(SEARCH("FALSO",AD20)))</formula>
    </cfRule>
  </conditionalFormatting>
  <conditionalFormatting sqref="AC20 N20:P20">
    <cfRule type="containsText" dxfId="1141" priority="404" operator="containsText" text="FALSO">
      <formula>NOT(ISERROR(SEARCH("FALSO",N20)))</formula>
    </cfRule>
  </conditionalFormatting>
  <conditionalFormatting sqref="A20:C20 S20 AK20:AM20 G20:K20 U20 W20 AP20 AS20:XFD20">
    <cfRule type="containsText" dxfId="1140" priority="402" operator="containsText" text="FALSO">
      <formula>NOT(ISERROR(SEARCH("FALSO",A20)))</formula>
    </cfRule>
  </conditionalFormatting>
  <conditionalFormatting sqref="D20:E20">
    <cfRule type="containsText" dxfId="1139" priority="401" operator="containsText" text="FALSO">
      <formula>NOT(ISERROR(SEARCH("FALSO",D20)))</formula>
    </cfRule>
  </conditionalFormatting>
  <conditionalFormatting sqref="AA20:AB20">
    <cfRule type="containsText" dxfId="1138" priority="400" operator="containsText" text="FALSO">
      <formula>NOT(ISERROR(SEARCH("FALSO",AA20)))</formula>
    </cfRule>
  </conditionalFormatting>
  <conditionalFormatting sqref="G20">
    <cfRule type="duplicateValues" dxfId="1137" priority="403"/>
  </conditionalFormatting>
  <conditionalFormatting sqref="AJ20">
    <cfRule type="containsText" dxfId="1136" priority="399" operator="containsText" text="FALSO">
      <formula>NOT(ISERROR(SEARCH("FALSO",AJ20)))</formula>
    </cfRule>
  </conditionalFormatting>
  <conditionalFormatting sqref="X20">
    <cfRule type="containsText" dxfId="1135" priority="396" operator="containsText" text="FALSO">
      <formula>NOT(ISERROR(SEARCH("FALSO",X20)))</formula>
    </cfRule>
  </conditionalFormatting>
  <conditionalFormatting sqref="AQ20:AR20">
    <cfRule type="containsText" dxfId="1134" priority="394" operator="containsText" text="FALSO">
      <formula>NOT(ISERROR(SEARCH("FALSO",AQ20)))</formula>
    </cfRule>
  </conditionalFormatting>
  <conditionalFormatting sqref="AN19:AO19">
    <cfRule type="containsText" dxfId="1133" priority="381" operator="containsText" text="FALSO">
      <formula>NOT(ISERROR(SEARCH("FALSO",AN19)))</formula>
    </cfRule>
  </conditionalFormatting>
  <conditionalFormatting sqref="AD19 AG19:AH19">
    <cfRule type="containsText" dxfId="1132" priority="391" operator="containsText" text="FALSO">
      <formula>NOT(ISERROR(SEARCH("FALSO",AD19)))</formula>
    </cfRule>
  </conditionalFormatting>
  <conditionalFormatting sqref="AC19 N19:P19">
    <cfRule type="containsText" dxfId="1131" priority="390" operator="containsText" text="FALSO">
      <formula>NOT(ISERROR(SEARCH("FALSO",N19)))</formula>
    </cfRule>
  </conditionalFormatting>
  <conditionalFormatting sqref="A19:C19 S19 AK19:AM19 G19:K19 U19 W19 AP19 AS19:XFD19">
    <cfRule type="containsText" dxfId="1130" priority="388" operator="containsText" text="FALSO">
      <formula>NOT(ISERROR(SEARCH("FALSO",A19)))</formula>
    </cfRule>
  </conditionalFormatting>
  <conditionalFormatting sqref="D19:E19">
    <cfRule type="containsText" dxfId="1129" priority="387" operator="containsText" text="FALSO">
      <formula>NOT(ISERROR(SEARCH("FALSO",D19)))</formula>
    </cfRule>
  </conditionalFormatting>
  <conditionalFormatting sqref="AA19:AB19">
    <cfRule type="containsText" dxfId="1128" priority="386" operator="containsText" text="FALSO">
      <formula>NOT(ISERROR(SEARCH("FALSO",AA19)))</formula>
    </cfRule>
  </conditionalFormatting>
  <conditionalFormatting sqref="G19">
    <cfRule type="duplicateValues" dxfId="1127" priority="389"/>
  </conditionalFormatting>
  <conditionalFormatting sqref="AJ19">
    <cfRule type="containsText" dxfId="1126" priority="385" operator="containsText" text="FALSO">
      <formula>NOT(ISERROR(SEARCH("FALSO",AJ19)))</formula>
    </cfRule>
  </conditionalFormatting>
  <conditionalFormatting sqref="M19">
    <cfRule type="containsText" dxfId="1125" priority="383" operator="containsText" text="FALSO">
      <formula>NOT(ISERROR(SEARCH("FALSO",M19)))</formula>
    </cfRule>
  </conditionalFormatting>
  <conditionalFormatting sqref="X19">
    <cfRule type="containsText" dxfId="1124" priority="382" operator="containsText" text="FALSO">
      <formula>NOT(ISERROR(SEARCH("FALSO",X19)))</formula>
    </cfRule>
  </conditionalFormatting>
  <conditionalFormatting sqref="AQ19:AR19">
    <cfRule type="containsText" dxfId="1123" priority="380" operator="containsText" text="FALSO">
      <formula>NOT(ISERROR(SEARCH("FALSO",AQ19)))</formula>
    </cfRule>
  </conditionalFormatting>
  <conditionalFormatting sqref="AN18:AO18">
    <cfRule type="containsText" dxfId="1122" priority="367" operator="containsText" text="FALSO">
      <formula>NOT(ISERROR(SEARCH("FALSO",AN18)))</formula>
    </cfRule>
  </conditionalFormatting>
  <conditionalFormatting sqref="AD18 AG18:AH18">
    <cfRule type="containsText" dxfId="1121" priority="377" operator="containsText" text="FALSO">
      <formula>NOT(ISERROR(SEARCH("FALSO",AD18)))</formula>
    </cfRule>
  </conditionalFormatting>
  <conditionalFormatting sqref="AC18 N18:P18">
    <cfRule type="containsText" dxfId="1120" priority="376" operator="containsText" text="FALSO">
      <formula>NOT(ISERROR(SEARCH("FALSO",N18)))</formula>
    </cfRule>
  </conditionalFormatting>
  <conditionalFormatting sqref="A18:C18 S18 AK18:AM18 F18:I18 U18 W18 AP18 AS18:XFD18 K18">
    <cfRule type="containsText" dxfId="1119" priority="374" operator="containsText" text="FALSO">
      <formula>NOT(ISERROR(SEARCH("FALSO",A18)))</formula>
    </cfRule>
  </conditionalFormatting>
  <conditionalFormatting sqref="D18:E18">
    <cfRule type="containsText" dxfId="1118" priority="373" operator="containsText" text="FALSO">
      <formula>NOT(ISERROR(SEARCH("FALSO",D18)))</formula>
    </cfRule>
  </conditionalFormatting>
  <conditionalFormatting sqref="AA18:AB18">
    <cfRule type="containsText" dxfId="1117" priority="372" operator="containsText" text="FALSO">
      <formula>NOT(ISERROR(SEARCH("FALSO",AA18)))</formula>
    </cfRule>
  </conditionalFormatting>
  <conditionalFormatting sqref="G18">
    <cfRule type="duplicateValues" dxfId="1116" priority="375"/>
  </conditionalFormatting>
  <conditionalFormatting sqref="AJ18">
    <cfRule type="containsText" dxfId="1115" priority="371" operator="containsText" text="FALSO">
      <formula>NOT(ISERROR(SEARCH("FALSO",AJ18)))</formula>
    </cfRule>
  </conditionalFormatting>
  <conditionalFormatting sqref="M18">
    <cfRule type="containsText" dxfId="1114" priority="369" operator="containsText" text="FALSO">
      <formula>NOT(ISERROR(SEARCH("FALSO",M18)))</formula>
    </cfRule>
  </conditionalFormatting>
  <conditionalFormatting sqref="X18">
    <cfRule type="containsText" dxfId="1113" priority="368" operator="containsText" text="FALSO">
      <formula>NOT(ISERROR(SEARCH("FALSO",X18)))</formula>
    </cfRule>
  </conditionalFormatting>
  <conditionalFormatting sqref="AQ18:AR18">
    <cfRule type="containsText" dxfId="1112" priority="366" operator="containsText" text="FALSO">
      <formula>NOT(ISERROR(SEARCH("FALSO",AQ18)))</formula>
    </cfRule>
  </conditionalFormatting>
  <conditionalFormatting sqref="AN17:AO17">
    <cfRule type="containsText" dxfId="1111" priority="353" operator="containsText" text="FALSO">
      <formula>NOT(ISERROR(SEARCH("FALSO",AN17)))</formula>
    </cfRule>
  </conditionalFormatting>
  <conditionalFormatting sqref="AE17:AF17">
    <cfRule type="containsText" dxfId="1110" priority="356" operator="containsText" text="FALSO">
      <formula>NOT(ISERROR(SEARCH("FALSO",AE17)))</formula>
    </cfRule>
  </conditionalFormatting>
  <conditionalFormatting sqref="AD17 AG17:AH17">
    <cfRule type="containsText" dxfId="1109" priority="363" operator="containsText" text="FALSO">
      <formula>NOT(ISERROR(SEARCH("FALSO",AD17)))</formula>
    </cfRule>
  </conditionalFormatting>
  <conditionalFormatting sqref="AC17 N17:P17">
    <cfRule type="containsText" dxfId="1108" priority="362" operator="containsText" text="FALSO">
      <formula>NOT(ISERROR(SEARCH("FALSO",N17)))</formula>
    </cfRule>
  </conditionalFormatting>
  <conditionalFormatting sqref="A17:C17 R17:S17 AK17:AM17 F17:I17 Y17:Z17 U17 W17 AP17 AS17:XFD17 K17">
    <cfRule type="containsText" dxfId="1107" priority="360" operator="containsText" text="FALSO">
      <formula>NOT(ISERROR(SEARCH("FALSO",A17)))</formula>
    </cfRule>
  </conditionalFormatting>
  <conditionalFormatting sqref="D17:E17">
    <cfRule type="containsText" dxfId="1106" priority="359" operator="containsText" text="FALSO">
      <formula>NOT(ISERROR(SEARCH("FALSO",D17)))</formula>
    </cfRule>
  </conditionalFormatting>
  <conditionalFormatting sqref="AA17:AB17">
    <cfRule type="containsText" dxfId="1105" priority="358" operator="containsText" text="FALSO">
      <formula>NOT(ISERROR(SEARCH("FALSO",AA17)))</formula>
    </cfRule>
  </conditionalFormatting>
  <conditionalFormatting sqref="G17">
    <cfRule type="duplicateValues" dxfId="1104" priority="361"/>
  </conditionalFormatting>
  <conditionalFormatting sqref="AJ17">
    <cfRule type="containsText" dxfId="1103" priority="357" operator="containsText" text="FALSO">
      <formula>NOT(ISERROR(SEARCH("FALSO",AJ17)))</formula>
    </cfRule>
  </conditionalFormatting>
  <conditionalFormatting sqref="M17">
    <cfRule type="containsText" dxfId="1102" priority="355" operator="containsText" text="FALSO">
      <formula>NOT(ISERROR(SEARCH("FALSO",M17)))</formula>
    </cfRule>
  </conditionalFormatting>
  <conditionalFormatting sqref="X17">
    <cfRule type="containsText" dxfId="1101" priority="354" operator="containsText" text="FALSO">
      <formula>NOT(ISERROR(SEARCH("FALSO",X17)))</formula>
    </cfRule>
  </conditionalFormatting>
  <conditionalFormatting sqref="AQ17:AR17">
    <cfRule type="containsText" dxfId="1100" priority="352" operator="containsText" text="FALSO">
      <formula>NOT(ISERROR(SEARCH("FALSO",AQ17)))</formula>
    </cfRule>
  </conditionalFormatting>
  <conditionalFormatting sqref="AN16:AO16">
    <cfRule type="containsText" dxfId="1099" priority="339" operator="containsText" text="FALSO">
      <formula>NOT(ISERROR(SEARCH("FALSO",AN16)))</formula>
    </cfRule>
  </conditionalFormatting>
  <conditionalFormatting sqref="AE16:AF16">
    <cfRule type="containsText" dxfId="1098" priority="342" operator="containsText" text="FALSO">
      <formula>NOT(ISERROR(SEARCH("FALSO",AE16)))</formula>
    </cfRule>
  </conditionalFormatting>
  <conditionalFormatting sqref="AD16 AG16:AH16">
    <cfRule type="containsText" dxfId="1097" priority="349" operator="containsText" text="FALSO">
      <formula>NOT(ISERROR(SEARCH("FALSO",AD16)))</formula>
    </cfRule>
  </conditionalFormatting>
  <conditionalFormatting sqref="AC16 N16:P16">
    <cfRule type="containsText" dxfId="1096" priority="348" operator="containsText" text="FALSO">
      <formula>NOT(ISERROR(SEARCH("FALSO",N16)))</formula>
    </cfRule>
  </conditionalFormatting>
  <conditionalFormatting sqref="A16:C16 R16:S16 AK16:AM16 F16:I16 Y16:Z16 U16 W16 AP16 AS16:XFD16 K16">
    <cfRule type="containsText" dxfId="1095" priority="346" operator="containsText" text="FALSO">
      <formula>NOT(ISERROR(SEARCH("FALSO",A16)))</formula>
    </cfRule>
  </conditionalFormatting>
  <conditionalFormatting sqref="D16:E16">
    <cfRule type="containsText" dxfId="1094" priority="345" operator="containsText" text="FALSO">
      <formula>NOT(ISERROR(SEARCH("FALSO",D16)))</formula>
    </cfRule>
  </conditionalFormatting>
  <conditionalFormatting sqref="AA16:AB16">
    <cfRule type="containsText" dxfId="1093" priority="344" operator="containsText" text="FALSO">
      <formula>NOT(ISERROR(SEARCH("FALSO",AA16)))</formula>
    </cfRule>
  </conditionalFormatting>
  <conditionalFormatting sqref="G16">
    <cfRule type="duplicateValues" dxfId="1092" priority="347"/>
  </conditionalFormatting>
  <conditionalFormatting sqref="AJ16">
    <cfRule type="containsText" dxfId="1091" priority="343" operator="containsText" text="FALSO">
      <formula>NOT(ISERROR(SEARCH("FALSO",AJ16)))</formula>
    </cfRule>
  </conditionalFormatting>
  <conditionalFormatting sqref="M16">
    <cfRule type="containsText" dxfId="1090" priority="341" operator="containsText" text="FALSO">
      <formula>NOT(ISERROR(SEARCH("FALSO",M16)))</formula>
    </cfRule>
  </conditionalFormatting>
  <conditionalFormatting sqref="X16">
    <cfRule type="containsText" dxfId="1089" priority="340" operator="containsText" text="FALSO">
      <formula>NOT(ISERROR(SEARCH("FALSO",X16)))</formula>
    </cfRule>
  </conditionalFormatting>
  <conditionalFormatting sqref="AQ16:AR16">
    <cfRule type="containsText" dxfId="1088" priority="338" operator="containsText" text="FALSO">
      <formula>NOT(ISERROR(SEARCH("FALSO",AQ16)))</formula>
    </cfRule>
  </conditionalFormatting>
  <conditionalFormatting sqref="AN15:AO15">
    <cfRule type="containsText" dxfId="1087" priority="325" operator="containsText" text="FALSO">
      <formula>NOT(ISERROR(SEARCH("FALSO",AN15)))</formula>
    </cfRule>
  </conditionalFormatting>
  <conditionalFormatting sqref="AE15:AF15">
    <cfRule type="containsText" dxfId="1086" priority="328" operator="containsText" text="FALSO">
      <formula>NOT(ISERROR(SEARCH("FALSO",AE15)))</formula>
    </cfRule>
  </conditionalFormatting>
  <conditionalFormatting sqref="AD15 AG15:AH15">
    <cfRule type="containsText" dxfId="1085" priority="335" operator="containsText" text="FALSO">
      <formula>NOT(ISERROR(SEARCH("FALSO",AD15)))</formula>
    </cfRule>
  </conditionalFormatting>
  <conditionalFormatting sqref="AC15 N15:P15">
    <cfRule type="containsText" dxfId="1084" priority="334" operator="containsText" text="FALSO">
      <formula>NOT(ISERROR(SEARCH("FALSO",N15)))</formula>
    </cfRule>
  </conditionalFormatting>
  <conditionalFormatting sqref="A15:C15 R15:S15 AK15:AM15 F15:I15 Y15:Z15 U15 W15 AP15 AS15:XFD15 K15">
    <cfRule type="containsText" dxfId="1083" priority="332" operator="containsText" text="FALSO">
      <formula>NOT(ISERROR(SEARCH("FALSO",A15)))</formula>
    </cfRule>
  </conditionalFormatting>
  <conditionalFormatting sqref="D15:E15">
    <cfRule type="containsText" dxfId="1082" priority="331" operator="containsText" text="FALSO">
      <formula>NOT(ISERROR(SEARCH("FALSO",D15)))</formula>
    </cfRule>
  </conditionalFormatting>
  <conditionalFormatting sqref="AA15:AB15">
    <cfRule type="containsText" dxfId="1081" priority="330" operator="containsText" text="FALSO">
      <formula>NOT(ISERROR(SEARCH("FALSO",AA15)))</formula>
    </cfRule>
  </conditionalFormatting>
  <conditionalFormatting sqref="G15">
    <cfRule type="duplicateValues" dxfId="1080" priority="333"/>
  </conditionalFormatting>
  <conditionalFormatting sqref="AJ15">
    <cfRule type="containsText" dxfId="1079" priority="329" operator="containsText" text="FALSO">
      <formula>NOT(ISERROR(SEARCH("FALSO",AJ15)))</formula>
    </cfRule>
  </conditionalFormatting>
  <conditionalFormatting sqref="M15">
    <cfRule type="containsText" dxfId="1078" priority="327" operator="containsText" text="FALSO">
      <formula>NOT(ISERROR(SEARCH("FALSO",M15)))</formula>
    </cfRule>
  </conditionalFormatting>
  <conditionalFormatting sqref="X15">
    <cfRule type="containsText" dxfId="1077" priority="326" operator="containsText" text="FALSO">
      <formula>NOT(ISERROR(SEARCH("FALSO",X15)))</formula>
    </cfRule>
  </conditionalFormatting>
  <conditionalFormatting sqref="AQ15:AR15">
    <cfRule type="containsText" dxfId="1076" priority="324" operator="containsText" text="FALSO">
      <formula>NOT(ISERROR(SEARCH("FALSO",AQ15)))</formula>
    </cfRule>
  </conditionalFormatting>
  <conditionalFormatting sqref="AC12 N12:P12">
    <cfRule type="containsText" dxfId="1075" priority="292" operator="containsText" text="FALSO">
      <formula>NOT(ISERROR(SEARCH("FALSO",N12)))</formula>
    </cfRule>
  </conditionalFormatting>
  <conditionalFormatting sqref="AN14:AO14">
    <cfRule type="containsText" dxfId="1074" priority="311" operator="containsText" text="FALSO">
      <formula>NOT(ISERROR(SEARCH("FALSO",AN14)))</formula>
    </cfRule>
  </conditionalFormatting>
  <conditionalFormatting sqref="AE14:AF14">
    <cfRule type="containsText" dxfId="1073" priority="314" operator="containsText" text="FALSO">
      <formula>NOT(ISERROR(SEARCH("FALSO",AE14)))</formula>
    </cfRule>
  </conditionalFormatting>
  <conditionalFormatting sqref="AD14 AG14:AH14">
    <cfRule type="containsText" dxfId="1072" priority="321" operator="containsText" text="FALSO">
      <formula>NOT(ISERROR(SEARCH("FALSO",AD14)))</formula>
    </cfRule>
  </conditionalFormatting>
  <conditionalFormatting sqref="AC14 N14:P14">
    <cfRule type="containsText" dxfId="1071" priority="320" operator="containsText" text="FALSO">
      <formula>NOT(ISERROR(SEARCH("FALSO",N14)))</formula>
    </cfRule>
  </conditionalFormatting>
  <conditionalFormatting sqref="A14:C14 R14:S14 AK14:AM14 F14:I14 Y14:Z14 U14 W14 AP14 AS14:XFD14 K14">
    <cfRule type="containsText" dxfId="1070" priority="318" operator="containsText" text="FALSO">
      <formula>NOT(ISERROR(SEARCH("FALSO",A14)))</formula>
    </cfRule>
  </conditionalFormatting>
  <conditionalFormatting sqref="E14">
    <cfRule type="containsText" dxfId="1069" priority="317" operator="containsText" text="FALSO">
      <formula>NOT(ISERROR(SEARCH("FALSO",E14)))</formula>
    </cfRule>
  </conditionalFormatting>
  <conditionalFormatting sqref="AA14:AB14">
    <cfRule type="containsText" dxfId="1068" priority="316" operator="containsText" text="FALSO">
      <formula>NOT(ISERROR(SEARCH("FALSO",AA14)))</formula>
    </cfRule>
  </conditionalFormatting>
  <conditionalFormatting sqref="G14">
    <cfRule type="duplicateValues" dxfId="1067" priority="319"/>
  </conditionalFormatting>
  <conditionalFormatting sqref="AJ14">
    <cfRule type="containsText" dxfId="1066" priority="315" operator="containsText" text="FALSO">
      <formula>NOT(ISERROR(SEARCH("FALSO",AJ14)))</formula>
    </cfRule>
  </conditionalFormatting>
  <conditionalFormatting sqref="M14">
    <cfRule type="containsText" dxfId="1065" priority="313" operator="containsText" text="FALSO">
      <formula>NOT(ISERROR(SEARCH("FALSO",M14)))</formula>
    </cfRule>
  </conditionalFormatting>
  <conditionalFormatting sqref="X14">
    <cfRule type="containsText" dxfId="1064" priority="312" operator="containsText" text="FALSO">
      <formula>NOT(ISERROR(SEARCH("FALSO",X14)))</formula>
    </cfRule>
  </conditionalFormatting>
  <conditionalFormatting sqref="AQ14:AR14">
    <cfRule type="containsText" dxfId="1063" priority="310" operator="containsText" text="FALSO">
      <formula>NOT(ISERROR(SEARCH("FALSO",AQ14)))</formula>
    </cfRule>
  </conditionalFormatting>
  <conditionalFormatting sqref="AC11 N11:P11">
    <cfRule type="containsText" dxfId="1062" priority="278" operator="containsText" text="FALSO">
      <formula>NOT(ISERROR(SEARCH("FALSO",N11)))</formula>
    </cfRule>
  </conditionalFormatting>
  <conditionalFormatting sqref="AN13:AO13">
    <cfRule type="containsText" dxfId="1061" priority="297" operator="containsText" text="FALSO">
      <formula>NOT(ISERROR(SEARCH("FALSO",AN13)))</formula>
    </cfRule>
  </conditionalFormatting>
  <conditionalFormatting sqref="AE13:AF13">
    <cfRule type="containsText" dxfId="1060" priority="300" operator="containsText" text="FALSO">
      <formula>NOT(ISERROR(SEARCH("FALSO",AE13)))</formula>
    </cfRule>
  </conditionalFormatting>
  <conditionalFormatting sqref="AD13 AG13:AH13">
    <cfRule type="containsText" dxfId="1059" priority="307" operator="containsText" text="FALSO">
      <formula>NOT(ISERROR(SEARCH("FALSO",AD13)))</formula>
    </cfRule>
  </conditionalFormatting>
  <conditionalFormatting sqref="AC13 N13:P13">
    <cfRule type="containsText" dxfId="1058" priority="306" operator="containsText" text="FALSO">
      <formula>NOT(ISERROR(SEARCH("FALSO",N13)))</formula>
    </cfRule>
  </conditionalFormatting>
  <conditionalFormatting sqref="A13:C13 R13:S13 AK13:AM13 F13:K13 Y13:Z13 U13 W13 AP13 AS13:XFD13">
    <cfRule type="containsText" dxfId="1057" priority="304" operator="containsText" text="FALSO">
      <formula>NOT(ISERROR(SEARCH("FALSO",A13)))</formula>
    </cfRule>
  </conditionalFormatting>
  <conditionalFormatting sqref="E13">
    <cfRule type="containsText" dxfId="1056" priority="303" operator="containsText" text="FALSO">
      <formula>NOT(ISERROR(SEARCH("FALSO",E13)))</formula>
    </cfRule>
  </conditionalFormatting>
  <conditionalFormatting sqref="AA13:AB13">
    <cfRule type="containsText" dxfId="1055" priority="302" operator="containsText" text="FALSO">
      <formula>NOT(ISERROR(SEARCH("FALSO",AA13)))</formula>
    </cfRule>
  </conditionalFormatting>
  <conditionalFormatting sqref="G13">
    <cfRule type="duplicateValues" dxfId="1054" priority="305"/>
  </conditionalFormatting>
  <conditionalFormatting sqref="AJ13">
    <cfRule type="containsText" dxfId="1053" priority="301" operator="containsText" text="FALSO">
      <formula>NOT(ISERROR(SEARCH("FALSO",AJ13)))</formula>
    </cfRule>
  </conditionalFormatting>
  <conditionalFormatting sqref="M13">
    <cfRule type="containsText" dxfId="1052" priority="299" operator="containsText" text="FALSO">
      <formula>NOT(ISERROR(SEARCH("FALSO",M13)))</formula>
    </cfRule>
  </conditionalFormatting>
  <conditionalFormatting sqref="X13">
    <cfRule type="containsText" dxfId="1051" priority="298" operator="containsText" text="FALSO">
      <formula>NOT(ISERROR(SEARCH("FALSO",X13)))</formula>
    </cfRule>
  </conditionalFormatting>
  <conditionalFormatting sqref="AQ13:AR13">
    <cfRule type="containsText" dxfId="1050" priority="296" operator="containsText" text="FALSO">
      <formula>NOT(ISERROR(SEARCH("FALSO",AQ13)))</formula>
    </cfRule>
  </conditionalFormatting>
  <conditionalFormatting sqref="AC10 N10:P10">
    <cfRule type="containsText" dxfId="1049" priority="264" operator="containsText" text="FALSO">
      <formula>NOT(ISERROR(SEARCH("FALSO",N10)))</formula>
    </cfRule>
  </conditionalFormatting>
  <conditionalFormatting sqref="AN12:AO12">
    <cfRule type="containsText" dxfId="1048" priority="283" operator="containsText" text="FALSO">
      <formula>NOT(ISERROR(SEARCH("FALSO",AN12)))</formula>
    </cfRule>
  </conditionalFormatting>
  <conditionalFormatting sqref="AE12:AF12">
    <cfRule type="containsText" dxfId="1047" priority="286" operator="containsText" text="FALSO">
      <formula>NOT(ISERROR(SEARCH("FALSO",AE12)))</formula>
    </cfRule>
  </conditionalFormatting>
  <conditionalFormatting sqref="AD12 AG12:AH12">
    <cfRule type="containsText" dxfId="1046" priority="293" operator="containsText" text="FALSO">
      <formula>NOT(ISERROR(SEARCH("FALSO",AD12)))</formula>
    </cfRule>
  </conditionalFormatting>
  <conditionalFormatting sqref="A12:C12 R12:S12 AK12:AM12 F12:I12 Y12:Z12 U12 W12 AP12 AS12:XFD12 K12">
    <cfRule type="containsText" dxfId="1045" priority="290" operator="containsText" text="FALSO">
      <formula>NOT(ISERROR(SEARCH("FALSO",A12)))</formula>
    </cfRule>
  </conditionalFormatting>
  <conditionalFormatting sqref="D12:E12">
    <cfRule type="containsText" dxfId="1044" priority="289" operator="containsText" text="FALSO">
      <formula>NOT(ISERROR(SEARCH("FALSO",D12)))</formula>
    </cfRule>
  </conditionalFormatting>
  <conditionalFormatting sqref="AA12:AB12">
    <cfRule type="containsText" dxfId="1043" priority="288" operator="containsText" text="FALSO">
      <formula>NOT(ISERROR(SEARCH("FALSO",AA12)))</formula>
    </cfRule>
  </conditionalFormatting>
  <conditionalFormatting sqref="G12">
    <cfRule type="duplicateValues" dxfId="1042" priority="291"/>
  </conditionalFormatting>
  <conditionalFormatting sqref="AJ12">
    <cfRule type="containsText" dxfId="1041" priority="287" operator="containsText" text="FALSO">
      <formula>NOT(ISERROR(SEARCH("FALSO",AJ12)))</formula>
    </cfRule>
  </conditionalFormatting>
  <conditionalFormatting sqref="M12">
    <cfRule type="containsText" dxfId="1040" priority="285" operator="containsText" text="FALSO">
      <formula>NOT(ISERROR(SEARCH("FALSO",M12)))</formula>
    </cfRule>
  </conditionalFormatting>
  <conditionalFormatting sqref="X12">
    <cfRule type="containsText" dxfId="1039" priority="284" operator="containsText" text="FALSO">
      <formula>NOT(ISERROR(SEARCH("FALSO",X12)))</formula>
    </cfRule>
  </conditionalFormatting>
  <conditionalFormatting sqref="AQ12:AR12">
    <cfRule type="containsText" dxfId="1038" priority="282" operator="containsText" text="FALSO">
      <formula>NOT(ISERROR(SEARCH("FALSO",AQ12)))</formula>
    </cfRule>
  </conditionalFormatting>
  <conditionalFormatting sqref="AC9 N9:P9">
    <cfRule type="containsText" dxfId="1037" priority="250" operator="containsText" text="FALSO">
      <formula>NOT(ISERROR(SEARCH("FALSO",N9)))</formula>
    </cfRule>
  </conditionalFormatting>
  <conditionalFormatting sqref="AN11:AO11">
    <cfRule type="containsText" dxfId="1036" priority="269" operator="containsText" text="FALSO">
      <formula>NOT(ISERROR(SEARCH("FALSO",AN11)))</formula>
    </cfRule>
  </conditionalFormatting>
  <conditionalFormatting sqref="AE11:AF11">
    <cfRule type="containsText" dxfId="1035" priority="272" operator="containsText" text="FALSO">
      <formula>NOT(ISERROR(SEARCH("FALSO",AE11)))</formula>
    </cfRule>
  </conditionalFormatting>
  <conditionalFormatting sqref="AD11 AG11:AH11">
    <cfRule type="containsText" dxfId="1034" priority="279" operator="containsText" text="FALSO">
      <formula>NOT(ISERROR(SEARCH("FALSO",AD11)))</formula>
    </cfRule>
  </conditionalFormatting>
  <conditionalFormatting sqref="A11:C11 R11:S11 AK11:AM11 F11:K11 Y11:Z11 U11 W11 AP11 AS11:XFD11">
    <cfRule type="containsText" dxfId="1033" priority="276" operator="containsText" text="FALSO">
      <formula>NOT(ISERROR(SEARCH("FALSO",A11)))</formula>
    </cfRule>
  </conditionalFormatting>
  <conditionalFormatting sqref="D11:E11">
    <cfRule type="containsText" dxfId="1032" priority="275" operator="containsText" text="FALSO">
      <formula>NOT(ISERROR(SEARCH("FALSO",D11)))</formula>
    </cfRule>
  </conditionalFormatting>
  <conditionalFormatting sqref="AA11:AB11">
    <cfRule type="containsText" dxfId="1031" priority="274" operator="containsText" text="FALSO">
      <formula>NOT(ISERROR(SEARCH("FALSO",AA11)))</formula>
    </cfRule>
  </conditionalFormatting>
  <conditionalFormatting sqref="G11">
    <cfRule type="duplicateValues" dxfId="1030" priority="277"/>
  </conditionalFormatting>
  <conditionalFormatting sqref="AJ11">
    <cfRule type="containsText" dxfId="1029" priority="273" operator="containsText" text="FALSO">
      <formula>NOT(ISERROR(SEARCH("FALSO",AJ11)))</formula>
    </cfRule>
  </conditionalFormatting>
  <conditionalFormatting sqref="M11">
    <cfRule type="containsText" dxfId="1028" priority="271" operator="containsText" text="FALSO">
      <formula>NOT(ISERROR(SEARCH("FALSO",M11)))</formula>
    </cfRule>
  </conditionalFormatting>
  <conditionalFormatting sqref="X11">
    <cfRule type="containsText" dxfId="1027" priority="270" operator="containsText" text="FALSO">
      <formula>NOT(ISERROR(SEARCH("FALSO",X11)))</formula>
    </cfRule>
  </conditionalFormatting>
  <conditionalFormatting sqref="AQ11:AR11">
    <cfRule type="containsText" dxfId="1026" priority="268" operator="containsText" text="FALSO">
      <formula>NOT(ISERROR(SEARCH("FALSO",AQ11)))</formula>
    </cfRule>
  </conditionalFormatting>
  <conditionalFormatting sqref="AC8 N8:P8">
    <cfRule type="containsText" dxfId="1025" priority="236" operator="containsText" text="FALSO">
      <formula>NOT(ISERROR(SEARCH("FALSO",N8)))</formula>
    </cfRule>
  </conditionalFormatting>
  <conditionalFormatting sqref="AN10:AO10">
    <cfRule type="containsText" dxfId="1024" priority="255" operator="containsText" text="FALSO">
      <formula>NOT(ISERROR(SEARCH("FALSO",AN10)))</formula>
    </cfRule>
  </conditionalFormatting>
  <conditionalFormatting sqref="AE10:AF10">
    <cfRule type="containsText" dxfId="1023" priority="258" operator="containsText" text="FALSO">
      <formula>NOT(ISERROR(SEARCH("FALSO",AE10)))</formula>
    </cfRule>
  </conditionalFormatting>
  <conditionalFormatting sqref="AD10 AG10:AH10">
    <cfRule type="containsText" dxfId="1022" priority="265" operator="containsText" text="FALSO">
      <formula>NOT(ISERROR(SEARCH("FALSO",AD10)))</formula>
    </cfRule>
  </conditionalFormatting>
  <conditionalFormatting sqref="A10:C10 R10:S10 AK10:AM10 F10:K10 Y10:Z10 U10 W10 AP10 AS10:XFD10">
    <cfRule type="containsText" dxfId="1021" priority="262" operator="containsText" text="FALSO">
      <formula>NOT(ISERROR(SEARCH("FALSO",A10)))</formula>
    </cfRule>
  </conditionalFormatting>
  <conditionalFormatting sqref="D10:E10">
    <cfRule type="containsText" dxfId="1020" priority="261" operator="containsText" text="FALSO">
      <formula>NOT(ISERROR(SEARCH("FALSO",D10)))</formula>
    </cfRule>
  </conditionalFormatting>
  <conditionalFormatting sqref="AA10:AB10">
    <cfRule type="containsText" dxfId="1019" priority="260" operator="containsText" text="FALSO">
      <formula>NOT(ISERROR(SEARCH("FALSO",AA10)))</formula>
    </cfRule>
  </conditionalFormatting>
  <conditionalFormatting sqref="G10">
    <cfRule type="duplicateValues" dxfId="1018" priority="263"/>
  </conditionalFormatting>
  <conditionalFormatting sqref="AJ10">
    <cfRule type="containsText" dxfId="1017" priority="259" operator="containsText" text="FALSO">
      <formula>NOT(ISERROR(SEARCH("FALSO",AJ10)))</formula>
    </cfRule>
  </conditionalFormatting>
  <conditionalFormatting sqref="X10">
    <cfRule type="containsText" dxfId="1016" priority="256" operator="containsText" text="FALSO">
      <formula>NOT(ISERROR(SEARCH("FALSO",X10)))</formula>
    </cfRule>
  </conditionalFormatting>
  <conditionalFormatting sqref="AQ10:AR10">
    <cfRule type="containsText" dxfId="1015" priority="254" operator="containsText" text="FALSO">
      <formula>NOT(ISERROR(SEARCH("FALSO",AQ10)))</formula>
    </cfRule>
  </conditionalFormatting>
  <conditionalFormatting sqref="AE9:AF9">
    <cfRule type="containsText" dxfId="1014" priority="244" operator="containsText" text="FALSO">
      <formula>NOT(ISERROR(SEARCH("FALSO",AE9)))</formula>
    </cfRule>
  </conditionalFormatting>
  <conditionalFormatting sqref="AN9:AO9">
    <cfRule type="containsText" dxfId="1013" priority="241" operator="containsText" text="FALSO">
      <formula>NOT(ISERROR(SEARCH("FALSO",AN9)))</formula>
    </cfRule>
  </conditionalFormatting>
  <conditionalFormatting sqref="AQ5:AR5">
    <cfRule type="containsText" dxfId="1012" priority="184" operator="containsText" text="FALSO">
      <formula>NOT(ISERROR(SEARCH("FALSO",AQ5)))</formula>
    </cfRule>
  </conditionalFormatting>
  <conditionalFormatting sqref="AD9 AG9:AH9">
    <cfRule type="containsText" dxfId="1011" priority="251" operator="containsText" text="FALSO">
      <formula>NOT(ISERROR(SEARCH("FALSO",AD9)))</formula>
    </cfRule>
  </conditionalFormatting>
  <conditionalFormatting sqref="AA5:AB5">
    <cfRule type="containsText" dxfId="1010" priority="190" operator="containsText" text="FALSO">
      <formula>NOT(ISERROR(SEARCH("FALSO",AA5)))</formula>
    </cfRule>
  </conditionalFormatting>
  <conditionalFormatting sqref="A9:C9 R9:S9 AK9:AM9 F9:K9 Y9:Z9 U9 W9 AP9 AS9:XFD9">
    <cfRule type="containsText" dxfId="1009" priority="248" operator="containsText" text="FALSO">
      <formula>NOT(ISERROR(SEARCH("FALSO",A9)))</formula>
    </cfRule>
  </conditionalFormatting>
  <conditionalFormatting sqref="D9:E9">
    <cfRule type="containsText" dxfId="1008" priority="247" operator="containsText" text="FALSO">
      <formula>NOT(ISERROR(SEARCH("FALSO",D9)))</formula>
    </cfRule>
  </conditionalFormatting>
  <conditionalFormatting sqref="AA9:AB9">
    <cfRule type="containsText" dxfId="1007" priority="246" operator="containsText" text="FALSO">
      <formula>NOT(ISERROR(SEARCH("FALSO",AA9)))</formula>
    </cfRule>
  </conditionalFormatting>
  <conditionalFormatting sqref="G9">
    <cfRule type="duplicateValues" dxfId="1006" priority="249"/>
  </conditionalFormatting>
  <conditionalFormatting sqref="AJ9">
    <cfRule type="containsText" dxfId="1005" priority="245" operator="containsText" text="FALSO">
      <formula>NOT(ISERROR(SEARCH("FALSO",AJ9)))</formula>
    </cfRule>
  </conditionalFormatting>
  <conditionalFormatting sqref="M9">
    <cfRule type="containsText" dxfId="1004" priority="243" operator="containsText" text="FALSO">
      <formula>NOT(ISERROR(SEARCH("FALSO",M9)))</formula>
    </cfRule>
  </conditionalFormatting>
  <conditionalFormatting sqref="X9">
    <cfRule type="containsText" dxfId="1003" priority="242" operator="containsText" text="FALSO">
      <formula>NOT(ISERROR(SEARCH("FALSO",X9)))</formula>
    </cfRule>
  </conditionalFormatting>
  <conditionalFormatting sqref="AQ9:AR9">
    <cfRule type="containsText" dxfId="1002" priority="240" operator="containsText" text="FALSO">
      <formula>NOT(ISERROR(SEARCH("FALSO",AQ9)))</formula>
    </cfRule>
  </conditionalFormatting>
  <conditionalFormatting sqref="AC6 N6:P6">
    <cfRule type="containsText" dxfId="1001" priority="208" operator="containsText" text="FALSO">
      <formula>NOT(ISERROR(SEARCH("FALSO",N6)))</formula>
    </cfRule>
  </conditionalFormatting>
  <conditionalFormatting sqref="AN8:AO8">
    <cfRule type="containsText" dxfId="1000" priority="227" operator="containsText" text="FALSO">
      <formula>NOT(ISERROR(SEARCH("FALSO",AN8)))</formula>
    </cfRule>
  </conditionalFormatting>
  <conditionalFormatting sqref="AE8:AF8">
    <cfRule type="containsText" dxfId="999" priority="230" operator="containsText" text="FALSO">
      <formula>NOT(ISERROR(SEARCH("FALSO",AE8)))</formula>
    </cfRule>
  </conditionalFormatting>
  <conditionalFormatting sqref="AD8 AG8:AH8">
    <cfRule type="containsText" dxfId="998" priority="237" operator="containsText" text="FALSO">
      <formula>NOT(ISERROR(SEARCH("FALSO",AD8)))</formula>
    </cfRule>
  </conditionalFormatting>
  <conditionalFormatting sqref="A8:C8 R8:S8 AK8:AM8 F8:K8 Y8:Z8 U8 W8 AP8 AS8:XFD8">
    <cfRule type="containsText" dxfId="997" priority="234" operator="containsText" text="FALSO">
      <formula>NOT(ISERROR(SEARCH("FALSO",A8)))</formula>
    </cfRule>
  </conditionalFormatting>
  <conditionalFormatting sqref="D8:E8">
    <cfRule type="containsText" dxfId="996" priority="233" operator="containsText" text="FALSO">
      <formula>NOT(ISERROR(SEARCH("FALSO",D8)))</formula>
    </cfRule>
  </conditionalFormatting>
  <conditionalFormatting sqref="AA8:AB8">
    <cfRule type="containsText" dxfId="995" priority="232" operator="containsText" text="FALSO">
      <formula>NOT(ISERROR(SEARCH("FALSO",AA8)))</formula>
    </cfRule>
  </conditionalFormatting>
  <conditionalFormatting sqref="G8">
    <cfRule type="duplicateValues" dxfId="994" priority="235"/>
  </conditionalFormatting>
  <conditionalFormatting sqref="AJ8">
    <cfRule type="containsText" dxfId="993" priority="231" operator="containsText" text="FALSO">
      <formula>NOT(ISERROR(SEARCH("FALSO",AJ8)))</formula>
    </cfRule>
  </conditionalFormatting>
  <conditionalFormatting sqref="M8">
    <cfRule type="containsText" dxfId="992" priority="229" operator="containsText" text="FALSO">
      <formula>NOT(ISERROR(SEARCH("FALSO",M8)))</formula>
    </cfRule>
  </conditionalFormatting>
  <conditionalFormatting sqref="X8">
    <cfRule type="containsText" dxfId="991" priority="228" operator="containsText" text="FALSO">
      <formula>NOT(ISERROR(SEARCH("FALSO",X8)))</formula>
    </cfRule>
  </conditionalFormatting>
  <conditionalFormatting sqref="AQ8:AR8">
    <cfRule type="containsText" dxfId="990" priority="226" operator="containsText" text="FALSO">
      <formula>NOT(ISERROR(SEARCH("FALSO",AQ8)))</formula>
    </cfRule>
  </conditionalFormatting>
  <conditionalFormatting sqref="AC5 AI5 N5:P5">
    <cfRule type="containsText" dxfId="989" priority="194" operator="containsText" text="FALSO">
      <formula>NOT(ISERROR(SEARCH("FALSO",N5)))</formula>
    </cfRule>
  </conditionalFormatting>
  <conditionalFormatting sqref="AN7:AO7">
    <cfRule type="containsText" dxfId="988" priority="213" operator="containsText" text="FALSO">
      <formula>NOT(ISERROR(SEARCH("FALSO",AN7)))</formula>
    </cfRule>
  </conditionalFormatting>
  <conditionalFormatting sqref="AE7:AF7">
    <cfRule type="containsText" dxfId="987" priority="216" operator="containsText" text="FALSO">
      <formula>NOT(ISERROR(SEARCH("FALSO",AE7)))</formula>
    </cfRule>
  </conditionalFormatting>
  <conditionalFormatting sqref="AD7 AG7:AH7">
    <cfRule type="containsText" dxfId="986" priority="223" operator="containsText" text="FALSO">
      <formula>NOT(ISERROR(SEARCH("FALSO",AD7)))</formula>
    </cfRule>
  </conditionalFormatting>
  <conditionalFormatting sqref="AC7 N7:P7">
    <cfRule type="containsText" dxfId="985" priority="222" operator="containsText" text="FALSO">
      <formula>NOT(ISERROR(SEARCH("FALSO",N7)))</formula>
    </cfRule>
  </conditionalFormatting>
  <conditionalFormatting sqref="A7:C7 S7 AK7:AM7 F7:K7 U7 W7 AP7 AS7:XFD7">
    <cfRule type="containsText" dxfId="984" priority="220" operator="containsText" text="FALSO">
      <formula>NOT(ISERROR(SEARCH("FALSO",A7)))</formula>
    </cfRule>
  </conditionalFormatting>
  <conditionalFormatting sqref="D7:E7">
    <cfRule type="containsText" dxfId="983" priority="219" operator="containsText" text="FALSO">
      <formula>NOT(ISERROR(SEARCH("FALSO",D7)))</formula>
    </cfRule>
  </conditionalFormatting>
  <conditionalFormatting sqref="AA7:AB7">
    <cfRule type="containsText" dxfId="982" priority="218" operator="containsText" text="FALSO">
      <formula>NOT(ISERROR(SEARCH("FALSO",AA7)))</formula>
    </cfRule>
  </conditionalFormatting>
  <conditionalFormatting sqref="G7">
    <cfRule type="duplicateValues" dxfId="981" priority="221"/>
  </conditionalFormatting>
  <conditionalFormatting sqref="AJ7">
    <cfRule type="containsText" dxfId="980" priority="217" operator="containsText" text="FALSO">
      <formula>NOT(ISERROR(SEARCH("FALSO",AJ7)))</formula>
    </cfRule>
  </conditionalFormatting>
  <conditionalFormatting sqref="X7">
    <cfRule type="containsText" dxfId="979" priority="214" operator="containsText" text="FALSO">
      <formula>NOT(ISERROR(SEARCH("FALSO",X7)))</formula>
    </cfRule>
  </conditionalFormatting>
  <conditionalFormatting sqref="AQ7:AR7">
    <cfRule type="containsText" dxfId="978" priority="212" operator="containsText" text="FALSO">
      <formula>NOT(ISERROR(SEARCH("FALSO",AQ7)))</formula>
    </cfRule>
  </conditionalFormatting>
  <conditionalFormatting sqref="AC4 N4:P4">
    <cfRule type="containsText" dxfId="977" priority="180" operator="containsText" text="FALSO">
      <formula>NOT(ISERROR(SEARCH("FALSO",N4)))</formula>
    </cfRule>
  </conditionalFormatting>
  <conditionalFormatting sqref="AN6:AO6">
    <cfRule type="containsText" dxfId="976" priority="199" operator="containsText" text="FALSO">
      <formula>NOT(ISERROR(SEARCH("FALSO",AN6)))</formula>
    </cfRule>
  </conditionalFormatting>
  <conditionalFormatting sqref="AD6 AG6:AH6">
    <cfRule type="containsText" dxfId="975" priority="209" operator="containsText" text="FALSO">
      <formula>NOT(ISERROR(SEARCH("FALSO",AD6)))</formula>
    </cfRule>
  </conditionalFormatting>
  <conditionalFormatting sqref="A6:C6 S6 AK6:AM6 F6:K6 U6 W6 AP6 AS6:XFD6">
    <cfRule type="containsText" dxfId="974" priority="206" operator="containsText" text="FALSO">
      <formula>NOT(ISERROR(SEARCH("FALSO",A6)))</formula>
    </cfRule>
  </conditionalFormatting>
  <conditionalFormatting sqref="D6:E6">
    <cfRule type="containsText" dxfId="973" priority="205" operator="containsText" text="FALSO">
      <formula>NOT(ISERROR(SEARCH("FALSO",D6)))</formula>
    </cfRule>
  </conditionalFormatting>
  <conditionalFormatting sqref="AA6:AB6">
    <cfRule type="containsText" dxfId="972" priority="204" operator="containsText" text="FALSO">
      <formula>NOT(ISERROR(SEARCH("FALSO",AA6)))</formula>
    </cfRule>
  </conditionalFormatting>
  <conditionalFormatting sqref="G6">
    <cfRule type="duplicateValues" dxfId="971" priority="207"/>
  </conditionalFormatting>
  <conditionalFormatting sqref="AJ6">
    <cfRule type="containsText" dxfId="970" priority="203" operator="containsText" text="FALSO">
      <formula>NOT(ISERROR(SEARCH("FALSO",AJ6)))</formula>
    </cfRule>
  </conditionalFormatting>
  <conditionalFormatting sqref="X6">
    <cfRule type="containsText" dxfId="969" priority="200" operator="containsText" text="FALSO">
      <formula>NOT(ISERROR(SEARCH("FALSO",X6)))</formula>
    </cfRule>
  </conditionalFormatting>
  <conditionalFormatting sqref="AQ6:AR6">
    <cfRule type="containsText" dxfId="968" priority="198" operator="containsText" text="FALSO">
      <formula>NOT(ISERROR(SEARCH("FALSO",AQ6)))</formula>
    </cfRule>
  </conditionalFormatting>
  <conditionalFormatting sqref="AN5:AO5">
    <cfRule type="containsText" dxfId="967" priority="185" operator="containsText" text="FALSO">
      <formula>NOT(ISERROR(SEARCH("FALSO",AN5)))</formula>
    </cfRule>
  </conditionalFormatting>
  <conditionalFormatting sqref="AD5 AG5:AH5">
    <cfRule type="containsText" dxfId="966" priority="195" operator="containsText" text="FALSO">
      <formula>NOT(ISERROR(SEARCH("FALSO",AD5)))</formula>
    </cfRule>
  </conditionalFormatting>
  <conditionalFormatting sqref="A5:C5 S5 AK5:AM5 F5:K5 Y5:Z5 U5 W5 AP5 AS5:XFD5">
    <cfRule type="containsText" dxfId="965" priority="192" operator="containsText" text="FALSO">
      <formula>NOT(ISERROR(SEARCH("FALSO",A5)))</formula>
    </cfRule>
  </conditionalFormatting>
  <conditionalFormatting sqref="D5:E5">
    <cfRule type="containsText" dxfId="964" priority="191" operator="containsText" text="FALSO">
      <formula>NOT(ISERROR(SEARCH("FALSO",D5)))</formula>
    </cfRule>
  </conditionalFormatting>
  <conditionalFormatting sqref="G5">
    <cfRule type="duplicateValues" dxfId="963" priority="193"/>
  </conditionalFormatting>
  <conditionalFormatting sqref="AJ5">
    <cfRule type="containsText" dxfId="962" priority="189" operator="containsText" text="FALSO">
      <formula>NOT(ISERROR(SEARCH("FALSO",AJ5)))</formula>
    </cfRule>
  </conditionalFormatting>
  <conditionalFormatting sqref="M5">
    <cfRule type="containsText" dxfId="961" priority="187" operator="containsText" text="FALSO">
      <formula>NOT(ISERROR(SEARCH("FALSO",M5)))</formula>
    </cfRule>
  </conditionalFormatting>
  <conditionalFormatting sqref="X5">
    <cfRule type="containsText" dxfId="960" priority="186" operator="containsText" text="FALSO">
      <formula>NOT(ISERROR(SEARCH("FALSO",X5)))</formula>
    </cfRule>
  </conditionalFormatting>
  <conditionalFormatting sqref="AN4:AO4">
    <cfRule type="containsText" dxfId="959" priority="171" operator="containsText" text="FALSO">
      <formula>NOT(ISERROR(SEARCH("FALSO",AN4)))</formula>
    </cfRule>
  </conditionalFormatting>
  <conditionalFormatting sqref="AE4:AF4">
    <cfRule type="containsText" dxfId="958" priority="174" operator="containsText" text="FALSO">
      <formula>NOT(ISERROR(SEARCH("FALSO",AE4)))</formula>
    </cfRule>
  </conditionalFormatting>
  <conditionalFormatting sqref="AD4 AG4:AH4 Q4:Q828">
    <cfRule type="containsText" dxfId="957" priority="181" operator="containsText" text="FALSO">
      <formula>NOT(ISERROR(SEARCH("FALSO",Q4)))</formula>
    </cfRule>
  </conditionalFormatting>
  <conditionalFormatting sqref="A4:C4 R4:S4 AK4:AM4 F4:L4 Y4:Z4 U4 W4 AP4 AS4:XFD4 L5:L21">
    <cfRule type="containsText" dxfId="956" priority="178" operator="containsText" text="FALSO">
      <formula>NOT(ISERROR(SEARCH("FALSO",A4)))</formula>
    </cfRule>
  </conditionalFormatting>
  <conditionalFormatting sqref="D4:E4">
    <cfRule type="containsText" dxfId="955" priority="177" operator="containsText" text="FALSO">
      <formula>NOT(ISERROR(SEARCH("FALSO",D4)))</formula>
    </cfRule>
  </conditionalFormatting>
  <conditionalFormatting sqref="AA4:AB4">
    <cfRule type="containsText" dxfId="954" priority="176" operator="containsText" text="FALSO">
      <formula>NOT(ISERROR(SEARCH("FALSO",AA4)))</formula>
    </cfRule>
  </conditionalFormatting>
  <conditionalFormatting sqref="G4">
    <cfRule type="duplicateValues" dxfId="953" priority="179"/>
  </conditionalFormatting>
  <conditionalFormatting sqref="AJ4">
    <cfRule type="containsText" dxfId="952" priority="175" operator="containsText" text="FALSO">
      <formula>NOT(ISERROR(SEARCH("FALSO",AJ4)))</formula>
    </cfRule>
  </conditionalFormatting>
  <conditionalFormatting sqref="M4">
    <cfRule type="containsText" dxfId="951" priority="173" operator="containsText" text="FALSO">
      <formula>NOT(ISERROR(SEARCH("FALSO",M4)))</formula>
    </cfRule>
  </conditionalFormatting>
  <conditionalFormatting sqref="X4">
    <cfRule type="containsText" dxfId="950" priority="172" operator="containsText" text="FALSO">
      <formula>NOT(ISERROR(SEARCH("FALSO",X4)))</formula>
    </cfRule>
  </conditionalFormatting>
  <conditionalFormatting sqref="AQ4:AR4">
    <cfRule type="containsText" dxfId="949" priority="170" operator="containsText" text="FALSO">
      <formula>NOT(ISERROR(SEARCH("FALSO",AQ4)))</formula>
    </cfRule>
  </conditionalFormatting>
  <conditionalFormatting sqref="Y18:Z18">
    <cfRule type="containsText" dxfId="948" priority="109" operator="containsText" text="FALSO">
      <formula>NOT(ISERROR(SEARCH("FALSO",Y18)))</formula>
    </cfRule>
  </conditionalFormatting>
  <conditionalFormatting sqref="R5">
    <cfRule type="containsText" dxfId="947" priority="139" operator="containsText" text="FALSO">
      <formula>NOT(ISERROR(SEARCH("FALSO",R5)))</formula>
    </cfRule>
  </conditionalFormatting>
  <conditionalFormatting sqref="AI4">
    <cfRule type="containsText" dxfId="946" priority="78" operator="containsText" text="FALSO">
      <formula>NOT(ISERROR(SEARCH("FALSO",AI4)))</formula>
    </cfRule>
  </conditionalFormatting>
  <conditionalFormatting sqref="Y20:Z20">
    <cfRule type="containsText" dxfId="945" priority="107" operator="containsText" text="FALSO">
      <formula>NOT(ISERROR(SEARCH("FALSO",Y20)))</formula>
    </cfRule>
  </conditionalFormatting>
  <conditionalFormatting sqref="M6">
    <cfRule type="containsText" dxfId="944" priority="136" operator="containsText" text="FALSO">
      <formula>NOT(ISERROR(SEARCH("FALSO",M6)))</formula>
    </cfRule>
  </conditionalFormatting>
  <conditionalFormatting sqref="R6">
    <cfRule type="containsText" dxfId="943" priority="135" operator="containsText" text="FALSO">
      <formula>NOT(ISERROR(SEARCH("FALSO",R6)))</formula>
    </cfRule>
  </conditionalFormatting>
  <conditionalFormatting sqref="M7">
    <cfRule type="containsText" dxfId="942" priority="74" operator="containsText" text="FALSO">
      <formula>NOT(ISERROR(SEARCH("FALSO",M7)))</formula>
    </cfRule>
  </conditionalFormatting>
  <conditionalFormatting sqref="AE20:AF20">
    <cfRule type="containsText" dxfId="941" priority="103" operator="containsText" text="FALSO">
      <formula>NOT(ISERROR(SEARCH("FALSO",AE20)))</formula>
    </cfRule>
  </conditionalFormatting>
  <conditionalFormatting sqref="Y6:Z6">
    <cfRule type="containsText" dxfId="940" priority="132" operator="containsText" text="FALSO">
      <formula>NOT(ISERROR(SEARCH("FALSO",Y6)))</formula>
    </cfRule>
  </conditionalFormatting>
  <conditionalFormatting sqref="AE5:AF5">
    <cfRule type="containsText" dxfId="939" priority="131" operator="containsText" text="FALSO">
      <formula>NOT(ISERROR(SEARCH("FALSO",AE5)))</formula>
    </cfRule>
  </conditionalFormatting>
  <conditionalFormatting sqref="AE6:AF6">
    <cfRule type="containsText" dxfId="938" priority="130" operator="containsText" text="FALSO">
      <formula>NOT(ISERROR(SEARCH("FALSO",AE6)))</formula>
    </cfRule>
  </conditionalFormatting>
  <conditionalFormatting sqref="AI6">
    <cfRule type="containsText" dxfId="937" priority="129" operator="containsText" text="FALSO">
      <formula>NOT(ISERROR(SEARCH("FALSO",AI6)))</formula>
    </cfRule>
  </conditionalFormatting>
  <conditionalFormatting sqref="M21">
    <cfRule type="containsText" dxfId="936" priority="128" operator="containsText" text="FALSO">
      <formula>NOT(ISERROR(SEARCH("FALSO",M21)))</formula>
    </cfRule>
  </conditionalFormatting>
  <conditionalFormatting sqref="M20">
    <cfRule type="containsText" dxfId="935" priority="127" operator="containsText" text="FALSO">
      <formula>NOT(ISERROR(SEARCH("FALSO",M20)))</formula>
    </cfRule>
  </conditionalFormatting>
  <conditionalFormatting sqref="J15">
    <cfRule type="containsText" dxfId="934" priority="66" operator="containsText" text="FALSO">
      <formula>NOT(ISERROR(SEARCH("FALSO",J15)))</formula>
    </cfRule>
  </conditionalFormatting>
  <conditionalFormatting sqref="J17">
    <cfRule type="containsText" dxfId="933" priority="65" operator="containsText" text="FALSO">
      <formula>NOT(ISERROR(SEARCH("FALSO",J17)))</formula>
    </cfRule>
  </conditionalFormatting>
  <conditionalFormatting sqref="J18">
    <cfRule type="containsText" dxfId="932" priority="64" operator="containsText" text="FALSO">
      <formula>NOT(ISERROR(SEARCH("FALSO",J18)))</formula>
    </cfRule>
  </conditionalFormatting>
  <conditionalFormatting sqref="T33">
    <cfRule type="containsText" dxfId="931" priority="63" operator="containsText" text="FALSO">
      <formula>NOT(ISERROR(SEARCH("FALSO",T33)))</formula>
    </cfRule>
  </conditionalFormatting>
  <conditionalFormatting sqref="T32">
    <cfRule type="containsText" dxfId="930" priority="62" operator="containsText" text="FALSO">
      <formula>NOT(ISERROR(SEARCH("FALSO",T32)))</formula>
    </cfRule>
  </conditionalFormatting>
  <conditionalFormatting sqref="T31">
    <cfRule type="containsText" dxfId="929" priority="61" operator="containsText" text="FALSO">
      <formula>NOT(ISERROR(SEARCH("FALSO",T31)))</formula>
    </cfRule>
  </conditionalFormatting>
  <conditionalFormatting sqref="AI21">
    <cfRule type="containsText" dxfId="928" priority="90" operator="containsText" text="FALSO">
      <formula>NOT(ISERROR(SEARCH("FALSO",AI21)))</formula>
    </cfRule>
  </conditionalFormatting>
  <conditionalFormatting sqref="AI20">
    <cfRule type="containsText" dxfId="927" priority="89" operator="containsText" text="FALSO">
      <formula>NOT(ISERROR(SEARCH("FALSO",AI20)))</formula>
    </cfRule>
  </conditionalFormatting>
  <conditionalFormatting sqref="AI19">
    <cfRule type="containsText" dxfId="926" priority="88" operator="containsText" text="FALSO">
      <formula>NOT(ISERROR(SEARCH("FALSO",AI19)))</formula>
    </cfRule>
  </conditionalFormatting>
  <conditionalFormatting sqref="AI18">
    <cfRule type="containsText" dxfId="925" priority="87" operator="containsText" text="FALSO">
      <formula>NOT(ISERROR(SEARCH("FALSO",AI18)))</formula>
    </cfRule>
  </conditionalFormatting>
  <conditionalFormatting sqref="AI14">
    <cfRule type="containsText" dxfId="924" priority="86" operator="containsText" text="FALSO">
      <formula>NOT(ISERROR(SEARCH("FALSO",AI14)))</formula>
    </cfRule>
  </conditionalFormatting>
  <conditionalFormatting sqref="AI15">
    <cfRule type="containsText" dxfId="923" priority="85" operator="containsText" text="FALSO">
      <formula>NOT(ISERROR(SEARCH("FALSO",AI15)))</formula>
    </cfRule>
  </conditionalFormatting>
  <conditionalFormatting sqref="R19">
    <cfRule type="containsText" dxfId="922" priority="114" operator="containsText" text="FALSO">
      <formula>NOT(ISERROR(SEARCH("FALSO",R19)))</formula>
    </cfRule>
  </conditionalFormatting>
  <conditionalFormatting sqref="R18">
    <cfRule type="containsText" dxfId="921" priority="113" operator="containsText" text="FALSO">
      <formula>NOT(ISERROR(SEARCH("FALSO",R18)))</formula>
    </cfRule>
  </conditionalFormatting>
  <conditionalFormatting sqref="R21">
    <cfRule type="containsText" dxfId="920" priority="112" operator="containsText" text="FALSO">
      <formula>NOT(ISERROR(SEARCH("FALSO",R21)))</formula>
    </cfRule>
  </conditionalFormatting>
  <conditionalFormatting sqref="R20">
    <cfRule type="containsText" dxfId="919" priority="111" operator="containsText" text="FALSO">
      <formula>NOT(ISERROR(SEARCH("FALSO",R20)))</formula>
    </cfRule>
  </conditionalFormatting>
  <conditionalFormatting sqref="Y19:Z19">
    <cfRule type="containsText" dxfId="918" priority="110" operator="containsText" text="FALSO">
      <formula>NOT(ISERROR(SEARCH("FALSO",Y19)))</formula>
    </cfRule>
  </conditionalFormatting>
  <conditionalFormatting sqref="Y21:Z21">
    <cfRule type="containsText" dxfId="917" priority="108" operator="containsText" text="FALSO">
      <formula>NOT(ISERROR(SEARCH("FALSO",Y21)))</formula>
    </cfRule>
  </conditionalFormatting>
  <conditionalFormatting sqref="AE19:AF19">
    <cfRule type="containsText" dxfId="916" priority="106" operator="containsText" text="FALSO">
      <formula>NOT(ISERROR(SEARCH("FALSO",AE19)))</formula>
    </cfRule>
  </conditionalFormatting>
  <conditionalFormatting sqref="AE18:AF18">
    <cfRule type="containsText" dxfId="915" priority="105" operator="containsText" text="FALSO">
      <formula>NOT(ISERROR(SEARCH("FALSO",AE18)))</formula>
    </cfRule>
  </conditionalFormatting>
  <conditionalFormatting sqref="AE21:AF21">
    <cfRule type="containsText" dxfId="914" priority="104" operator="containsText" text="FALSO">
      <formula>NOT(ISERROR(SEARCH("FALSO",AE21)))</formula>
    </cfRule>
  </conditionalFormatting>
  <conditionalFormatting sqref="AI10">
    <cfRule type="containsText" dxfId="913" priority="97" operator="containsText" text="FALSO">
      <formula>NOT(ISERROR(SEARCH("FALSO",AI10)))</formula>
    </cfRule>
  </conditionalFormatting>
  <conditionalFormatting sqref="AI8">
    <cfRule type="containsText" dxfId="912" priority="92" operator="containsText" text="FALSO">
      <formula>NOT(ISERROR(SEARCH("FALSO",AI8)))</formula>
    </cfRule>
  </conditionalFormatting>
  <conditionalFormatting sqref="AI9">
    <cfRule type="containsText" dxfId="911" priority="93" operator="containsText" text="FALSO">
      <formula>NOT(ISERROR(SEARCH("FALSO",AI9)))</formula>
    </cfRule>
  </conditionalFormatting>
  <conditionalFormatting sqref="AI17">
    <cfRule type="containsText" dxfId="910" priority="83" operator="containsText" text="FALSO">
      <formula>NOT(ISERROR(SEARCH("FALSO",AI17)))</formula>
    </cfRule>
  </conditionalFormatting>
  <conditionalFormatting sqref="AI16">
    <cfRule type="containsText" dxfId="909" priority="84" operator="containsText" text="FALSO">
      <formula>NOT(ISERROR(SEARCH("FALSO",AI16)))</formula>
    </cfRule>
  </conditionalFormatting>
  <conditionalFormatting sqref="AI12">
    <cfRule type="containsText" dxfId="908" priority="81" operator="containsText" text="FALSO">
      <formula>NOT(ISERROR(SEARCH("FALSO",AI12)))</formula>
    </cfRule>
  </conditionalFormatting>
  <conditionalFormatting sqref="AI13">
    <cfRule type="containsText" dxfId="907" priority="82" operator="containsText" text="FALSO">
      <formula>NOT(ISERROR(SEARCH("FALSO",AI13)))</formula>
    </cfRule>
  </conditionalFormatting>
  <conditionalFormatting sqref="AI11">
    <cfRule type="containsText" dxfId="906" priority="80" operator="containsText" text="FALSO">
      <formula>NOT(ISERROR(SEARCH("FALSO",AI11)))</formula>
    </cfRule>
  </conditionalFormatting>
  <conditionalFormatting sqref="AI7">
    <cfRule type="containsText" dxfId="905" priority="79" operator="containsText" text="FALSO">
      <formula>NOT(ISERROR(SEARCH("FALSO",AI7)))</formula>
    </cfRule>
  </conditionalFormatting>
  <conditionalFormatting sqref="Y7:Z7">
    <cfRule type="containsText" dxfId="904" priority="77" operator="containsText" text="FALSO">
      <formula>NOT(ISERROR(SEARCH("FALSO",Y7)))</formula>
    </cfRule>
  </conditionalFormatting>
  <conditionalFormatting sqref="V14">
    <cfRule type="containsText" dxfId="903" priority="16" operator="containsText" text="FALSO">
      <formula>NOT(ISERROR(SEARCH("FALSO",V14)))</formula>
    </cfRule>
  </conditionalFormatting>
  <conditionalFormatting sqref="R7">
    <cfRule type="containsText" dxfId="902" priority="75" operator="containsText" text="FALSO">
      <formula>NOT(ISERROR(SEARCH("FALSO",R7)))</formula>
    </cfRule>
  </conditionalFormatting>
  <conditionalFormatting sqref="D13">
    <cfRule type="containsText" dxfId="901" priority="73" operator="containsText" text="FALSO">
      <formula>NOT(ISERROR(SEARCH("FALSO",D13)))</formula>
    </cfRule>
  </conditionalFormatting>
  <conditionalFormatting sqref="D14">
    <cfRule type="containsText" dxfId="900" priority="72" operator="containsText" text="FALSO">
      <formula>NOT(ISERROR(SEARCH("FALSO",D14)))</formula>
    </cfRule>
  </conditionalFormatting>
  <conditionalFormatting sqref="T8">
    <cfRule type="containsText" dxfId="899" priority="41" operator="containsText" text="FALSO">
      <formula>NOT(ISERROR(SEARCH("FALSO",T8)))</formula>
    </cfRule>
  </conditionalFormatting>
  <conditionalFormatting sqref="M10">
    <cfRule type="containsText" dxfId="898" priority="70" operator="containsText" text="FALSO">
      <formula>NOT(ISERROR(SEARCH("FALSO",M10)))</formula>
    </cfRule>
  </conditionalFormatting>
  <conditionalFormatting sqref="J12">
    <cfRule type="containsText" dxfId="897" priority="69" operator="containsText" text="FALSO">
      <formula>NOT(ISERROR(SEARCH("FALSO",J12)))</formula>
    </cfRule>
  </conditionalFormatting>
  <conditionalFormatting sqref="J14">
    <cfRule type="containsText" dxfId="896" priority="68" operator="containsText" text="FALSO">
      <formula>NOT(ISERROR(SEARCH("FALSO",J14)))</formula>
    </cfRule>
  </conditionalFormatting>
  <conditionalFormatting sqref="J16">
    <cfRule type="containsText" dxfId="895" priority="67" operator="containsText" text="FALSO">
      <formula>NOT(ISERROR(SEARCH("FALSO",J16)))</formula>
    </cfRule>
  </conditionalFormatting>
  <conditionalFormatting sqref="T25">
    <cfRule type="containsText" dxfId="894" priority="55" operator="containsText" text="FALSO">
      <formula>NOT(ISERROR(SEARCH("FALSO",T25)))</formula>
    </cfRule>
  </conditionalFormatting>
  <conditionalFormatting sqref="T26">
    <cfRule type="containsText" dxfId="893" priority="56" operator="containsText" text="FALSO">
      <formula>NOT(ISERROR(SEARCH("FALSO",T26)))</formula>
    </cfRule>
  </conditionalFormatting>
  <conditionalFormatting sqref="T24">
    <cfRule type="containsText" dxfId="892" priority="54" operator="containsText" text="FALSO">
      <formula>NOT(ISERROR(SEARCH("FALSO",T24)))</formula>
    </cfRule>
  </conditionalFormatting>
  <conditionalFormatting sqref="T23">
    <cfRule type="containsText" dxfId="891" priority="53" operator="containsText" text="FALSO">
      <formula>NOT(ISERROR(SEARCH("FALSO",T23)))</formula>
    </cfRule>
  </conditionalFormatting>
  <conditionalFormatting sqref="T30">
    <cfRule type="containsText" dxfId="890" priority="60" operator="containsText" text="FALSO">
      <formula>NOT(ISERROR(SEARCH("FALSO",T30)))</formula>
    </cfRule>
  </conditionalFormatting>
  <conditionalFormatting sqref="T29">
    <cfRule type="containsText" dxfId="889" priority="59" operator="containsText" text="FALSO">
      <formula>NOT(ISERROR(SEARCH("FALSO",T29)))</formula>
    </cfRule>
  </conditionalFormatting>
  <conditionalFormatting sqref="T28">
    <cfRule type="containsText" dxfId="888" priority="58" operator="containsText" text="FALSO">
      <formula>NOT(ISERROR(SEARCH("FALSO",T28)))</formula>
    </cfRule>
  </conditionalFormatting>
  <conditionalFormatting sqref="T27">
    <cfRule type="containsText" dxfId="887" priority="57" operator="containsText" text="FALSO">
      <formula>NOT(ISERROR(SEARCH("FALSO",T27)))</formula>
    </cfRule>
  </conditionalFormatting>
  <conditionalFormatting sqref="T22">
    <cfRule type="containsText" dxfId="886" priority="52" operator="containsText" text="FALSO">
      <formula>NOT(ISERROR(SEARCH("FALSO",T22)))</formula>
    </cfRule>
  </conditionalFormatting>
  <conditionalFormatting sqref="T19">
    <cfRule type="containsText" dxfId="885" priority="51" operator="containsText" text="FALSO">
      <formula>NOT(ISERROR(SEARCH("FALSO",T19)))</formula>
    </cfRule>
  </conditionalFormatting>
  <conditionalFormatting sqref="T18">
    <cfRule type="containsText" dxfId="884" priority="50" operator="containsText" text="FALSO">
      <formula>NOT(ISERROR(SEARCH("FALSO",T18)))</formula>
    </cfRule>
  </conditionalFormatting>
  <conditionalFormatting sqref="T17">
    <cfRule type="containsText" dxfId="883" priority="49" operator="containsText" text="FALSO">
      <formula>NOT(ISERROR(SEARCH("FALSO",T17)))</formula>
    </cfRule>
  </conditionalFormatting>
  <conditionalFormatting sqref="T16">
    <cfRule type="containsText" dxfId="882" priority="48" operator="containsText" text="FALSO">
      <formula>NOT(ISERROR(SEARCH("FALSO",T16)))</formula>
    </cfRule>
  </conditionalFormatting>
  <conditionalFormatting sqref="T15">
    <cfRule type="containsText" dxfId="881" priority="47" operator="containsText" text="FALSO">
      <formula>NOT(ISERROR(SEARCH("FALSO",T15)))</formula>
    </cfRule>
  </conditionalFormatting>
  <conditionalFormatting sqref="T14">
    <cfRule type="containsText" dxfId="880" priority="46" operator="containsText" text="FALSO">
      <formula>NOT(ISERROR(SEARCH("FALSO",T14)))</formula>
    </cfRule>
  </conditionalFormatting>
  <conditionalFormatting sqref="T13">
    <cfRule type="containsText" dxfId="879" priority="45" operator="containsText" text="FALSO">
      <formula>NOT(ISERROR(SEARCH("FALSO",T13)))</formula>
    </cfRule>
  </conditionalFormatting>
  <conditionalFormatting sqref="T12">
    <cfRule type="containsText" dxfId="878" priority="44" operator="containsText" text="FALSO">
      <formula>NOT(ISERROR(SEARCH("FALSO",T12)))</formula>
    </cfRule>
  </conditionalFormatting>
  <conditionalFormatting sqref="T11">
    <cfRule type="containsText" dxfId="877" priority="43" operator="containsText" text="FALSO">
      <formula>NOT(ISERROR(SEARCH("FALSO",T11)))</formula>
    </cfRule>
  </conditionalFormatting>
  <conditionalFormatting sqref="T9">
    <cfRule type="containsText" dxfId="876" priority="42" operator="containsText" text="FALSO">
      <formula>NOT(ISERROR(SEARCH("FALSO",T9)))</formula>
    </cfRule>
  </conditionalFormatting>
  <conditionalFormatting sqref="T5">
    <cfRule type="containsText" dxfId="875" priority="40" operator="containsText" text="FALSO">
      <formula>NOT(ISERROR(SEARCH("FALSO",T5)))</formula>
    </cfRule>
  </conditionalFormatting>
  <conditionalFormatting sqref="T4">
    <cfRule type="containsText" dxfId="874" priority="39" operator="containsText" text="FALSO">
      <formula>NOT(ISERROR(SEARCH("FALSO",T4)))</formula>
    </cfRule>
  </conditionalFormatting>
  <conditionalFormatting sqref="T6">
    <cfRule type="containsText" dxfId="873" priority="38" operator="containsText" text="FALSO">
      <formula>NOT(ISERROR(SEARCH("FALSO",T6)))</formula>
    </cfRule>
  </conditionalFormatting>
  <conditionalFormatting sqref="T21">
    <cfRule type="containsText" dxfId="872" priority="37" operator="containsText" text="FALSO">
      <formula>NOT(ISERROR(SEARCH("FALSO",T21)))</formula>
    </cfRule>
  </conditionalFormatting>
  <conditionalFormatting sqref="T20">
    <cfRule type="containsText" dxfId="871" priority="36" operator="containsText" text="FALSO">
      <formula>NOT(ISERROR(SEARCH("FALSO",T20)))</formula>
    </cfRule>
  </conditionalFormatting>
  <conditionalFormatting sqref="T7">
    <cfRule type="containsText" dxfId="870" priority="35" operator="containsText" text="FALSO">
      <formula>NOT(ISERROR(SEARCH("FALSO",T7)))</formula>
    </cfRule>
  </conditionalFormatting>
  <conditionalFormatting sqref="T10">
    <cfRule type="containsText" dxfId="869" priority="34" operator="containsText" text="FALSO">
      <formula>NOT(ISERROR(SEARCH("FALSO",T10)))</formula>
    </cfRule>
  </conditionalFormatting>
  <conditionalFormatting sqref="V25">
    <cfRule type="containsText" dxfId="868" priority="25" operator="containsText" text="FALSO">
      <formula>NOT(ISERROR(SEARCH("FALSO",V25)))</formula>
    </cfRule>
  </conditionalFormatting>
  <conditionalFormatting sqref="V26">
    <cfRule type="containsText" dxfId="867" priority="26" operator="containsText" text="FALSO">
      <formula>NOT(ISERROR(SEARCH("FALSO",V26)))</formula>
    </cfRule>
  </conditionalFormatting>
  <conditionalFormatting sqref="V24">
    <cfRule type="containsText" dxfId="866" priority="24" operator="containsText" text="FALSO">
      <formula>NOT(ISERROR(SEARCH("FALSO",V24)))</formula>
    </cfRule>
  </conditionalFormatting>
  <conditionalFormatting sqref="V23">
    <cfRule type="containsText" dxfId="865" priority="23" operator="containsText" text="FALSO">
      <formula>NOT(ISERROR(SEARCH("FALSO",V23)))</formula>
    </cfRule>
  </conditionalFormatting>
  <conditionalFormatting sqref="V31">
    <cfRule type="containsText" dxfId="864" priority="31" operator="containsText" text="FALSO">
      <formula>NOT(ISERROR(SEARCH("FALSO",V31)))</formula>
    </cfRule>
  </conditionalFormatting>
  <conditionalFormatting sqref="V30">
    <cfRule type="containsText" dxfId="863" priority="30" operator="containsText" text="FALSO">
      <formula>NOT(ISERROR(SEARCH("FALSO",V30)))</formula>
    </cfRule>
  </conditionalFormatting>
  <conditionalFormatting sqref="V29">
    <cfRule type="containsText" dxfId="862" priority="29" operator="containsText" text="FALSO">
      <formula>NOT(ISERROR(SEARCH("FALSO",V29)))</formula>
    </cfRule>
  </conditionalFormatting>
  <conditionalFormatting sqref="V28">
    <cfRule type="containsText" dxfId="861" priority="28" operator="containsText" text="FALSO">
      <formula>NOT(ISERROR(SEARCH("FALSO",V28)))</formula>
    </cfRule>
  </conditionalFormatting>
  <conditionalFormatting sqref="V33">
    <cfRule type="containsText" dxfId="860" priority="33" operator="containsText" text="FALSO">
      <formula>NOT(ISERROR(SEARCH("FALSO",V33)))</formula>
    </cfRule>
  </conditionalFormatting>
  <conditionalFormatting sqref="V32">
    <cfRule type="containsText" dxfId="859" priority="32" operator="containsText" text="FALSO">
      <formula>NOT(ISERROR(SEARCH("FALSO",V32)))</formula>
    </cfRule>
  </conditionalFormatting>
  <conditionalFormatting sqref="V27">
    <cfRule type="containsText" dxfId="858" priority="27" operator="containsText" text="FALSO">
      <formula>NOT(ISERROR(SEARCH("FALSO",V27)))</formula>
    </cfRule>
  </conditionalFormatting>
  <conditionalFormatting sqref="V22">
    <cfRule type="containsText" dxfId="857" priority="22" operator="containsText" text="FALSO">
      <formula>NOT(ISERROR(SEARCH("FALSO",V22)))</formula>
    </cfRule>
  </conditionalFormatting>
  <conditionalFormatting sqref="V19">
    <cfRule type="containsText" dxfId="856" priority="21" operator="containsText" text="FALSO">
      <formula>NOT(ISERROR(SEARCH("FALSO",V19)))</formula>
    </cfRule>
  </conditionalFormatting>
  <conditionalFormatting sqref="V18">
    <cfRule type="containsText" dxfId="855" priority="20" operator="containsText" text="FALSO">
      <formula>NOT(ISERROR(SEARCH("FALSO",V18)))</formula>
    </cfRule>
  </conditionalFormatting>
  <conditionalFormatting sqref="V17">
    <cfRule type="containsText" dxfId="854" priority="19" operator="containsText" text="FALSO">
      <formula>NOT(ISERROR(SEARCH("FALSO",V17)))</formula>
    </cfRule>
  </conditionalFormatting>
  <conditionalFormatting sqref="V16">
    <cfRule type="containsText" dxfId="853" priority="18" operator="containsText" text="FALSO">
      <formula>NOT(ISERROR(SEARCH("FALSO",V16)))</formula>
    </cfRule>
  </conditionalFormatting>
  <conditionalFormatting sqref="V15">
    <cfRule type="containsText" dxfId="852" priority="17" operator="containsText" text="FALSO">
      <formula>NOT(ISERROR(SEARCH("FALSO",V15)))</formula>
    </cfRule>
  </conditionalFormatting>
  <conditionalFormatting sqref="V13">
    <cfRule type="containsText" dxfId="851" priority="15" operator="containsText" text="FALSO">
      <formula>NOT(ISERROR(SEARCH("FALSO",V13)))</formula>
    </cfRule>
  </conditionalFormatting>
  <conditionalFormatting sqref="V12">
    <cfRule type="containsText" dxfId="850" priority="14" operator="containsText" text="FALSO">
      <formula>NOT(ISERROR(SEARCH("FALSO",V12)))</formula>
    </cfRule>
  </conditionalFormatting>
  <conditionalFormatting sqref="V11">
    <cfRule type="containsText" dxfId="849" priority="13" operator="containsText" text="FALSO">
      <formula>NOT(ISERROR(SEARCH("FALSO",V11)))</formula>
    </cfRule>
  </conditionalFormatting>
  <conditionalFormatting sqref="V9">
    <cfRule type="containsText" dxfId="848" priority="12" operator="containsText" text="FALSO">
      <formula>NOT(ISERROR(SEARCH("FALSO",V9)))</formula>
    </cfRule>
  </conditionalFormatting>
  <conditionalFormatting sqref="V8">
    <cfRule type="containsText" dxfId="847" priority="11" operator="containsText" text="FALSO">
      <formula>NOT(ISERROR(SEARCH("FALSO",V8)))</formula>
    </cfRule>
  </conditionalFormatting>
  <conditionalFormatting sqref="V5">
    <cfRule type="containsText" dxfId="846" priority="10" operator="containsText" text="FALSO">
      <formula>NOT(ISERROR(SEARCH("FALSO",V5)))</formula>
    </cfRule>
  </conditionalFormatting>
  <conditionalFormatting sqref="V4">
    <cfRule type="containsText" dxfId="845" priority="9" operator="containsText" text="FALSO">
      <formula>NOT(ISERROR(SEARCH("FALSO",V4)))</formula>
    </cfRule>
  </conditionalFormatting>
  <conditionalFormatting sqref="V6">
    <cfRule type="containsText" dxfId="844" priority="8" operator="containsText" text="FALSO">
      <formula>NOT(ISERROR(SEARCH("FALSO",V6)))</formula>
    </cfRule>
  </conditionalFormatting>
  <conditionalFormatting sqref="V21">
    <cfRule type="containsText" dxfId="843" priority="7" operator="containsText" text="FALSO">
      <formula>NOT(ISERROR(SEARCH("FALSO",V21)))</formula>
    </cfRule>
  </conditionalFormatting>
  <conditionalFormatting sqref="V20">
    <cfRule type="containsText" dxfId="842" priority="6" operator="containsText" text="FALSO">
      <formula>NOT(ISERROR(SEARCH("FALSO",V20)))</formula>
    </cfRule>
  </conditionalFormatting>
  <conditionalFormatting sqref="V7">
    <cfRule type="containsText" dxfId="841" priority="5" operator="containsText" text="FALSO">
      <formula>NOT(ISERROR(SEARCH("FALSO",V7)))</formula>
    </cfRule>
  </conditionalFormatting>
  <conditionalFormatting sqref="V10">
    <cfRule type="containsText" dxfId="840" priority="4" operator="containsText" text="FALSO">
      <formula>NOT(ISERROR(SEARCH("FALSO",V10)))</formula>
    </cfRule>
  </conditionalFormatting>
  <conditionalFormatting sqref="F21">
    <cfRule type="containsText" dxfId="2" priority="3" operator="containsText" text="FALSO">
      <formula>NOT(ISERROR(SEARCH("FALSO",F21)))</formula>
    </cfRule>
  </conditionalFormatting>
  <conditionalFormatting sqref="F20">
    <cfRule type="containsText" dxfId="1" priority="2" operator="containsText" text="FALSO">
      <formula>NOT(ISERROR(SEARCH("FALSO",F20)))</formula>
    </cfRule>
  </conditionalFormatting>
  <conditionalFormatting sqref="F19">
    <cfRule type="containsText" dxfId="0" priority="1" operator="containsText" text="FALSO">
      <formula>NOT(ISERROR(SEARCH("FALSO",F19)))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AA426"/>
  <sheetViews>
    <sheetView showGridLines="0" topLeftCell="B1" zoomScale="60" zoomScaleNormal="60" workbookViewId="0">
      <pane ySplit="2" topLeftCell="A3" activePane="bottomLeft" state="frozen"/>
      <selection pane="bottomLeft" activeCell="C57" sqref="C57"/>
    </sheetView>
  </sheetViews>
  <sheetFormatPr baseColWidth="10" defaultColWidth="11.42578125" defaultRowHeight="15" outlineLevelCol="1" x14ac:dyDescent="0.25"/>
  <cols>
    <col min="1" max="1" width="2" style="1" customWidth="1"/>
    <col min="2" max="2" width="21.42578125" style="1" bestFit="1" customWidth="1" outlineLevel="1"/>
    <col min="3" max="3" width="60.28515625" style="2" bestFit="1" customWidth="1" outlineLevel="1"/>
    <col min="4" max="4" width="18.5703125" style="1" bestFit="1" customWidth="1" outlineLevel="1"/>
    <col min="5" max="5" width="17.28515625" style="1" bestFit="1" customWidth="1" outlineLevel="1"/>
    <col min="6" max="6" width="16.7109375" style="54" bestFit="1" customWidth="1" outlineLevel="1"/>
    <col min="7" max="7" width="20.140625" style="54" bestFit="1" customWidth="1" outlineLevel="1"/>
    <col min="8" max="8" width="17.5703125" style="54" bestFit="1" customWidth="1" outlineLevel="1"/>
    <col min="9" max="9" width="13.5703125" style="1" bestFit="1" customWidth="1" outlineLevel="1"/>
    <col min="10" max="10" width="15.85546875" style="1" customWidth="1"/>
    <col min="11" max="11" width="9.42578125" style="1" bestFit="1" customWidth="1"/>
    <col min="12" max="12" width="6.42578125" style="1" bestFit="1" customWidth="1"/>
    <col min="13" max="13" width="24.7109375" style="1" bestFit="1" customWidth="1"/>
    <col min="14" max="14" width="44.42578125" style="1" bestFit="1" customWidth="1"/>
    <col min="15" max="15" width="3.5703125" style="1" bestFit="1" customWidth="1"/>
    <col min="16" max="16" width="9.140625" style="1" bestFit="1" customWidth="1"/>
    <col min="17" max="19" width="4.42578125" style="1" customWidth="1"/>
    <col min="20" max="20" width="9.42578125" style="1" bestFit="1" customWidth="1"/>
    <col min="21" max="21" width="8.42578125" style="1" bestFit="1" customWidth="1"/>
    <col min="22" max="22" width="17.28515625" style="1" bestFit="1" customWidth="1"/>
    <col min="23" max="23" width="12.85546875" style="1" bestFit="1" customWidth="1"/>
    <col min="24" max="24" width="25.140625" style="1" bestFit="1" customWidth="1"/>
    <col min="25" max="25" width="26.140625" style="1" bestFit="1" customWidth="1"/>
    <col min="26" max="26" width="25.5703125" style="1" bestFit="1" customWidth="1"/>
    <col min="27" max="27" width="26.5703125" style="1" bestFit="1" customWidth="1"/>
    <col min="28" max="28" width="11.42578125" style="1" customWidth="1"/>
    <col min="29" max="16384" width="11.42578125" style="1"/>
  </cols>
  <sheetData>
    <row r="1" spans="2:27" ht="26.25" x14ac:dyDescent="0.25">
      <c r="B1" s="75" t="s">
        <v>996</v>
      </c>
      <c r="C1" s="76"/>
      <c r="D1" s="76"/>
      <c r="E1" s="76"/>
      <c r="F1" s="76"/>
      <c r="G1" s="76"/>
      <c r="H1" s="76"/>
      <c r="I1" s="76"/>
      <c r="K1" s="234" t="s">
        <v>997</v>
      </c>
      <c r="L1" s="235"/>
      <c r="M1" s="235"/>
      <c r="N1" s="235"/>
      <c r="O1" s="235"/>
      <c r="P1" s="236"/>
      <c r="T1" s="234" t="s">
        <v>998</v>
      </c>
      <c r="U1" s="235"/>
      <c r="V1" s="235"/>
      <c r="W1" s="235"/>
      <c r="X1" s="235"/>
      <c r="Y1" s="235"/>
      <c r="Z1" s="235"/>
      <c r="AA1" s="236"/>
    </row>
    <row r="2" spans="2:27" ht="14.45" customHeight="1" x14ac:dyDescent="0.25">
      <c r="B2" s="125" t="s">
        <v>999</v>
      </c>
      <c r="C2" s="126" t="s">
        <v>1000</v>
      </c>
      <c r="D2" s="126" t="s">
        <v>22</v>
      </c>
      <c r="E2" s="126" t="s">
        <v>1001</v>
      </c>
      <c r="F2" s="104" t="s">
        <v>1002</v>
      </c>
      <c r="G2" s="104" t="s">
        <v>1003</v>
      </c>
      <c r="H2" s="104" t="s">
        <v>1004</v>
      </c>
      <c r="I2" s="127" t="s">
        <v>1005</v>
      </c>
      <c r="K2" s="79" t="s">
        <v>999</v>
      </c>
      <c r="L2" s="79" t="s">
        <v>22</v>
      </c>
      <c r="M2" s="79" t="s">
        <v>1009</v>
      </c>
      <c r="N2" s="79" t="s">
        <v>1010</v>
      </c>
      <c r="O2" s="79" t="s">
        <v>32</v>
      </c>
      <c r="P2" s="79" t="s">
        <v>34</v>
      </c>
      <c r="T2" s="78" t="s">
        <v>999</v>
      </c>
      <c r="U2" s="78" t="s">
        <v>22</v>
      </c>
      <c r="V2" s="78" t="s">
        <v>1009</v>
      </c>
      <c r="W2" s="78" t="s">
        <v>1012</v>
      </c>
      <c r="X2" s="78" t="s">
        <v>30</v>
      </c>
      <c r="Y2" s="78" t="s">
        <v>30</v>
      </c>
      <c r="Z2" s="78" t="s">
        <v>30</v>
      </c>
      <c r="AA2" s="78" t="s">
        <v>30</v>
      </c>
    </row>
    <row r="3" spans="2:27" x14ac:dyDescent="0.25">
      <c r="B3" s="171">
        <v>7006734</v>
      </c>
      <c r="C3" s="173" t="s">
        <v>1346</v>
      </c>
      <c r="D3" s="173" t="s">
        <v>904</v>
      </c>
      <c r="E3" s="173" t="s">
        <v>1007</v>
      </c>
      <c r="F3" s="174">
        <v>129990</v>
      </c>
      <c r="G3" s="104">
        <f t="shared" ref="G3:G16" si="0">F3/24</f>
        <v>5416.25</v>
      </c>
      <c r="H3" s="109">
        <v>199990</v>
      </c>
      <c r="I3" s="143">
        <f t="shared" ref="I3:I38" si="1">1-F3/H3</f>
        <v>0.3500175008750438</v>
      </c>
      <c r="K3" s="47"/>
      <c r="L3" s="47"/>
      <c r="M3" s="47"/>
      <c r="N3" s="47"/>
      <c r="T3" s="64">
        <v>70008658</v>
      </c>
      <c r="U3" s="47" t="s">
        <v>112</v>
      </c>
      <c r="V3" s="47" t="s">
        <v>1052</v>
      </c>
      <c r="W3" s="201">
        <v>24900</v>
      </c>
      <c r="X3" s="202">
        <v>24900</v>
      </c>
      <c r="Y3" s="202">
        <v>24900</v>
      </c>
      <c r="Z3" s="202">
        <v>24900</v>
      </c>
      <c r="AA3" s="203">
        <v>24900</v>
      </c>
    </row>
    <row r="4" spans="2:27" x14ac:dyDescent="0.25">
      <c r="B4" s="181">
        <v>7006735</v>
      </c>
      <c r="C4" s="172" t="s">
        <v>3363</v>
      </c>
      <c r="D4" s="172" t="s">
        <v>904</v>
      </c>
      <c r="E4" s="173" t="s">
        <v>1007</v>
      </c>
      <c r="F4" s="174">
        <v>129990</v>
      </c>
      <c r="G4" s="104">
        <f t="shared" si="0"/>
        <v>5416.25</v>
      </c>
      <c r="H4" s="105">
        <v>199990</v>
      </c>
      <c r="I4" s="143">
        <f t="shared" si="1"/>
        <v>0.3500175008750438</v>
      </c>
      <c r="K4" s="47"/>
      <c r="L4" s="47"/>
      <c r="M4" s="64"/>
      <c r="N4" s="47"/>
      <c r="O4" s="116"/>
      <c r="P4" s="116"/>
      <c r="T4" s="47"/>
      <c r="U4" s="47"/>
      <c r="V4" s="47"/>
      <c r="W4" s="117"/>
      <c r="X4" s="47"/>
      <c r="Y4" s="47"/>
      <c r="Z4" s="47"/>
      <c r="AA4" s="120"/>
    </row>
    <row r="5" spans="2:27" ht="14.45" customHeight="1" x14ac:dyDescent="0.25">
      <c r="B5" s="171">
        <v>7006910</v>
      </c>
      <c r="C5" s="173" t="s">
        <v>2871</v>
      </c>
      <c r="D5" s="173" t="s">
        <v>904</v>
      </c>
      <c r="E5" s="173" t="s">
        <v>1030</v>
      </c>
      <c r="F5" s="174">
        <v>99990</v>
      </c>
      <c r="G5" s="104">
        <f t="shared" si="0"/>
        <v>4166.25</v>
      </c>
      <c r="H5" s="105">
        <v>169990</v>
      </c>
      <c r="I5" s="143">
        <f t="shared" si="1"/>
        <v>0.41178892876051532</v>
      </c>
      <c r="K5" s="116"/>
      <c r="L5" s="116"/>
      <c r="M5" s="116"/>
      <c r="N5" s="116"/>
      <c r="O5" s="116"/>
      <c r="P5" s="116"/>
      <c r="T5" s="47"/>
      <c r="U5" s="47"/>
      <c r="V5" s="47"/>
      <c r="W5" s="117"/>
      <c r="X5" s="47"/>
      <c r="Y5" s="47"/>
      <c r="Z5" s="47"/>
      <c r="AA5" s="120"/>
    </row>
    <row r="6" spans="2:27" x14ac:dyDescent="0.25">
      <c r="B6" s="171">
        <v>7006911</v>
      </c>
      <c r="C6" s="173" t="s">
        <v>2872</v>
      </c>
      <c r="D6" s="173" t="s">
        <v>904</v>
      </c>
      <c r="E6" s="173" t="s">
        <v>1030</v>
      </c>
      <c r="F6" s="174">
        <v>99990</v>
      </c>
      <c r="G6" s="104">
        <f t="shared" si="0"/>
        <v>4166.25</v>
      </c>
      <c r="H6" s="105">
        <v>169990</v>
      </c>
      <c r="I6" s="143">
        <f t="shared" si="1"/>
        <v>0.41178892876051532</v>
      </c>
      <c r="K6" s="116"/>
      <c r="L6" s="116"/>
      <c r="M6" s="115"/>
      <c r="N6" s="116"/>
      <c r="O6" s="116"/>
      <c r="P6" s="116"/>
      <c r="T6" s="47"/>
      <c r="U6" s="47"/>
      <c r="V6" s="47"/>
      <c r="W6" s="117"/>
      <c r="X6" s="47"/>
      <c r="Y6" s="47"/>
      <c r="Z6" s="47"/>
      <c r="AA6" s="120"/>
    </row>
    <row r="7" spans="2:27" x14ac:dyDescent="0.25">
      <c r="B7" s="171">
        <v>7006731</v>
      </c>
      <c r="C7" s="173" t="s">
        <v>1351</v>
      </c>
      <c r="D7" s="173" t="s">
        <v>904</v>
      </c>
      <c r="E7" s="173" t="s">
        <v>1030</v>
      </c>
      <c r="F7" s="174">
        <v>129990</v>
      </c>
      <c r="G7" s="104">
        <f t="shared" si="0"/>
        <v>5416.25</v>
      </c>
      <c r="H7" s="109">
        <v>249990</v>
      </c>
      <c r="I7" s="143">
        <f t="shared" si="1"/>
        <v>0.48001920076803073</v>
      </c>
      <c r="K7" s="116"/>
      <c r="L7" s="116"/>
      <c r="M7" s="116"/>
      <c r="N7" s="118"/>
      <c r="T7" s="47"/>
      <c r="U7" s="47"/>
      <c r="V7" s="47"/>
      <c r="W7" s="117"/>
      <c r="X7" s="47"/>
      <c r="Y7" s="47"/>
      <c r="Z7" s="47"/>
      <c r="AA7" s="120"/>
    </row>
    <row r="8" spans="2:27" x14ac:dyDescent="0.25">
      <c r="B8" s="171">
        <v>7006542</v>
      </c>
      <c r="C8" s="173" t="s">
        <v>1343</v>
      </c>
      <c r="D8" s="173" t="s">
        <v>904</v>
      </c>
      <c r="E8" s="173" t="s">
        <v>1030</v>
      </c>
      <c r="F8" s="174">
        <v>129990</v>
      </c>
      <c r="G8" s="104">
        <f t="shared" si="0"/>
        <v>5416.25</v>
      </c>
      <c r="H8" s="109">
        <v>249990</v>
      </c>
      <c r="I8" s="143">
        <f t="shared" si="1"/>
        <v>0.48001920076803073</v>
      </c>
      <c r="M8" s="18"/>
      <c r="T8" s="47"/>
      <c r="U8" s="47"/>
      <c r="V8" s="47"/>
      <c r="W8" s="117"/>
      <c r="X8" s="47"/>
      <c r="Y8" s="47"/>
      <c r="Z8" s="47"/>
      <c r="AA8" s="120"/>
    </row>
    <row r="9" spans="2:27" x14ac:dyDescent="0.25">
      <c r="B9" s="171">
        <v>7006375</v>
      </c>
      <c r="C9" s="173" t="s">
        <v>1311</v>
      </c>
      <c r="D9" s="173" t="s">
        <v>904</v>
      </c>
      <c r="E9" s="173" t="s">
        <v>1030</v>
      </c>
      <c r="F9" s="174">
        <v>129990</v>
      </c>
      <c r="G9" s="104">
        <f t="shared" si="0"/>
        <v>5416.25</v>
      </c>
      <c r="H9" s="105">
        <v>249990</v>
      </c>
      <c r="I9" s="143">
        <f t="shared" si="1"/>
        <v>0.48001920076803073</v>
      </c>
      <c r="M9" s="18"/>
      <c r="T9" s="47"/>
      <c r="U9" s="47"/>
      <c r="V9" s="47"/>
      <c r="W9" s="117"/>
      <c r="X9" s="47"/>
      <c r="Y9" s="47"/>
      <c r="Z9" s="47"/>
      <c r="AA9" s="120"/>
    </row>
    <row r="10" spans="2:27" x14ac:dyDescent="0.25">
      <c r="B10" s="171">
        <v>7006543</v>
      </c>
      <c r="C10" s="173" t="s">
        <v>1342</v>
      </c>
      <c r="D10" s="173" t="s">
        <v>904</v>
      </c>
      <c r="E10" s="173" t="s">
        <v>1030</v>
      </c>
      <c r="F10" s="174">
        <v>129990</v>
      </c>
      <c r="G10" s="104">
        <f t="shared" si="0"/>
        <v>5416.25</v>
      </c>
      <c r="H10" s="109">
        <v>249990</v>
      </c>
      <c r="I10" s="143">
        <f t="shared" si="1"/>
        <v>0.48001920076803073</v>
      </c>
      <c r="M10" s="18"/>
      <c r="T10" s="47"/>
      <c r="U10" s="47"/>
      <c r="V10" s="47"/>
      <c r="W10" s="117"/>
      <c r="X10" s="47"/>
      <c r="Y10" s="47"/>
      <c r="Z10" s="47"/>
      <c r="AA10" s="120"/>
    </row>
    <row r="11" spans="2:27" x14ac:dyDescent="0.25">
      <c r="B11" s="171">
        <v>7006376</v>
      </c>
      <c r="C11" s="173" t="s">
        <v>1312</v>
      </c>
      <c r="D11" s="173" t="s">
        <v>904</v>
      </c>
      <c r="E11" s="173" t="s">
        <v>1030</v>
      </c>
      <c r="F11" s="174">
        <v>129990</v>
      </c>
      <c r="G11" s="104">
        <f t="shared" si="0"/>
        <v>5416.25</v>
      </c>
      <c r="H11" s="105">
        <v>249990</v>
      </c>
      <c r="I11" s="143">
        <f t="shared" si="1"/>
        <v>0.48001920076803073</v>
      </c>
      <c r="M11" s="18"/>
      <c r="T11" s="47"/>
      <c r="U11" s="47"/>
      <c r="V11" s="47"/>
      <c r="W11" s="117"/>
      <c r="X11" s="47"/>
      <c r="Y11" s="47"/>
      <c r="Z11" s="47"/>
      <c r="AA11" s="120"/>
    </row>
    <row r="12" spans="2:27" x14ac:dyDescent="0.25">
      <c r="B12" s="171">
        <v>7006730</v>
      </c>
      <c r="C12" s="173" t="s">
        <v>1350</v>
      </c>
      <c r="D12" s="173" t="s">
        <v>904</v>
      </c>
      <c r="E12" s="173" t="s">
        <v>1030</v>
      </c>
      <c r="F12" s="174">
        <v>129990</v>
      </c>
      <c r="G12" s="104">
        <f t="shared" si="0"/>
        <v>5416.25</v>
      </c>
      <c r="H12" s="109">
        <v>299990</v>
      </c>
      <c r="I12" s="143">
        <f t="shared" si="1"/>
        <v>0.56668555618520622</v>
      </c>
      <c r="M12" s="18"/>
      <c r="T12" s="47"/>
      <c r="U12" s="47"/>
      <c r="V12" s="47"/>
      <c r="W12" s="117"/>
      <c r="X12" s="47"/>
      <c r="Y12" s="47"/>
      <c r="Z12" s="47"/>
      <c r="AA12" s="120"/>
    </row>
    <row r="13" spans="2:27" x14ac:dyDescent="0.25">
      <c r="B13" s="171">
        <v>7006377</v>
      </c>
      <c r="C13" s="173" t="s">
        <v>1313</v>
      </c>
      <c r="D13" s="173" t="s">
        <v>904</v>
      </c>
      <c r="E13" s="173" t="s">
        <v>1030</v>
      </c>
      <c r="F13" s="174">
        <v>199990</v>
      </c>
      <c r="G13" s="104">
        <f t="shared" si="0"/>
        <v>8332.9166666666661</v>
      </c>
      <c r="H13" s="105">
        <v>349990</v>
      </c>
      <c r="I13" s="143">
        <f t="shared" si="1"/>
        <v>0.428583673819252</v>
      </c>
      <c r="T13" s="47"/>
      <c r="U13" s="47"/>
      <c r="V13" s="47"/>
      <c r="W13" s="117"/>
      <c r="X13" s="47"/>
      <c r="Y13" s="47"/>
      <c r="Z13" s="47"/>
      <c r="AA13" s="120"/>
    </row>
    <row r="14" spans="2:27" x14ac:dyDescent="0.25">
      <c r="B14" s="171">
        <v>7006544</v>
      </c>
      <c r="C14" s="173" t="s">
        <v>1344</v>
      </c>
      <c r="D14" s="173" t="s">
        <v>904</v>
      </c>
      <c r="E14" s="173" t="s">
        <v>1030</v>
      </c>
      <c r="F14" s="174">
        <v>199990</v>
      </c>
      <c r="G14" s="104">
        <f t="shared" si="0"/>
        <v>8332.9166666666661</v>
      </c>
      <c r="H14" s="109">
        <v>349990</v>
      </c>
      <c r="I14" s="143">
        <f t="shared" si="1"/>
        <v>0.428583673819252</v>
      </c>
      <c r="K14" s="116"/>
      <c r="L14" s="116"/>
      <c r="M14" s="116"/>
      <c r="N14" s="116"/>
      <c r="O14" s="116"/>
      <c r="P14" s="116"/>
      <c r="T14" s="64">
        <v>70008307</v>
      </c>
      <c r="U14" s="47" t="s">
        <v>904</v>
      </c>
      <c r="V14" s="47" t="s">
        <v>1044</v>
      </c>
      <c r="W14" s="201">
        <v>114900</v>
      </c>
      <c r="X14" s="202">
        <v>114900</v>
      </c>
      <c r="Y14" s="202">
        <v>114900</v>
      </c>
      <c r="Z14" s="202">
        <v>114900</v>
      </c>
      <c r="AA14" s="203">
        <v>114900</v>
      </c>
    </row>
    <row r="15" spans="2:27" x14ac:dyDescent="0.25">
      <c r="B15" s="171">
        <v>7006754</v>
      </c>
      <c r="C15" s="173" t="s">
        <v>2877</v>
      </c>
      <c r="D15" s="173" t="s">
        <v>904</v>
      </c>
      <c r="E15" s="173" t="s">
        <v>1030</v>
      </c>
      <c r="F15" s="174">
        <v>32990</v>
      </c>
      <c r="G15" s="104">
        <f t="shared" si="0"/>
        <v>1374.5833333333333</v>
      </c>
      <c r="H15" s="105">
        <v>49990</v>
      </c>
      <c r="I15" s="143">
        <f t="shared" si="1"/>
        <v>0.34006801360272054</v>
      </c>
      <c r="T15" s="47"/>
      <c r="U15" s="47"/>
      <c r="V15" s="47"/>
      <c r="W15" s="117"/>
      <c r="X15" s="47"/>
      <c r="Y15" s="47"/>
      <c r="Z15" s="47"/>
      <c r="AA15" s="120"/>
    </row>
    <row r="16" spans="2:27" x14ac:dyDescent="0.25">
      <c r="B16" s="171">
        <v>7006753</v>
      </c>
      <c r="C16" s="173" t="s">
        <v>2878</v>
      </c>
      <c r="D16" s="173" t="s">
        <v>904</v>
      </c>
      <c r="E16" s="173" t="s">
        <v>1030</v>
      </c>
      <c r="F16" s="174">
        <v>32990</v>
      </c>
      <c r="G16" s="104">
        <f t="shared" si="0"/>
        <v>1374.5833333333333</v>
      </c>
      <c r="H16" s="105">
        <v>49990</v>
      </c>
      <c r="I16" s="143">
        <f t="shared" si="1"/>
        <v>0.34006801360272054</v>
      </c>
      <c r="T16" s="47"/>
      <c r="U16" s="47"/>
      <c r="V16" s="47"/>
      <c r="W16" s="117"/>
      <c r="X16" s="47"/>
      <c r="Y16" s="47"/>
      <c r="Z16" s="47"/>
      <c r="AA16" s="120"/>
    </row>
    <row r="17" spans="2:27" x14ac:dyDescent="0.25">
      <c r="B17" s="191">
        <v>7007790</v>
      </c>
      <c r="C17" s="192" t="s">
        <v>4682</v>
      </c>
      <c r="D17" s="135" t="s">
        <v>1496</v>
      </c>
      <c r="E17" s="104" t="s">
        <v>4683</v>
      </c>
      <c r="F17" s="150">
        <v>14990</v>
      </c>
      <c r="G17" s="150">
        <f t="shared" ref="G17:G32" si="2">+F17/24</f>
        <v>624.58333333333337</v>
      </c>
      <c r="H17" s="193">
        <v>19990</v>
      </c>
      <c r="I17" s="194">
        <f t="shared" si="1"/>
        <v>0.25012506253126565</v>
      </c>
      <c r="K17" s="116"/>
      <c r="L17" s="116"/>
      <c r="M17" s="116"/>
      <c r="N17" s="116"/>
      <c r="T17" s="47"/>
      <c r="U17" s="47"/>
      <c r="V17" s="47"/>
      <c r="W17" s="47"/>
      <c r="X17" s="47"/>
      <c r="Y17" s="47"/>
      <c r="Z17" s="47"/>
      <c r="AA17" s="47"/>
    </row>
    <row r="18" spans="2:27" x14ac:dyDescent="0.25">
      <c r="B18" s="191">
        <v>7007791</v>
      </c>
      <c r="C18" s="192" t="s">
        <v>4684</v>
      </c>
      <c r="D18" s="135" t="s">
        <v>1496</v>
      </c>
      <c r="E18" s="104" t="s">
        <v>4683</v>
      </c>
      <c r="F18" s="150">
        <v>29990</v>
      </c>
      <c r="G18" s="150">
        <f t="shared" si="2"/>
        <v>1249.5833333333333</v>
      </c>
      <c r="H18" s="193">
        <v>49990</v>
      </c>
      <c r="I18" s="194">
        <f t="shared" si="1"/>
        <v>0.40008001600320064</v>
      </c>
      <c r="K18" s="116"/>
      <c r="L18" s="116"/>
      <c r="M18" s="116"/>
      <c r="N18" s="116"/>
      <c r="T18" s="116"/>
      <c r="U18" s="116"/>
      <c r="V18" s="116"/>
      <c r="W18" s="116"/>
      <c r="X18" s="116"/>
      <c r="Y18" s="116"/>
      <c r="Z18" s="116"/>
      <c r="AA18" s="116"/>
    </row>
    <row r="19" spans="2:27" x14ac:dyDescent="0.25">
      <c r="B19" s="191">
        <v>7007704</v>
      </c>
      <c r="C19" s="192" t="s">
        <v>4685</v>
      </c>
      <c r="D19" s="135" t="s">
        <v>4686</v>
      </c>
      <c r="E19" s="104" t="s">
        <v>4444</v>
      </c>
      <c r="F19" s="150">
        <v>16990</v>
      </c>
      <c r="G19" s="150">
        <f t="shared" si="2"/>
        <v>707.91666666666663</v>
      </c>
      <c r="H19" s="193">
        <v>29990</v>
      </c>
      <c r="I19" s="194">
        <f t="shared" si="1"/>
        <v>0.4334778259419807</v>
      </c>
      <c r="T19" s="116"/>
      <c r="U19" s="116"/>
      <c r="V19" s="116"/>
      <c r="W19" s="116"/>
      <c r="X19" s="116"/>
      <c r="Y19" s="116"/>
      <c r="Z19" s="116"/>
      <c r="AA19" s="116"/>
    </row>
    <row r="20" spans="2:27" x14ac:dyDescent="0.25">
      <c r="B20" s="191">
        <v>7007706</v>
      </c>
      <c r="C20" s="192" t="s">
        <v>4687</v>
      </c>
      <c r="D20" s="135" t="s">
        <v>4686</v>
      </c>
      <c r="E20" s="104" t="s">
        <v>4444</v>
      </c>
      <c r="F20" s="150">
        <v>16990</v>
      </c>
      <c r="G20" s="150">
        <f t="shared" si="2"/>
        <v>707.91666666666663</v>
      </c>
      <c r="H20" s="193">
        <v>29990</v>
      </c>
      <c r="I20" s="194">
        <f t="shared" si="1"/>
        <v>0.4334778259419807</v>
      </c>
      <c r="T20" s="116"/>
      <c r="U20" s="116"/>
      <c r="V20" s="116"/>
      <c r="W20" s="116"/>
      <c r="X20" s="116"/>
      <c r="Y20" s="116"/>
      <c r="Z20" s="116"/>
      <c r="AA20" s="116"/>
    </row>
    <row r="21" spans="2:27" x14ac:dyDescent="0.25">
      <c r="B21" s="191">
        <v>7007707</v>
      </c>
      <c r="C21" s="192" t="s">
        <v>4688</v>
      </c>
      <c r="D21" s="135" t="s">
        <v>4686</v>
      </c>
      <c r="E21" s="104" t="s">
        <v>4444</v>
      </c>
      <c r="F21" s="150">
        <v>29990</v>
      </c>
      <c r="G21" s="150">
        <f t="shared" si="2"/>
        <v>1249.5833333333333</v>
      </c>
      <c r="H21" s="193">
        <v>49990</v>
      </c>
      <c r="I21" s="194">
        <f t="shared" si="1"/>
        <v>0.40008001600320064</v>
      </c>
      <c r="T21" s="116"/>
      <c r="U21" s="116"/>
      <c r="V21" s="116"/>
      <c r="W21" s="116"/>
      <c r="X21" s="116"/>
      <c r="Y21" s="116"/>
      <c r="Z21" s="116"/>
      <c r="AA21" s="116"/>
    </row>
    <row r="22" spans="2:27" x14ac:dyDescent="0.25">
      <c r="B22" s="191">
        <v>7007708</v>
      </c>
      <c r="C22" s="192" t="s">
        <v>4689</v>
      </c>
      <c r="D22" s="135" t="s">
        <v>4686</v>
      </c>
      <c r="E22" s="104" t="s">
        <v>4444</v>
      </c>
      <c r="F22" s="150">
        <v>29990</v>
      </c>
      <c r="G22" s="150">
        <f t="shared" si="2"/>
        <v>1249.5833333333333</v>
      </c>
      <c r="H22" s="193">
        <v>49990</v>
      </c>
      <c r="I22" s="194">
        <f t="shared" si="1"/>
        <v>0.40008001600320064</v>
      </c>
      <c r="T22" s="116"/>
      <c r="U22" s="116"/>
      <c r="V22" s="116"/>
      <c r="W22" s="116"/>
      <c r="X22" s="116"/>
      <c r="Y22" s="116"/>
      <c r="Z22" s="116"/>
      <c r="AA22" s="116"/>
    </row>
    <row r="23" spans="2:27" x14ac:dyDescent="0.25">
      <c r="B23" s="191">
        <v>7007709</v>
      </c>
      <c r="C23" s="192" t="s">
        <v>4690</v>
      </c>
      <c r="D23" s="135" t="s">
        <v>4686</v>
      </c>
      <c r="E23" s="104" t="s">
        <v>4691</v>
      </c>
      <c r="F23" s="150">
        <v>29990</v>
      </c>
      <c r="G23" s="150">
        <f t="shared" si="2"/>
        <v>1249.5833333333333</v>
      </c>
      <c r="H23" s="193">
        <v>49990</v>
      </c>
      <c r="I23" s="194">
        <f t="shared" si="1"/>
        <v>0.40008001600320064</v>
      </c>
      <c r="T23" s="116"/>
      <c r="U23" s="116"/>
      <c r="V23" s="116"/>
      <c r="W23" s="116"/>
      <c r="X23" s="116"/>
      <c r="Y23" s="116"/>
      <c r="Z23" s="116"/>
      <c r="AA23" s="116"/>
    </row>
    <row r="24" spans="2:27" x14ac:dyDescent="0.25">
      <c r="B24" s="191">
        <v>7007701</v>
      </c>
      <c r="C24" s="192" t="s">
        <v>4692</v>
      </c>
      <c r="D24" s="135" t="s">
        <v>4693</v>
      </c>
      <c r="E24" s="104" t="s">
        <v>4683</v>
      </c>
      <c r="F24" s="150">
        <v>14990</v>
      </c>
      <c r="G24" s="150">
        <f t="shared" si="2"/>
        <v>624.58333333333337</v>
      </c>
      <c r="H24" s="193">
        <v>29990</v>
      </c>
      <c r="I24" s="194">
        <f t="shared" si="1"/>
        <v>0.50016672224074687</v>
      </c>
      <c r="T24" s="116"/>
      <c r="U24" s="116"/>
      <c r="V24" s="116"/>
      <c r="W24" s="116"/>
      <c r="X24" s="116"/>
      <c r="Y24" s="116"/>
      <c r="Z24" s="116"/>
      <c r="AA24" s="116"/>
    </row>
    <row r="25" spans="2:27" x14ac:dyDescent="0.25">
      <c r="B25" s="191">
        <v>7007681</v>
      </c>
      <c r="C25" s="192" t="s">
        <v>4694</v>
      </c>
      <c r="D25" s="135" t="s">
        <v>4695</v>
      </c>
      <c r="E25" s="104" t="s">
        <v>4444</v>
      </c>
      <c r="F25" s="150">
        <v>64990</v>
      </c>
      <c r="G25" s="150">
        <f t="shared" si="2"/>
        <v>2707.9166666666665</v>
      </c>
      <c r="H25" s="150">
        <v>64990</v>
      </c>
      <c r="I25" s="194">
        <f t="shared" si="1"/>
        <v>0</v>
      </c>
      <c r="T25" s="116"/>
      <c r="U25" s="116"/>
      <c r="V25" s="116"/>
      <c r="W25" s="116"/>
      <c r="X25" s="116"/>
      <c r="Y25" s="116"/>
      <c r="Z25" s="116"/>
      <c r="AA25" s="116"/>
    </row>
    <row r="26" spans="2:27" x14ac:dyDescent="0.25">
      <c r="B26" s="191">
        <v>7007682</v>
      </c>
      <c r="C26" s="192" t="s">
        <v>4696</v>
      </c>
      <c r="D26" s="135" t="s">
        <v>4695</v>
      </c>
      <c r="E26" s="104" t="s">
        <v>4444</v>
      </c>
      <c r="F26" s="150">
        <v>64990</v>
      </c>
      <c r="G26" s="150">
        <f t="shared" si="2"/>
        <v>2707.9166666666665</v>
      </c>
      <c r="H26" s="150">
        <v>64990</v>
      </c>
      <c r="I26" s="194">
        <f t="shared" si="1"/>
        <v>0</v>
      </c>
      <c r="T26" s="116"/>
      <c r="U26" s="116"/>
      <c r="V26" s="116"/>
      <c r="W26" s="116"/>
      <c r="X26" s="116"/>
      <c r="Y26" s="116"/>
      <c r="Z26" s="116"/>
      <c r="AA26" s="116"/>
    </row>
    <row r="27" spans="2:27" x14ac:dyDescent="0.25">
      <c r="B27" s="191">
        <v>7007685</v>
      </c>
      <c r="C27" s="192" t="s">
        <v>4697</v>
      </c>
      <c r="D27" s="135" t="s">
        <v>4695</v>
      </c>
      <c r="E27" s="104" t="s">
        <v>4444</v>
      </c>
      <c r="F27" s="150">
        <v>159990</v>
      </c>
      <c r="G27" s="150">
        <f t="shared" si="2"/>
        <v>6666.25</v>
      </c>
      <c r="H27" s="150">
        <v>159990</v>
      </c>
      <c r="I27" s="194">
        <f t="shared" si="1"/>
        <v>0</v>
      </c>
      <c r="T27" s="116"/>
      <c r="U27" s="116"/>
      <c r="V27" s="116"/>
      <c r="W27" s="116"/>
      <c r="X27" s="116"/>
      <c r="Y27" s="116"/>
      <c r="Z27" s="116"/>
      <c r="AA27" s="116"/>
    </row>
    <row r="28" spans="2:27" x14ac:dyDescent="0.25">
      <c r="B28" s="191">
        <v>7007686</v>
      </c>
      <c r="C28" s="192" t="s">
        <v>4698</v>
      </c>
      <c r="D28" s="135" t="s">
        <v>4695</v>
      </c>
      <c r="E28" s="104" t="s">
        <v>4444</v>
      </c>
      <c r="F28" s="150">
        <v>159990</v>
      </c>
      <c r="G28" s="150">
        <f t="shared" si="2"/>
        <v>6666.25</v>
      </c>
      <c r="H28" s="150">
        <v>159990</v>
      </c>
      <c r="I28" s="194">
        <f t="shared" si="1"/>
        <v>0</v>
      </c>
      <c r="T28" s="116"/>
      <c r="U28" s="116"/>
      <c r="V28" s="116"/>
      <c r="W28" s="116"/>
      <c r="X28" s="116"/>
      <c r="Y28" s="116"/>
      <c r="Z28" s="116"/>
      <c r="AA28" s="116"/>
    </row>
    <row r="29" spans="2:27" x14ac:dyDescent="0.25">
      <c r="B29" s="191">
        <v>7007691</v>
      </c>
      <c r="C29" s="192" t="s">
        <v>4699</v>
      </c>
      <c r="D29" s="135" t="s">
        <v>4695</v>
      </c>
      <c r="E29" s="104" t="s">
        <v>4444</v>
      </c>
      <c r="F29" s="150">
        <v>379990</v>
      </c>
      <c r="G29" s="150">
        <f t="shared" si="2"/>
        <v>15832.916666666666</v>
      </c>
      <c r="H29" s="150">
        <v>379990</v>
      </c>
      <c r="I29" s="194">
        <f t="shared" si="1"/>
        <v>0</v>
      </c>
      <c r="T29" s="116"/>
      <c r="U29" s="116"/>
      <c r="V29" s="116"/>
      <c r="W29" s="116"/>
      <c r="X29" s="116"/>
      <c r="Y29" s="116"/>
      <c r="Z29" s="116"/>
      <c r="AA29" s="116"/>
    </row>
    <row r="30" spans="2:27" x14ac:dyDescent="0.25">
      <c r="B30" s="191">
        <v>7007690</v>
      </c>
      <c r="C30" s="192" t="s">
        <v>4700</v>
      </c>
      <c r="D30" s="135" t="s">
        <v>4695</v>
      </c>
      <c r="E30" s="104" t="s">
        <v>4444</v>
      </c>
      <c r="F30" s="150">
        <v>379990</v>
      </c>
      <c r="G30" s="150">
        <f t="shared" si="2"/>
        <v>15832.916666666666</v>
      </c>
      <c r="H30" s="150">
        <v>379990</v>
      </c>
      <c r="I30" s="194">
        <f t="shared" si="1"/>
        <v>0</v>
      </c>
      <c r="T30" s="116"/>
      <c r="U30" s="116"/>
      <c r="V30" s="116"/>
      <c r="W30" s="116"/>
      <c r="X30" s="116"/>
      <c r="Y30" s="116"/>
      <c r="Z30" s="116"/>
      <c r="AA30" s="116"/>
    </row>
    <row r="31" spans="2:27" x14ac:dyDescent="0.25">
      <c r="B31" s="191">
        <v>7007694</v>
      </c>
      <c r="C31" s="192" t="s">
        <v>4701</v>
      </c>
      <c r="D31" s="135" t="s">
        <v>4695</v>
      </c>
      <c r="E31" s="104" t="s">
        <v>4444</v>
      </c>
      <c r="F31" s="150">
        <v>289990</v>
      </c>
      <c r="G31" s="150">
        <f t="shared" si="2"/>
        <v>12082.916666666666</v>
      </c>
      <c r="H31" s="150">
        <v>289990</v>
      </c>
      <c r="I31" s="194">
        <f t="shared" si="1"/>
        <v>0</v>
      </c>
      <c r="T31" s="116"/>
      <c r="U31" s="116"/>
      <c r="V31" s="116"/>
      <c r="W31" s="116"/>
      <c r="X31" s="116"/>
      <c r="Y31" s="116"/>
      <c r="Z31" s="116"/>
      <c r="AA31" s="116"/>
    </row>
    <row r="32" spans="2:27" x14ac:dyDescent="0.25">
      <c r="B32" s="191">
        <v>7007693</v>
      </c>
      <c r="C32" s="192" t="s">
        <v>4702</v>
      </c>
      <c r="D32" s="135" t="s">
        <v>4695</v>
      </c>
      <c r="E32" s="104" t="s">
        <v>4444</v>
      </c>
      <c r="F32" s="150">
        <v>289990</v>
      </c>
      <c r="G32" s="150">
        <f t="shared" si="2"/>
        <v>12082.916666666666</v>
      </c>
      <c r="H32" s="150">
        <v>289990</v>
      </c>
      <c r="I32" s="194">
        <f t="shared" si="1"/>
        <v>0</v>
      </c>
    </row>
    <row r="33" spans="2:27" x14ac:dyDescent="0.25">
      <c r="B33" s="103">
        <v>7006912</v>
      </c>
      <c r="C33" s="94" t="s">
        <v>2873</v>
      </c>
      <c r="D33" s="94" t="s">
        <v>904</v>
      </c>
      <c r="E33" s="94" t="s">
        <v>1030</v>
      </c>
      <c r="F33" s="104">
        <v>174990</v>
      </c>
      <c r="G33" s="104">
        <f>F33/24</f>
        <v>7291.25</v>
      </c>
      <c r="H33" s="105">
        <v>299990</v>
      </c>
      <c r="I33" s="143">
        <f t="shared" si="1"/>
        <v>0.41668055601853393</v>
      </c>
      <c r="K33" s="116"/>
      <c r="L33" s="116"/>
      <c r="M33" s="116"/>
      <c r="N33" s="116"/>
      <c r="T33" s="116"/>
      <c r="U33" s="116"/>
      <c r="V33" s="116"/>
      <c r="W33" s="116"/>
      <c r="X33" s="116"/>
      <c r="Y33" s="116"/>
      <c r="Z33" s="116"/>
      <c r="AA33" s="116"/>
    </row>
    <row r="34" spans="2:27" ht="30" x14ac:dyDescent="0.25">
      <c r="B34" s="103">
        <v>7006913</v>
      </c>
      <c r="C34" s="94" t="s">
        <v>2874</v>
      </c>
      <c r="D34" s="94" t="s">
        <v>904</v>
      </c>
      <c r="E34" s="94" t="s">
        <v>1030</v>
      </c>
      <c r="F34" s="104">
        <v>174990</v>
      </c>
      <c r="G34" s="104">
        <f>F34/24</f>
        <v>7291.25</v>
      </c>
      <c r="H34" s="105">
        <v>299990</v>
      </c>
      <c r="I34" s="143">
        <f t="shared" si="1"/>
        <v>0.41668055601853393</v>
      </c>
      <c r="K34" s="113">
        <v>70004689</v>
      </c>
      <c r="L34" s="113" t="s">
        <v>1014</v>
      </c>
      <c r="M34" s="113" t="s">
        <v>1015</v>
      </c>
      <c r="N34" s="114">
        <v>29900</v>
      </c>
      <c r="O34" s="114">
        <v>0</v>
      </c>
      <c r="P34" s="124">
        <v>4000</v>
      </c>
      <c r="T34" s="115">
        <v>70002524</v>
      </c>
      <c r="U34" s="116" t="s">
        <v>904</v>
      </c>
      <c r="V34" s="116" t="s">
        <v>1020</v>
      </c>
      <c r="W34" s="118">
        <v>39900</v>
      </c>
      <c r="X34" s="119">
        <v>0</v>
      </c>
      <c r="Y34" s="119">
        <v>2.099999998645216E-3</v>
      </c>
      <c r="Z34" s="119">
        <v>2.099999998645216E-3</v>
      </c>
      <c r="AA34" s="119">
        <v>0</v>
      </c>
    </row>
    <row r="35" spans="2:27" x14ac:dyDescent="0.25">
      <c r="B35" s="107">
        <v>70015113</v>
      </c>
      <c r="C35" s="122" t="s">
        <v>4075</v>
      </c>
      <c r="D35" s="122" t="s">
        <v>4074</v>
      </c>
      <c r="E35" s="122" t="s">
        <v>1041</v>
      </c>
      <c r="F35" s="135">
        <v>119990</v>
      </c>
      <c r="G35" s="104">
        <f>F35/24</f>
        <v>4999.583333333333</v>
      </c>
      <c r="H35" s="142">
        <v>129990</v>
      </c>
      <c r="I35" s="143">
        <f t="shared" si="1"/>
        <v>7.6928994538041362E-2</v>
      </c>
      <c r="T35" s="116"/>
      <c r="U35" s="116"/>
      <c r="V35" s="116"/>
      <c r="W35" s="116"/>
      <c r="X35" s="116"/>
      <c r="Y35" s="116"/>
      <c r="Z35" s="116"/>
      <c r="AA35" s="116"/>
    </row>
    <row r="36" spans="2:27" x14ac:dyDescent="0.25">
      <c r="B36" s="107">
        <v>7007248</v>
      </c>
      <c r="C36" s="158" t="s">
        <v>4070</v>
      </c>
      <c r="D36" s="159" t="s">
        <v>4605</v>
      </c>
      <c r="E36" s="105" t="s">
        <v>4606</v>
      </c>
      <c r="F36" s="150">
        <v>569990</v>
      </c>
      <c r="G36" s="150">
        <f>+F36/24</f>
        <v>23749.583333333332</v>
      </c>
      <c r="H36" s="160">
        <v>649990</v>
      </c>
      <c r="I36" s="161">
        <f t="shared" si="1"/>
        <v>0.12307881659717845</v>
      </c>
      <c r="K36" s="116"/>
      <c r="L36" s="116"/>
      <c r="M36" s="116"/>
      <c r="N36" s="116"/>
      <c r="T36" s="115">
        <v>70002670</v>
      </c>
      <c r="U36" s="116" t="s">
        <v>1032</v>
      </c>
      <c r="V36" s="116" t="s">
        <v>1033</v>
      </c>
      <c r="W36" s="118">
        <v>64900</v>
      </c>
      <c r="X36" s="119">
        <v>44900.003199999999</v>
      </c>
      <c r="Y36" s="119">
        <v>29900.0056</v>
      </c>
      <c r="Z36" s="119">
        <v>14900</v>
      </c>
      <c r="AA36" s="119">
        <v>9900.0000000000018</v>
      </c>
    </row>
    <row r="37" spans="2:27" ht="30" x14ac:dyDescent="0.25">
      <c r="B37" s="103">
        <v>7006379</v>
      </c>
      <c r="C37" s="94" t="s">
        <v>1119</v>
      </c>
      <c r="D37" s="94" t="s">
        <v>87</v>
      </c>
      <c r="E37" s="94" t="s">
        <v>1007</v>
      </c>
      <c r="F37" s="104">
        <v>9990</v>
      </c>
      <c r="G37" s="104">
        <f>F37/24</f>
        <v>416.25</v>
      </c>
      <c r="H37" s="105">
        <v>21990</v>
      </c>
      <c r="I37" s="143">
        <f t="shared" si="1"/>
        <v>0.54570259208731242</v>
      </c>
      <c r="K37" s="141">
        <v>70009119</v>
      </c>
      <c r="L37" s="113" t="s">
        <v>1014</v>
      </c>
      <c r="M37" s="113" t="s">
        <v>1035</v>
      </c>
      <c r="N37" s="114">
        <v>59900</v>
      </c>
      <c r="O37" s="116"/>
      <c r="P37" s="116"/>
      <c r="T37" s="115">
        <v>70002626</v>
      </c>
      <c r="U37" s="116" t="s">
        <v>112</v>
      </c>
      <c r="V37" s="116" t="s">
        <v>1026</v>
      </c>
      <c r="W37" s="118">
        <v>44900</v>
      </c>
      <c r="X37" s="119">
        <v>2.899999997716804E-3</v>
      </c>
      <c r="Y37" s="119">
        <v>2.899999997716804E-3</v>
      </c>
      <c r="Z37" s="119">
        <v>2.899999997716804E-3</v>
      </c>
      <c r="AA37" s="119">
        <v>0</v>
      </c>
    </row>
    <row r="38" spans="2:27" x14ac:dyDescent="0.25">
      <c r="B38" s="107">
        <v>7006938</v>
      </c>
      <c r="C38" s="106" t="s">
        <v>3361</v>
      </c>
      <c r="D38" s="106" t="s">
        <v>3305</v>
      </c>
      <c r="E38" s="94" t="s">
        <v>1030</v>
      </c>
      <c r="F38" s="104">
        <v>139990</v>
      </c>
      <c r="G38" s="104">
        <f>F38/24</f>
        <v>5832.916666666667</v>
      </c>
      <c r="H38" s="105">
        <v>149990</v>
      </c>
      <c r="I38" s="143">
        <f t="shared" si="1"/>
        <v>6.6671111407427208E-2</v>
      </c>
      <c r="T38" s="116"/>
      <c r="U38" s="116"/>
      <c r="V38" s="116"/>
      <c r="W38" s="116"/>
      <c r="X38" s="116"/>
      <c r="Y38" s="116"/>
      <c r="Z38" s="116"/>
      <c r="AA38" s="116"/>
    </row>
    <row r="39" spans="2:27" x14ac:dyDescent="0.25">
      <c r="B39" s="107">
        <v>7007095</v>
      </c>
      <c r="C39" s="122" t="s">
        <v>4443</v>
      </c>
      <c r="D39" s="123" t="s">
        <v>1496</v>
      </c>
      <c r="E39" s="105" t="s">
        <v>4444</v>
      </c>
      <c r="F39" s="150">
        <v>39990</v>
      </c>
      <c r="G39" s="147">
        <v>2082.9166666666665</v>
      </c>
      <c r="H39" s="148">
        <v>59990</v>
      </c>
      <c r="I39" s="149">
        <v>0.17</v>
      </c>
      <c r="K39" s="116"/>
      <c r="L39" s="116"/>
      <c r="M39" s="116"/>
      <c r="N39" s="116"/>
      <c r="O39" s="116"/>
      <c r="P39" s="116"/>
      <c r="T39" s="116"/>
      <c r="U39" s="116"/>
      <c r="V39" s="116"/>
      <c r="W39" s="116"/>
      <c r="X39" s="116"/>
      <c r="Y39" s="116"/>
      <c r="Z39" s="116"/>
      <c r="AA39" s="116"/>
    </row>
    <row r="40" spans="2:27" x14ac:dyDescent="0.25">
      <c r="B40" s="107">
        <v>7007096</v>
      </c>
      <c r="C40" s="122" t="s">
        <v>4445</v>
      </c>
      <c r="D40" s="123" t="s">
        <v>1496</v>
      </c>
      <c r="E40" s="105" t="s">
        <v>4444</v>
      </c>
      <c r="F40" s="150">
        <v>39990</v>
      </c>
      <c r="G40" s="147">
        <v>2082.9166666666665</v>
      </c>
      <c r="H40" s="148">
        <v>59990</v>
      </c>
      <c r="I40" s="149">
        <v>0.17</v>
      </c>
      <c r="K40" s="116"/>
      <c r="L40" s="116"/>
      <c r="M40" s="116"/>
      <c r="N40" s="116"/>
      <c r="O40" s="116"/>
      <c r="P40" s="116"/>
      <c r="T40" s="116"/>
      <c r="U40" s="116"/>
      <c r="V40" s="116"/>
      <c r="W40" s="116"/>
      <c r="X40" s="116"/>
      <c r="Y40" s="116"/>
      <c r="Z40" s="116"/>
      <c r="AA40" s="116"/>
    </row>
    <row r="41" spans="2:27" x14ac:dyDescent="0.25">
      <c r="B41" s="107">
        <v>7006939</v>
      </c>
      <c r="C41" s="106" t="s">
        <v>3362</v>
      </c>
      <c r="D41" s="106" t="s">
        <v>3305</v>
      </c>
      <c r="E41" s="94" t="s">
        <v>1030</v>
      </c>
      <c r="F41" s="104">
        <v>189990</v>
      </c>
      <c r="G41" s="104">
        <f>F41/24</f>
        <v>7916.25</v>
      </c>
      <c r="H41" s="105">
        <v>209990</v>
      </c>
      <c r="I41" s="143">
        <f t="shared" ref="I41:I72" si="3">1-F41/H41</f>
        <v>9.5242630601457212E-2</v>
      </c>
      <c r="T41" s="116"/>
      <c r="U41" s="116"/>
      <c r="V41" s="116"/>
      <c r="W41" s="116"/>
      <c r="X41" s="116"/>
      <c r="Y41" s="116"/>
      <c r="Z41" s="116"/>
      <c r="AA41" s="116"/>
    </row>
    <row r="42" spans="2:27" x14ac:dyDescent="0.25">
      <c r="B42" s="107">
        <v>7007309</v>
      </c>
      <c r="C42" s="158" t="s">
        <v>4646</v>
      </c>
      <c r="D42" s="180" t="s">
        <v>1496</v>
      </c>
      <c r="E42" s="105" t="s">
        <v>4444</v>
      </c>
      <c r="F42" s="150">
        <v>119990</v>
      </c>
      <c r="G42" s="150">
        <f>+F42/24</f>
        <v>4999.583333333333</v>
      </c>
      <c r="H42" s="160">
        <v>139990</v>
      </c>
      <c r="I42" s="161">
        <f t="shared" si="3"/>
        <v>0.1428673476676906</v>
      </c>
      <c r="K42" s="116"/>
      <c r="L42" s="116"/>
      <c r="M42" s="116"/>
      <c r="N42" s="116"/>
      <c r="T42" s="116"/>
      <c r="U42" s="116"/>
      <c r="V42" s="116"/>
      <c r="W42" s="116"/>
      <c r="X42" s="116"/>
      <c r="Y42" s="116"/>
      <c r="Z42" s="116"/>
      <c r="AA42" s="116"/>
    </row>
    <row r="43" spans="2:27" x14ac:dyDescent="0.25">
      <c r="B43" s="103">
        <v>7005332</v>
      </c>
      <c r="C43" s="106" t="s">
        <v>1132</v>
      </c>
      <c r="D43" s="94" t="s">
        <v>1128</v>
      </c>
      <c r="E43" s="94" t="s">
        <v>1018</v>
      </c>
      <c r="F43" s="104">
        <v>7990</v>
      </c>
      <c r="G43" s="104">
        <f t="shared" ref="G43:G68" si="4">F43/24</f>
        <v>332.91666666666669</v>
      </c>
      <c r="H43" s="105">
        <v>49990</v>
      </c>
      <c r="I43" s="143">
        <f t="shared" si="3"/>
        <v>0.84016803360672132</v>
      </c>
      <c r="K43" s="116"/>
      <c r="L43" s="116"/>
      <c r="M43" s="116"/>
      <c r="N43" s="116"/>
      <c r="T43" s="116"/>
      <c r="U43" s="116"/>
      <c r="V43" s="116"/>
      <c r="W43" s="116"/>
      <c r="X43" s="116"/>
      <c r="Y43" s="116"/>
      <c r="Z43" s="116"/>
      <c r="AA43" s="116"/>
    </row>
    <row r="44" spans="2:27" x14ac:dyDescent="0.25">
      <c r="B44" s="103">
        <v>7006914</v>
      </c>
      <c r="C44" s="94" t="s">
        <v>2875</v>
      </c>
      <c r="D44" s="94" t="s">
        <v>904</v>
      </c>
      <c r="E44" s="94" t="s">
        <v>1030</v>
      </c>
      <c r="F44" s="104">
        <v>94990</v>
      </c>
      <c r="G44" s="104">
        <f t="shared" si="4"/>
        <v>3957.9166666666665</v>
      </c>
      <c r="H44" s="105">
        <v>169990</v>
      </c>
      <c r="I44" s="143">
        <f t="shared" si="3"/>
        <v>0.4412024236719807</v>
      </c>
      <c r="K44" s="116"/>
      <c r="L44" s="116"/>
      <c r="M44" s="116"/>
      <c r="N44" s="116"/>
      <c r="T44" s="116"/>
      <c r="U44" s="116"/>
      <c r="V44" s="116"/>
      <c r="W44" s="116"/>
      <c r="X44" s="116"/>
      <c r="Y44" s="116"/>
      <c r="Z44" s="116"/>
      <c r="AA44" s="116"/>
    </row>
    <row r="45" spans="2:27" x14ac:dyDescent="0.25">
      <c r="B45" s="103">
        <v>7006915</v>
      </c>
      <c r="C45" s="94" t="s">
        <v>2876</v>
      </c>
      <c r="D45" s="94" t="s">
        <v>904</v>
      </c>
      <c r="E45" s="94" t="s">
        <v>1030</v>
      </c>
      <c r="F45" s="104">
        <v>94990</v>
      </c>
      <c r="G45" s="104">
        <f t="shared" si="4"/>
        <v>3957.9166666666665</v>
      </c>
      <c r="H45" s="105">
        <v>169990</v>
      </c>
      <c r="I45" s="143">
        <f t="shared" si="3"/>
        <v>0.4412024236719807</v>
      </c>
      <c r="K45" s="116"/>
      <c r="L45" s="116"/>
      <c r="M45" s="116"/>
      <c r="N45" s="116"/>
      <c r="T45" s="116"/>
      <c r="U45" s="116"/>
      <c r="V45" s="116"/>
      <c r="W45" s="116"/>
      <c r="X45" s="116"/>
      <c r="Y45" s="116"/>
      <c r="Z45" s="116"/>
      <c r="AA45" s="116"/>
    </row>
    <row r="46" spans="2:27" x14ac:dyDescent="0.25">
      <c r="B46" s="103">
        <v>70013200</v>
      </c>
      <c r="C46" s="94" t="s">
        <v>1040</v>
      </c>
      <c r="D46" s="94" t="s">
        <v>904</v>
      </c>
      <c r="E46" s="94" t="s">
        <v>1041</v>
      </c>
      <c r="F46" s="104">
        <v>219990</v>
      </c>
      <c r="G46" s="104">
        <f t="shared" si="4"/>
        <v>9166.25</v>
      </c>
      <c r="H46" s="109">
        <v>289990</v>
      </c>
      <c r="I46" s="143">
        <f t="shared" si="3"/>
        <v>0.24138763405634678</v>
      </c>
      <c r="T46" s="116"/>
      <c r="U46" s="116"/>
      <c r="V46" s="116"/>
      <c r="W46" s="116"/>
      <c r="X46" s="116"/>
      <c r="Y46" s="116"/>
      <c r="Z46" s="116"/>
      <c r="AA46" s="116"/>
    </row>
    <row r="47" spans="2:27" x14ac:dyDescent="0.25">
      <c r="B47" s="103">
        <v>7006732</v>
      </c>
      <c r="C47" s="94" t="s">
        <v>1347</v>
      </c>
      <c r="D47" s="94" t="s">
        <v>904</v>
      </c>
      <c r="E47" s="94" t="s">
        <v>1007</v>
      </c>
      <c r="F47" s="104">
        <v>39990</v>
      </c>
      <c r="G47" s="104">
        <f t="shared" si="4"/>
        <v>1666.25</v>
      </c>
      <c r="H47" s="109">
        <v>59990</v>
      </c>
      <c r="I47" s="143">
        <f t="shared" si="3"/>
        <v>0.33338889814969164</v>
      </c>
      <c r="K47" s="116"/>
      <c r="L47" s="116"/>
      <c r="M47" s="116"/>
      <c r="N47" s="116"/>
      <c r="O47" s="116"/>
      <c r="P47" s="116"/>
      <c r="T47" s="116"/>
      <c r="U47" s="116"/>
      <c r="V47" s="116"/>
      <c r="W47" s="116"/>
      <c r="X47" s="116"/>
      <c r="Y47" s="116"/>
      <c r="Z47" s="116"/>
      <c r="AA47" s="116"/>
    </row>
    <row r="48" spans="2:27" x14ac:dyDescent="0.25">
      <c r="B48" s="103">
        <v>7006733</v>
      </c>
      <c r="C48" s="94" t="s">
        <v>1348</v>
      </c>
      <c r="D48" s="94" t="s">
        <v>904</v>
      </c>
      <c r="E48" s="94" t="s">
        <v>1007</v>
      </c>
      <c r="F48" s="104">
        <v>39990</v>
      </c>
      <c r="G48" s="104">
        <f t="shared" si="4"/>
        <v>1666.25</v>
      </c>
      <c r="H48" s="109">
        <v>59990</v>
      </c>
      <c r="I48" s="143">
        <f t="shared" si="3"/>
        <v>0.33338889814969164</v>
      </c>
      <c r="K48" s="116"/>
      <c r="L48" s="116"/>
      <c r="M48" s="116"/>
      <c r="N48" s="116"/>
      <c r="O48" s="116"/>
      <c r="P48" s="116"/>
      <c r="T48" s="116"/>
      <c r="U48" s="116"/>
      <c r="V48" s="116"/>
      <c r="W48" s="116"/>
      <c r="X48" s="116"/>
      <c r="Y48" s="116"/>
      <c r="Z48" s="116"/>
      <c r="AA48" s="116"/>
    </row>
    <row r="49" spans="2:27" x14ac:dyDescent="0.25">
      <c r="B49" s="103">
        <v>7005775</v>
      </c>
      <c r="C49" s="94" t="s">
        <v>1074</v>
      </c>
      <c r="D49" s="94" t="s">
        <v>904</v>
      </c>
      <c r="E49" s="94" t="s">
        <v>1007</v>
      </c>
      <c r="F49" s="104">
        <v>19990</v>
      </c>
      <c r="G49" s="104">
        <f t="shared" si="4"/>
        <v>832.91666666666663</v>
      </c>
      <c r="H49" s="105">
        <v>49990</v>
      </c>
      <c r="I49" s="143">
        <f t="shared" si="3"/>
        <v>0.60012002400480102</v>
      </c>
      <c r="K49" s="116"/>
      <c r="L49" s="116"/>
      <c r="M49" s="115"/>
      <c r="N49" s="116"/>
      <c r="O49" s="116"/>
      <c r="P49" s="116"/>
      <c r="T49" s="116"/>
      <c r="U49" s="116"/>
      <c r="V49" s="116"/>
      <c r="W49" s="116"/>
      <c r="X49" s="116"/>
      <c r="Y49" s="116"/>
      <c r="Z49" s="116"/>
      <c r="AA49" s="116"/>
    </row>
    <row r="50" spans="2:27" x14ac:dyDescent="0.25">
      <c r="B50" s="107">
        <v>7006919</v>
      </c>
      <c r="C50" s="106" t="s">
        <v>3357</v>
      </c>
      <c r="D50" s="106" t="s">
        <v>112</v>
      </c>
      <c r="E50" s="94" t="s">
        <v>1030</v>
      </c>
      <c r="F50" s="104">
        <v>34990</v>
      </c>
      <c r="G50" s="104">
        <f t="shared" si="4"/>
        <v>1457.9166666666667</v>
      </c>
      <c r="H50" s="105">
        <v>69990</v>
      </c>
      <c r="I50" s="143">
        <f t="shared" si="3"/>
        <v>0.50007143877696814</v>
      </c>
      <c r="M50" s="18"/>
      <c r="T50" s="116"/>
      <c r="U50" s="116"/>
      <c r="V50" s="116"/>
      <c r="W50" s="116"/>
      <c r="X50" s="116"/>
      <c r="Y50" s="116"/>
      <c r="Z50" s="116"/>
      <c r="AA50" s="116"/>
    </row>
    <row r="51" spans="2:27" x14ac:dyDescent="0.25">
      <c r="B51" s="107">
        <v>7006972</v>
      </c>
      <c r="C51" s="106" t="s">
        <v>3358</v>
      </c>
      <c r="D51" s="106" t="s">
        <v>112</v>
      </c>
      <c r="E51" s="94" t="s">
        <v>1007</v>
      </c>
      <c r="F51" s="104">
        <v>34990</v>
      </c>
      <c r="G51" s="104">
        <f t="shared" si="4"/>
        <v>1457.9166666666667</v>
      </c>
      <c r="H51" s="105">
        <v>64990</v>
      </c>
      <c r="I51" s="143">
        <f t="shared" si="3"/>
        <v>0.46160947838128941</v>
      </c>
      <c r="T51" s="116"/>
      <c r="U51" s="116"/>
      <c r="V51" s="116"/>
      <c r="W51" s="116"/>
      <c r="X51" s="116"/>
      <c r="Y51" s="116"/>
      <c r="Z51" s="116"/>
      <c r="AA51" s="116"/>
    </row>
    <row r="52" spans="2:27" x14ac:dyDescent="0.25">
      <c r="B52" s="103">
        <v>7006736</v>
      </c>
      <c r="C52" s="94" t="s">
        <v>1349</v>
      </c>
      <c r="D52" s="94" t="s">
        <v>904</v>
      </c>
      <c r="E52" s="94" t="s">
        <v>1007</v>
      </c>
      <c r="F52" s="104">
        <v>119990</v>
      </c>
      <c r="G52" s="104">
        <f t="shared" si="4"/>
        <v>4999.583333333333</v>
      </c>
      <c r="H52" s="109">
        <v>199990</v>
      </c>
      <c r="I52" s="143">
        <f t="shared" si="3"/>
        <v>0.40002000100004997</v>
      </c>
      <c r="M52" s="18"/>
      <c r="T52" s="116"/>
      <c r="U52" s="116"/>
      <c r="V52" s="116"/>
      <c r="W52" s="116"/>
      <c r="X52" s="116"/>
      <c r="Y52" s="116"/>
      <c r="Z52" s="116"/>
      <c r="AA52" s="116"/>
    </row>
    <row r="53" spans="2:27" x14ac:dyDescent="0.25">
      <c r="B53" s="107">
        <v>7007168</v>
      </c>
      <c r="C53" s="122" t="s">
        <v>4066</v>
      </c>
      <c r="D53" s="122" t="s">
        <v>904</v>
      </c>
      <c r="E53" s="122" t="s">
        <v>1030</v>
      </c>
      <c r="F53" s="135">
        <v>189990</v>
      </c>
      <c r="G53" s="104">
        <f t="shared" si="4"/>
        <v>7916.25</v>
      </c>
      <c r="H53" s="142">
        <v>249990</v>
      </c>
      <c r="I53" s="143">
        <f t="shared" si="3"/>
        <v>0.24000960038401531</v>
      </c>
      <c r="K53" s="116"/>
      <c r="L53" s="116"/>
      <c r="M53" s="115"/>
      <c r="N53" s="116"/>
      <c r="O53" s="116"/>
      <c r="P53" s="116"/>
      <c r="T53" s="116"/>
      <c r="U53" s="116"/>
      <c r="V53" s="116"/>
      <c r="W53" s="116"/>
      <c r="X53" s="116"/>
      <c r="Y53" s="116"/>
      <c r="Z53" s="116"/>
      <c r="AA53" s="116"/>
    </row>
    <row r="54" spans="2:27" x14ac:dyDescent="0.25">
      <c r="B54" s="107">
        <v>7007210</v>
      </c>
      <c r="C54" s="122" t="s">
        <v>4067</v>
      </c>
      <c r="D54" s="122" t="s">
        <v>904</v>
      </c>
      <c r="E54" s="122" t="s">
        <v>1030</v>
      </c>
      <c r="F54" s="135">
        <v>189990</v>
      </c>
      <c r="G54" s="104">
        <f t="shared" si="4"/>
        <v>7916.25</v>
      </c>
      <c r="H54" s="142">
        <v>249990</v>
      </c>
      <c r="I54" s="143">
        <f t="shared" si="3"/>
        <v>0.24000960038401531</v>
      </c>
      <c r="K54" s="116"/>
      <c r="L54" s="116"/>
      <c r="M54" s="115"/>
      <c r="N54" s="116"/>
      <c r="O54" s="116"/>
      <c r="P54" s="116"/>
      <c r="T54" s="116"/>
      <c r="U54" s="116"/>
      <c r="V54" s="116"/>
      <c r="W54" s="116"/>
      <c r="X54" s="116"/>
      <c r="Y54" s="116"/>
      <c r="Z54" s="116"/>
      <c r="AA54" s="116"/>
    </row>
    <row r="55" spans="2:27" x14ac:dyDescent="0.25">
      <c r="B55" s="107">
        <v>7007211</v>
      </c>
      <c r="C55" s="122" t="s">
        <v>4068</v>
      </c>
      <c r="D55" s="122" t="s">
        <v>904</v>
      </c>
      <c r="E55" s="122" t="s">
        <v>1030</v>
      </c>
      <c r="F55" s="135">
        <v>189990</v>
      </c>
      <c r="G55" s="104">
        <f t="shared" si="4"/>
        <v>7916.25</v>
      </c>
      <c r="H55" s="142">
        <v>249990</v>
      </c>
      <c r="I55" s="143">
        <f t="shared" si="3"/>
        <v>0.24000960038401531</v>
      </c>
      <c r="K55" s="116"/>
      <c r="L55" s="116"/>
      <c r="M55" s="115"/>
      <c r="N55" s="116"/>
      <c r="T55" s="116"/>
      <c r="U55" s="116"/>
      <c r="V55" s="116"/>
      <c r="W55" s="116"/>
      <c r="X55" s="116"/>
      <c r="Y55" s="116"/>
      <c r="Z55" s="116"/>
      <c r="AA55" s="116"/>
    </row>
    <row r="56" spans="2:27" x14ac:dyDescent="0.25">
      <c r="B56" s="107">
        <v>7007212</v>
      </c>
      <c r="C56" s="122" t="s">
        <v>4069</v>
      </c>
      <c r="D56" s="122" t="s">
        <v>904</v>
      </c>
      <c r="E56" s="122" t="s">
        <v>1030</v>
      </c>
      <c r="F56" s="135">
        <v>189990</v>
      </c>
      <c r="G56" s="104">
        <f t="shared" si="4"/>
        <v>7916.25</v>
      </c>
      <c r="H56" s="142">
        <v>249990</v>
      </c>
      <c r="I56" s="143">
        <f t="shared" si="3"/>
        <v>0.24000960038401531</v>
      </c>
      <c r="K56" s="116"/>
      <c r="L56" s="116"/>
      <c r="M56" s="115"/>
      <c r="N56" s="116"/>
      <c r="T56" s="116"/>
      <c r="U56" s="116"/>
      <c r="V56" s="116"/>
      <c r="W56" s="116"/>
      <c r="X56" s="116"/>
      <c r="Y56" s="116"/>
      <c r="Z56" s="116"/>
      <c r="AA56" s="116"/>
    </row>
    <row r="57" spans="2:27" x14ac:dyDescent="0.25">
      <c r="B57" s="145">
        <v>70014822</v>
      </c>
      <c r="C57" s="122" t="s">
        <v>3972</v>
      </c>
      <c r="D57" s="93" t="s">
        <v>87</v>
      </c>
      <c r="E57" s="93" t="s">
        <v>1041</v>
      </c>
      <c r="F57" s="135">
        <v>174990</v>
      </c>
      <c r="G57" s="123">
        <f t="shared" si="4"/>
        <v>7291.25</v>
      </c>
      <c r="H57" s="142">
        <v>199990</v>
      </c>
      <c r="I57" s="144">
        <f t="shared" si="3"/>
        <v>0.12500625031251567</v>
      </c>
      <c r="T57" s="116"/>
      <c r="U57" s="116"/>
      <c r="V57" s="116"/>
      <c r="W57" s="116"/>
      <c r="X57" s="116"/>
      <c r="Y57" s="116"/>
      <c r="Z57" s="116"/>
      <c r="AA57" s="116"/>
    </row>
    <row r="58" spans="2:27" x14ac:dyDescent="0.25">
      <c r="B58" s="103">
        <v>7006480</v>
      </c>
      <c r="C58" s="94" t="s">
        <v>1338</v>
      </c>
      <c r="D58" s="94" t="s">
        <v>87</v>
      </c>
      <c r="E58" s="94" t="s">
        <v>1030</v>
      </c>
      <c r="F58" s="104">
        <v>27990</v>
      </c>
      <c r="G58" s="104">
        <f t="shared" si="4"/>
        <v>1166.25</v>
      </c>
      <c r="H58" s="105">
        <v>59990</v>
      </c>
      <c r="I58" s="143">
        <f t="shared" si="3"/>
        <v>0.53342223703950653</v>
      </c>
      <c r="M58" s="18"/>
      <c r="T58" s="116"/>
      <c r="U58" s="116"/>
      <c r="V58" s="116"/>
      <c r="W58" s="116"/>
      <c r="X58" s="116"/>
      <c r="Y58" s="116"/>
      <c r="Z58" s="116"/>
      <c r="AA58" s="116"/>
    </row>
    <row r="59" spans="2:27" x14ac:dyDescent="0.25">
      <c r="B59" s="103">
        <v>7006481</v>
      </c>
      <c r="C59" s="94" t="s">
        <v>1339</v>
      </c>
      <c r="D59" s="94" t="s">
        <v>87</v>
      </c>
      <c r="E59" s="94" t="s">
        <v>1030</v>
      </c>
      <c r="F59" s="104">
        <v>27990</v>
      </c>
      <c r="G59" s="104">
        <f t="shared" si="4"/>
        <v>1166.25</v>
      </c>
      <c r="H59" s="105">
        <v>59990</v>
      </c>
      <c r="I59" s="143">
        <f t="shared" si="3"/>
        <v>0.53342223703950653</v>
      </c>
      <c r="M59" s="18"/>
      <c r="T59" s="116"/>
      <c r="U59" s="116"/>
      <c r="V59" s="116"/>
      <c r="W59" s="116"/>
      <c r="X59" s="116"/>
      <c r="Y59" s="116"/>
      <c r="Z59" s="116"/>
      <c r="AA59" s="116"/>
    </row>
    <row r="60" spans="2:27" x14ac:dyDescent="0.25">
      <c r="B60" s="107">
        <v>70015112</v>
      </c>
      <c r="C60" s="122" t="s">
        <v>4073</v>
      </c>
      <c r="D60" s="122" t="s">
        <v>4074</v>
      </c>
      <c r="E60" s="122" t="s">
        <v>1041</v>
      </c>
      <c r="F60" s="135">
        <v>199990</v>
      </c>
      <c r="G60" s="104">
        <f t="shared" si="4"/>
        <v>8332.9166666666661</v>
      </c>
      <c r="H60" s="142">
        <v>229990</v>
      </c>
      <c r="I60" s="143">
        <f t="shared" si="3"/>
        <v>0.1304404539327797</v>
      </c>
    </row>
    <row r="61" spans="2:27" x14ac:dyDescent="0.25">
      <c r="B61" s="103">
        <v>7005942</v>
      </c>
      <c r="C61" s="94" t="s">
        <v>1008</v>
      </c>
      <c r="D61" s="94" t="s">
        <v>46</v>
      </c>
      <c r="E61" s="94" t="s">
        <v>1007</v>
      </c>
      <c r="F61" s="104">
        <v>54990</v>
      </c>
      <c r="G61" s="104">
        <f t="shared" si="4"/>
        <v>2291.25</v>
      </c>
      <c r="H61" s="105">
        <v>99990</v>
      </c>
      <c r="I61" s="143">
        <f t="shared" si="3"/>
        <v>0.45004500450045004</v>
      </c>
      <c r="M61" s="18"/>
      <c r="T61" s="116"/>
      <c r="U61" s="116"/>
      <c r="V61" s="116"/>
      <c r="W61" s="116"/>
      <c r="X61" s="116"/>
      <c r="Y61" s="116"/>
      <c r="Z61" s="116"/>
      <c r="AA61" s="116"/>
    </row>
    <row r="62" spans="2:27" x14ac:dyDescent="0.25">
      <c r="B62" s="103">
        <v>7005941</v>
      </c>
      <c r="C62" s="94" t="s">
        <v>1013</v>
      </c>
      <c r="D62" s="94" t="s">
        <v>46</v>
      </c>
      <c r="E62" s="94" t="s">
        <v>1007</v>
      </c>
      <c r="F62" s="104">
        <v>54990</v>
      </c>
      <c r="G62" s="104">
        <f t="shared" si="4"/>
        <v>2291.25</v>
      </c>
      <c r="H62" s="105">
        <v>99990</v>
      </c>
      <c r="I62" s="143">
        <f t="shared" si="3"/>
        <v>0.45004500450045004</v>
      </c>
      <c r="M62" s="18"/>
      <c r="T62" s="116"/>
      <c r="U62" s="116"/>
      <c r="V62" s="116"/>
      <c r="W62" s="116"/>
      <c r="X62" s="116"/>
      <c r="Y62" s="116"/>
      <c r="Z62" s="116"/>
      <c r="AA62" s="116"/>
    </row>
    <row r="63" spans="2:27" x14ac:dyDescent="0.25">
      <c r="B63" s="103">
        <v>7006861</v>
      </c>
      <c r="C63" s="94" t="s">
        <v>2883</v>
      </c>
      <c r="D63" s="94" t="s">
        <v>87</v>
      </c>
      <c r="E63" s="94" t="s">
        <v>1018</v>
      </c>
      <c r="F63" s="104">
        <v>10990</v>
      </c>
      <c r="G63" s="104">
        <f t="shared" si="4"/>
        <v>457.91666666666669</v>
      </c>
      <c r="H63" s="105">
        <v>24990</v>
      </c>
      <c r="I63" s="143">
        <f t="shared" si="3"/>
        <v>0.56022408963585435</v>
      </c>
      <c r="K63" s="116"/>
      <c r="L63" s="116"/>
      <c r="M63" s="116"/>
      <c r="N63" s="116"/>
      <c r="O63" s="116"/>
      <c r="P63" s="116"/>
      <c r="T63" s="116"/>
      <c r="U63" s="116"/>
      <c r="V63" s="116"/>
      <c r="W63" s="116"/>
      <c r="X63" s="116"/>
      <c r="Y63" s="116"/>
      <c r="Z63" s="116"/>
      <c r="AA63" s="116"/>
    </row>
    <row r="64" spans="2:27" x14ac:dyDescent="0.25">
      <c r="B64" s="107">
        <v>7007162</v>
      </c>
      <c r="C64" s="122" t="s">
        <v>4072</v>
      </c>
      <c r="D64" s="122" t="s">
        <v>46</v>
      </c>
      <c r="E64" s="122" t="s">
        <v>1018</v>
      </c>
      <c r="F64" s="135">
        <v>13990</v>
      </c>
      <c r="G64" s="104">
        <f t="shared" si="4"/>
        <v>582.91666666666663</v>
      </c>
      <c r="H64" s="142">
        <v>24990</v>
      </c>
      <c r="I64" s="143">
        <f t="shared" si="3"/>
        <v>0.44017607042817131</v>
      </c>
      <c r="K64" s="116"/>
      <c r="L64" s="116"/>
      <c r="M64" s="115"/>
      <c r="N64" s="116"/>
      <c r="T64" s="116"/>
      <c r="U64" s="116"/>
      <c r="V64" s="116"/>
      <c r="W64" s="116"/>
      <c r="X64" s="116"/>
      <c r="Y64" s="116"/>
      <c r="Z64" s="116"/>
      <c r="AA64" s="116"/>
    </row>
    <row r="65" spans="2:27" x14ac:dyDescent="0.25">
      <c r="B65" s="107">
        <v>7003522</v>
      </c>
      <c r="C65" s="106" t="s">
        <v>1126</v>
      </c>
      <c r="D65" s="106" t="s">
        <v>63</v>
      </c>
      <c r="E65" s="94" t="s">
        <v>1018</v>
      </c>
      <c r="F65" s="104">
        <v>21990</v>
      </c>
      <c r="G65" s="104">
        <f t="shared" si="4"/>
        <v>916.25</v>
      </c>
      <c r="H65" s="105">
        <v>26990</v>
      </c>
      <c r="I65" s="143">
        <f t="shared" si="3"/>
        <v>0.18525379770285288</v>
      </c>
      <c r="M65" s="18"/>
      <c r="T65" s="116"/>
      <c r="U65" s="116"/>
      <c r="V65" s="116"/>
      <c r="W65" s="116"/>
      <c r="X65" s="116"/>
      <c r="Y65" s="116"/>
      <c r="Z65" s="116"/>
      <c r="AA65" s="116"/>
    </row>
    <row r="66" spans="2:27" x14ac:dyDescent="0.25">
      <c r="B66" s="107">
        <v>7006918</v>
      </c>
      <c r="C66" s="106" t="s">
        <v>3313</v>
      </c>
      <c r="D66" s="106" t="s">
        <v>3314</v>
      </c>
      <c r="E66" s="94" t="s">
        <v>1240</v>
      </c>
      <c r="F66" s="104">
        <v>14990</v>
      </c>
      <c r="G66" s="104">
        <f t="shared" si="4"/>
        <v>624.58333333333337</v>
      </c>
      <c r="H66" s="105">
        <v>19990</v>
      </c>
      <c r="I66" s="143">
        <f t="shared" si="3"/>
        <v>0.25012506253126565</v>
      </c>
    </row>
    <row r="67" spans="2:27" x14ac:dyDescent="0.25">
      <c r="B67" s="103">
        <v>7006740</v>
      </c>
      <c r="C67" s="94" t="s">
        <v>1047</v>
      </c>
      <c r="D67" s="94" t="s">
        <v>41</v>
      </c>
      <c r="E67" s="94" t="s">
        <v>1030</v>
      </c>
      <c r="F67" s="104">
        <v>94990</v>
      </c>
      <c r="G67" s="104">
        <f t="shared" si="4"/>
        <v>3957.9166666666665</v>
      </c>
      <c r="H67" s="109">
        <v>169990</v>
      </c>
      <c r="I67" s="143">
        <f t="shared" si="3"/>
        <v>0.4412024236719807</v>
      </c>
      <c r="K67" s="116"/>
      <c r="L67" s="116"/>
      <c r="M67" s="115"/>
      <c r="N67" s="116"/>
      <c r="O67" s="116"/>
      <c r="P67" s="116"/>
      <c r="T67" s="116"/>
      <c r="U67" s="116"/>
      <c r="V67" s="116"/>
      <c r="W67" s="116"/>
      <c r="X67" s="116"/>
      <c r="Y67" s="116"/>
      <c r="Z67" s="116"/>
      <c r="AA67" s="116"/>
    </row>
    <row r="68" spans="2:27" x14ac:dyDescent="0.25">
      <c r="B68" s="103">
        <v>7005822</v>
      </c>
      <c r="C68" s="94" t="s">
        <v>1345</v>
      </c>
      <c r="D68" s="94" t="s">
        <v>1174</v>
      </c>
      <c r="E68" s="94" t="s">
        <v>1171</v>
      </c>
      <c r="F68" s="104">
        <v>339990</v>
      </c>
      <c r="G68" s="104">
        <f t="shared" si="4"/>
        <v>14166.25</v>
      </c>
      <c r="H68" s="109">
        <v>419990</v>
      </c>
      <c r="I68" s="143">
        <f t="shared" si="3"/>
        <v>0.19048072573156505</v>
      </c>
      <c r="M68" s="18"/>
      <c r="T68" s="116"/>
      <c r="U68" s="116"/>
      <c r="V68" s="116"/>
      <c r="W68" s="116"/>
      <c r="X68" s="116"/>
      <c r="Y68" s="116"/>
      <c r="Z68" s="116"/>
      <c r="AA68" s="116"/>
    </row>
    <row r="69" spans="2:27" ht="30" x14ac:dyDescent="0.25">
      <c r="B69" s="107">
        <v>7007576</v>
      </c>
      <c r="C69" s="158" t="s">
        <v>4071</v>
      </c>
      <c r="D69" s="159" t="s">
        <v>4605</v>
      </c>
      <c r="E69" s="105" t="s">
        <v>4606</v>
      </c>
      <c r="F69" s="150">
        <v>689990</v>
      </c>
      <c r="G69" s="150">
        <f>+F69/24</f>
        <v>28749.583333333332</v>
      </c>
      <c r="H69" s="160">
        <v>699990</v>
      </c>
      <c r="I69" s="161">
        <f t="shared" si="3"/>
        <v>1.4285918370262385E-2</v>
      </c>
      <c r="K69" s="113">
        <v>7003646</v>
      </c>
      <c r="L69" s="113" t="s">
        <v>1014</v>
      </c>
      <c r="M69" s="113" t="s">
        <v>1031</v>
      </c>
      <c r="N69" s="114">
        <v>64900</v>
      </c>
      <c r="O69" s="116"/>
      <c r="P69" s="116"/>
      <c r="T69" s="115">
        <v>70002629</v>
      </c>
      <c r="U69" s="116" t="s">
        <v>904</v>
      </c>
      <c r="V69" s="116" t="s">
        <v>1028</v>
      </c>
      <c r="W69" s="118">
        <v>44900</v>
      </c>
      <c r="X69" s="119">
        <v>2.899999997716804E-3</v>
      </c>
      <c r="Y69" s="119">
        <v>2.899999997716804E-3</v>
      </c>
      <c r="Z69" s="119">
        <v>2.899999997716804E-3</v>
      </c>
      <c r="AA69" s="119">
        <v>0</v>
      </c>
    </row>
    <row r="70" spans="2:27" x14ac:dyDescent="0.25">
      <c r="B70" s="103">
        <v>7006102</v>
      </c>
      <c r="C70" s="94" t="s">
        <v>1177</v>
      </c>
      <c r="D70" s="94" t="s">
        <v>1178</v>
      </c>
      <c r="E70" s="94" t="s">
        <v>1171</v>
      </c>
      <c r="F70" s="104">
        <v>579990</v>
      </c>
      <c r="G70" s="104">
        <f t="shared" ref="G70:G92" si="5">F70/24</f>
        <v>24166.25</v>
      </c>
      <c r="H70" s="105">
        <v>649990</v>
      </c>
      <c r="I70" s="143">
        <f t="shared" si="3"/>
        <v>0.1076939645225311</v>
      </c>
      <c r="K70" s="116"/>
      <c r="L70" s="116"/>
      <c r="M70" s="116"/>
      <c r="N70" s="116"/>
      <c r="O70" s="116"/>
      <c r="P70" s="116"/>
      <c r="T70" s="116"/>
      <c r="U70" s="116"/>
      <c r="V70" s="116"/>
      <c r="W70" s="116"/>
      <c r="X70" s="116"/>
      <c r="Y70" s="116"/>
      <c r="Z70" s="116"/>
      <c r="AA70" s="116"/>
    </row>
    <row r="71" spans="2:27" x14ac:dyDescent="0.25">
      <c r="B71" s="103">
        <v>7006101</v>
      </c>
      <c r="C71" s="94" t="s">
        <v>1179</v>
      </c>
      <c r="D71" s="94" t="s">
        <v>1178</v>
      </c>
      <c r="E71" s="94" t="s">
        <v>1171</v>
      </c>
      <c r="F71" s="104">
        <v>679990</v>
      </c>
      <c r="G71" s="104">
        <f t="shared" si="5"/>
        <v>28332.916666666668</v>
      </c>
      <c r="H71" s="105">
        <v>699990</v>
      </c>
      <c r="I71" s="143">
        <f t="shared" si="3"/>
        <v>2.8571836740524881E-2</v>
      </c>
      <c r="K71" s="116"/>
      <c r="L71" s="116"/>
      <c r="M71" s="115"/>
      <c r="N71" s="116"/>
      <c r="O71" s="116"/>
      <c r="P71" s="116"/>
      <c r="T71" s="116"/>
      <c r="U71" s="116"/>
      <c r="V71" s="116"/>
      <c r="W71" s="116"/>
      <c r="X71" s="116"/>
      <c r="Y71" s="116"/>
      <c r="Z71" s="116"/>
      <c r="AA71" s="116"/>
    </row>
    <row r="72" spans="2:27" x14ac:dyDescent="0.25">
      <c r="B72" s="103">
        <v>7006744</v>
      </c>
      <c r="C72" s="94" t="s">
        <v>2879</v>
      </c>
      <c r="D72" s="94" t="s">
        <v>1178</v>
      </c>
      <c r="E72" s="94" t="s">
        <v>1171</v>
      </c>
      <c r="F72" s="104">
        <v>929990</v>
      </c>
      <c r="G72" s="104">
        <f t="shared" si="5"/>
        <v>38749.583333333336</v>
      </c>
      <c r="H72" s="105">
        <v>999990</v>
      </c>
      <c r="I72" s="143">
        <f t="shared" si="3"/>
        <v>7.0000700007000094E-2</v>
      </c>
      <c r="K72" s="116"/>
      <c r="L72" s="116"/>
      <c r="M72" s="115"/>
      <c r="N72" s="116"/>
      <c r="T72" s="116"/>
      <c r="U72" s="116"/>
      <c r="V72" s="116"/>
      <c r="W72" s="116"/>
      <c r="X72" s="116"/>
      <c r="Y72" s="116"/>
      <c r="Z72" s="116"/>
      <c r="AA72" s="116"/>
    </row>
    <row r="73" spans="2:27" x14ac:dyDescent="0.25">
      <c r="B73" s="103">
        <v>7005949</v>
      </c>
      <c r="C73" s="94" t="s">
        <v>1302</v>
      </c>
      <c r="D73" s="94" t="s">
        <v>904</v>
      </c>
      <c r="E73" s="94" t="s">
        <v>1030</v>
      </c>
      <c r="F73" s="104">
        <v>39990</v>
      </c>
      <c r="G73" s="104">
        <f t="shared" si="5"/>
        <v>1666.25</v>
      </c>
      <c r="H73" s="105">
        <v>59990</v>
      </c>
      <c r="I73" s="143">
        <f t="shared" ref="I73:I104" si="6">1-F73/H73</f>
        <v>0.33338889814969164</v>
      </c>
      <c r="T73" s="115">
        <v>70002625</v>
      </c>
      <c r="U73" s="116" t="s">
        <v>112</v>
      </c>
      <c r="V73" s="116" t="s">
        <v>1024</v>
      </c>
      <c r="W73" s="118">
        <v>54900</v>
      </c>
      <c r="X73" s="119">
        <v>29900.004000000001</v>
      </c>
      <c r="Y73" s="119">
        <v>14899.994500000001</v>
      </c>
      <c r="Z73" s="119">
        <v>9899.9953000000078</v>
      </c>
      <c r="AA73" s="119">
        <v>0</v>
      </c>
    </row>
    <row r="74" spans="2:27" x14ac:dyDescent="0.25">
      <c r="B74" s="103">
        <v>7006192</v>
      </c>
      <c r="C74" s="94" t="s">
        <v>1303</v>
      </c>
      <c r="D74" s="94" t="s">
        <v>904</v>
      </c>
      <c r="E74" s="94" t="s">
        <v>1030</v>
      </c>
      <c r="F74" s="104">
        <v>39990</v>
      </c>
      <c r="G74" s="104">
        <f t="shared" si="5"/>
        <v>1666.25</v>
      </c>
      <c r="H74" s="105">
        <v>59990</v>
      </c>
      <c r="I74" s="143">
        <f t="shared" si="6"/>
        <v>0.33338889814969164</v>
      </c>
      <c r="T74" s="115">
        <v>70008346</v>
      </c>
      <c r="U74" s="116" t="s">
        <v>1032</v>
      </c>
      <c r="V74" s="116" t="s">
        <v>1046</v>
      </c>
      <c r="W74" s="118">
        <v>74900</v>
      </c>
      <c r="X74" s="119">
        <v>74900</v>
      </c>
      <c r="Y74" s="119">
        <v>74900</v>
      </c>
      <c r="Z74" s="119">
        <v>74900</v>
      </c>
      <c r="AA74" s="119">
        <v>74900</v>
      </c>
    </row>
    <row r="75" spans="2:27" x14ac:dyDescent="0.25">
      <c r="B75" s="103">
        <v>7005135</v>
      </c>
      <c r="C75" s="106" t="s">
        <v>1072</v>
      </c>
      <c r="D75" s="94" t="s">
        <v>904</v>
      </c>
      <c r="E75" s="94" t="s">
        <v>1007</v>
      </c>
      <c r="F75" s="104">
        <v>59990</v>
      </c>
      <c r="G75" s="104">
        <f t="shared" si="5"/>
        <v>2499.5833333333335</v>
      </c>
      <c r="H75" s="105">
        <v>89990</v>
      </c>
      <c r="I75" s="143">
        <f t="shared" si="6"/>
        <v>0.333370374486054</v>
      </c>
      <c r="T75" s="116"/>
      <c r="U75" s="116"/>
      <c r="V75" s="116"/>
      <c r="W75" s="116"/>
      <c r="X75" s="116"/>
      <c r="Y75" s="116"/>
      <c r="Z75" s="116"/>
      <c r="AA75" s="116"/>
    </row>
    <row r="76" spans="2:27" x14ac:dyDescent="0.25">
      <c r="B76" s="103">
        <v>7006739</v>
      </c>
      <c r="C76" s="94" t="s">
        <v>1045</v>
      </c>
      <c r="D76" s="94" t="s">
        <v>41</v>
      </c>
      <c r="E76" s="94" t="s">
        <v>1030</v>
      </c>
      <c r="F76" s="104">
        <v>20990</v>
      </c>
      <c r="G76" s="104">
        <f t="shared" si="5"/>
        <v>874.58333333333337</v>
      </c>
      <c r="H76" s="109">
        <v>59990</v>
      </c>
      <c r="I76" s="143">
        <f t="shared" si="6"/>
        <v>0.6501083513918986</v>
      </c>
      <c r="M76" s="18"/>
      <c r="T76" s="116"/>
      <c r="U76" s="116"/>
      <c r="V76" s="116"/>
      <c r="W76" s="116"/>
      <c r="X76" s="116"/>
      <c r="Y76" s="116"/>
      <c r="Z76" s="116"/>
      <c r="AA76" s="116"/>
    </row>
    <row r="77" spans="2:27" x14ac:dyDescent="0.25">
      <c r="B77" s="103">
        <v>7006916</v>
      </c>
      <c r="C77" s="94" t="s">
        <v>2870</v>
      </c>
      <c r="D77" s="94" t="s">
        <v>904</v>
      </c>
      <c r="E77" s="94" t="s">
        <v>1203</v>
      </c>
      <c r="F77" s="104">
        <v>34990</v>
      </c>
      <c r="G77" s="104">
        <f t="shared" si="5"/>
        <v>1457.9166666666667</v>
      </c>
      <c r="H77" s="105">
        <v>79990</v>
      </c>
      <c r="I77" s="143">
        <f t="shared" si="6"/>
        <v>0.56257032129016127</v>
      </c>
      <c r="K77" s="116"/>
      <c r="L77" s="116"/>
      <c r="M77" s="116"/>
      <c r="N77" s="116"/>
      <c r="O77" s="116"/>
      <c r="P77" s="116"/>
      <c r="T77" s="116"/>
      <c r="U77" s="116"/>
      <c r="V77" s="116"/>
      <c r="W77" s="116"/>
      <c r="X77" s="116"/>
      <c r="Y77" s="116"/>
      <c r="Z77" s="116"/>
      <c r="AA77" s="116"/>
    </row>
    <row r="78" spans="2:27" x14ac:dyDescent="0.25">
      <c r="B78" s="107">
        <v>7006932</v>
      </c>
      <c r="C78" s="106" t="s">
        <v>3326</v>
      </c>
      <c r="D78" s="106" t="s">
        <v>87</v>
      </c>
      <c r="E78" s="94" t="s">
        <v>1240</v>
      </c>
      <c r="F78" s="104">
        <v>24990</v>
      </c>
      <c r="G78" s="104">
        <f t="shared" si="5"/>
        <v>1041.25</v>
      </c>
      <c r="H78" s="105">
        <v>29990</v>
      </c>
      <c r="I78" s="143">
        <f t="shared" si="6"/>
        <v>0.16672224074691566</v>
      </c>
      <c r="M78" s="18"/>
      <c r="T78" s="116"/>
      <c r="U78" s="116"/>
      <c r="V78" s="116"/>
      <c r="W78" s="116"/>
      <c r="X78" s="116"/>
      <c r="Y78" s="116"/>
      <c r="Z78" s="116"/>
      <c r="AA78" s="116"/>
    </row>
    <row r="79" spans="2:27" x14ac:dyDescent="0.25">
      <c r="B79" s="107">
        <v>7007214</v>
      </c>
      <c r="C79" s="122" t="s">
        <v>4155</v>
      </c>
      <c r="D79" s="122" t="s">
        <v>1174</v>
      </c>
      <c r="E79" s="122" t="s">
        <v>1171</v>
      </c>
      <c r="F79" s="135">
        <v>329990</v>
      </c>
      <c r="G79" s="104">
        <f t="shared" si="5"/>
        <v>13749.583333333334</v>
      </c>
      <c r="H79" s="142">
        <v>399990</v>
      </c>
      <c r="I79" s="143">
        <f t="shared" si="6"/>
        <v>0.17500437510937772</v>
      </c>
      <c r="K79" s="116"/>
      <c r="L79" s="116"/>
      <c r="M79" s="115"/>
      <c r="N79" s="116"/>
      <c r="T79" s="116"/>
      <c r="U79" s="116"/>
      <c r="V79" s="116"/>
      <c r="W79" s="116"/>
      <c r="X79" s="116"/>
      <c r="Y79" s="116"/>
      <c r="Z79" s="116"/>
      <c r="AA79" s="116"/>
    </row>
    <row r="80" spans="2:27" x14ac:dyDescent="0.25">
      <c r="B80" s="103">
        <v>7006738</v>
      </c>
      <c r="C80" s="94" t="s">
        <v>1043</v>
      </c>
      <c r="D80" s="94" t="s">
        <v>41</v>
      </c>
      <c r="E80" s="94" t="s">
        <v>1007</v>
      </c>
      <c r="F80" s="104">
        <v>13990</v>
      </c>
      <c r="G80" s="104">
        <f t="shared" si="5"/>
        <v>582.91666666666663</v>
      </c>
      <c r="H80" s="109">
        <v>39990</v>
      </c>
      <c r="I80" s="143">
        <f t="shared" si="6"/>
        <v>0.65016254063515877</v>
      </c>
      <c r="K80" s="116"/>
      <c r="L80" s="116"/>
      <c r="M80" s="115"/>
      <c r="N80" s="116"/>
      <c r="O80" s="116"/>
      <c r="P80" s="116"/>
      <c r="T80" s="116"/>
      <c r="U80" s="116"/>
      <c r="V80" s="116"/>
      <c r="W80" s="116"/>
      <c r="X80" s="116"/>
      <c r="Y80" s="116"/>
      <c r="Z80" s="116"/>
      <c r="AA80" s="116"/>
    </row>
    <row r="81" spans="2:27" x14ac:dyDescent="0.25">
      <c r="B81" s="103">
        <v>7006308</v>
      </c>
      <c r="C81" s="94" t="s">
        <v>1073</v>
      </c>
      <c r="D81" s="94" t="s">
        <v>904</v>
      </c>
      <c r="E81" s="94" t="s">
        <v>1007</v>
      </c>
      <c r="F81" s="104">
        <v>69990</v>
      </c>
      <c r="G81" s="104">
        <f t="shared" si="5"/>
        <v>2916.25</v>
      </c>
      <c r="H81" s="105">
        <v>109990</v>
      </c>
      <c r="I81" s="143">
        <f t="shared" si="6"/>
        <v>0.36366942449313577</v>
      </c>
      <c r="T81" s="116"/>
      <c r="U81" s="116"/>
      <c r="V81" s="116"/>
      <c r="W81" s="116"/>
      <c r="X81" s="116"/>
      <c r="Y81" s="116"/>
      <c r="Z81" s="116"/>
      <c r="AA81" s="116"/>
    </row>
    <row r="82" spans="2:27" x14ac:dyDescent="0.25">
      <c r="B82" s="103">
        <v>7006374</v>
      </c>
      <c r="C82" s="94" t="s">
        <v>1038</v>
      </c>
      <c r="D82" s="94" t="s">
        <v>46</v>
      </c>
      <c r="E82" s="94" t="s">
        <v>1030</v>
      </c>
      <c r="F82" s="104">
        <v>169990</v>
      </c>
      <c r="G82" s="104">
        <f t="shared" si="5"/>
        <v>7082.916666666667</v>
      </c>
      <c r="H82" s="105">
        <v>319990</v>
      </c>
      <c r="I82" s="143">
        <f t="shared" si="6"/>
        <v>0.46876464889527802</v>
      </c>
      <c r="K82" s="116"/>
      <c r="L82" s="116"/>
      <c r="M82" s="115"/>
      <c r="N82" s="116"/>
      <c r="O82" s="116"/>
      <c r="P82" s="116"/>
      <c r="T82" s="116"/>
      <c r="U82" s="116"/>
      <c r="V82" s="116"/>
      <c r="W82" s="116"/>
      <c r="X82" s="116"/>
      <c r="Y82" s="116"/>
      <c r="Z82" s="116"/>
      <c r="AA82" s="116"/>
    </row>
    <row r="83" spans="2:27" x14ac:dyDescent="0.25">
      <c r="B83" s="107">
        <v>7007213</v>
      </c>
      <c r="C83" s="122" t="s">
        <v>4156</v>
      </c>
      <c r="D83" s="122" t="s">
        <v>1174</v>
      </c>
      <c r="E83" s="122" t="s">
        <v>1171</v>
      </c>
      <c r="F83" s="135">
        <v>639990</v>
      </c>
      <c r="G83" s="104">
        <f t="shared" si="5"/>
        <v>26666.25</v>
      </c>
      <c r="H83" s="142">
        <v>689990</v>
      </c>
      <c r="I83" s="143">
        <f t="shared" si="6"/>
        <v>7.2464818330700398E-2</v>
      </c>
      <c r="K83" s="116"/>
      <c r="L83" s="116"/>
      <c r="M83" s="115"/>
      <c r="N83" s="116"/>
      <c r="T83" s="116"/>
      <c r="U83" s="116"/>
      <c r="V83" s="116"/>
      <c r="W83" s="116"/>
      <c r="X83" s="116"/>
      <c r="Y83" s="116"/>
      <c r="Z83" s="116"/>
      <c r="AA83" s="116"/>
    </row>
    <row r="84" spans="2:27" x14ac:dyDescent="0.25">
      <c r="B84" s="103">
        <v>7006104</v>
      </c>
      <c r="C84" s="94" t="s">
        <v>1029</v>
      </c>
      <c r="D84" s="94" t="s">
        <v>46</v>
      </c>
      <c r="E84" s="94" t="s">
        <v>1030</v>
      </c>
      <c r="F84" s="104">
        <v>39990</v>
      </c>
      <c r="G84" s="104">
        <f t="shared" si="5"/>
        <v>1666.25</v>
      </c>
      <c r="H84" s="105">
        <v>69990</v>
      </c>
      <c r="I84" s="143">
        <f t="shared" si="6"/>
        <v>0.42863266180882986</v>
      </c>
      <c r="K84" s="116"/>
      <c r="L84" s="116"/>
      <c r="M84" s="116"/>
      <c r="N84" s="116"/>
      <c r="T84" s="116"/>
      <c r="U84" s="116"/>
      <c r="V84" s="116"/>
      <c r="W84" s="116"/>
      <c r="X84" s="116"/>
      <c r="Y84" s="116"/>
      <c r="Z84" s="116"/>
      <c r="AA84" s="116"/>
    </row>
    <row r="85" spans="2:27" x14ac:dyDescent="0.25">
      <c r="B85" s="103">
        <v>7006105</v>
      </c>
      <c r="C85" s="94" t="s">
        <v>1034</v>
      </c>
      <c r="D85" s="94" t="s">
        <v>46</v>
      </c>
      <c r="E85" s="94" t="s">
        <v>1030</v>
      </c>
      <c r="F85" s="104">
        <v>39990</v>
      </c>
      <c r="G85" s="104">
        <f t="shared" si="5"/>
        <v>1666.25</v>
      </c>
      <c r="H85" s="105">
        <v>69990</v>
      </c>
      <c r="I85" s="143">
        <f t="shared" si="6"/>
        <v>0.42863266180882986</v>
      </c>
      <c r="K85" s="116"/>
      <c r="L85" s="116"/>
      <c r="M85" s="116"/>
      <c r="N85" s="116"/>
      <c r="T85" s="116"/>
      <c r="U85" s="116"/>
      <c r="V85" s="116"/>
      <c r="W85" s="116"/>
      <c r="X85" s="116"/>
      <c r="Y85" s="116"/>
      <c r="Z85" s="116"/>
      <c r="AA85" s="116"/>
    </row>
    <row r="86" spans="2:27" x14ac:dyDescent="0.25">
      <c r="B86" s="111">
        <v>7003942</v>
      </c>
      <c r="C86" s="106" t="s">
        <v>1071</v>
      </c>
      <c r="D86" s="106" t="s">
        <v>63</v>
      </c>
      <c r="E86" s="94" t="s">
        <v>1007</v>
      </c>
      <c r="F86" s="104">
        <v>18990</v>
      </c>
      <c r="G86" s="104">
        <f t="shared" si="5"/>
        <v>791.25</v>
      </c>
      <c r="H86" s="105">
        <v>24990</v>
      </c>
      <c r="I86" s="143">
        <f t="shared" si="6"/>
        <v>0.2400960384153662</v>
      </c>
      <c r="T86" s="116"/>
      <c r="U86" s="116"/>
      <c r="V86" s="116"/>
      <c r="W86" s="116"/>
      <c r="X86" s="116"/>
      <c r="Y86" s="116"/>
      <c r="Z86" s="116"/>
      <c r="AA86" s="116"/>
    </row>
    <row r="87" spans="2:27" x14ac:dyDescent="0.25">
      <c r="B87" s="107">
        <v>7007065</v>
      </c>
      <c r="C87" s="122" t="s">
        <v>4064</v>
      </c>
      <c r="D87" s="122" t="s">
        <v>4062</v>
      </c>
      <c r="E87" s="122" t="s">
        <v>1018</v>
      </c>
      <c r="F87" s="135">
        <v>19990</v>
      </c>
      <c r="G87" s="104">
        <f t="shared" si="5"/>
        <v>832.91666666666663</v>
      </c>
      <c r="H87" s="142">
        <v>19990</v>
      </c>
      <c r="I87" s="143">
        <f t="shared" si="6"/>
        <v>0</v>
      </c>
      <c r="T87" s="116"/>
      <c r="U87" s="116"/>
      <c r="V87" s="116"/>
      <c r="W87" s="116"/>
      <c r="X87" s="116"/>
      <c r="Y87" s="116"/>
      <c r="Z87" s="116"/>
      <c r="AA87" s="116"/>
    </row>
    <row r="88" spans="2:27" x14ac:dyDescent="0.25">
      <c r="B88" s="107">
        <v>7007066</v>
      </c>
      <c r="C88" s="122" t="s">
        <v>4065</v>
      </c>
      <c r="D88" s="122" t="s">
        <v>4062</v>
      </c>
      <c r="E88" s="122" t="s">
        <v>1018</v>
      </c>
      <c r="F88" s="135">
        <v>19990</v>
      </c>
      <c r="G88" s="104">
        <f t="shared" si="5"/>
        <v>832.91666666666663</v>
      </c>
      <c r="H88" s="142">
        <v>19990</v>
      </c>
      <c r="I88" s="143">
        <f t="shared" si="6"/>
        <v>0</v>
      </c>
      <c r="T88" s="116"/>
      <c r="U88" s="116"/>
      <c r="V88" s="116"/>
      <c r="W88" s="116"/>
      <c r="X88" s="116"/>
      <c r="Y88" s="116"/>
      <c r="Z88" s="116"/>
      <c r="AA88" s="116"/>
    </row>
    <row r="89" spans="2:27" x14ac:dyDescent="0.25">
      <c r="B89" s="103">
        <v>7006860</v>
      </c>
      <c r="C89" s="94" t="s">
        <v>2882</v>
      </c>
      <c r="D89" s="94" t="s">
        <v>87</v>
      </c>
      <c r="E89" s="94" t="s">
        <v>1018</v>
      </c>
      <c r="F89" s="104">
        <v>21990</v>
      </c>
      <c r="G89" s="104">
        <f t="shared" si="5"/>
        <v>916.25</v>
      </c>
      <c r="H89" s="105">
        <v>34990</v>
      </c>
      <c r="I89" s="143">
        <f t="shared" si="6"/>
        <v>0.37153472420691624</v>
      </c>
    </row>
    <row r="90" spans="2:27" x14ac:dyDescent="0.25">
      <c r="B90" s="107">
        <v>7007063</v>
      </c>
      <c r="C90" s="122" t="s">
        <v>4061</v>
      </c>
      <c r="D90" s="122" t="s">
        <v>4062</v>
      </c>
      <c r="E90" s="122" t="s">
        <v>1007</v>
      </c>
      <c r="F90" s="135">
        <v>74990</v>
      </c>
      <c r="G90" s="104">
        <f t="shared" si="5"/>
        <v>3124.5833333333335</v>
      </c>
      <c r="H90" s="142">
        <v>84990</v>
      </c>
      <c r="I90" s="143">
        <f t="shared" si="6"/>
        <v>0.11766090128250384</v>
      </c>
      <c r="M90" s="18"/>
      <c r="T90" s="116"/>
      <c r="U90" s="116"/>
      <c r="V90" s="116"/>
      <c r="W90" s="116"/>
      <c r="X90" s="116"/>
      <c r="Y90" s="116"/>
      <c r="Z90" s="116"/>
      <c r="AA90" s="116"/>
    </row>
    <row r="91" spans="2:27" x14ac:dyDescent="0.25">
      <c r="B91" s="103">
        <v>7005275</v>
      </c>
      <c r="C91" s="106" t="s">
        <v>1112</v>
      </c>
      <c r="D91" s="94" t="s">
        <v>46</v>
      </c>
      <c r="E91" s="94" t="s">
        <v>1007</v>
      </c>
      <c r="F91" s="104">
        <v>10990</v>
      </c>
      <c r="G91" s="104">
        <f t="shared" si="5"/>
        <v>457.91666666666669</v>
      </c>
      <c r="H91" s="105">
        <v>19990</v>
      </c>
      <c r="I91" s="143">
        <f t="shared" si="6"/>
        <v>0.45022511255627817</v>
      </c>
      <c r="M91" s="18"/>
    </row>
    <row r="92" spans="2:27" x14ac:dyDescent="0.25">
      <c r="B92" s="103">
        <v>7005276</v>
      </c>
      <c r="C92" s="106" t="s">
        <v>1113</v>
      </c>
      <c r="D92" s="94" t="s">
        <v>46</v>
      </c>
      <c r="E92" s="94" t="s">
        <v>1007</v>
      </c>
      <c r="F92" s="104">
        <v>10990</v>
      </c>
      <c r="G92" s="104">
        <f t="shared" si="5"/>
        <v>457.91666666666669</v>
      </c>
      <c r="H92" s="105">
        <v>19990</v>
      </c>
      <c r="I92" s="143">
        <f t="shared" si="6"/>
        <v>0.45022511255627817</v>
      </c>
      <c r="M92" s="18"/>
    </row>
    <row r="93" spans="2:27" x14ac:dyDescent="0.25">
      <c r="B93" s="107">
        <v>7007094</v>
      </c>
      <c r="C93" s="122" t="s">
        <v>4446</v>
      </c>
      <c r="D93" s="123" t="s">
        <v>1496</v>
      </c>
      <c r="E93" s="105" t="s">
        <v>4447</v>
      </c>
      <c r="F93" s="150">
        <v>269990</v>
      </c>
      <c r="G93" s="147">
        <v>13957.916666666666</v>
      </c>
      <c r="H93" s="148">
        <v>369990</v>
      </c>
      <c r="I93" s="149">
        <v>0.09</v>
      </c>
      <c r="K93" s="116"/>
      <c r="L93" s="116"/>
      <c r="M93" s="116"/>
      <c r="N93" s="116"/>
      <c r="T93" s="116"/>
      <c r="U93" s="116"/>
      <c r="V93" s="116"/>
      <c r="W93" s="116"/>
      <c r="X93" s="116"/>
      <c r="Y93" s="116"/>
      <c r="Z93" s="116"/>
      <c r="AA93" s="116"/>
    </row>
    <row r="94" spans="2:27" x14ac:dyDescent="0.25">
      <c r="B94" s="107">
        <v>7007093</v>
      </c>
      <c r="C94" s="122" t="s">
        <v>4448</v>
      </c>
      <c r="D94" s="123" t="s">
        <v>1496</v>
      </c>
      <c r="E94" s="105" t="s">
        <v>4447</v>
      </c>
      <c r="F94" s="150">
        <v>269990</v>
      </c>
      <c r="G94" s="147">
        <v>13957.916666666666</v>
      </c>
      <c r="H94" s="148">
        <v>369990</v>
      </c>
      <c r="I94" s="149">
        <v>0.09</v>
      </c>
      <c r="K94" s="116"/>
      <c r="L94" s="116"/>
      <c r="M94" s="116"/>
      <c r="N94" s="116"/>
      <c r="T94" s="116"/>
      <c r="U94" s="116"/>
      <c r="V94" s="116"/>
      <c r="W94" s="116"/>
      <c r="X94" s="116"/>
      <c r="Y94" s="116"/>
      <c r="Z94" s="116"/>
      <c r="AA94" s="116"/>
    </row>
    <row r="95" spans="2:27" x14ac:dyDescent="0.25">
      <c r="B95" s="111">
        <v>7005827</v>
      </c>
      <c r="C95" s="106" t="s">
        <v>3312</v>
      </c>
      <c r="D95" s="106" t="s">
        <v>112</v>
      </c>
      <c r="E95" s="146" t="s">
        <v>1018</v>
      </c>
      <c r="F95" s="104">
        <v>13990</v>
      </c>
      <c r="G95" s="104">
        <f t="shared" ref="G95:G126" si="7">F95/24</f>
        <v>582.91666666666663</v>
      </c>
      <c r="H95" s="105">
        <v>16990</v>
      </c>
      <c r="I95" s="143">
        <f t="shared" ref="I95:I158" si="8">1-F95/H95</f>
        <v>0.17657445556209539</v>
      </c>
      <c r="K95" s="116"/>
      <c r="L95" s="116"/>
      <c r="M95" s="115"/>
      <c r="N95" s="116"/>
      <c r="O95" s="116"/>
      <c r="P95" s="116"/>
      <c r="T95" s="116"/>
      <c r="U95" s="116"/>
      <c r="V95" s="116"/>
      <c r="W95" s="116"/>
      <c r="X95" s="116"/>
      <c r="Y95" s="116"/>
      <c r="Z95" s="116"/>
      <c r="AA95" s="116"/>
    </row>
    <row r="96" spans="2:27" x14ac:dyDescent="0.25">
      <c r="B96" s="103">
        <v>7006461</v>
      </c>
      <c r="C96" s="94" t="s">
        <v>1120</v>
      </c>
      <c r="D96" s="94" t="s">
        <v>87</v>
      </c>
      <c r="E96" s="94" t="s">
        <v>1007</v>
      </c>
      <c r="F96" s="104">
        <v>18990</v>
      </c>
      <c r="G96" s="104">
        <f t="shared" si="7"/>
        <v>791.25</v>
      </c>
      <c r="H96" s="105">
        <v>24990</v>
      </c>
      <c r="I96" s="143">
        <f t="shared" si="8"/>
        <v>0.2400960384153662</v>
      </c>
      <c r="K96" s="116"/>
      <c r="L96" s="116"/>
      <c r="M96" s="115"/>
      <c r="N96" s="116"/>
      <c r="O96" s="116"/>
      <c r="P96" s="116"/>
      <c r="T96" s="116"/>
      <c r="U96" s="116"/>
      <c r="V96" s="116"/>
      <c r="W96" s="116"/>
      <c r="X96" s="116"/>
      <c r="Y96" s="116"/>
      <c r="Z96" s="116"/>
      <c r="AA96" s="116"/>
    </row>
    <row r="97" spans="2:27" x14ac:dyDescent="0.25">
      <c r="B97" s="107">
        <v>7005714</v>
      </c>
      <c r="C97" s="106" t="s">
        <v>3356</v>
      </c>
      <c r="D97" s="106" t="s">
        <v>63</v>
      </c>
      <c r="E97" s="94" t="s">
        <v>1007</v>
      </c>
      <c r="F97" s="104">
        <v>18990</v>
      </c>
      <c r="G97" s="104">
        <f t="shared" si="7"/>
        <v>791.25</v>
      </c>
      <c r="H97" s="105">
        <v>22990</v>
      </c>
      <c r="I97" s="143">
        <f t="shared" si="8"/>
        <v>0.17398869073510226</v>
      </c>
      <c r="K97" s="116"/>
      <c r="L97" s="116"/>
      <c r="M97" s="116"/>
      <c r="N97" s="116"/>
      <c r="T97" s="116"/>
      <c r="U97" s="116"/>
      <c r="V97" s="116"/>
      <c r="W97" s="116"/>
      <c r="X97" s="116"/>
      <c r="Y97" s="116"/>
      <c r="Z97" s="116"/>
      <c r="AA97" s="116"/>
    </row>
    <row r="98" spans="2:27" x14ac:dyDescent="0.25">
      <c r="B98" s="103">
        <v>7006462</v>
      </c>
      <c r="C98" s="94" t="s">
        <v>1336</v>
      </c>
      <c r="D98" s="94" t="s">
        <v>87</v>
      </c>
      <c r="E98" s="94" t="s">
        <v>1030</v>
      </c>
      <c r="F98" s="104">
        <v>21990</v>
      </c>
      <c r="G98" s="104">
        <f t="shared" si="7"/>
        <v>916.25</v>
      </c>
      <c r="H98" s="105">
        <v>24990</v>
      </c>
      <c r="I98" s="143">
        <f t="shared" si="8"/>
        <v>0.12004801920768304</v>
      </c>
      <c r="K98" s="116"/>
      <c r="L98" s="116"/>
      <c r="M98" s="115"/>
      <c r="N98" s="116"/>
      <c r="T98" s="116"/>
      <c r="U98" s="116"/>
      <c r="V98" s="116"/>
      <c r="W98" s="116"/>
      <c r="X98" s="116"/>
      <c r="Y98" s="116"/>
      <c r="Z98" s="116"/>
      <c r="AA98" s="116"/>
    </row>
    <row r="99" spans="2:27" x14ac:dyDescent="0.25">
      <c r="B99" s="103">
        <v>7006463</v>
      </c>
      <c r="C99" s="94" t="s">
        <v>1337</v>
      </c>
      <c r="D99" s="94" t="s">
        <v>87</v>
      </c>
      <c r="E99" s="94" t="s">
        <v>1030</v>
      </c>
      <c r="F99" s="104">
        <v>21990</v>
      </c>
      <c r="G99" s="104">
        <f t="shared" si="7"/>
        <v>916.25</v>
      </c>
      <c r="H99" s="105">
        <v>24990</v>
      </c>
      <c r="I99" s="143">
        <f t="shared" si="8"/>
        <v>0.12004801920768304</v>
      </c>
      <c r="M99" s="18"/>
      <c r="T99" s="116"/>
      <c r="U99" s="116"/>
      <c r="V99" s="116"/>
      <c r="W99" s="116"/>
      <c r="X99" s="116"/>
      <c r="Y99" s="116"/>
      <c r="Z99" s="116"/>
      <c r="AA99" s="116"/>
    </row>
    <row r="100" spans="2:27" x14ac:dyDescent="0.25">
      <c r="B100" s="107">
        <v>7006934</v>
      </c>
      <c r="C100" s="106" t="s">
        <v>3325</v>
      </c>
      <c r="D100" s="106" t="s">
        <v>87</v>
      </c>
      <c r="E100" s="94" t="s">
        <v>1007</v>
      </c>
      <c r="F100" s="104">
        <v>37990</v>
      </c>
      <c r="G100" s="104">
        <f t="shared" si="7"/>
        <v>1582.9166666666667</v>
      </c>
      <c r="H100" s="105">
        <v>40990</v>
      </c>
      <c r="I100" s="143">
        <f t="shared" si="8"/>
        <v>7.3188582581117378E-2</v>
      </c>
      <c r="M100" s="18"/>
      <c r="T100" s="116"/>
      <c r="U100" s="116"/>
      <c r="V100" s="116"/>
      <c r="W100" s="116"/>
      <c r="X100" s="116"/>
      <c r="Y100" s="116"/>
      <c r="Z100" s="116"/>
      <c r="AA100" s="116"/>
    </row>
    <row r="101" spans="2:27" x14ac:dyDescent="0.25">
      <c r="B101" s="103">
        <v>7006748</v>
      </c>
      <c r="C101" s="94" t="s">
        <v>2884</v>
      </c>
      <c r="D101" s="94" t="s">
        <v>87</v>
      </c>
      <c r="E101" s="94" t="s">
        <v>1030</v>
      </c>
      <c r="F101" s="104">
        <v>44990</v>
      </c>
      <c r="G101" s="104">
        <f t="shared" si="7"/>
        <v>1874.5833333333333</v>
      </c>
      <c r="H101" s="105">
        <v>54990</v>
      </c>
      <c r="I101" s="143">
        <f t="shared" si="8"/>
        <v>0.18185124568103295</v>
      </c>
      <c r="K101"/>
      <c r="L101"/>
      <c r="M101"/>
      <c r="N101"/>
      <c r="T101" s="115">
        <v>70003008</v>
      </c>
      <c r="U101" s="116" t="s">
        <v>904</v>
      </c>
      <c r="V101" s="116" t="s">
        <v>1042</v>
      </c>
      <c r="W101" s="118">
        <v>79900</v>
      </c>
      <c r="X101" s="119">
        <v>79900</v>
      </c>
      <c r="Y101" s="119">
        <v>79900</v>
      </c>
      <c r="Z101" s="119">
        <v>79900</v>
      </c>
      <c r="AA101" s="119">
        <v>79900</v>
      </c>
    </row>
    <row r="102" spans="2:27" x14ac:dyDescent="0.25">
      <c r="B102" s="103">
        <v>7006749</v>
      </c>
      <c r="C102" s="94" t="s">
        <v>2885</v>
      </c>
      <c r="D102" s="94" t="s">
        <v>87</v>
      </c>
      <c r="E102" s="94" t="s">
        <v>1030</v>
      </c>
      <c r="F102" s="104">
        <v>44990</v>
      </c>
      <c r="G102" s="104">
        <f t="shared" si="7"/>
        <v>1874.5833333333333</v>
      </c>
      <c r="H102" s="105">
        <v>54990</v>
      </c>
      <c r="I102" s="143">
        <f t="shared" si="8"/>
        <v>0.18185124568103295</v>
      </c>
      <c r="N102" s="74"/>
      <c r="T102" s="115">
        <v>70008359</v>
      </c>
      <c r="U102" s="116" t="s">
        <v>1032</v>
      </c>
      <c r="V102" s="116" t="s">
        <v>1048</v>
      </c>
      <c r="W102" s="118">
        <v>49900</v>
      </c>
      <c r="X102" s="119">
        <v>49900</v>
      </c>
      <c r="Y102" s="119">
        <v>49900</v>
      </c>
      <c r="Z102" s="119">
        <v>49900</v>
      </c>
      <c r="AA102" s="119">
        <v>49900</v>
      </c>
    </row>
    <row r="103" spans="2:27" x14ac:dyDescent="0.25">
      <c r="B103" s="107">
        <v>7007215</v>
      </c>
      <c r="C103" s="122" t="s">
        <v>4157</v>
      </c>
      <c r="D103" s="122" t="s">
        <v>1174</v>
      </c>
      <c r="E103" s="122" t="s">
        <v>1171</v>
      </c>
      <c r="F103" s="135">
        <v>399990</v>
      </c>
      <c r="G103" s="104">
        <f t="shared" si="7"/>
        <v>16666.25</v>
      </c>
      <c r="H103" s="142">
        <v>449990</v>
      </c>
      <c r="I103" s="143">
        <f t="shared" si="8"/>
        <v>0.11111358030178453</v>
      </c>
      <c r="M103" s="18"/>
      <c r="T103" s="116"/>
      <c r="U103" s="116"/>
      <c r="V103" s="116"/>
      <c r="W103" s="116"/>
      <c r="X103" s="116"/>
      <c r="Y103" s="116"/>
      <c r="Z103" s="116"/>
      <c r="AA103" s="116"/>
    </row>
    <row r="104" spans="2:27" x14ac:dyDescent="0.25">
      <c r="B104" s="107">
        <v>7007020</v>
      </c>
      <c r="C104" s="106" t="s">
        <v>3359</v>
      </c>
      <c r="D104" s="106" t="s">
        <v>3305</v>
      </c>
      <c r="E104" s="94" t="s">
        <v>1240</v>
      </c>
      <c r="F104" s="104">
        <v>27990</v>
      </c>
      <c r="G104" s="104">
        <f t="shared" si="7"/>
        <v>1166.25</v>
      </c>
      <c r="H104" s="105">
        <v>34990</v>
      </c>
      <c r="I104" s="143">
        <f t="shared" si="8"/>
        <v>0.20005715918833955</v>
      </c>
    </row>
    <row r="105" spans="2:27" x14ac:dyDescent="0.25">
      <c r="B105" s="107">
        <v>7007021</v>
      </c>
      <c r="C105" s="106" t="s">
        <v>3360</v>
      </c>
      <c r="D105" s="106" t="s">
        <v>3305</v>
      </c>
      <c r="E105" s="94" t="s">
        <v>1240</v>
      </c>
      <c r="F105" s="104">
        <v>94990</v>
      </c>
      <c r="G105" s="104">
        <f t="shared" si="7"/>
        <v>3957.9166666666665</v>
      </c>
      <c r="H105" s="105">
        <v>114990</v>
      </c>
      <c r="I105" s="143">
        <f t="shared" si="8"/>
        <v>0.17392816766675367</v>
      </c>
      <c r="T105" s="115">
        <v>70008664</v>
      </c>
      <c r="U105" s="116" t="s">
        <v>112</v>
      </c>
      <c r="V105" s="116" t="s">
        <v>1054</v>
      </c>
      <c r="W105" s="118">
        <v>79900</v>
      </c>
      <c r="X105" s="119">
        <v>79900.000000000015</v>
      </c>
      <c r="Y105" s="119">
        <v>79900.000000000015</v>
      </c>
      <c r="Z105" s="119">
        <v>79900.000000000015</v>
      </c>
      <c r="AA105" s="119">
        <v>79900.000000000015</v>
      </c>
    </row>
    <row r="106" spans="2:27" ht="30" x14ac:dyDescent="0.25">
      <c r="B106" s="103">
        <v>7005385</v>
      </c>
      <c r="C106" s="106" t="s">
        <v>1341</v>
      </c>
      <c r="D106" s="94" t="s">
        <v>112</v>
      </c>
      <c r="E106" s="94" t="s">
        <v>1030</v>
      </c>
      <c r="F106" s="104">
        <v>59990</v>
      </c>
      <c r="G106" s="104">
        <f t="shared" si="7"/>
        <v>2499.5833333333335</v>
      </c>
      <c r="H106" s="105">
        <v>99990</v>
      </c>
      <c r="I106" s="143">
        <f t="shared" si="8"/>
        <v>0.40004000400040007</v>
      </c>
      <c r="K106" s="113">
        <v>70004625</v>
      </c>
      <c r="L106" s="113" t="s">
        <v>1014</v>
      </c>
      <c r="M106" s="113" t="s">
        <v>1019</v>
      </c>
      <c r="N106" s="114">
        <v>29900</v>
      </c>
      <c r="O106" s="114">
        <v>0</v>
      </c>
      <c r="P106" s="124">
        <v>4000</v>
      </c>
      <c r="T106" s="115">
        <v>70002620</v>
      </c>
      <c r="U106" s="116" t="s">
        <v>904</v>
      </c>
      <c r="V106" s="116" t="s">
        <v>1022</v>
      </c>
      <c r="W106" s="118">
        <v>49900</v>
      </c>
      <c r="X106" s="119">
        <v>49900.000000000007</v>
      </c>
      <c r="Y106" s="119">
        <v>49900.000000000007</v>
      </c>
      <c r="Z106" s="119">
        <v>49900.000000000007</v>
      </c>
      <c r="AA106" s="119">
        <v>49900.000000000007</v>
      </c>
    </row>
    <row r="107" spans="2:27" x14ac:dyDescent="0.25">
      <c r="B107" s="103">
        <v>7005183</v>
      </c>
      <c r="C107" s="106" t="s">
        <v>1121</v>
      </c>
      <c r="D107" s="94" t="s">
        <v>112</v>
      </c>
      <c r="E107" s="94" t="s">
        <v>1007</v>
      </c>
      <c r="F107" s="104">
        <v>14990</v>
      </c>
      <c r="G107" s="104">
        <f t="shared" si="7"/>
        <v>624.58333333333337</v>
      </c>
      <c r="H107" s="105">
        <v>39990</v>
      </c>
      <c r="I107" s="143">
        <f t="shared" si="8"/>
        <v>0.62515628907226806</v>
      </c>
      <c r="K107" s="116"/>
      <c r="L107" s="116"/>
      <c r="M107" s="115"/>
      <c r="N107" s="116"/>
      <c r="T107" s="116"/>
      <c r="U107" s="116"/>
      <c r="V107" s="116"/>
      <c r="W107" s="116"/>
      <c r="X107" s="116"/>
      <c r="Y107" s="116"/>
      <c r="Z107" s="116"/>
      <c r="AA107" s="116"/>
    </row>
    <row r="108" spans="2:27" x14ac:dyDescent="0.25">
      <c r="B108" s="107">
        <v>7007099</v>
      </c>
      <c r="C108" s="122" t="s">
        <v>4060</v>
      </c>
      <c r="D108" s="122" t="s">
        <v>63</v>
      </c>
      <c r="E108" s="122" t="s">
        <v>1018</v>
      </c>
      <c r="F108" s="123">
        <v>19990</v>
      </c>
      <c r="G108" s="104">
        <f t="shared" si="7"/>
        <v>832.91666666666663</v>
      </c>
      <c r="H108" s="142">
        <v>20990</v>
      </c>
      <c r="I108" s="143">
        <f t="shared" si="8"/>
        <v>4.7641734159123428E-2</v>
      </c>
      <c r="M108" s="18"/>
      <c r="T108" s="116"/>
      <c r="U108" s="116"/>
      <c r="V108" s="116"/>
      <c r="W108" s="116"/>
      <c r="X108" s="116"/>
      <c r="Y108" s="116"/>
      <c r="Z108" s="116"/>
      <c r="AA108" s="116"/>
    </row>
    <row r="109" spans="2:27" x14ac:dyDescent="0.25">
      <c r="B109" s="103">
        <v>7004829</v>
      </c>
      <c r="C109" s="106" t="s">
        <v>1006</v>
      </c>
      <c r="D109" s="94" t="s">
        <v>46</v>
      </c>
      <c r="E109" s="94" t="s">
        <v>1007</v>
      </c>
      <c r="F109" s="104">
        <v>94990</v>
      </c>
      <c r="G109" s="104">
        <f t="shared" si="7"/>
        <v>3957.9166666666665</v>
      </c>
      <c r="H109" s="105">
        <v>219990</v>
      </c>
      <c r="I109" s="143">
        <f t="shared" si="8"/>
        <v>0.56820764580208194</v>
      </c>
      <c r="M109" s="18"/>
    </row>
    <row r="110" spans="2:27" x14ac:dyDescent="0.25">
      <c r="B110" s="103">
        <v>7004828</v>
      </c>
      <c r="C110" s="106" t="s">
        <v>1011</v>
      </c>
      <c r="D110" s="94" t="s">
        <v>46</v>
      </c>
      <c r="E110" s="94" t="s">
        <v>1007</v>
      </c>
      <c r="F110" s="104">
        <v>94990</v>
      </c>
      <c r="G110" s="104">
        <f t="shared" si="7"/>
        <v>3957.9166666666665</v>
      </c>
      <c r="H110" s="105">
        <v>219990</v>
      </c>
      <c r="I110" s="143">
        <f t="shared" si="8"/>
        <v>0.56820764580208194</v>
      </c>
      <c r="M110" s="18"/>
    </row>
    <row r="111" spans="2:27" x14ac:dyDescent="0.25">
      <c r="B111" s="107">
        <v>7003947</v>
      </c>
      <c r="C111" s="106" t="s">
        <v>1125</v>
      </c>
      <c r="D111" s="106" t="s">
        <v>63</v>
      </c>
      <c r="E111" s="94" t="s">
        <v>1018</v>
      </c>
      <c r="F111" s="104">
        <v>18990</v>
      </c>
      <c r="G111" s="104">
        <f t="shared" si="7"/>
        <v>791.25</v>
      </c>
      <c r="H111" s="105">
        <v>22990</v>
      </c>
      <c r="I111" s="143">
        <f t="shared" si="8"/>
        <v>0.17398869073510226</v>
      </c>
    </row>
    <row r="112" spans="2:27" x14ac:dyDescent="0.25">
      <c r="B112" s="107">
        <v>7003948</v>
      </c>
      <c r="C112" s="106" t="s">
        <v>1124</v>
      </c>
      <c r="D112" s="106" t="s">
        <v>63</v>
      </c>
      <c r="E112" s="94" t="s">
        <v>1018</v>
      </c>
      <c r="F112" s="104">
        <v>18990</v>
      </c>
      <c r="G112" s="104">
        <f t="shared" si="7"/>
        <v>791.25</v>
      </c>
      <c r="H112" s="105">
        <v>22990</v>
      </c>
      <c r="I112" s="143">
        <f t="shared" si="8"/>
        <v>0.17398869073510226</v>
      </c>
    </row>
    <row r="113" spans="2:27" x14ac:dyDescent="0.25">
      <c r="B113" s="108">
        <v>7000723</v>
      </c>
      <c r="C113" s="106" t="s">
        <v>1123</v>
      </c>
      <c r="D113" s="106" t="s">
        <v>63</v>
      </c>
      <c r="E113" s="94" t="s">
        <v>1018</v>
      </c>
      <c r="F113" s="104">
        <v>15990</v>
      </c>
      <c r="G113" s="104">
        <f t="shared" si="7"/>
        <v>666.25</v>
      </c>
      <c r="H113" s="105">
        <v>21990</v>
      </c>
      <c r="I113" s="143">
        <f t="shared" si="8"/>
        <v>0.27285129604365621</v>
      </c>
    </row>
    <row r="114" spans="2:27" x14ac:dyDescent="0.25">
      <c r="B114" s="107">
        <v>7007160</v>
      </c>
      <c r="C114" s="122" t="s">
        <v>4070</v>
      </c>
      <c r="D114" s="122" t="s">
        <v>1178</v>
      </c>
      <c r="E114" s="122" t="s">
        <v>1171</v>
      </c>
      <c r="F114" s="123">
        <v>599990</v>
      </c>
      <c r="G114" s="104">
        <f t="shared" si="7"/>
        <v>24999.583333333332</v>
      </c>
      <c r="H114" s="142">
        <v>649990</v>
      </c>
      <c r="I114" s="143">
        <f t="shared" si="8"/>
        <v>7.6924260373236519E-2</v>
      </c>
      <c r="M114" s="18"/>
      <c r="T114" s="116"/>
      <c r="U114" s="116"/>
      <c r="V114" s="116"/>
      <c r="W114" s="116"/>
      <c r="X114" s="116"/>
      <c r="Y114" s="116"/>
      <c r="Z114" s="116"/>
      <c r="AA114" s="116"/>
    </row>
    <row r="115" spans="2:27" x14ac:dyDescent="0.25">
      <c r="B115" s="107">
        <v>7007161</v>
      </c>
      <c r="C115" s="122" t="s">
        <v>4071</v>
      </c>
      <c r="D115" s="122" t="s">
        <v>1178</v>
      </c>
      <c r="E115" s="122" t="s">
        <v>1171</v>
      </c>
      <c r="F115" s="123">
        <v>669990</v>
      </c>
      <c r="G115" s="104">
        <f t="shared" si="7"/>
        <v>27916.25</v>
      </c>
      <c r="H115" s="142">
        <v>699990</v>
      </c>
      <c r="I115" s="143">
        <f t="shared" si="8"/>
        <v>4.2857755110787266E-2</v>
      </c>
      <c r="M115" s="18"/>
    </row>
    <row r="116" spans="2:27" x14ac:dyDescent="0.25">
      <c r="B116" s="103">
        <v>7006305</v>
      </c>
      <c r="C116" s="94" t="s">
        <v>1299</v>
      </c>
      <c r="D116" s="94" t="s">
        <v>904</v>
      </c>
      <c r="E116" s="94" t="s">
        <v>1030</v>
      </c>
      <c r="F116" s="104">
        <v>69990</v>
      </c>
      <c r="G116" s="104">
        <f t="shared" si="7"/>
        <v>2916.25</v>
      </c>
      <c r="H116" s="105">
        <v>159990</v>
      </c>
      <c r="I116" s="143">
        <f t="shared" si="8"/>
        <v>0.56253515844740298</v>
      </c>
      <c r="K116"/>
      <c r="L116"/>
      <c r="M116"/>
      <c r="N116"/>
      <c r="T116" s="115">
        <v>70003007</v>
      </c>
      <c r="U116" s="116" t="s">
        <v>112</v>
      </c>
      <c r="V116" s="116" t="s">
        <v>1039</v>
      </c>
      <c r="W116" s="118">
        <v>59900</v>
      </c>
      <c r="X116" s="119">
        <v>59900</v>
      </c>
      <c r="Y116" s="119">
        <v>59900</v>
      </c>
      <c r="Z116" s="119">
        <v>59900</v>
      </c>
      <c r="AA116" s="119">
        <v>59900</v>
      </c>
    </row>
    <row r="117" spans="2:27" x14ac:dyDescent="0.25">
      <c r="B117" s="103">
        <v>7006304</v>
      </c>
      <c r="C117" s="94" t="s">
        <v>1298</v>
      </c>
      <c r="D117" s="94" t="s">
        <v>904</v>
      </c>
      <c r="E117" s="94" t="s">
        <v>1030</v>
      </c>
      <c r="F117" s="104">
        <v>69990</v>
      </c>
      <c r="G117" s="104">
        <f t="shared" si="7"/>
        <v>2916.25</v>
      </c>
      <c r="H117" s="105">
        <v>159990</v>
      </c>
      <c r="I117" s="143">
        <f t="shared" si="8"/>
        <v>0.56253515844740298</v>
      </c>
      <c r="M117" s="18"/>
    </row>
    <row r="118" spans="2:27" x14ac:dyDescent="0.25">
      <c r="B118" s="103">
        <v>7005819</v>
      </c>
      <c r="C118" s="106" t="s">
        <v>1301</v>
      </c>
      <c r="D118" s="94" t="s">
        <v>904</v>
      </c>
      <c r="E118" s="94" t="s">
        <v>1030</v>
      </c>
      <c r="F118" s="104">
        <v>99990</v>
      </c>
      <c r="G118" s="104">
        <f t="shared" si="7"/>
        <v>4166.25</v>
      </c>
      <c r="H118" s="105">
        <v>219990</v>
      </c>
      <c r="I118" s="143">
        <f t="shared" si="8"/>
        <v>0.54547933996999864</v>
      </c>
      <c r="M118" s="18"/>
    </row>
    <row r="119" spans="2:27" x14ac:dyDescent="0.25">
      <c r="B119" s="103">
        <v>7005818</v>
      </c>
      <c r="C119" s="106" t="s">
        <v>1300</v>
      </c>
      <c r="D119" s="94" t="s">
        <v>904</v>
      </c>
      <c r="E119" s="94" t="s">
        <v>1030</v>
      </c>
      <c r="F119" s="104">
        <v>99990</v>
      </c>
      <c r="G119" s="104">
        <f t="shared" si="7"/>
        <v>4166.25</v>
      </c>
      <c r="H119" s="105">
        <v>219990</v>
      </c>
      <c r="I119" s="143">
        <f t="shared" si="8"/>
        <v>0.54547933996999864</v>
      </c>
      <c r="M119" s="18"/>
    </row>
    <row r="120" spans="2:27" x14ac:dyDescent="0.25">
      <c r="B120" s="107">
        <v>7004583</v>
      </c>
      <c r="C120" s="106" t="s">
        <v>3391</v>
      </c>
      <c r="D120" s="106" t="s">
        <v>904</v>
      </c>
      <c r="E120" s="94" t="s">
        <v>1030</v>
      </c>
      <c r="F120" s="104">
        <v>42990</v>
      </c>
      <c r="G120" s="104">
        <f t="shared" si="7"/>
        <v>1791.25</v>
      </c>
      <c r="H120" s="105">
        <f>+F120</f>
        <v>42990</v>
      </c>
      <c r="I120" s="143">
        <f t="shared" si="8"/>
        <v>0</v>
      </c>
    </row>
    <row r="121" spans="2:27" x14ac:dyDescent="0.25">
      <c r="B121" s="103">
        <v>7005572</v>
      </c>
      <c r="C121" s="106" t="s">
        <v>1292</v>
      </c>
      <c r="D121" s="94" t="s">
        <v>41</v>
      </c>
      <c r="E121" s="94" t="s">
        <v>1030</v>
      </c>
      <c r="F121" s="104">
        <v>42990</v>
      </c>
      <c r="G121" s="104">
        <f t="shared" si="7"/>
        <v>1791.25</v>
      </c>
      <c r="H121" s="105">
        <v>59990</v>
      </c>
      <c r="I121" s="143">
        <f t="shared" si="8"/>
        <v>0.28338056342723783</v>
      </c>
    </row>
    <row r="122" spans="2:27" x14ac:dyDescent="0.25">
      <c r="B122" s="103">
        <v>7005573</v>
      </c>
      <c r="C122" s="106" t="s">
        <v>1293</v>
      </c>
      <c r="D122" s="94" t="s">
        <v>41</v>
      </c>
      <c r="E122" s="94" t="s">
        <v>1030</v>
      </c>
      <c r="F122" s="104">
        <v>42990</v>
      </c>
      <c r="G122" s="104">
        <f t="shared" si="7"/>
        <v>1791.25</v>
      </c>
      <c r="H122" s="105">
        <v>59990</v>
      </c>
      <c r="I122" s="143">
        <f t="shared" si="8"/>
        <v>0.28338056342723783</v>
      </c>
    </row>
    <row r="123" spans="2:27" x14ac:dyDescent="0.25">
      <c r="B123" s="103">
        <v>7004782</v>
      </c>
      <c r="C123" s="106" t="s">
        <v>2922</v>
      </c>
      <c r="D123" s="94" t="s">
        <v>904</v>
      </c>
      <c r="E123" s="94" t="s">
        <v>1030</v>
      </c>
      <c r="F123" s="104">
        <v>42990</v>
      </c>
      <c r="G123" s="104">
        <f t="shared" si="7"/>
        <v>1791.25</v>
      </c>
      <c r="H123" s="105">
        <v>59990</v>
      </c>
      <c r="I123" s="143">
        <f t="shared" si="8"/>
        <v>0.28338056342723783</v>
      </c>
    </row>
    <row r="124" spans="2:27" x14ac:dyDescent="0.25">
      <c r="B124" s="103">
        <v>7004582</v>
      </c>
      <c r="C124" s="106" t="s">
        <v>2924</v>
      </c>
      <c r="D124" s="94" t="s">
        <v>904</v>
      </c>
      <c r="E124" s="94" t="s">
        <v>1030</v>
      </c>
      <c r="F124" s="104">
        <v>42990</v>
      </c>
      <c r="G124" s="104">
        <f t="shared" si="7"/>
        <v>1791.25</v>
      </c>
      <c r="H124" s="105">
        <v>59990</v>
      </c>
      <c r="I124" s="143">
        <f t="shared" si="8"/>
        <v>0.28338056342723783</v>
      </c>
    </row>
    <row r="125" spans="2:27" x14ac:dyDescent="0.25">
      <c r="B125" s="107">
        <v>7007064</v>
      </c>
      <c r="C125" s="122" t="s">
        <v>4063</v>
      </c>
      <c r="D125" s="122" t="s">
        <v>4062</v>
      </c>
      <c r="E125" s="122" t="s">
        <v>1007</v>
      </c>
      <c r="F125" s="135">
        <v>129990</v>
      </c>
      <c r="G125" s="104">
        <f t="shared" si="7"/>
        <v>5416.25</v>
      </c>
      <c r="H125" s="142">
        <v>159990</v>
      </c>
      <c r="I125" s="143">
        <f t="shared" si="8"/>
        <v>0.1875117194824677</v>
      </c>
      <c r="M125" s="18"/>
      <c r="T125" s="116"/>
      <c r="U125" s="116"/>
      <c r="V125" s="116"/>
      <c r="W125" s="116"/>
      <c r="X125" s="116"/>
      <c r="Y125" s="116"/>
      <c r="Z125" s="116"/>
      <c r="AA125" s="116"/>
    </row>
    <row r="126" spans="2:27" x14ac:dyDescent="0.25">
      <c r="B126" s="103">
        <v>7004370</v>
      </c>
      <c r="C126" s="106" t="s">
        <v>1180</v>
      </c>
      <c r="D126" s="106" t="s">
        <v>1178</v>
      </c>
      <c r="E126" s="94" t="s">
        <v>1171</v>
      </c>
      <c r="F126" s="104">
        <v>69990</v>
      </c>
      <c r="G126" s="104">
        <f t="shared" si="7"/>
        <v>2916.25</v>
      </c>
      <c r="H126" s="105">
        <v>84990</v>
      </c>
      <c r="I126" s="143">
        <f t="shared" si="8"/>
        <v>0.17649135192375576</v>
      </c>
      <c r="T126" s="116"/>
      <c r="U126" s="116"/>
      <c r="V126" s="116"/>
      <c r="W126" s="116"/>
      <c r="X126" s="116"/>
      <c r="Y126" s="116"/>
      <c r="Z126" s="116"/>
      <c r="AA126" s="116"/>
    </row>
    <row r="127" spans="2:27" x14ac:dyDescent="0.25">
      <c r="B127" s="103">
        <v>7005184</v>
      </c>
      <c r="C127" s="106" t="s">
        <v>1340</v>
      </c>
      <c r="D127" s="94" t="s">
        <v>112</v>
      </c>
      <c r="E127" s="94" t="s">
        <v>1030</v>
      </c>
      <c r="F127" s="104">
        <v>39990</v>
      </c>
      <c r="G127" s="104">
        <f t="shared" ref="G127:G158" si="9">F127/24</f>
        <v>1666.25</v>
      </c>
      <c r="H127" s="105">
        <v>79990</v>
      </c>
      <c r="I127" s="143">
        <f t="shared" si="8"/>
        <v>0.50006250781347661</v>
      </c>
      <c r="M127" s="18"/>
    </row>
    <row r="128" spans="2:27" x14ac:dyDescent="0.25">
      <c r="B128" s="103">
        <v>7005185</v>
      </c>
      <c r="C128" s="106" t="s">
        <v>1122</v>
      </c>
      <c r="D128" s="94" t="s">
        <v>112</v>
      </c>
      <c r="E128" s="94" t="s">
        <v>1007</v>
      </c>
      <c r="F128" s="104">
        <v>34990</v>
      </c>
      <c r="G128" s="104">
        <f t="shared" si="9"/>
        <v>1457.9166666666667</v>
      </c>
      <c r="H128" s="105">
        <v>89990</v>
      </c>
      <c r="I128" s="143">
        <f t="shared" si="8"/>
        <v>0.61117901989109902</v>
      </c>
      <c r="M128" s="18"/>
    </row>
    <row r="129" spans="2:13" x14ac:dyDescent="0.25">
      <c r="B129" s="103">
        <v>7004908</v>
      </c>
      <c r="C129" s="106" t="s">
        <v>1321</v>
      </c>
      <c r="D129" s="94" t="s">
        <v>46</v>
      </c>
      <c r="E129" s="94" t="s">
        <v>1030</v>
      </c>
      <c r="F129" s="104">
        <v>112990</v>
      </c>
      <c r="G129" s="104">
        <f t="shared" si="9"/>
        <v>4707.916666666667</v>
      </c>
      <c r="H129" s="105">
        <v>329990</v>
      </c>
      <c r="I129" s="143">
        <f t="shared" si="8"/>
        <v>0.65759568471771868</v>
      </c>
      <c r="M129" s="18"/>
    </row>
    <row r="130" spans="2:13" x14ac:dyDescent="0.25">
      <c r="B130" s="103">
        <v>7004909</v>
      </c>
      <c r="C130" s="106" t="s">
        <v>1320</v>
      </c>
      <c r="D130" s="94" t="s">
        <v>46</v>
      </c>
      <c r="E130" s="94" t="s">
        <v>1030</v>
      </c>
      <c r="F130" s="104">
        <v>112990</v>
      </c>
      <c r="G130" s="104">
        <f t="shared" si="9"/>
        <v>4707.916666666667</v>
      </c>
      <c r="H130" s="105">
        <v>329990</v>
      </c>
      <c r="I130" s="143">
        <f t="shared" si="8"/>
        <v>0.65759568471771868</v>
      </c>
      <c r="M130" s="18"/>
    </row>
    <row r="131" spans="2:13" x14ac:dyDescent="0.25">
      <c r="B131" s="103">
        <v>7004901</v>
      </c>
      <c r="C131" s="106" t="s">
        <v>1322</v>
      </c>
      <c r="D131" s="94" t="s">
        <v>46</v>
      </c>
      <c r="E131" s="94" t="s">
        <v>1030</v>
      </c>
      <c r="F131" s="104">
        <v>109990</v>
      </c>
      <c r="G131" s="104">
        <f t="shared" si="9"/>
        <v>4582.916666666667</v>
      </c>
      <c r="H131" s="105">
        <v>299990</v>
      </c>
      <c r="I131" s="143">
        <f t="shared" si="8"/>
        <v>0.63335444514817163</v>
      </c>
      <c r="M131" s="18"/>
    </row>
    <row r="132" spans="2:13" x14ac:dyDescent="0.25">
      <c r="B132" s="103">
        <v>7004903</v>
      </c>
      <c r="C132" s="106" t="s">
        <v>1323</v>
      </c>
      <c r="D132" s="94" t="s">
        <v>46</v>
      </c>
      <c r="E132" s="94" t="s">
        <v>1030</v>
      </c>
      <c r="F132" s="104">
        <v>109990</v>
      </c>
      <c r="G132" s="104">
        <f t="shared" si="9"/>
        <v>4582.916666666667</v>
      </c>
      <c r="H132" s="105">
        <v>299990</v>
      </c>
      <c r="I132" s="143">
        <f t="shared" si="8"/>
        <v>0.63335444514817163</v>
      </c>
      <c r="M132" s="18"/>
    </row>
    <row r="133" spans="2:13" x14ac:dyDescent="0.25">
      <c r="B133" s="103">
        <v>7004338</v>
      </c>
      <c r="C133" s="106" t="s">
        <v>1115</v>
      </c>
      <c r="D133" s="94" t="s">
        <v>46</v>
      </c>
      <c r="E133" s="94" t="s">
        <v>1007</v>
      </c>
      <c r="F133" s="104">
        <v>79990</v>
      </c>
      <c r="G133" s="104">
        <f t="shared" si="9"/>
        <v>3332.9166666666665</v>
      </c>
      <c r="H133" s="105">
        <v>149990</v>
      </c>
      <c r="I133" s="143">
        <f t="shared" si="8"/>
        <v>0.46669777985199012</v>
      </c>
      <c r="M133" s="18"/>
    </row>
    <row r="134" spans="2:13" x14ac:dyDescent="0.25">
      <c r="B134" s="107">
        <v>7003657</v>
      </c>
      <c r="C134" s="106" t="s">
        <v>1206</v>
      </c>
      <c r="D134" s="106" t="s">
        <v>904</v>
      </c>
      <c r="E134" s="94" t="s">
        <v>1203</v>
      </c>
      <c r="F134" s="104">
        <v>59990</v>
      </c>
      <c r="G134" s="104">
        <f t="shared" si="9"/>
        <v>2499.5833333333335</v>
      </c>
      <c r="H134" s="105">
        <v>79990</v>
      </c>
      <c r="I134" s="143">
        <f t="shared" si="8"/>
        <v>0.2500312539067383</v>
      </c>
      <c r="M134" s="18"/>
    </row>
    <row r="135" spans="2:13" x14ac:dyDescent="0.25">
      <c r="B135" s="107">
        <v>7003632</v>
      </c>
      <c r="C135" s="106" t="s">
        <v>1207</v>
      </c>
      <c r="D135" s="106" t="s">
        <v>904</v>
      </c>
      <c r="E135" s="94" t="s">
        <v>1203</v>
      </c>
      <c r="F135" s="104">
        <v>74990</v>
      </c>
      <c r="G135" s="104">
        <f t="shared" si="9"/>
        <v>3124.5833333333335</v>
      </c>
      <c r="H135" s="105">
        <v>99990</v>
      </c>
      <c r="I135" s="143">
        <f t="shared" si="8"/>
        <v>0.25002500250025006</v>
      </c>
      <c r="M135" s="18"/>
    </row>
    <row r="136" spans="2:13" x14ac:dyDescent="0.25">
      <c r="B136" s="103">
        <v>7004584</v>
      </c>
      <c r="C136" s="106" t="s">
        <v>1294</v>
      </c>
      <c r="D136" s="94" t="s">
        <v>904</v>
      </c>
      <c r="E136" s="94" t="s">
        <v>1030</v>
      </c>
      <c r="F136" s="104">
        <v>96990</v>
      </c>
      <c r="G136" s="104">
        <f t="shared" si="9"/>
        <v>4041.25</v>
      </c>
      <c r="H136" s="105">
        <v>129990</v>
      </c>
      <c r="I136" s="143">
        <f t="shared" si="8"/>
        <v>0.25386568197553661</v>
      </c>
      <c r="M136" s="18"/>
    </row>
    <row r="137" spans="2:13" x14ac:dyDescent="0.25">
      <c r="B137" s="103">
        <v>7004585</v>
      </c>
      <c r="C137" s="106" t="s">
        <v>1295</v>
      </c>
      <c r="D137" s="94" t="s">
        <v>904</v>
      </c>
      <c r="E137" s="94" t="s">
        <v>1030</v>
      </c>
      <c r="F137" s="104">
        <v>96990</v>
      </c>
      <c r="G137" s="104">
        <f t="shared" si="9"/>
        <v>4041.25</v>
      </c>
      <c r="H137" s="105">
        <v>129990</v>
      </c>
      <c r="I137" s="143">
        <f t="shared" si="8"/>
        <v>0.25386568197553661</v>
      </c>
      <c r="M137" s="18"/>
    </row>
    <row r="138" spans="2:13" x14ac:dyDescent="0.25">
      <c r="B138" s="103">
        <v>7005762</v>
      </c>
      <c r="C138" s="106" t="s">
        <v>1296</v>
      </c>
      <c r="D138" s="94" t="s">
        <v>904</v>
      </c>
      <c r="E138" s="94" t="s">
        <v>1030</v>
      </c>
      <c r="F138" s="104">
        <v>51990</v>
      </c>
      <c r="G138" s="104">
        <f t="shared" si="9"/>
        <v>2166.25</v>
      </c>
      <c r="H138" s="105">
        <v>59990</v>
      </c>
      <c r="I138" s="143">
        <f t="shared" si="8"/>
        <v>0.13335555925987663</v>
      </c>
    </row>
    <row r="139" spans="2:13" x14ac:dyDescent="0.25">
      <c r="B139" s="103">
        <v>7005763</v>
      </c>
      <c r="C139" s="106" t="s">
        <v>1297</v>
      </c>
      <c r="D139" s="94" t="s">
        <v>904</v>
      </c>
      <c r="E139" s="94" t="s">
        <v>1030</v>
      </c>
      <c r="F139" s="104">
        <v>51990</v>
      </c>
      <c r="G139" s="104">
        <f t="shared" si="9"/>
        <v>2166.25</v>
      </c>
      <c r="H139" s="105">
        <v>59990</v>
      </c>
      <c r="I139" s="143">
        <f t="shared" si="8"/>
        <v>0.13335555925987663</v>
      </c>
    </row>
    <row r="140" spans="2:13" x14ac:dyDescent="0.25">
      <c r="B140" s="108">
        <v>7004586</v>
      </c>
      <c r="C140" s="106" t="s">
        <v>1307</v>
      </c>
      <c r="D140" s="94" t="s">
        <v>904</v>
      </c>
      <c r="E140" s="94" t="s">
        <v>1030</v>
      </c>
      <c r="F140" s="104">
        <v>256990</v>
      </c>
      <c r="G140" s="104">
        <f t="shared" si="9"/>
        <v>10707.916666666666</v>
      </c>
      <c r="H140" s="105">
        <v>329990</v>
      </c>
      <c r="I140" s="143">
        <f t="shared" si="8"/>
        <v>0.22121882481287314</v>
      </c>
    </row>
    <row r="141" spans="2:13" x14ac:dyDescent="0.25">
      <c r="B141" s="103">
        <v>7005228</v>
      </c>
      <c r="C141" s="106" t="s">
        <v>1332</v>
      </c>
      <c r="D141" s="94" t="s">
        <v>87</v>
      </c>
      <c r="E141" s="94" t="s">
        <v>1030</v>
      </c>
      <c r="F141" s="104">
        <v>169990</v>
      </c>
      <c r="G141" s="104">
        <f t="shared" si="9"/>
        <v>7082.916666666667</v>
      </c>
      <c r="H141" s="105">
        <v>219990</v>
      </c>
      <c r="I141" s="143">
        <f t="shared" si="8"/>
        <v>0.22728305832083273</v>
      </c>
    </row>
    <row r="142" spans="2:13" x14ac:dyDescent="0.25">
      <c r="B142" s="111">
        <v>7000929</v>
      </c>
      <c r="C142" s="106" t="s">
        <v>1077</v>
      </c>
      <c r="D142" s="106" t="s">
        <v>904</v>
      </c>
      <c r="E142" s="94" t="s">
        <v>1007</v>
      </c>
      <c r="F142" s="104">
        <v>7990</v>
      </c>
      <c r="G142" s="104">
        <f t="shared" si="9"/>
        <v>332.91666666666669</v>
      </c>
      <c r="H142" s="105">
        <v>9990</v>
      </c>
      <c r="I142" s="143">
        <f t="shared" si="8"/>
        <v>0.20020020020020024</v>
      </c>
    </row>
    <row r="143" spans="2:13" x14ac:dyDescent="0.25">
      <c r="B143" s="107">
        <v>7000924</v>
      </c>
      <c r="C143" s="106" t="s">
        <v>1164</v>
      </c>
      <c r="D143" s="106" t="s">
        <v>904</v>
      </c>
      <c r="E143" s="94" t="s">
        <v>1018</v>
      </c>
      <c r="F143" s="104">
        <v>6490</v>
      </c>
      <c r="G143" s="104">
        <f t="shared" si="9"/>
        <v>270.41666666666669</v>
      </c>
      <c r="H143" s="105">
        <v>9990</v>
      </c>
      <c r="I143" s="143">
        <f t="shared" si="8"/>
        <v>0.35035035035035034</v>
      </c>
    </row>
    <row r="144" spans="2:13" x14ac:dyDescent="0.25">
      <c r="B144" s="103">
        <v>7005261</v>
      </c>
      <c r="C144" s="106" t="s">
        <v>1335</v>
      </c>
      <c r="D144" s="94" t="s">
        <v>87</v>
      </c>
      <c r="E144" s="94" t="s">
        <v>1030</v>
      </c>
      <c r="F144" s="104">
        <v>24990</v>
      </c>
      <c r="G144" s="104">
        <f t="shared" si="9"/>
        <v>1041.25</v>
      </c>
      <c r="H144" s="105">
        <v>29990</v>
      </c>
      <c r="I144" s="143">
        <f t="shared" si="8"/>
        <v>0.16672224074691566</v>
      </c>
    </row>
    <row r="145" spans="2:9" x14ac:dyDescent="0.25">
      <c r="B145" s="103">
        <v>7005773</v>
      </c>
      <c r="C145" s="106" t="s">
        <v>1309</v>
      </c>
      <c r="D145" s="94" t="s">
        <v>904</v>
      </c>
      <c r="E145" s="94" t="s">
        <v>1030</v>
      </c>
      <c r="F145" s="104">
        <v>79990</v>
      </c>
      <c r="G145" s="104">
        <f t="shared" si="9"/>
        <v>3332.9166666666665</v>
      </c>
      <c r="H145" s="105">
        <v>89990</v>
      </c>
      <c r="I145" s="143">
        <f t="shared" si="8"/>
        <v>0.11112345816201796</v>
      </c>
    </row>
    <row r="146" spans="2:9" x14ac:dyDescent="0.25">
      <c r="B146" s="103">
        <v>7004788</v>
      </c>
      <c r="C146" s="106" t="s">
        <v>1076</v>
      </c>
      <c r="D146" s="94" t="s">
        <v>904</v>
      </c>
      <c r="E146" s="94" t="s">
        <v>1007</v>
      </c>
      <c r="F146" s="104">
        <v>45990</v>
      </c>
      <c r="G146" s="104">
        <f t="shared" si="9"/>
        <v>1916.25</v>
      </c>
      <c r="H146" s="105">
        <v>49990</v>
      </c>
      <c r="I146" s="143">
        <f t="shared" si="8"/>
        <v>8.0016003200640173E-2</v>
      </c>
    </row>
    <row r="147" spans="2:9" x14ac:dyDescent="0.25">
      <c r="B147" s="107">
        <v>7003648</v>
      </c>
      <c r="C147" s="106" t="s">
        <v>1219</v>
      </c>
      <c r="D147" s="106" t="s">
        <v>904</v>
      </c>
      <c r="E147" s="94" t="s">
        <v>1218</v>
      </c>
      <c r="F147" s="104">
        <v>129990</v>
      </c>
      <c r="G147" s="104">
        <f t="shared" si="9"/>
        <v>5416.25</v>
      </c>
      <c r="H147" s="105">
        <v>149990</v>
      </c>
      <c r="I147" s="143">
        <f t="shared" si="8"/>
        <v>0.13334222281485431</v>
      </c>
    </row>
    <row r="148" spans="2:9" x14ac:dyDescent="0.25">
      <c r="B148" s="103">
        <v>7005774</v>
      </c>
      <c r="C148" s="106" t="s">
        <v>1310</v>
      </c>
      <c r="D148" s="94" t="s">
        <v>904</v>
      </c>
      <c r="E148" s="94" t="s">
        <v>1030</v>
      </c>
      <c r="F148" s="104">
        <v>79990</v>
      </c>
      <c r="G148" s="104">
        <f t="shared" si="9"/>
        <v>3332.9166666666665</v>
      </c>
      <c r="H148" s="105">
        <v>89990</v>
      </c>
      <c r="I148" s="143">
        <f t="shared" si="8"/>
        <v>0.11112345816201796</v>
      </c>
    </row>
    <row r="149" spans="2:9" x14ac:dyDescent="0.25">
      <c r="B149" s="103">
        <v>7004341</v>
      </c>
      <c r="C149" s="106" t="s">
        <v>1116</v>
      </c>
      <c r="D149" s="94" t="s">
        <v>87</v>
      </c>
      <c r="E149" s="94" t="s">
        <v>1007</v>
      </c>
      <c r="F149" s="104">
        <v>64990</v>
      </c>
      <c r="G149" s="104">
        <f t="shared" si="9"/>
        <v>2707.9166666666665</v>
      </c>
      <c r="H149" s="105">
        <v>79990</v>
      </c>
      <c r="I149" s="143">
        <f t="shared" si="8"/>
        <v>0.18752344043005376</v>
      </c>
    </row>
    <row r="150" spans="2:9" x14ac:dyDescent="0.25">
      <c r="B150" s="103">
        <v>7005225</v>
      </c>
      <c r="C150" s="106" t="s">
        <v>1117</v>
      </c>
      <c r="D150" s="94" t="s">
        <v>87</v>
      </c>
      <c r="E150" s="94" t="s">
        <v>1007</v>
      </c>
      <c r="F150" s="104">
        <v>79990</v>
      </c>
      <c r="G150" s="104">
        <f t="shared" si="9"/>
        <v>3332.9166666666665</v>
      </c>
      <c r="H150" s="105">
        <v>99990</v>
      </c>
      <c r="I150" s="143">
        <f t="shared" si="8"/>
        <v>0.20002000200019998</v>
      </c>
    </row>
    <row r="151" spans="2:9" x14ac:dyDescent="0.25">
      <c r="B151" s="108">
        <v>7004727</v>
      </c>
      <c r="C151" s="106" t="s">
        <v>1118</v>
      </c>
      <c r="D151" s="94" t="s">
        <v>87</v>
      </c>
      <c r="E151" s="94" t="s">
        <v>1007</v>
      </c>
      <c r="F151" s="104">
        <v>49990</v>
      </c>
      <c r="G151" s="104">
        <f t="shared" si="9"/>
        <v>2082.9166666666665</v>
      </c>
      <c r="H151" s="105">
        <v>64990</v>
      </c>
      <c r="I151" s="143">
        <f t="shared" si="8"/>
        <v>0.2308047391906447</v>
      </c>
    </row>
    <row r="152" spans="2:9" x14ac:dyDescent="0.25">
      <c r="B152" s="103">
        <v>7004726</v>
      </c>
      <c r="C152" s="106" t="s">
        <v>1217</v>
      </c>
      <c r="D152" s="94" t="s">
        <v>87</v>
      </c>
      <c r="E152" s="94" t="s">
        <v>1203</v>
      </c>
      <c r="F152" s="104">
        <v>20990</v>
      </c>
      <c r="G152" s="104">
        <f t="shared" si="9"/>
        <v>874.58333333333337</v>
      </c>
      <c r="H152" s="105">
        <v>26990</v>
      </c>
      <c r="I152" s="143">
        <f t="shared" si="8"/>
        <v>0.22230455724342346</v>
      </c>
    </row>
    <row r="153" spans="2:9" x14ac:dyDescent="0.25">
      <c r="B153" s="103">
        <v>7005229</v>
      </c>
      <c r="C153" s="106" t="s">
        <v>1333</v>
      </c>
      <c r="D153" s="94" t="s">
        <v>87</v>
      </c>
      <c r="E153" s="94" t="s">
        <v>1030</v>
      </c>
      <c r="F153" s="104">
        <v>169990</v>
      </c>
      <c r="G153" s="104">
        <f t="shared" si="9"/>
        <v>7082.916666666667</v>
      </c>
      <c r="H153" s="105">
        <v>219990</v>
      </c>
      <c r="I153" s="143">
        <f t="shared" si="8"/>
        <v>0.22728305832083273</v>
      </c>
    </row>
    <row r="154" spans="2:9" x14ac:dyDescent="0.25">
      <c r="B154" s="103">
        <v>7005260</v>
      </c>
      <c r="C154" s="106" t="s">
        <v>1334</v>
      </c>
      <c r="D154" s="94" t="s">
        <v>87</v>
      </c>
      <c r="E154" s="94" t="s">
        <v>1030</v>
      </c>
      <c r="F154" s="104">
        <v>24990</v>
      </c>
      <c r="G154" s="104">
        <f t="shared" si="9"/>
        <v>1041.25</v>
      </c>
      <c r="H154" s="105">
        <v>29990</v>
      </c>
      <c r="I154" s="143">
        <f t="shared" si="8"/>
        <v>0.16672224074691566</v>
      </c>
    </row>
    <row r="155" spans="2:9" x14ac:dyDescent="0.25">
      <c r="B155" s="107">
        <v>7002933</v>
      </c>
      <c r="C155" s="106" t="s">
        <v>1324</v>
      </c>
      <c r="D155" s="106" t="s">
        <v>46</v>
      </c>
      <c r="E155" s="94" t="s">
        <v>1030</v>
      </c>
      <c r="F155" s="104">
        <v>169990</v>
      </c>
      <c r="G155" s="104">
        <f t="shared" si="9"/>
        <v>7082.916666666667</v>
      </c>
      <c r="H155" s="105">
        <v>179990</v>
      </c>
      <c r="I155" s="143">
        <f t="shared" si="8"/>
        <v>5.5558642146785964E-2</v>
      </c>
    </row>
    <row r="156" spans="2:9" x14ac:dyDescent="0.25">
      <c r="B156" s="103">
        <v>7005039</v>
      </c>
      <c r="C156" s="106" t="s">
        <v>1186</v>
      </c>
      <c r="D156" s="94" t="s">
        <v>1178</v>
      </c>
      <c r="E156" s="94" t="s">
        <v>1171</v>
      </c>
      <c r="F156" s="104">
        <v>29990</v>
      </c>
      <c r="G156" s="104">
        <f t="shared" si="9"/>
        <v>1249.5833333333333</v>
      </c>
      <c r="H156" s="105">
        <v>32990</v>
      </c>
      <c r="I156" s="143">
        <f t="shared" si="8"/>
        <v>9.0936647468929932E-2</v>
      </c>
    </row>
    <row r="157" spans="2:9" x14ac:dyDescent="0.25">
      <c r="B157" s="107">
        <v>7001192</v>
      </c>
      <c r="C157" s="106" t="s">
        <v>1325</v>
      </c>
      <c r="D157" s="106" t="s">
        <v>46</v>
      </c>
      <c r="E157" s="94" t="s">
        <v>1030</v>
      </c>
      <c r="F157" s="104">
        <v>169990</v>
      </c>
      <c r="G157" s="104">
        <f t="shared" si="9"/>
        <v>7082.916666666667</v>
      </c>
      <c r="H157" s="105">
        <v>179990</v>
      </c>
      <c r="I157" s="143">
        <f t="shared" si="8"/>
        <v>5.5558642146785964E-2</v>
      </c>
    </row>
    <row r="158" spans="2:9" x14ac:dyDescent="0.25">
      <c r="B158" s="103">
        <v>7005272</v>
      </c>
      <c r="C158" s="106" t="s">
        <v>1027</v>
      </c>
      <c r="D158" s="94" t="s">
        <v>46</v>
      </c>
      <c r="E158" s="94" t="s">
        <v>1018</v>
      </c>
      <c r="F158" s="104">
        <v>9990</v>
      </c>
      <c r="G158" s="104">
        <f t="shared" si="9"/>
        <v>416.25</v>
      </c>
      <c r="H158" s="105">
        <v>29990</v>
      </c>
      <c r="I158" s="143">
        <f t="shared" si="8"/>
        <v>0.66688896298766254</v>
      </c>
    </row>
    <row r="159" spans="2:9" x14ac:dyDescent="0.25">
      <c r="B159" s="103">
        <v>7005271</v>
      </c>
      <c r="C159" s="106" t="s">
        <v>1023</v>
      </c>
      <c r="D159" s="94" t="s">
        <v>46</v>
      </c>
      <c r="E159" s="94" t="s">
        <v>1018</v>
      </c>
      <c r="F159" s="104">
        <v>9990</v>
      </c>
      <c r="G159" s="104">
        <f t="shared" ref="G159:G190" si="10">F159/24</f>
        <v>416.25</v>
      </c>
      <c r="H159" s="105">
        <v>59990</v>
      </c>
      <c r="I159" s="143">
        <f t="shared" ref="I159:I222" si="11">1-F159/H159</f>
        <v>0.83347224537422904</v>
      </c>
    </row>
    <row r="160" spans="2:9" x14ac:dyDescent="0.25">
      <c r="B160" s="103">
        <v>7005278</v>
      </c>
      <c r="C160" s="106" t="s">
        <v>1210</v>
      </c>
      <c r="D160" s="94" t="s">
        <v>46</v>
      </c>
      <c r="E160" s="94" t="s">
        <v>1203</v>
      </c>
      <c r="F160" s="104">
        <v>9990</v>
      </c>
      <c r="G160" s="104">
        <f t="shared" si="10"/>
        <v>416.25</v>
      </c>
      <c r="H160" s="105">
        <v>34990</v>
      </c>
      <c r="I160" s="143">
        <f t="shared" si="11"/>
        <v>0.71448985424406974</v>
      </c>
    </row>
    <row r="161" spans="2:27" x14ac:dyDescent="0.25">
      <c r="B161" s="103">
        <v>7006103</v>
      </c>
      <c r="C161" s="94" t="s">
        <v>1025</v>
      </c>
      <c r="D161" s="94" t="s">
        <v>46</v>
      </c>
      <c r="E161" s="94" t="s">
        <v>1018</v>
      </c>
      <c r="F161" s="104">
        <v>14990</v>
      </c>
      <c r="G161" s="104">
        <f t="shared" si="10"/>
        <v>624.58333333333337</v>
      </c>
      <c r="H161" s="105">
        <v>24990</v>
      </c>
      <c r="I161" s="143">
        <f t="shared" si="11"/>
        <v>0.40016006402561022</v>
      </c>
      <c r="T161" s="116">
        <v>70011684</v>
      </c>
      <c r="U161" s="116" t="s">
        <v>1032</v>
      </c>
      <c r="V161" s="116" t="s">
        <v>1056</v>
      </c>
      <c r="W161" s="118">
        <v>49900</v>
      </c>
      <c r="X161" s="119">
        <v>49900</v>
      </c>
      <c r="Y161" s="119">
        <v>49900</v>
      </c>
      <c r="Z161" s="119">
        <v>49900</v>
      </c>
      <c r="AA161" s="119">
        <v>49900</v>
      </c>
    </row>
    <row r="162" spans="2:27" x14ac:dyDescent="0.25">
      <c r="B162" s="107">
        <v>7007062</v>
      </c>
      <c r="C162" s="122" t="s">
        <v>4153</v>
      </c>
      <c r="D162" s="122" t="s">
        <v>904</v>
      </c>
      <c r="E162" s="122" t="s">
        <v>1007</v>
      </c>
      <c r="F162" s="123">
        <v>1.19</v>
      </c>
      <c r="G162" s="104">
        <v>0</v>
      </c>
      <c r="H162" s="142">
        <v>1.19</v>
      </c>
      <c r="I162" s="143">
        <f t="shared" si="11"/>
        <v>0</v>
      </c>
      <c r="K162" s="116"/>
      <c r="L162" s="116"/>
      <c r="M162" s="116"/>
      <c r="N162" s="118"/>
      <c r="O162" s="116"/>
      <c r="P162" s="116"/>
      <c r="T162" s="115">
        <v>70002820</v>
      </c>
      <c r="U162" s="116" t="s">
        <v>1036</v>
      </c>
      <c r="V162" s="116" t="s">
        <v>1037</v>
      </c>
      <c r="W162" s="118">
        <v>29900</v>
      </c>
      <c r="X162" s="119">
        <v>45900</v>
      </c>
      <c r="Y162" s="119">
        <v>45900</v>
      </c>
      <c r="Z162" s="119">
        <v>45900</v>
      </c>
      <c r="AA162" s="119">
        <v>45900</v>
      </c>
    </row>
    <row r="163" spans="2:27" x14ac:dyDescent="0.25">
      <c r="B163" s="107">
        <v>7007061</v>
      </c>
      <c r="C163" s="122" t="s">
        <v>4154</v>
      </c>
      <c r="D163" s="122" t="s">
        <v>87</v>
      </c>
      <c r="E163" s="122" t="s">
        <v>1030</v>
      </c>
      <c r="F163" s="123">
        <v>1.19</v>
      </c>
      <c r="G163" s="104">
        <v>0</v>
      </c>
      <c r="H163" s="142">
        <v>1.19</v>
      </c>
      <c r="I163" s="143">
        <f t="shared" si="11"/>
        <v>0</v>
      </c>
      <c r="K163" s="116"/>
      <c r="L163" s="116"/>
      <c r="M163" s="115"/>
      <c r="N163" s="116"/>
      <c r="O163" s="116"/>
      <c r="P163" s="116"/>
      <c r="T163" s="116"/>
      <c r="U163" s="116"/>
      <c r="V163" s="116"/>
      <c r="W163" s="116"/>
      <c r="X163" s="116"/>
      <c r="Y163" s="116"/>
      <c r="Z163" s="116"/>
      <c r="AA163" s="116"/>
    </row>
    <row r="164" spans="2:27" x14ac:dyDescent="0.25">
      <c r="B164" s="108">
        <v>7004725</v>
      </c>
      <c r="C164" s="106" t="s">
        <v>1175</v>
      </c>
      <c r="D164" s="94" t="s">
        <v>1174</v>
      </c>
      <c r="E164" s="94" t="s">
        <v>1171</v>
      </c>
      <c r="F164" s="104">
        <v>389990</v>
      </c>
      <c r="G164" s="104">
        <f t="shared" ref="G164:G227" si="12">F164/24</f>
        <v>16249.583333333334</v>
      </c>
      <c r="H164" s="105">
        <v>439990</v>
      </c>
      <c r="I164" s="143">
        <f t="shared" si="11"/>
        <v>0.11363894633968952</v>
      </c>
      <c r="M164" s="18"/>
      <c r="T164" s="116"/>
      <c r="U164" s="116"/>
      <c r="V164" s="116"/>
      <c r="W164" s="116"/>
      <c r="X164" s="116"/>
      <c r="Y164" s="116"/>
      <c r="Z164" s="116"/>
      <c r="AA164" s="116"/>
    </row>
    <row r="165" spans="2:27" x14ac:dyDescent="0.25">
      <c r="B165" s="111">
        <v>7004720</v>
      </c>
      <c r="C165" s="106" t="s">
        <v>2888</v>
      </c>
      <c r="D165" s="106" t="s">
        <v>1174</v>
      </c>
      <c r="E165" s="94" t="s">
        <v>1171</v>
      </c>
      <c r="F165" s="104">
        <v>389990</v>
      </c>
      <c r="G165" s="104">
        <f t="shared" si="12"/>
        <v>16249.583333333334</v>
      </c>
      <c r="H165" s="105">
        <v>439990</v>
      </c>
      <c r="I165" s="143">
        <f t="shared" si="11"/>
        <v>0.11363894633968952</v>
      </c>
      <c r="M165" s="18"/>
      <c r="T165" s="116"/>
      <c r="U165" s="116"/>
      <c r="V165" s="116"/>
      <c r="W165" s="116"/>
      <c r="X165" s="116"/>
      <c r="Y165" s="116"/>
      <c r="Z165" s="116"/>
      <c r="AA165" s="116"/>
    </row>
    <row r="166" spans="2:27" x14ac:dyDescent="0.25">
      <c r="B166" s="103">
        <v>7005046</v>
      </c>
      <c r="C166" s="106" t="s">
        <v>1245</v>
      </c>
      <c r="D166" s="94" t="s">
        <v>1243</v>
      </c>
      <c r="E166" s="94" t="s">
        <v>1240</v>
      </c>
      <c r="F166" s="104">
        <v>50000</v>
      </c>
      <c r="G166" s="104">
        <f t="shared" si="12"/>
        <v>2083.3333333333335</v>
      </c>
      <c r="H166" s="105">
        <v>11990</v>
      </c>
      <c r="I166" s="143">
        <f t="shared" si="11"/>
        <v>-3.1701417848206841</v>
      </c>
      <c r="M166" s="18"/>
    </row>
    <row r="167" spans="2:27" x14ac:dyDescent="0.25">
      <c r="B167" s="103">
        <v>7005045</v>
      </c>
      <c r="C167" s="106" t="s">
        <v>1242</v>
      </c>
      <c r="D167" s="94" t="s">
        <v>1243</v>
      </c>
      <c r="E167" s="94" t="s">
        <v>1240</v>
      </c>
      <c r="F167" s="104">
        <v>50000</v>
      </c>
      <c r="G167" s="104">
        <f t="shared" si="12"/>
        <v>2083.3333333333335</v>
      </c>
      <c r="H167" s="105">
        <v>11990</v>
      </c>
      <c r="I167" s="143">
        <f t="shared" si="11"/>
        <v>-3.1701417848206841</v>
      </c>
      <c r="M167" s="18"/>
    </row>
    <row r="168" spans="2:27" x14ac:dyDescent="0.25">
      <c r="B168" s="108">
        <v>7004333</v>
      </c>
      <c r="C168" s="106" t="s">
        <v>1246</v>
      </c>
      <c r="D168" s="94" t="s">
        <v>1243</v>
      </c>
      <c r="E168" s="94" t="s">
        <v>1240</v>
      </c>
      <c r="F168" s="104">
        <v>50000</v>
      </c>
      <c r="G168" s="104">
        <f t="shared" si="12"/>
        <v>2083.3333333333335</v>
      </c>
      <c r="H168" s="105">
        <v>7990</v>
      </c>
      <c r="I168" s="143">
        <f t="shared" si="11"/>
        <v>-5.2578222778473087</v>
      </c>
      <c r="M168" s="18"/>
    </row>
    <row r="169" spans="2:27" x14ac:dyDescent="0.25">
      <c r="B169" s="103">
        <v>7005047</v>
      </c>
      <c r="C169" s="106" t="s">
        <v>1244</v>
      </c>
      <c r="D169" s="94" t="s">
        <v>1243</v>
      </c>
      <c r="E169" s="94" t="s">
        <v>1240</v>
      </c>
      <c r="F169" s="104">
        <v>50000</v>
      </c>
      <c r="G169" s="104">
        <f t="shared" si="12"/>
        <v>2083.3333333333335</v>
      </c>
      <c r="H169" s="105">
        <v>11990</v>
      </c>
      <c r="I169" s="143">
        <f t="shared" si="11"/>
        <v>-3.1701417848206841</v>
      </c>
      <c r="M169" s="18"/>
    </row>
    <row r="170" spans="2:27" x14ac:dyDescent="0.25">
      <c r="B170" s="103">
        <v>7005384</v>
      </c>
      <c r="C170" s="106" t="s">
        <v>1173</v>
      </c>
      <c r="D170" s="94" t="s">
        <v>1174</v>
      </c>
      <c r="E170" s="94" t="s">
        <v>1171</v>
      </c>
      <c r="F170" s="104">
        <v>299990</v>
      </c>
      <c r="G170" s="104">
        <f t="shared" si="12"/>
        <v>12499.583333333334</v>
      </c>
      <c r="H170" s="105">
        <v>429990</v>
      </c>
      <c r="I170" s="143">
        <f t="shared" si="11"/>
        <v>0.30233261238633458</v>
      </c>
      <c r="M170" s="18"/>
    </row>
    <row r="171" spans="2:27" x14ac:dyDescent="0.25">
      <c r="B171" s="108">
        <v>7004529</v>
      </c>
      <c r="C171" s="106" t="s">
        <v>1173</v>
      </c>
      <c r="D171" s="94" t="s">
        <v>1174</v>
      </c>
      <c r="E171" s="94" t="s">
        <v>1171</v>
      </c>
      <c r="F171" s="104">
        <v>299990</v>
      </c>
      <c r="G171" s="104">
        <f t="shared" si="12"/>
        <v>12499.583333333334</v>
      </c>
      <c r="H171" s="105">
        <v>429990</v>
      </c>
      <c r="I171" s="143">
        <f t="shared" si="11"/>
        <v>0.30233261238633458</v>
      </c>
      <c r="M171" s="18"/>
    </row>
    <row r="172" spans="2:27" x14ac:dyDescent="0.25">
      <c r="B172" s="103">
        <v>7005227</v>
      </c>
      <c r="C172" s="106" t="s">
        <v>1331</v>
      </c>
      <c r="D172" s="94" t="s">
        <v>87</v>
      </c>
      <c r="E172" s="94" t="s">
        <v>1030</v>
      </c>
      <c r="F172" s="104">
        <v>67990</v>
      </c>
      <c r="G172" s="104">
        <f t="shared" si="12"/>
        <v>2832.9166666666665</v>
      </c>
      <c r="H172" s="105">
        <v>89990</v>
      </c>
      <c r="I172" s="143">
        <f t="shared" si="11"/>
        <v>0.24447160795643963</v>
      </c>
    </row>
    <row r="173" spans="2:27" x14ac:dyDescent="0.25">
      <c r="B173" s="108">
        <v>70010679</v>
      </c>
      <c r="C173" s="106" t="s">
        <v>1289</v>
      </c>
      <c r="D173" s="94" t="s">
        <v>1286</v>
      </c>
      <c r="E173" s="94" t="s">
        <v>1287</v>
      </c>
      <c r="F173" s="104">
        <v>111990</v>
      </c>
      <c r="G173" s="104">
        <f t="shared" si="12"/>
        <v>4666.25</v>
      </c>
      <c r="H173" s="105">
        <v>139990</v>
      </c>
      <c r="I173" s="143">
        <f t="shared" si="11"/>
        <v>0.20001428673476673</v>
      </c>
    </row>
    <row r="174" spans="2:27" x14ac:dyDescent="0.25">
      <c r="B174" s="103">
        <v>7004922</v>
      </c>
      <c r="C174" s="106" t="s">
        <v>1238</v>
      </c>
      <c r="D174" s="94" t="s">
        <v>1239</v>
      </c>
      <c r="E174" s="94" t="s">
        <v>1240</v>
      </c>
      <c r="F174" s="104">
        <v>11990</v>
      </c>
      <c r="G174" s="104">
        <f t="shared" si="12"/>
        <v>499.58333333333331</v>
      </c>
      <c r="H174" s="105">
        <v>16990</v>
      </c>
      <c r="I174" s="143">
        <f t="shared" si="11"/>
        <v>0.29429075927015891</v>
      </c>
    </row>
    <row r="175" spans="2:27" x14ac:dyDescent="0.25">
      <c r="B175" s="110">
        <v>7002935</v>
      </c>
      <c r="C175" s="106" t="s">
        <v>1057</v>
      </c>
      <c r="D175" s="106" t="s">
        <v>1050</v>
      </c>
      <c r="E175" s="94" t="s">
        <v>1051</v>
      </c>
      <c r="F175" s="104">
        <v>8990</v>
      </c>
      <c r="G175" s="104">
        <f t="shared" si="12"/>
        <v>374.58333333333331</v>
      </c>
      <c r="H175" s="105">
        <v>14990</v>
      </c>
      <c r="I175" s="143">
        <f t="shared" si="11"/>
        <v>0.40026684456304207</v>
      </c>
    </row>
    <row r="176" spans="2:27" x14ac:dyDescent="0.25">
      <c r="B176" s="107">
        <v>7003043</v>
      </c>
      <c r="C176" s="106" t="s">
        <v>1154</v>
      </c>
      <c r="D176" s="106" t="s">
        <v>1050</v>
      </c>
      <c r="E176" s="94" t="s">
        <v>1018</v>
      </c>
      <c r="F176" s="104">
        <v>2990</v>
      </c>
      <c r="G176" s="104">
        <f t="shared" si="12"/>
        <v>124.58333333333333</v>
      </c>
      <c r="H176" s="105">
        <v>19990</v>
      </c>
      <c r="I176" s="143">
        <f t="shared" si="11"/>
        <v>0.85042521260630322</v>
      </c>
    </row>
    <row r="177" spans="2:9" x14ac:dyDescent="0.25">
      <c r="B177" s="107">
        <v>7003870</v>
      </c>
      <c r="C177" s="106" t="s">
        <v>1272</v>
      </c>
      <c r="D177" s="106" t="s">
        <v>1269</v>
      </c>
      <c r="E177" s="94" t="s">
        <v>1270</v>
      </c>
      <c r="F177" s="104">
        <v>54990</v>
      </c>
      <c r="G177" s="104">
        <f t="shared" si="12"/>
        <v>2291.25</v>
      </c>
      <c r="H177" s="105">
        <v>69990</v>
      </c>
      <c r="I177" s="143">
        <f t="shared" si="11"/>
        <v>0.21431633090441493</v>
      </c>
    </row>
    <row r="178" spans="2:9" x14ac:dyDescent="0.25">
      <c r="B178" s="107">
        <v>7000384</v>
      </c>
      <c r="C178" s="106" t="s">
        <v>1064</v>
      </c>
      <c r="D178" s="106" t="s">
        <v>1063</v>
      </c>
      <c r="E178" s="94" t="s">
        <v>1051</v>
      </c>
      <c r="F178" s="104">
        <v>7990</v>
      </c>
      <c r="G178" s="104">
        <f t="shared" si="12"/>
        <v>332.91666666666669</v>
      </c>
      <c r="H178" s="105">
        <v>19990</v>
      </c>
      <c r="I178" s="143">
        <f t="shared" si="11"/>
        <v>0.60030015007503756</v>
      </c>
    </row>
    <row r="179" spans="2:9" x14ac:dyDescent="0.25">
      <c r="B179" s="103">
        <v>7005821</v>
      </c>
      <c r="C179" s="94" t="s">
        <v>1016</v>
      </c>
      <c r="D179" s="94" t="s">
        <v>1017</v>
      </c>
      <c r="E179" s="94" t="s">
        <v>1018</v>
      </c>
      <c r="F179" s="104">
        <v>16990</v>
      </c>
      <c r="G179" s="104">
        <f t="shared" si="12"/>
        <v>707.91666666666663</v>
      </c>
      <c r="H179" s="105">
        <v>26990</v>
      </c>
      <c r="I179" s="143">
        <f t="shared" si="11"/>
        <v>0.37050759540570577</v>
      </c>
    </row>
    <row r="180" spans="2:9" x14ac:dyDescent="0.25">
      <c r="B180" s="111">
        <v>7002650</v>
      </c>
      <c r="C180" s="106" t="s">
        <v>1021</v>
      </c>
      <c r="D180" s="106" t="s">
        <v>1017</v>
      </c>
      <c r="E180" s="94" t="s">
        <v>1018</v>
      </c>
      <c r="F180" s="104">
        <v>10990</v>
      </c>
      <c r="G180" s="104">
        <f t="shared" si="12"/>
        <v>457.91666666666669</v>
      </c>
      <c r="H180" s="105">
        <v>18990</v>
      </c>
      <c r="I180" s="143">
        <f t="shared" si="11"/>
        <v>0.42127435492364407</v>
      </c>
    </row>
    <row r="181" spans="2:9" x14ac:dyDescent="0.25">
      <c r="B181" s="107">
        <v>7003023</v>
      </c>
      <c r="C181" s="106" t="s">
        <v>1156</v>
      </c>
      <c r="D181" s="106" t="s">
        <v>1050</v>
      </c>
      <c r="E181" s="94" t="s">
        <v>1018</v>
      </c>
      <c r="F181" s="104">
        <v>2990</v>
      </c>
      <c r="G181" s="104">
        <f t="shared" si="12"/>
        <v>124.58333333333333</v>
      </c>
      <c r="H181" s="105">
        <v>7990</v>
      </c>
      <c r="I181" s="143">
        <f t="shared" si="11"/>
        <v>0.62578222778473092</v>
      </c>
    </row>
    <row r="182" spans="2:9" x14ac:dyDescent="0.25">
      <c r="B182" s="108">
        <v>70010678</v>
      </c>
      <c r="C182" s="106" t="s">
        <v>1288</v>
      </c>
      <c r="D182" s="94" t="s">
        <v>1286</v>
      </c>
      <c r="E182" s="94" t="s">
        <v>1287</v>
      </c>
      <c r="F182" s="104">
        <v>111990</v>
      </c>
      <c r="G182" s="104">
        <f t="shared" si="12"/>
        <v>4666.25</v>
      </c>
      <c r="H182" s="105">
        <v>139990</v>
      </c>
      <c r="I182" s="143">
        <f t="shared" si="11"/>
        <v>0.20001428673476673</v>
      </c>
    </row>
    <row r="183" spans="2:9" x14ac:dyDescent="0.25">
      <c r="B183" s="111">
        <v>7004130</v>
      </c>
      <c r="C183" s="106" t="s">
        <v>1070</v>
      </c>
      <c r="D183" s="106" t="s">
        <v>63</v>
      </c>
      <c r="E183" s="94" t="s">
        <v>1007</v>
      </c>
      <c r="F183" s="104">
        <v>79990</v>
      </c>
      <c r="G183" s="104">
        <f t="shared" si="12"/>
        <v>3332.9166666666665</v>
      </c>
      <c r="H183" s="105">
        <v>310990</v>
      </c>
      <c r="I183" s="143">
        <f t="shared" si="11"/>
        <v>0.74278915720762728</v>
      </c>
    </row>
    <row r="184" spans="2:9" x14ac:dyDescent="0.25">
      <c r="B184" s="103">
        <v>7005328</v>
      </c>
      <c r="C184" s="106" t="s">
        <v>1129</v>
      </c>
      <c r="D184" s="94" t="s">
        <v>1128</v>
      </c>
      <c r="E184" s="94" t="s">
        <v>1018</v>
      </c>
      <c r="F184" s="104">
        <v>10990</v>
      </c>
      <c r="G184" s="104">
        <f t="shared" si="12"/>
        <v>457.91666666666669</v>
      </c>
      <c r="H184" s="105">
        <v>17990</v>
      </c>
      <c r="I184" s="143">
        <f t="shared" si="11"/>
        <v>0.3891050583657587</v>
      </c>
    </row>
    <row r="185" spans="2:9" x14ac:dyDescent="0.25">
      <c r="B185" s="103">
        <v>7005327</v>
      </c>
      <c r="C185" s="106" t="s">
        <v>1130</v>
      </c>
      <c r="D185" s="94" t="s">
        <v>1128</v>
      </c>
      <c r="E185" s="94" t="s">
        <v>1018</v>
      </c>
      <c r="F185" s="104">
        <v>23990</v>
      </c>
      <c r="G185" s="104">
        <f t="shared" si="12"/>
        <v>999.58333333333337</v>
      </c>
      <c r="H185" s="105">
        <v>39990</v>
      </c>
      <c r="I185" s="143">
        <f t="shared" si="11"/>
        <v>0.40010002500625153</v>
      </c>
    </row>
    <row r="186" spans="2:9" x14ac:dyDescent="0.25">
      <c r="B186" s="103">
        <v>7005330</v>
      </c>
      <c r="C186" s="106" t="s">
        <v>1131</v>
      </c>
      <c r="D186" s="94" t="s">
        <v>1128</v>
      </c>
      <c r="E186" s="94" t="s">
        <v>1018</v>
      </c>
      <c r="F186" s="104">
        <v>53990</v>
      </c>
      <c r="G186" s="104">
        <f t="shared" si="12"/>
        <v>2249.5833333333335</v>
      </c>
      <c r="H186" s="105">
        <v>79990</v>
      </c>
      <c r="I186" s="143">
        <f t="shared" si="11"/>
        <v>0.32504063007875983</v>
      </c>
    </row>
    <row r="187" spans="2:9" x14ac:dyDescent="0.25">
      <c r="B187" s="111">
        <v>7004924</v>
      </c>
      <c r="C187" s="106" t="s">
        <v>1241</v>
      </c>
      <c r="D187" s="106" t="s">
        <v>1239</v>
      </c>
      <c r="E187" s="94" t="s">
        <v>1240</v>
      </c>
      <c r="F187" s="104">
        <v>11990</v>
      </c>
      <c r="G187" s="104">
        <f t="shared" si="12"/>
        <v>499.58333333333331</v>
      </c>
      <c r="H187" s="105">
        <v>16990</v>
      </c>
      <c r="I187" s="143">
        <f t="shared" si="11"/>
        <v>0.29429075927015891</v>
      </c>
    </row>
    <row r="188" spans="2:9" x14ac:dyDescent="0.25">
      <c r="B188" s="111">
        <v>7003784</v>
      </c>
      <c r="C188" s="106" t="s">
        <v>1133</v>
      </c>
      <c r="D188" s="106" t="s">
        <v>1017</v>
      </c>
      <c r="E188" s="94" t="s">
        <v>1018</v>
      </c>
      <c r="F188" s="104">
        <v>2990</v>
      </c>
      <c r="G188" s="104">
        <f t="shared" si="12"/>
        <v>124.58333333333333</v>
      </c>
      <c r="H188" s="105">
        <v>4290</v>
      </c>
      <c r="I188" s="143">
        <f t="shared" si="11"/>
        <v>0.30303030303030298</v>
      </c>
    </row>
    <row r="189" spans="2:9" x14ac:dyDescent="0.25">
      <c r="B189" s="111">
        <v>7002652</v>
      </c>
      <c r="C189" s="106" t="s">
        <v>1135</v>
      </c>
      <c r="D189" s="106" t="s">
        <v>1017</v>
      </c>
      <c r="E189" s="94" t="s">
        <v>1018</v>
      </c>
      <c r="F189" s="104">
        <v>14990</v>
      </c>
      <c r="G189" s="104">
        <f t="shared" si="12"/>
        <v>624.58333333333337</v>
      </c>
      <c r="H189" s="105">
        <v>24990</v>
      </c>
      <c r="I189" s="143">
        <f t="shared" si="11"/>
        <v>0.40016006402561022</v>
      </c>
    </row>
    <row r="190" spans="2:9" x14ac:dyDescent="0.25">
      <c r="B190" s="108">
        <v>7004743</v>
      </c>
      <c r="C190" s="106" t="s">
        <v>1138</v>
      </c>
      <c r="D190" s="94" t="s">
        <v>1137</v>
      </c>
      <c r="E190" s="94" t="s">
        <v>1018</v>
      </c>
      <c r="F190" s="104">
        <v>13990</v>
      </c>
      <c r="G190" s="104">
        <f t="shared" si="12"/>
        <v>582.91666666666663</v>
      </c>
      <c r="H190" s="105">
        <v>29990</v>
      </c>
      <c r="I190" s="143">
        <f t="shared" si="11"/>
        <v>0.53351117039013007</v>
      </c>
    </row>
    <row r="191" spans="2:9" x14ac:dyDescent="0.25">
      <c r="B191" s="111">
        <v>7003027</v>
      </c>
      <c r="C191" s="106" t="s">
        <v>1140</v>
      </c>
      <c r="D191" s="106" t="s">
        <v>1137</v>
      </c>
      <c r="E191" s="94" t="s">
        <v>1018</v>
      </c>
      <c r="F191" s="104">
        <v>4990</v>
      </c>
      <c r="G191" s="104">
        <f t="shared" si="12"/>
        <v>207.91666666666666</v>
      </c>
      <c r="H191" s="105">
        <v>29990</v>
      </c>
      <c r="I191" s="143">
        <f t="shared" si="11"/>
        <v>0.8336112037345782</v>
      </c>
    </row>
    <row r="192" spans="2:9" x14ac:dyDescent="0.25">
      <c r="B192" s="108">
        <v>7004659</v>
      </c>
      <c r="C192" s="106" t="s">
        <v>1141</v>
      </c>
      <c r="D192" s="94" t="s">
        <v>1137</v>
      </c>
      <c r="E192" s="94" t="s">
        <v>1018</v>
      </c>
      <c r="F192" s="104">
        <v>6990</v>
      </c>
      <c r="G192" s="104">
        <f t="shared" si="12"/>
        <v>291.25</v>
      </c>
      <c r="H192" s="105">
        <v>12990</v>
      </c>
      <c r="I192" s="143">
        <f t="shared" si="11"/>
        <v>0.46189376443418018</v>
      </c>
    </row>
    <row r="193" spans="2:9" x14ac:dyDescent="0.25">
      <c r="B193" s="108">
        <v>7004657</v>
      </c>
      <c r="C193" s="106" t="s">
        <v>1142</v>
      </c>
      <c r="D193" s="94" t="s">
        <v>1137</v>
      </c>
      <c r="E193" s="94" t="s">
        <v>1018</v>
      </c>
      <c r="F193" s="104">
        <v>4990</v>
      </c>
      <c r="G193" s="104">
        <f t="shared" si="12"/>
        <v>207.91666666666666</v>
      </c>
      <c r="H193" s="105">
        <v>9990</v>
      </c>
      <c r="I193" s="143">
        <f t="shared" si="11"/>
        <v>0.50050050050050054</v>
      </c>
    </row>
    <row r="194" spans="2:9" x14ac:dyDescent="0.25">
      <c r="B194" s="108">
        <v>7004656</v>
      </c>
      <c r="C194" s="106" t="s">
        <v>1145</v>
      </c>
      <c r="D194" s="94" t="s">
        <v>1137</v>
      </c>
      <c r="E194" s="94" t="s">
        <v>1018</v>
      </c>
      <c r="F194" s="104">
        <v>3490</v>
      </c>
      <c r="G194" s="104">
        <f t="shared" si="12"/>
        <v>145.41666666666666</v>
      </c>
      <c r="H194" s="105">
        <v>6990</v>
      </c>
      <c r="I194" s="143">
        <f t="shared" si="11"/>
        <v>0.50071530758226035</v>
      </c>
    </row>
    <row r="195" spans="2:9" x14ac:dyDescent="0.25">
      <c r="B195" s="108">
        <v>7004658</v>
      </c>
      <c r="C195" s="106" t="s">
        <v>1146</v>
      </c>
      <c r="D195" s="94" t="s">
        <v>1137</v>
      </c>
      <c r="E195" s="94" t="s">
        <v>1018</v>
      </c>
      <c r="F195" s="104">
        <v>3490</v>
      </c>
      <c r="G195" s="104">
        <f t="shared" si="12"/>
        <v>145.41666666666666</v>
      </c>
      <c r="H195" s="105">
        <v>6990</v>
      </c>
      <c r="I195" s="143">
        <f t="shared" si="11"/>
        <v>0.50071530758226035</v>
      </c>
    </row>
    <row r="196" spans="2:9" x14ac:dyDescent="0.25">
      <c r="B196" s="108">
        <v>7004741</v>
      </c>
      <c r="C196" s="106" t="s">
        <v>1148</v>
      </c>
      <c r="D196" s="94" t="s">
        <v>1137</v>
      </c>
      <c r="E196" s="94" t="s">
        <v>1018</v>
      </c>
      <c r="F196" s="104">
        <v>10990</v>
      </c>
      <c r="G196" s="104">
        <f t="shared" si="12"/>
        <v>457.91666666666669</v>
      </c>
      <c r="H196" s="105">
        <v>19990</v>
      </c>
      <c r="I196" s="143">
        <f t="shared" si="11"/>
        <v>0.45022511255627817</v>
      </c>
    </row>
    <row r="197" spans="2:9" x14ac:dyDescent="0.25">
      <c r="B197" s="108">
        <v>7004742</v>
      </c>
      <c r="C197" s="106" t="s">
        <v>1149</v>
      </c>
      <c r="D197" s="94" t="s">
        <v>1137</v>
      </c>
      <c r="E197" s="94" t="s">
        <v>1018</v>
      </c>
      <c r="F197" s="104">
        <v>9990</v>
      </c>
      <c r="G197" s="104">
        <f t="shared" si="12"/>
        <v>416.25</v>
      </c>
      <c r="H197" s="105">
        <v>24990</v>
      </c>
      <c r="I197" s="143">
        <f t="shared" si="11"/>
        <v>0.60024009603841533</v>
      </c>
    </row>
    <row r="198" spans="2:9" x14ac:dyDescent="0.25">
      <c r="B198" s="103">
        <v>7005350</v>
      </c>
      <c r="C198" s="106" t="s">
        <v>1150</v>
      </c>
      <c r="D198" s="94" t="s">
        <v>1137</v>
      </c>
      <c r="E198" s="94" t="s">
        <v>1018</v>
      </c>
      <c r="F198" s="104">
        <v>12990</v>
      </c>
      <c r="G198" s="104">
        <f t="shared" si="12"/>
        <v>541.25</v>
      </c>
      <c r="H198" s="105">
        <v>22990</v>
      </c>
      <c r="I198" s="143">
        <f t="shared" si="11"/>
        <v>0.43497172683775553</v>
      </c>
    </row>
    <row r="199" spans="2:9" x14ac:dyDescent="0.25">
      <c r="B199" s="103">
        <v>7004228</v>
      </c>
      <c r="C199" s="106" t="s">
        <v>1151</v>
      </c>
      <c r="D199" s="106" t="s">
        <v>1137</v>
      </c>
      <c r="E199" s="94" t="s">
        <v>1018</v>
      </c>
      <c r="F199" s="104">
        <v>8490</v>
      </c>
      <c r="G199" s="104">
        <f t="shared" si="12"/>
        <v>353.75</v>
      </c>
      <c r="H199" s="105">
        <v>12990</v>
      </c>
      <c r="I199" s="143">
        <f t="shared" si="11"/>
        <v>0.3464203233256351</v>
      </c>
    </row>
    <row r="200" spans="2:9" x14ac:dyDescent="0.25">
      <c r="B200" s="111">
        <v>7003025</v>
      </c>
      <c r="C200" s="106" t="s">
        <v>1152</v>
      </c>
      <c r="D200" s="106" t="s">
        <v>1137</v>
      </c>
      <c r="E200" s="94" t="s">
        <v>1018</v>
      </c>
      <c r="F200" s="104">
        <v>9990</v>
      </c>
      <c r="G200" s="104">
        <f t="shared" si="12"/>
        <v>416.25</v>
      </c>
      <c r="H200" s="105">
        <v>17990</v>
      </c>
      <c r="I200" s="143">
        <f t="shared" si="11"/>
        <v>0.44469149527515284</v>
      </c>
    </row>
    <row r="201" spans="2:9" x14ac:dyDescent="0.25">
      <c r="B201" s="111">
        <v>7003432</v>
      </c>
      <c r="C201" s="106" t="s">
        <v>1136</v>
      </c>
      <c r="D201" s="106" t="s">
        <v>1137</v>
      </c>
      <c r="E201" s="94" t="s">
        <v>1018</v>
      </c>
      <c r="F201" s="104">
        <v>2990</v>
      </c>
      <c r="G201" s="104">
        <f t="shared" si="12"/>
        <v>124.58333333333333</v>
      </c>
      <c r="H201" s="105">
        <v>12990</v>
      </c>
      <c r="I201" s="143">
        <f t="shared" si="11"/>
        <v>0.76982294072363355</v>
      </c>
    </row>
    <row r="202" spans="2:9" x14ac:dyDescent="0.25">
      <c r="B202" s="108">
        <v>7004744</v>
      </c>
      <c r="C202" s="106" t="s">
        <v>1279</v>
      </c>
      <c r="D202" s="94" t="s">
        <v>1137</v>
      </c>
      <c r="E202" s="94" t="s">
        <v>1280</v>
      </c>
      <c r="F202" s="104">
        <v>8990</v>
      </c>
      <c r="G202" s="104">
        <f t="shared" si="12"/>
        <v>374.58333333333331</v>
      </c>
      <c r="H202" s="105">
        <v>14990</v>
      </c>
      <c r="I202" s="143">
        <f t="shared" si="11"/>
        <v>0.40026684456304207</v>
      </c>
    </row>
    <row r="203" spans="2:9" x14ac:dyDescent="0.25">
      <c r="B203" s="108">
        <v>7004740</v>
      </c>
      <c r="C203" s="106" t="s">
        <v>1281</v>
      </c>
      <c r="D203" s="94" t="s">
        <v>1137</v>
      </c>
      <c r="E203" s="94" t="s">
        <v>1280</v>
      </c>
      <c r="F203" s="104">
        <v>3490</v>
      </c>
      <c r="G203" s="104">
        <f t="shared" si="12"/>
        <v>145.41666666666666</v>
      </c>
      <c r="H203" s="105">
        <v>6990</v>
      </c>
      <c r="I203" s="143">
        <f t="shared" si="11"/>
        <v>0.50071530758226035</v>
      </c>
    </row>
    <row r="204" spans="2:9" x14ac:dyDescent="0.25">
      <c r="B204" s="111">
        <v>7004218</v>
      </c>
      <c r="C204" s="106" t="s">
        <v>1053</v>
      </c>
      <c r="D204" s="106" t="s">
        <v>1050</v>
      </c>
      <c r="E204" s="94" t="s">
        <v>1051</v>
      </c>
      <c r="F204" s="104">
        <v>9990</v>
      </c>
      <c r="G204" s="104">
        <f t="shared" si="12"/>
        <v>416.25</v>
      </c>
      <c r="H204" s="105">
        <v>12990</v>
      </c>
      <c r="I204" s="143">
        <f t="shared" si="11"/>
        <v>0.23094688221709003</v>
      </c>
    </row>
    <row r="205" spans="2:9" x14ac:dyDescent="0.25">
      <c r="B205" s="111">
        <v>7002769</v>
      </c>
      <c r="C205" s="106" t="s">
        <v>1058</v>
      </c>
      <c r="D205" s="106" t="s">
        <v>1050</v>
      </c>
      <c r="E205" s="94" t="s">
        <v>1051</v>
      </c>
      <c r="F205" s="104">
        <v>16990</v>
      </c>
      <c r="G205" s="104">
        <f t="shared" si="12"/>
        <v>707.91666666666663</v>
      </c>
      <c r="H205" s="105">
        <v>22990</v>
      </c>
      <c r="I205" s="143">
        <f t="shared" si="11"/>
        <v>0.26098303610265328</v>
      </c>
    </row>
    <row r="206" spans="2:9" x14ac:dyDescent="0.25">
      <c r="B206" s="107">
        <v>7003024</v>
      </c>
      <c r="C206" s="106" t="s">
        <v>1153</v>
      </c>
      <c r="D206" s="106" t="s">
        <v>1050</v>
      </c>
      <c r="E206" s="94" t="s">
        <v>1018</v>
      </c>
      <c r="F206" s="104">
        <v>2990</v>
      </c>
      <c r="G206" s="104">
        <f t="shared" si="12"/>
        <v>124.58333333333333</v>
      </c>
      <c r="H206" s="105">
        <v>7990</v>
      </c>
      <c r="I206" s="143">
        <f t="shared" si="11"/>
        <v>0.62578222778473092</v>
      </c>
    </row>
    <row r="207" spans="2:9" x14ac:dyDescent="0.25">
      <c r="B207" s="107">
        <v>7003022</v>
      </c>
      <c r="C207" s="106" t="s">
        <v>1155</v>
      </c>
      <c r="D207" s="106" t="s">
        <v>1050</v>
      </c>
      <c r="E207" s="94" t="s">
        <v>1018</v>
      </c>
      <c r="F207" s="104">
        <v>6990</v>
      </c>
      <c r="G207" s="104">
        <f t="shared" si="12"/>
        <v>291.25</v>
      </c>
      <c r="H207" s="105">
        <v>9990</v>
      </c>
      <c r="I207" s="143">
        <f t="shared" si="11"/>
        <v>0.3003003003003003</v>
      </c>
    </row>
    <row r="208" spans="2:9" x14ac:dyDescent="0.25">
      <c r="B208" s="111">
        <v>7003774</v>
      </c>
      <c r="C208" s="106" t="s">
        <v>1157</v>
      </c>
      <c r="D208" s="106" t="s">
        <v>1050</v>
      </c>
      <c r="E208" s="94" t="s">
        <v>1018</v>
      </c>
      <c r="F208" s="104">
        <v>8990</v>
      </c>
      <c r="G208" s="104">
        <f t="shared" si="12"/>
        <v>374.58333333333331</v>
      </c>
      <c r="H208" s="105">
        <v>10990</v>
      </c>
      <c r="I208" s="143">
        <f t="shared" si="11"/>
        <v>0.18198362147406733</v>
      </c>
    </row>
    <row r="209" spans="2:9" x14ac:dyDescent="0.25">
      <c r="B209" s="107">
        <v>7001177</v>
      </c>
      <c r="C209" s="106" t="s">
        <v>1271</v>
      </c>
      <c r="D209" s="106" t="s">
        <v>1269</v>
      </c>
      <c r="E209" s="94" t="s">
        <v>1270</v>
      </c>
      <c r="F209" s="104">
        <v>29990</v>
      </c>
      <c r="G209" s="104">
        <f t="shared" si="12"/>
        <v>1249.5833333333333</v>
      </c>
      <c r="H209" s="105">
        <v>53990</v>
      </c>
      <c r="I209" s="143">
        <f t="shared" si="11"/>
        <v>0.44452676421559545</v>
      </c>
    </row>
    <row r="210" spans="2:9" x14ac:dyDescent="0.25">
      <c r="B210" s="111">
        <v>7004096</v>
      </c>
      <c r="C210" s="106" t="s">
        <v>1159</v>
      </c>
      <c r="D210" s="106" t="s">
        <v>1158</v>
      </c>
      <c r="E210" s="94" t="s">
        <v>1018</v>
      </c>
      <c r="F210" s="104">
        <v>1490</v>
      </c>
      <c r="G210" s="104">
        <f t="shared" si="12"/>
        <v>62.083333333333336</v>
      </c>
      <c r="H210" s="105">
        <v>3990</v>
      </c>
      <c r="I210" s="143">
        <f t="shared" si="11"/>
        <v>0.62656641604010033</v>
      </c>
    </row>
    <row r="211" spans="2:9" x14ac:dyDescent="0.25">
      <c r="B211" s="111">
        <v>7004100</v>
      </c>
      <c r="C211" s="106" t="s">
        <v>1161</v>
      </c>
      <c r="D211" s="106" t="s">
        <v>1158</v>
      </c>
      <c r="E211" s="94" t="s">
        <v>1018</v>
      </c>
      <c r="F211" s="104">
        <v>2490</v>
      </c>
      <c r="G211" s="104">
        <f t="shared" si="12"/>
        <v>103.75</v>
      </c>
      <c r="H211" s="105">
        <v>7990</v>
      </c>
      <c r="I211" s="143">
        <f t="shared" si="11"/>
        <v>0.68836045056320394</v>
      </c>
    </row>
    <row r="212" spans="2:9" x14ac:dyDescent="0.25">
      <c r="B212" s="111">
        <v>7004093</v>
      </c>
      <c r="C212" s="106" t="s">
        <v>1162</v>
      </c>
      <c r="D212" s="106" t="s">
        <v>1158</v>
      </c>
      <c r="E212" s="94" t="s">
        <v>1018</v>
      </c>
      <c r="F212" s="104">
        <v>4990</v>
      </c>
      <c r="G212" s="104">
        <f t="shared" si="12"/>
        <v>207.91666666666666</v>
      </c>
      <c r="H212" s="105">
        <v>6990</v>
      </c>
      <c r="I212" s="143">
        <f t="shared" si="11"/>
        <v>0.28612303290414876</v>
      </c>
    </row>
    <row r="213" spans="2:9" x14ac:dyDescent="0.25">
      <c r="B213" s="111">
        <v>7004101</v>
      </c>
      <c r="C213" s="106" t="s">
        <v>1204</v>
      </c>
      <c r="D213" s="106" t="s">
        <v>1158</v>
      </c>
      <c r="E213" s="94" t="s">
        <v>1203</v>
      </c>
      <c r="F213" s="104">
        <v>6490</v>
      </c>
      <c r="G213" s="104">
        <f t="shared" si="12"/>
        <v>270.41666666666669</v>
      </c>
      <c r="H213" s="105">
        <v>8990</v>
      </c>
      <c r="I213" s="143">
        <f t="shared" si="11"/>
        <v>0.27808676307007785</v>
      </c>
    </row>
    <row r="214" spans="2:9" x14ac:dyDescent="0.25">
      <c r="B214" s="107">
        <v>70009109</v>
      </c>
      <c r="C214" s="106" t="s">
        <v>1200</v>
      </c>
      <c r="D214" s="106" t="s">
        <v>1201</v>
      </c>
      <c r="E214" s="94" t="s">
        <v>1202</v>
      </c>
      <c r="F214" s="104">
        <v>374990</v>
      </c>
      <c r="G214" s="104">
        <f t="shared" si="12"/>
        <v>15624.583333333334</v>
      </c>
      <c r="H214" s="105">
        <v>499990</v>
      </c>
      <c r="I214" s="143">
        <f t="shared" si="11"/>
        <v>0.25000500010000204</v>
      </c>
    </row>
    <row r="215" spans="2:9" x14ac:dyDescent="0.25">
      <c r="B215" s="111">
        <v>70009176</v>
      </c>
      <c r="C215" s="106" t="s">
        <v>1290</v>
      </c>
      <c r="D215" s="106" t="s">
        <v>904</v>
      </c>
      <c r="E215" s="94" t="s">
        <v>1287</v>
      </c>
      <c r="F215" s="104">
        <v>151990</v>
      </c>
      <c r="G215" s="104">
        <f t="shared" si="12"/>
        <v>6332.916666666667</v>
      </c>
      <c r="H215" s="105">
        <v>159990</v>
      </c>
      <c r="I215" s="143">
        <f t="shared" si="11"/>
        <v>5.0003125195324682E-2</v>
      </c>
    </row>
    <row r="216" spans="2:9" x14ac:dyDescent="0.25">
      <c r="B216" s="108">
        <v>7004375</v>
      </c>
      <c r="C216" s="106" t="s">
        <v>1306</v>
      </c>
      <c r="D216" s="106" t="s">
        <v>904</v>
      </c>
      <c r="E216" s="94" t="s">
        <v>1030</v>
      </c>
      <c r="F216" s="104">
        <v>99990</v>
      </c>
      <c r="G216" s="104">
        <f t="shared" si="12"/>
        <v>4166.25</v>
      </c>
      <c r="H216" s="105">
        <v>169990</v>
      </c>
      <c r="I216" s="143">
        <f t="shared" si="11"/>
        <v>0.41178892876051532</v>
      </c>
    </row>
    <row r="217" spans="2:9" x14ac:dyDescent="0.25">
      <c r="B217" s="103">
        <v>7004822</v>
      </c>
      <c r="C217" s="106" t="s">
        <v>1172</v>
      </c>
      <c r="D217" s="94" t="s">
        <v>1170</v>
      </c>
      <c r="E217" s="94" t="s">
        <v>1171</v>
      </c>
      <c r="F217" s="104">
        <v>63990</v>
      </c>
      <c r="G217" s="104">
        <f t="shared" si="12"/>
        <v>2666.25</v>
      </c>
      <c r="H217" s="105">
        <v>89990</v>
      </c>
      <c r="I217" s="143">
        <f t="shared" si="11"/>
        <v>0.28892099122124681</v>
      </c>
    </row>
    <row r="218" spans="2:9" x14ac:dyDescent="0.25">
      <c r="B218" s="110">
        <v>7002936</v>
      </c>
      <c r="C218" s="106" t="s">
        <v>1078</v>
      </c>
      <c r="D218" s="106" t="s">
        <v>1079</v>
      </c>
      <c r="E218" s="94" t="s">
        <v>1007</v>
      </c>
      <c r="F218" s="104">
        <v>990</v>
      </c>
      <c r="G218" s="104">
        <f t="shared" si="12"/>
        <v>41.25</v>
      </c>
      <c r="H218" s="105">
        <v>39990</v>
      </c>
      <c r="I218" s="143">
        <f t="shared" si="11"/>
        <v>0.97524381095273815</v>
      </c>
    </row>
    <row r="219" spans="2:9" x14ac:dyDescent="0.25">
      <c r="B219" s="110">
        <v>7002937</v>
      </c>
      <c r="C219" s="106" t="s">
        <v>1080</v>
      </c>
      <c r="D219" s="106" t="s">
        <v>1079</v>
      </c>
      <c r="E219" s="94" t="s">
        <v>1007</v>
      </c>
      <c r="F219" s="104">
        <v>990</v>
      </c>
      <c r="G219" s="104">
        <f t="shared" si="12"/>
        <v>41.25</v>
      </c>
      <c r="H219" s="105">
        <v>9990</v>
      </c>
      <c r="I219" s="143">
        <f t="shared" si="11"/>
        <v>0.90090090090090091</v>
      </c>
    </row>
    <row r="220" spans="2:9" x14ac:dyDescent="0.25">
      <c r="B220" s="103">
        <v>7004595</v>
      </c>
      <c r="C220" s="106" t="s">
        <v>1081</v>
      </c>
      <c r="D220" s="94" t="s">
        <v>1079</v>
      </c>
      <c r="E220" s="94" t="s">
        <v>1007</v>
      </c>
      <c r="F220" s="104">
        <v>6990</v>
      </c>
      <c r="G220" s="104">
        <f t="shared" si="12"/>
        <v>291.25</v>
      </c>
      <c r="H220" s="105">
        <v>9990</v>
      </c>
      <c r="I220" s="143">
        <f t="shared" si="11"/>
        <v>0.3003003003003003</v>
      </c>
    </row>
    <row r="221" spans="2:9" x14ac:dyDescent="0.25">
      <c r="B221" s="103">
        <v>7004617</v>
      </c>
      <c r="C221" s="106" t="s">
        <v>1221</v>
      </c>
      <c r="D221" s="94" t="s">
        <v>1079</v>
      </c>
      <c r="E221" s="94" t="s">
        <v>1218</v>
      </c>
      <c r="F221" s="104">
        <v>22990</v>
      </c>
      <c r="G221" s="104">
        <f t="shared" si="12"/>
        <v>957.91666666666663</v>
      </c>
      <c r="H221" s="105">
        <v>39990</v>
      </c>
      <c r="I221" s="143">
        <f t="shared" si="11"/>
        <v>0.42510627656914224</v>
      </c>
    </row>
    <row r="222" spans="2:9" x14ac:dyDescent="0.25">
      <c r="B222" s="103">
        <v>7004621</v>
      </c>
      <c r="C222" s="106" t="s">
        <v>1222</v>
      </c>
      <c r="D222" s="94" t="s">
        <v>1079</v>
      </c>
      <c r="E222" s="94" t="s">
        <v>1218</v>
      </c>
      <c r="F222" s="104">
        <v>104990</v>
      </c>
      <c r="G222" s="104">
        <f t="shared" si="12"/>
        <v>4374.583333333333</v>
      </c>
      <c r="H222" s="105">
        <v>129990</v>
      </c>
      <c r="I222" s="143">
        <f t="shared" si="11"/>
        <v>0.19232248634510352</v>
      </c>
    </row>
    <row r="223" spans="2:9" x14ac:dyDescent="0.25">
      <c r="B223" s="103">
        <v>7004592</v>
      </c>
      <c r="C223" s="106" t="s">
        <v>1223</v>
      </c>
      <c r="D223" s="94" t="s">
        <v>1079</v>
      </c>
      <c r="E223" s="94" t="s">
        <v>1218</v>
      </c>
      <c r="F223" s="104">
        <v>104990</v>
      </c>
      <c r="G223" s="104">
        <f t="shared" si="12"/>
        <v>4374.583333333333</v>
      </c>
      <c r="H223" s="105">
        <v>129990</v>
      </c>
      <c r="I223" s="143">
        <f t="shared" ref="I223:I286" si="13">1-F223/H223</f>
        <v>0.19232248634510352</v>
      </c>
    </row>
    <row r="224" spans="2:9" x14ac:dyDescent="0.25">
      <c r="B224" s="103">
        <v>7004620</v>
      </c>
      <c r="C224" s="106" t="s">
        <v>1220</v>
      </c>
      <c r="D224" s="94" t="s">
        <v>1079</v>
      </c>
      <c r="E224" s="94" t="s">
        <v>1218</v>
      </c>
      <c r="F224" s="104">
        <v>29990</v>
      </c>
      <c r="G224" s="104">
        <f t="shared" si="12"/>
        <v>1249.5833333333333</v>
      </c>
      <c r="H224" s="105">
        <v>99990</v>
      </c>
      <c r="I224" s="143">
        <f t="shared" si="13"/>
        <v>0.70007000700069999</v>
      </c>
    </row>
    <row r="225" spans="2:9" x14ac:dyDescent="0.25">
      <c r="B225" s="103">
        <v>7004964</v>
      </c>
      <c r="C225" s="106" t="s">
        <v>1318</v>
      </c>
      <c r="D225" s="94" t="s">
        <v>1315</v>
      </c>
      <c r="E225" s="94" t="s">
        <v>1030</v>
      </c>
      <c r="F225" s="104">
        <v>19990</v>
      </c>
      <c r="G225" s="104">
        <f t="shared" si="12"/>
        <v>832.91666666666663</v>
      </c>
      <c r="H225" s="105">
        <v>79990</v>
      </c>
      <c r="I225" s="143">
        <f t="shared" si="13"/>
        <v>0.75009376172021502</v>
      </c>
    </row>
    <row r="226" spans="2:9" x14ac:dyDescent="0.25">
      <c r="B226" s="103">
        <v>7004960</v>
      </c>
      <c r="C226" s="106" t="s">
        <v>1314</v>
      </c>
      <c r="D226" s="94" t="s">
        <v>1315</v>
      </c>
      <c r="E226" s="94" t="s">
        <v>1030</v>
      </c>
      <c r="F226" s="104">
        <v>19990</v>
      </c>
      <c r="G226" s="104">
        <f t="shared" si="12"/>
        <v>832.91666666666663</v>
      </c>
      <c r="H226" s="105">
        <v>69990</v>
      </c>
      <c r="I226" s="143">
        <f t="shared" si="13"/>
        <v>0.71438776968138307</v>
      </c>
    </row>
    <row r="227" spans="2:9" x14ac:dyDescent="0.25">
      <c r="B227" s="103">
        <v>7004965</v>
      </c>
      <c r="C227" s="106" t="s">
        <v>1316</v>
      </c>
      <c r="D227" s="94" t="s">
        <v>1315</v>
      </c>
      <c r="E227" s="94" t="s">
        <v>1030</v>
      </c>
      <c r="F227" s="104">
        <v>19990</v>
      </c>
      <c r="G227" s="104">
        <f t="shared" si="12"/>
        <v>832.91666666666663</v>
      </c>
      <c r="H227" s="105">
        <v>59990</v>
      </c>
      <c r="I227" s="143">
        <f t="shared" si="13"/>
        <v>0.66677779629938327</v>
      </c>
    </row>
    <row r="228" spans="2:9" x14ac:dyDescent="0.25">
      <c r="B228" s="103">
        <v>7004968</v>
      </c>
      <c r="C228" s="106" t="s">
        <v>1317</v>
      </c>
      <c r="D228" s="94" t="s">
        <v>1315</v>
      </c>
      <c r="E228" s="94" t="s">
        <v>1030</v>
      </c>
      <c r="F228" s="104">
        <v>40990</v>
      </c>
      <c r="G228" s="104">
        <f t="shared" ref="G228:G291" si="14">F228/24</f>
        <v>1707.9166666666667</v>
      </c>
      <c r="H228" s="105">
        <v>59990</v>
      </c>
      <c r="I228" s="143">
        <f t="shared" si="13"/>
        <v>0.31671945324220707</v>
      </c>
    </row>
    <row r="229" spans="2:9" x14ac:dyDescent="0.25">
      <c r="B229" s="108">
        <v>7004824</v>
      </c>
      <c r="C229" s="106" t="s">
        <v>1059</v>
      </c>
      <c r="D229" s="94" t="s">
        <v>1060</v>
      </c>
      <c r="E229" s="94" t="s">
        <v>1051</v>
      </c>
      <c r="F229" s="104">
        <v>6490</v>
      </c>
      <c r="G229" s="104">
        <f t="shared" si="14"/>
        <v>270.41666666666669</v>
      </c>
      <c r="H229" s="105">
        <v>12990</v>
      </c>
      <c r="I229" s="143">
        <f t="shared" si="13"/>
        <v>0.50038491147036179</v>
      </c>
    </row>
    <row r="230" spans="2:9" x14ac:dyDescent="0.25">
      <c r="B230" s="108">
        <v>7004825</v>
      </c>
      <c r="C230" s="106" t="s">
        <v>1061</v>
      </c>
      <c r="D230" s="94" t="s">
        <v>1060</v>
      </c>
      <c r="E230" s="94" t="s">
        <v>1051</v>
      </c>
      <c r="F230" s="104">
        <v>11990</v>
      </c>
      <c r="G230" s="104">
        <f t="shared" si="14"/>
        <v>499.58333333333331</v>
      </c>
      <c r="H230" s="105">
        <v>19990</v>
      </c>
      <c r="I230" s="143">
        <f t="shared" si="13"/>
        <v>0.40020010005002504</v>
      </c>
    </row>
    <row r="231" spans="2:9" x14ac:dyDescent="0.25">
      <c r="B231" s="111">
        <v>7003064</v>
      </c>
      <c r="C231" s="106" t="s">
        <v>1082</v>
      </c>
      <c r="D231" s="106" t="s">
        <v>1083</v>
      </c>
      <c r="E231" s="94" t="s">
        <v>1007</v>
      </c>
      <c r="F231" s="104">
        <v>13990</v>
      </c>
      <c r="G231" s="104">
        <f t="shared" si="14"/>
        <v>582.91666666666663</v>
      </c>
      <c r="H231" s="105">
        <v>19990</v>
      </c>
      <c r="I231" s="143">
        <f t="shared" si="13"/>
        <v>0.30015007503751878</v>
      </c>
    </row>
    <row r="232" spans="2:9" x14ac:dyDescent="0.25">
      <c r="B232" s="103">
        <v>7004969</v>
      </c>
      <c r="C232" s="106" t="s">
        <v>1086</v>
      </c>
      <c r="D232" s="94" t="s">
        <v>1083</v>
      </c>
      <c r="E232" s="94" t="s">
        <v>1007</v>
      </c>
      <c r="F232" s="104">
        <v>6990</v>
      </c>
      <c r="G232" s="104">
        <f t="shared" si="14"/>
        <v>291.25</v>
      </c>
      <c r="H232" s="105">
        <v>9990</v>
      </c>
      <c r="I232" s="143">
        <f t="shared" si="13"/>
        <v>0.3003003003003003</v>
      </c>
    </row>
    <row r="233" spans="2:9" x14ac:dyDescent="0.25">
      <c r="B233" s="103">
        <v>7004970</v>
      </c>
      <c r="C233" s="106" t="s">
        <v>1087</v>
      </c>
      <c r="D233" s="94" t="s">
        <v>1083</v>
      </c>
      <c r="E233" s="94" t="s">
        <v>1007</v>
      </c>
      <c r="F233" s="104">
        <v>6990</v>
      </c>
      <c r="G233" s="104">
        <f t="shared" si="14"/>
        <v>291.25</v>
      </c>
      <c r="H233" s="105">
        <v>9990</v>
      </c>
      <c r="I233" s="143">
        <f t="shared" si="13"/>
        <v>0.3003003003003003</v>
      </c>
    </row>
    <row r="234" spans="2:9" x14ac:dyDescent="0.25">
      <c r="B234" s="103">
        <v>7004971</v>
      </c>
      <c r="C234" s="106" t="s">
        <v>1088</v>
      </c>
      <c r="D234" s="94" t="s">
        <v>1083</v>
      </c>
      <c r="E234" s="94" t="s">
        <v>1007</v>
      </c>
      <c r="F234" s="104">
        <v>13990</v>
      </c>
      <c r="G234" s="104">
        <f t="shared" si="14"/>
        <v>582.91666666666663</v>
      </c>
      <c r="H234" s="105">
        <v>19990</v>
      </c>
      <c r="I234" s="143">
        <f t="shared" si="13"/>
        <v>0.30015007503751878</v>
      </c>
    </row>
    <row r="235" spans="2:9" x14ac:dyDescent="0.25">
      <c r="B235" s="111">
        <v>7003727</v>
      </c>
      <c r="C235" s="106" t="s">
        <v>1089</v>
      </c>
      <c r="D235" s="106" t="s">
        <v>1083</v>
      </c>
      <c r="E235" s="94" t="s">
        <v>1007</v>
      </c>
      <c r="F235" s="104">
        <v>55990</v>
      </c>
      <c r="G235" s="104">
        <f t="shared" si="14"/>
        <v>2332.9166666666665</v>
      </c>
      <c r="H235" s="105">
        <v>79990</v>
      </c>
      <c r="I235" s="143">
        <f t="shared" si="13"/>
        <v>0.30003750468808599</v>
      </c>
    </row>
    <row r="236" spans="2:9" x14ac:dyDescent="0.25">
      <c r="B236" s="111">
        <v>7003065</v>
      </c>
      <c r="C236" s="106" t="s">
        <v>1224</v>
      </c>
      <c r="D236" s="106" t="s">
        <v>1083</v>
      </c>
      <c r="E236" s="94" t="s">
        <v>1218</v>
      </c>
      <c r="F236" s="104">
        <v>25990</v>
      </c>
      <c r="G236" s="104">
        <f t="shared" si="14"/>
        <v>1082.9166666666667</v>
      </c>
      <c r="H236" s="105">
        <v>49990</v>
      </c>
      <c r="I236" s="143">
        <f t="shared" si="13"/>
        <v>0.48009601920384082</v>
      </c>
    </row>
    <row r="237" spans="2:9" x14ac:dyDescent="0.25">
      <c r="B237" s="111">
        <v>7004213</v>
      </c>
      <c r="C237" s="106" t="s">
        <v>1225</v>
      </c>
      <c r="D237" s="106" t="s">
        <v>1083</v>
      </c>
      <c r="E237" s="94" t="s">
        <v>1218</v>
      </c>
      <c r="F237" s="104">
        <v>26990</v>
      </c>
      <c r="G237" s="104">
        <f t="shared" si="14"/>
        <v>1124.5833333333333</v>
      </c>
      <c r="H237" s="105">
        <v>39990</v>
      </c>
      <c r="I237" s="143">
        <f t="shared" si="13"/>
        <v>0.32508127031757938</v>
      </c>
    </row>
    <row r="238" spans="2:9" x14ac:dyDescent="0.25">
      <c r="B238" s="103">
        <v>7004975</v>
      </c>
      <c r="C238" s="106" t="s">
        <v>1226</v>
      </c>
      <c r="D238" s="94" t="s">
        <v>1083</v>
      </c>
      <c r="E238" s="94" t="s">
        <v>1218</v>
      </c>
      <c r="F238" s="104">
        <v>118990</v>
      </c>
      <c r="G238" s="104">
        <f t="shared" si="14"/>
        <v>4957.916666666667</v>
      </c>
      <c r="H238" s="105">
        <v>169990</v>
      </c>
      <c r="I238" s="143">
        <f t="shared" si="13"/>
        <v>0.30001764809694687</v>
      </c>
    </row>
    <row r="239" spans="2:9" x14ac:dyDescent="0.25">
      <c r="B239" s="107">
        <v>7003635</v>
      </c>
      <c r="C239" s="106" t="s">
        <v>1230</v>
      </c>
      <c r="D239" s="106" t="s">
        <v>1229</v>
      </c>
      <c r="E239" s="94" t="s">
        <v>1218</v>
      </c>
      <c r="F239" s="104">
        <v>27990</v>
      </c>
      <c r="G239" s="104">
        <f t="shared" si="14"/>
        <v>1166.25</v>
      </c>
      <c r="H239" s="105">
        <v>39990</v>
      </c>
      <c r="I239" s="143">
        <f t="shared" si="13"/>
        <v>0.30007501875468867</v>
      </c>
    </row>
    <row r="240" spans="2:9" x14ac:dyDescent="0.25">
      <c r="B240" s="103">
        <v>7005812</v>
      </c>
      <c r="C240" s="106" t="s">
        <v>1233</v>
      </c>
      <c r="D240" s="94" t="s">
        <v>1229</v>
      </c>
      <c r="E240" s="94" t="s">
        <v>1218</v>
      </c>
      <c r="F240" s="104">
        <v>4990</v>
      </c>
      <c r="G240" s="104">
        <f t="shared" si="14"/>
        <v>207.91666666666666</v>
      </c>
      <c r="H240" s="105">
        <v>16990</v>
      </c>
      <c r="I240" s="143">
        <f t="shared" si="13"/>
        <v>0.70629782224838134</v>
      </c>
    </row>
    <row r="241" spans="2:9" x14ac:dyDescent="0.25">
      <c r="B241" s="107">
        <v>7001094</v>
      </c>
      <c r="C241" s="106" t="s">
        <v>1090</v>
      </c>
      <c r="D241" s="106" t="s">
        <v>131</v>
      </c>
      <c r="E241" s="94" t="s">
        <v>1007</v>
      </c>
      <c r="F241" s="104">
        <v>10990</v>
      </c>
      <c r="G241" s="104">
        <f t="shared" si="14"/>
        <v>457.91666666666669</v>
      </c>
      <c r="H241" s="105">
        <v>12990</v>
      </c>
      <c r="I241" s="143">
        <f t="shared" si="13"/>
        <v>0.15396458814472669</v>
      </c>
    </row>
    <row r="242" spans="2:9" x14ac:dyDescent="0.25">
      <c r="B242" s="107">
        <v>7000414</v>
      </c>
      <c r="C242" s="106" t="s">
        <v>1091</v>
      </c>
      <c r="D242" s="106" t="s">
        <v>131</v>
      </c>
      <c r="E242" s="94" t="s">
        <v>1007</v>
      </c>
      <c r="F242" s="104">
        <v>9990</v>
      </c>
      <c r="G242" s="104">
        <f t="shared" si="14"/>
        <v>416.25</v>
      </c>
      <c r="H242" s="105">
        <v>14990</v>
      </c>
      <c r="I242" s="143">
        <f t="shared" si="13"/>
        <v>0.33355570380253508</v>
      </c>
    </row>
    <row r="243" spans="2:9" x14ac:dyDescent="0.25">
      <c r="B243" s="103">
        <v>7005566</v>
      </c>
      <c r="C243" s="106" t="s">
        <v>1093</v>
      </c>
      <c r="D243" s="94" t="s">
        <v>131</v>
      </c>
      <c r="E243" s="94" t="s">
        <v>1007</v>
      </c>
      <c r="F243" s="104">
        <v>16990</v>
      </c>
      <c r="G243" s="104">
        <f t="shared" si="14"/>
        <v>707.91666666666663</v>
      </c>
      <c r="H243" s="105">
        <v>24990</v>
      </c>
      <c r="I243" s="143">
        <f t="shared" si="13"/>
        <v>0.32012805122048815</v>
      </c>
    </row>
    <row r="244" spans="2:9" x14ac:dyDescent="0.25">
      <c r="B244" s="103">
        <v>7005565</v>
      </c>
      <c r="C244" s="106" t="s">
        <v>1094</v>
      </c>
      <c r="D244" s="94" t="s">
        <v>131</v>
      </c>
      <c r="E244" s="94" t="s">
        <v>1007</v>
      </c>
      <c r="F244" s="104">
        <v>26990</v>
      </c>
      <c r="G244" s="104">
        <f t="shared" si="14"/>
        <v>1124.5833333333333</v>
      </c>
      <c r="H244" s="105">
        <v>34990</v>
      </c>
      <c r="I244" s="143">
        <f t="shared" si="13"/>
        <v>0.2286367533581023</v>
      </c>
    </row>
    <row r="245" spans="2:9" x14ac:dyDescent="0.25">
      <c r="B245" s="103">
        <v>7005564</v>
      </c>
      <c r="C245" s="106" t="s">
        <v>1095</v>
      </c>
      <c r="D245" s="94" t="s">
        <v>131</v>
      </c>
      <c r="E245" s="94" t="s">
        <v>1007</v>
      </c>
      <c r="F245" s="104">
        <v>4490</v>
      </c>
      <c r="G245" s="104">
        <f t="shared" si="14"/>
        <v>187.08333333333334</v>
      </c>
      <c r="H245" s="105">
        <v>5990</v>
      </c>
      <c r="I245" s="143">
        <f t="shared" si="13"/>
        <v>0.25041736227045075</v>
      </c>
    </row>
    <row r="246" spans="2:9" x14ac:dyDescent="0.25">
      <c r="B246" s="103">
        <v>7005569</v>
      </c>
      <c r="C246" s="106" t="s">
        <v>1096</v>
      </c>
      <c r="D246" s="94" t="s">
        <v>131</v>
      </c>
      <c r="E246" s="94" t="s">
        <v>1007</v>
      </c>
      <c r="F246" s="104">
        <v>20990</v>
      </c>
      <c r="G246" s="104">
        <f t="shared" si="14"/>
        <v>874.58333333333337</v>
      </c>
      <c r="H246" s="105">
        <v>27990</v>
      </c>
      <c r="I246" s="143">
        <f t="shared" si="13"/>
        <v>0.25008931761343334</v>
      </c>
    </row>
    <row r="247" spans="2:9" x14ac:dyDescent="0.25">
      <c r="B247" s="103">
        <v>7005570</v>
      </c>
      <c r="C247" s="106" t="s">
        <v>1097</v>
      </c>
      <c r="D247" s="94" t="s">
        <v>131</v>
      </c>
      <c r="E247" s="94" t="s">
        <v>1007</v>
      </c>
      <c r="F247" s="104">
        <v>20990</v>
      </c>
      <c r="G247" s="104">
        <f t="shared" si="14"/>
        <v>874.58333333333337</v>
      </c>
      <c r="H247" s="105">
        <v>27990</v>
      </c>
      <c r="I247" s="143">
        <f t="shared" si="13"/>
        <v>0.25008931761343334</v>
      </c>
    </row>
    <row r="248" spans="2:9" x14ac:dyDescent="0.25">
      <c r="B248" s="103">
        <v>7005567</v>
      </c>
      <c r="C248" s="106" t="s">
        <v>1092</v>
      </c>
      <c r="D248" s="94" t="s">
        <v>131</v>
      </c>
      <c r="E248" s="94" t="s">
        <v>1007</v>
      </c>
      <c r="F248" s="104">
        <v>4990</v>
      </c>
      <c r="G248" s="104">
        <f t="shared" si="14"/>
        <v>207.91666666666666</v>
      </c>
      <c r="H248" s="105">
        <v>14990</v>
      </c>
      <c r="I248" s="143">
        <f t="shared" si="13"/>
        <v>0.66711140760507004</v>
      </c>
    </row>
    <row r="249" spans="2:9" x14ac:dyDescent="0.25">
      <c r="B249" s="111">
        <v>7003788</v>
      </c>
      <c r="C249" s="106" t="s">
        <v>1273</v>
      </c>
      <c r="D249" s="106" t="s">
        <v>1274</v>
      </c>
      <c r="E249" s="94" t="s">
        <v>1270</v>
      </c>
      <c r="F249" s="104">
        <v>29990</v>
      </c>
      <c r="G249" s="104">
        <f t="shared" si="14"/>
        <v>1249.5833333333333</v>
      </c>
      <c r="H249" s="105">
        <v>299990</v>
      </c>
      <c r="I249" s="143">
        <f t="shared" si="13"/>
        <v>0.90003000100003328</v>
      </c>
    </row>
    <row r="250" spans="2:9" x14ac:dyDescent="0.25">
      <c r="B250" s="107">
        <v>7003628</v>
      </c>
      <c r="C250" s="106" t="s">
        <v>1098</v>
      </c>
      <c r="D250" s="106" t="s">
        <v>1099</v>
      </c>
      <c r="E250" s="94" t="s">
        <v>1007</v>
      </c>
      <c r="F250" s="104">
        <v>2490</v>
      </c>
      <c r="G250" s="104">
        <f t="shared" si="14"/>
        <v>103.75</v>
      </c>
      <c r="H250" s="105">
        <v>7990</v>
      </c>
      <c r="I250" s="143">
        <f t="shared" si="13"/>
        <v>0.68836045056320394</v>
      </c>
    </row>
    <row r="251" spans="2:9" x14ac:dyDescent="0.25">
      <c r="B251" s="107">
        <v>7003425</v>
      </c>
      <c r="C251" s="106" t="s">
        <v>1208</v>
      </c>
      <c r="D251" s="106" t="s">
        <v>1099</v>
      </c>
      <c r="E251" s="94" t="s">
        <v>1203</v>
      </c>
      <c r="F251" s="104">
        <v>17990</v>
      </c>
      <c r="G251" s="104">
        <f t="shared" si="14"/>
        <v>749.58333333333337</v>
      </c>
      <c r="H251" s="105">
        <v>24990</v>
      </c>
      <c r="I251" s="143">
        <f t="shared" si="13"/>
        <v>0.28011204481792717</v>
      </c>
    </row>
    <row r="252" spans="2:9" x14ac:dyDescent="0.25">
      <c r="B252" s="103">
        <v>7004624</v>
      </c>
      <c r="C252" s="106" t="s">
        <v>1100</v>
      </c>
      <c r="D252" s="94" t="s">
        <v>1101</v>
      </c>
      <c r="E252" s="94" t="s">
        <v>1007</v>
      </c>
      <c r="F252" s="104">
        <v>18990</v>
      </c>
      <c r="G252" s="104">
        <f t="shared" si="14"/>
        <v>791.25</v>
      </c>
      <c r="H252" s="105">
        <v>39990</v>
      </c>
      <c r="I252" s="143">
        <f t="shared" si="13"/>
        <v>0.5251312828207052</v>
      </c>
    </row>
    <row r="253" spans="2:9" x14ac:dyDescent="0.25">
      <c r="B253" s="103">
        <v>7005534</v>
      </c>
      <c r="C253" s="106" t="s">
        <v>1102</v>
      </c>
      <c r="D253" s="94" t="s">
        <v>1101</v>
      </c>
      <c r="E253" s="94" t="s">
        <v>1007</v>
      </c>
      <c r="F253" s="104">
        <v>30990</v>
      </c>
      <c r="G253" s="104">
        <f t="shared" si="14"/>
        <v>1291.25</v>
      </c>
      <c r="H253" s="105">
        <v>59990</v>
      </c>
      <c r="I253" s="143">
        <f t="shared" si="13"/>
        <v>0.48341390231705283</v>
      </c>
    </row>
    <row r="254" spans="2:9" x14ac:dyDescent="0.25">
      <c r="B254" s="103">
        <v>7005535</v>
      </c>
      <c r="C254" s="106" t="s">
        <v>1103</v>
      </c>
      <c r="D254" s="94" t="s">
        <v>1101</v>
      </c>
      <c r="E254" s="94" t="s">
        <v>1007</v>
      </c>
      <c r="F254" s="104">
        <v>30990</v>
      </c>
      <c r="G254" s="104">
        <f t="shared" si="14"/>
        <v>1291.25</v>
      </c>
      <c r="H254" s="105">
        <v>59990</v>
      </c>
      <c r="I254" s="143">
        <f t="shared" si="13"/>
        <v>0.48341390231705283</v>
      </c>
    </row>
    <row r="255" spans="2:9" x14ac:dyDescent="0.25">
      <c r="B255" s="103">
        <v>7004623</v>
      </c>
      <c r="C255" s="106" t="s">
        <v>1104</v>
      </c>
      <c r="D255" s="94" t="s">
        <v>1101</v>
      </c>
      <c r="E255" s="94" t="s">
        <v>1007</v>
      </c>
      <c r="F255" s="104">
        <v>18990</v>
      </c>
      <c r="G255" s="104">
        <f t="shared" si="14"/>
        <v>791.25</v>
      </c>
      <c r="H255" s="105">
        <v>39990</v>
      </c>
      <c r="I255" s="143">
        <f t="shared" si="13"/>
        <v>0.5251312828207052</v>
      </c>
    </row>
    <row r="256" spans="2:9" x14ac:dyDescent="0.25">
      <c r="B256" s="103">
        <v>7005338</v>
      </c>
      <c r="C256" s="106" t="s">
        <v>1106</v>
      </c>
      <c r="D256" s="94" t="s">
        <v>1101</v>
      </c>
      <c r="E256" s="94" t="s">
        <v>1007</v>
      </c>
      <c r="F256" s="104">
        <v>30990</v>
      </c>
      <c r="G256" s="104">
        <f t="shared" si="14"/>
        <v>1291.25</v>
      </c>
      <c r="H256" s="105">
        <v>59990</v>
      </c>
      <c r="I256" s="143">
        <f t="shared" si="13"/>
        <v>0.48341390231705283</v>
      </c>
    </row>
    <row r="257" spans="2:9" x14ac:dyDescent="0.25">
      <c r="B257" s="103">
        <v>7005337</v>
      </c>
      <c r="C257" s="106" t="s">
        <v>1108</v>
      </c>
      <c r="D257" s="94" t="s">
        <v>1101</v>
      </c>
      <c r="E257" s="94" t="s">
        <v>1007</v>
      </c>
      <c r="F257" s="104">
        <v>18990</v>
      </c>
      <c r="G257" s="104">
        <f t="shared" si="14"/>
        <v>791.25</v>
      </c>
      <c r="H257" s="105">
        <v>29990</v>
      </c>
      <c r="I257" s="143">
        <f t="shared" si="13"/>
        <v>0.36678892964321441</v>
      </c>
    </row>
    <row r="258" spans="2:9" x14ac:dyDescent="0.25">
      <c r="B258" s="103">
        <v>7005537</v>
      </c>
      <c r="C258" s="106" t="s">
        <v>1109</v>
      </c>
      <c r="D258" s="94" t="s">
        <v>1101</v>
      </c>
      <c r="E258" s="94" t="s">
        <v>1007</v>
      </c>
      <c r="F258" s="104">
        <v>18990</v>
      </c>
      <c r="G258" s="104">
        <f t="shared" si="14"/>
        <v>791.25</v>
      </c>
      <c r="H258" s="105">
        <v>29990</v>
      </c>
      <c r="I258" s="143">
        <f t="shared" si="13"/>
        <v>0.36678892964321441</v>
      </c>
    </row>
    <row r="259" spans="2:9" x14ac:dyDescent="0.25">
      <c r="B259" s="103">
        <v>7005538</v>
      </c>
      <c r="C259" s="106" t="s">
        <v>1110</v>
      </c>
      <c r="D259" s="94" t="s">
        <v>1101</v>
      </c>
      <c r="E259" s="94" t="s">
        <v>1007</v>
      </c>
      <c r="F259" s="104">
        <v>18990</v>
      </c>
      <c r="G259" s="104">
        <f t="shared" si="14"/>
        <v>791.25</v>
      </c>
      <c r="H259" s="105">
        <v>29990</v>
      </c>
      <c r="I259" s="143">
        <f t="shared" si="13"/>
        <v>0.36678892964321441</v>
      </c>
    </row>
    <row r="260" spans="2:9" x14ac:dyDescent="0.25">
      <c r="B260" s="103">
        <v>7004627</v>
      </c>
      <c r="C260" s="106" t="s">
        <v>1111</v>
      </c>
      <c r="D260" s="94" t="s">
        <v>1101</v>
      </c>
      <c r="E260" s="94" t="s">
        <v>1007</v>
      </c>
      <c r="F260" s="104">
        <v>16990</v>
      </c>
      <c r="G260" s="104">
        <f t="shared" si="14"/>
        <v>707.91666666666663</v>
      </c>
      <c r="H260" s="105">
        <v>24990</v>
      </c>
      <c r="I260" s="143">
        <f t="shared" si="13"/>
        <v>0.32012805122048815</v>
      </c>
    </row>
    <row r="261" spans="2:9" x14ac:dyDescent="0.25">
      <c r="B261" s="103">
        <v>7004629</v>
      </c>
      <c r="C261" s="106" t="s">
        <v>1235</v>
      </c>
      <c r="D261" s="94" t="s">
        <v>1101</v>
      </c>
      <c r="E261" s="94" t="s">
        <v>1218</v>
      </c>
      <c r="F261" s="104">
        <v>22990</v>
      </c>
      <c r="G261" s="104">
        <f t="shared" si="14"/>
        <v>957.91666666666663</v>
      </c>
      <c r="H261" s="105">
        <v>29990</v>
      </c>
      <c r="I261" s="143">
        <f t="shared" si="13"/>
        <v>0.23341113704568195</v>
      </c>
    </row>
    <row r="262" spans="2:9" x14ac:dyDescent="0.25">
      <c r="B262" s="107">
        <v>7003783</v>
      </c>
      <c r="C262" s="106" t="s">
        <v>1247</v>
      </c>
      <c r="D262" s="106" t="s">
        <v>1248</v>
      </c>
      <c r="E262" s="94" t="s">
        <v>1240</v>
      </c>
      <c r="F262" s="104">
        <v>15990</v>
      </c>
      <c r="G262" s="104">
        <f t="shared" si="14"/>
        <v>666.25</v>
      </c>
      <c r="H262" s="105">
        <v>18990</v>
      </c>
      <c r="I262" s="143">
        <f t="shared" si="13"/>
        <v>0.15797788309636651</v>
      </c>
    </row>
    <row r="263" spans="2:9" x14ac:dyDescent="0.25">
      <c r="B263" s="103">
        <v>7004485</v>
      </c>
      <c r="C263" s="106" t="s">
        <v>1114</v>
      </c>
      <c r="D263" s="94" t="s">
        <v>46</v>
      </c>
      <c r="E263" s="94" t="s">
        <v>1007</v>
      </c>
      <c r="F263" s="104">
        <v>7990</v>
      </c>
      <c r="G263" s="104">
        <f t="shared" si="14"/>
        <v>332.91666666666669</v>
      </c>
      <c r="H263" s="105">
        <v>14990</v>
      </c>
      <c r="I263" s="143">
        <f t="shared" si="13"/>
        <v>0.46697798532354906</v>
      </c>
    </row>
    <row r="264" spans="2:9" x14ac:dyDescent="0.25">
      <c r="B264" s="111">
        <v>7005316</v>
      </c>
      <c r="C264" s="106" t="s">
        <v>1249</v>
      </c>
      <c r="D264" s="106" t="s">
        <v>46</v>
      </c>
      <c r="E264" s="94" t="s">
        <v>1240</v>
      </c>
      <c r="F264" s="104">
        <v>16990</v>
      </c>
      <c r="G264" s="104">
        <f t="shared" si="14"/>
        <v>707.91666666666663</v>
      </c>
      <c r="H264" s="105">
        <v>29990</v>
      </c>
      <c r="I264" s="143">
        <f t="shared" si="13"/>
        <v>0.4334778259419807</v>
      </c>
    </row>
    <row r="265" spans="2:9" x14ac:dyDescent="0.25">
      <c r="B265" s="103">
        <v>7005312</v>
      </c>
      <c r="C265" s="106" t="s">
        <v>1251</v>
      </c>
      <c r="D265" s="94" t="s">
        <v>46</v>
      </c>
      <c r="E265" s="94" t="s">
        <v>1240</v>
      </c>
      <c r="F265" s="104">
        <v>16990</v>
      </c>
      <c r="G265" s="104">
        <f t="shared" si="14"/>
        <v>707.91666666666663</v>
      </c>
      <c r="H265" s="105">
        <v>29990</v>
      </c>
      <c r="I265" s="143">
        <f t="shared" si="13"/>
        <v>0.4334778259419807</v>
      </c>
    </row>
    <row r="266" spans="2:9" x14ac:dyDescent="0.25">
      <c r="B266" s="103">
        <v>7005313</v>
      </c>
      <c r="C266" s="106" t="s">
        <v>1252</v>
      </c>
      <c r="D266" s="94" t="s">
        <v>46</v>
      </c>
      <c r="E266" s="94" t="s">
        <v>1240</v>
      </c>
      <c r="F266" s="104">
        <v>16990</v>
      </c>
      <c r="G266" s="104">
        <f t="shared" si="14"/>
        <v>707.91666666666663</v>
      </c>
      <c r="H266" s="105">
        <v>29990</v>
      </c>
      <c r="I266" s="143">
        <f t="shared" si="13"/>
        <v>0.4334778259419807</v>
      </c>
    </row>
    <row r="267" spans="2:9" x14ac:dyDescent="0.25">
      <c r="B267" s="103">
        <v>7005314</v>
      </c>
      <c r="C267" s="106" t="s">
        <v>1253</v>
      </c>
      <c r="D267" s="94" t="s">
        <v>46</v>
      </c>
      <c r="E267" s="94" t="s">
        <v>1240</v>
      </c>
      <c r="F267" s="104">
        <v>16990</v>
      </c>
      <c r="G267" s="104">
        <f t="shared" si="14"/>
        <v>707.91666666666663</v>
      </c>
      <c r="H267" s="105">
        <v>29990</v>
      </c>
      <c r="I267" s="143">
        <f t="shared" si="13"/>
        <v>0.4334778259419807</v>
      </c>
    </row>
    <row r="268" spans="2:9" x14ac:dyDescent="0.25">
      <c r="B268" s="103">
        <v>7005315</v>
      </c>
      <c r="C268" s="106" t="s">
        <v>1254</v>
      </c>
      <c r="D268" s="94" t="s">
        <v>46</v>
      </c>
      <c r="E268" s="94" t="s">
        <v>1240</v>
      </c>
      <c r="F268" s="104">
        <v>16990</v>
      </c>
      <c r="G268" s="104">
        <f t="shared" si="14"/>
        <v>707.91666666666663</v>
      </c>
      <c r="H268" s="105">
        <v>29990</v>
      </c>
      <c r="I268" s="143">
        <f t="shared" si="13"/>
        <v>0.4334778259419807</v>
      </c>
    </row>
    <row r="269" spans="2:9" x14ac:dyDescent="0.25">
      <c r="B269" s="103">
        <v>7005353</v>
      </c>
      <c r="C269" s="106" t="s">
        <v>1255</v>
      </c>
      <c r="D269" s="94" t="s">
        <v>46</v>
      </c>
      <c r="E269" s="94" t="s">
        <v>1240</v>
      </c>
      <c r="F269" s="104">
        <v>16990</v>
      </c>
      <c r="G269" s="104">
        <f t="shared" si="14"/>
        <v>707.91666666666663</v>
      </c>
      <c r="H269" s="105">
        <v>29990</v>
      </c>
      <c r="I269" s="143">
        <f t="shared" si="13"/>
        <v>0.4334778259419807</v>
      </c>
    </row>
    <row r="270" spans="2:9" x14ac:dyDescent="0.25">
      <c r="B270" s="103">
        <v>7005354</v>
      </c>
      <c r="C270" s="106" t="s">
        <v>1256</v>
      </c>
      <c r="D270" s="94" t="s">
        <v>46</v>
      </c>
      <c r="E270" s="94" t="s">
        <v>1240</v>
      </c>
      <c r="F270" s="104">
        <v>16990</v>
      </c>
      <c r="G270" s="104">
        <f t="shared" si="14"/>
        <v>707.91666666666663</v>
      </c>
      <c r="H270" s="105">
        <v>29990</v>
      </c>
      <c r="I270" s="143">
        <f t="shared" si="13"/>
        <v>0.4334778259419807</v>
      </c>
    </row>
    <row r="271" spans="2:9" x14ac:dyDescent="0.25">
      <c r="B271" s="103">
        <v>7005355</v>
      </c>
      <c r="C271" s="106" t="s">
        <v>1257</v>
      </c>
      <c r="D271" s="94" t="s">
        <v>46</v>
      </c>
      <c r="E271" s="94" t="s">
        <v>1240</v>
      </c>
      <c r="F271" s="104">
        <v>16990</v>
      </c>
      <c r="G271" s="104">
        <f t="shared" si="14"/>
        <v>707.91666666666663</v>
      </c>
      <c r="H271" s="105">
        <v>29990</v>
      </c>
      <c r="I271" s="143">
        <f t="shared" si="13"/>
        <v>0.4334778259419807</v>
      </c>
    </row>
    <row r="272" spans="2:9" x14ac:dyDescent="0.25">
      <c r="B272" s="103">
        <v>7005356</v>
      </c>
      <c r="C272" s="106" t="s">
        <v>1258</v>
      </c>
      <c r="D272" s="94" t="s">
        <v>46</v>
      </c>
      <c r="E272" s="94" t="s">
        <v>1240</v>
      </c>
      <c r="F272" s="104">
        <v>16990</v>
      </c>
      <c r="G272" s="104">
        <f t="shared" si="14"/>
        <v>707.91666666666663</v>
      </c>
      <c r="H272" s="105">
        <v>29990</v>
      </c>
      <c r="I272" s="143">
        <f t="shared" si="13"/>
        <v>0.4334778259419807</v>
      </c>
    </row>
    <row r="273" spans="2:9" x14ac:dyDescent="0.25">
      <c r="B273" s="103">
        <v>7005357</v>
      </c>
      <c r="C273" s="106" t="s">
        <v>1259</v>
      </c>
      <c r="D273" s="94" t="s">
        <v>46</v>
      </c>
      <c r="E273" s="94" t="s">
        <v>1240</v>
      </c>
      <c r="F273" s="104">
        <v>16990</v>
      </c>
      <c r="G273" s="104">
        <f t="shared" si="14"/>
        <v>707.91666666666663</v>
      </c>
      <c r="H273" s="105">
        <v>29990</v>
      </c>
      <c r="I273" s="143">
        <f t="shared" si="13"/>
        <v>0.4334778259419807</v>
      </c>
    </row>
    <row r="274" spans="2:9" x14ac:dyDescent="0.25">
      <c r="B274" s="103">
        <v>7005318</v>
      </c>
      <c r="C274" s="106" t="s">
        <v>1260</v>
      </c>
      <c r="D274" s="94" t="s">
        <v>46</v>
      </c>
      <c r="E274" s="94" t="s">
        <v>1240</v>
      </c>
      <c r="F274" s="104">
        <v>26990</v>
      </c>
      <c r="G274" s="104">
        <f t="shared" si="14"/>
        <v>1124.5833333333333</v>
      </c>
      <c r="H274" s="105">
        <v>49990</v>
      </c>
      <c r="I274" s="143">
        <f t="shared" si="13"/>
        <v>0.46009201840368075</v>
      </c>
    </row>
    <row r="275" spans="2:9" x14ac:dyDescent="0.25">
      <c r="B275" s="103">
        <v>7005319</v>
      </c>
      <c r="C275" s="106" t="s">
        <v>1261</v>
      </c>
      <c r="D275" s="94" t="s">
        <v>46</v>
      </c>
      <c r="E275" s="94" t="s">
        <v>1240</v>
      </c>
      <c r="F275" s="104">
        <v>26990</v>
      </c>
      <c r="G275" s="104">
        <f t="shared" si="14"/>
        <v>1124.5833333333333</v>
      </c>
      <c r="H275" s="105">
        <v>49990</v>
      </c>
      <c r="I275" s="143">
        <f t="shared" si="13"/>
        <v>0.46009201840368075</v>
      </c>
    </row>
    <row r="276" spans="2:9" x14ac:dyDescent="0.25">
      <c r="B276" s="103">
        <v>7005320</v>
      </c>
      <c r="C276" s="106" t="s">
        <v>1262</v>
      </c>
      <c r="D276" s="94" t="s">
        <v>46</v>
      </c>
      <c r="E276" s="94" t="s">
        <v>1240</v>
      </c>
      <c r="F276" s="104">
        <v>26990</v>
      </c>
      <c r="G276" s="104">
        <f t="shared" si="14"/>
        <v>1124.5833333333333</v>
      </c>
      <c r="H276" s="105">
        <v>49990</v>
      </c>
      <c r="I276" s="143">
        <f t="shared" si="13"/>
        <v>0.46009201840368075</v>
      </c>
    </row>
    <row r="277" spans="2:9" x14ac:dyDescent="0.25">
      <c r="B277" s="103">
        <v>7005279</v>
      </c>
      <c r="C277" s="106" t="s">
        <v>1263</v>
      </c>
      <c r="D277" s="94" t="s">
        <v>46</v>
      </c>
      <c r="E277" s="94" t="s">
        <v>1240</v>
      </c>
      <c r="F277" s="104">
        <v>13990</v>
      </c>
      <c r="G277" s="104">
        <f t="shared" si="14"/>
        <v>582.91666666666663</v>
      </c>
      <c r="H277" s="105">
        <v>24990</v>
      </c>
      <c r="I277" s="143">
        <f t="shared" si="13"/>
        <v>0.44017607042817131</v>
      </c>
    </row>
    <row r="278" spans="2:9" x14ac:dyDescent="0.25">
      <c r="B278" s="103">
        <v>7005310</v>
      </c>
      <c r="C278" s="106" t="s">
        <v>1264</v>
      </c>
      <c r="D278" s="94" t="s">
        <v>46</v>
      </c>
      <c r="E278" s="94" t="s">
        <v>1240</v>
      </c>
      <c r="F278" s="104">
        <v>13990</v>
      </c>
      <c r="G278" s="104">
        <f t="shared" si="14"/>
        <v>582.91666666666663</v>
      </c>
      <c r="H278" s="105">
        <v>24990</v>
      </c>
      <c r="I278" s="143">
        <f t="shared" si="13"/>
        <v>0.44017607042817131</v>
      </c>
    </row>
    <row r="279" spans="2:9" x14ac:dyDescent="0.25">
      <c r="B279" s="103">
        <v>7005311</v>
      </c>
      <c r="C279" s="106" t="s">
        <v>1265</v>
      </c>
      <c r="D279" s="94" t="s">
        <v>46</v>
      </c>
      <c r="E279" s="94" t="s">
        <v>1240</v>
      </c>
      <c r="F279" s="104">
        <v>13990</v>
      </c>
      <c r="G279" s="104">
        <f t="shared" si="14"/>
        <v>582.91666666666663</v>
      </c>
      <c r="H279" s="105">
        <v>24990</v>
      </c>
      <c r="I279" s="143">
        <f t="shared" si="13"/>
        <v>0.44017607042817131</v>
      </c>
    </row>
    <row r="280" spans="2:9" x14ac:dyDescent="0.25">
      <c r="B280" s="111">
        <v>7005321</v>
      </c>
      <c r="C280" s="106" t="s">
        <v>1266</v>
      </c>
      <c r="D280" s="106" t="s">
        <v>46</v>
      </c>
      <c r="E280" s="94" t="s">
        <v>1240</v>
      </c>
      <c r="F280" s="104">
        <v>26990</v>
      </c>
      <c r="G280" s="104">
        <f t="shared" si="14"/>
        <v>1124.5833333333333</v>
      </c>
      <c r="H280" s="105">
        <v>49990</v>
      </c>
      <c r="I280" s="143">
        <f t="shared" si="13"/>
        <v>0.46009201840368075</v>
      </c>
    </row>
    <row r="281" spans="2:9" x14ac:dyDescent="0.25">
      <c r="B281" s="103">
        <v>7005322</v>
      </c>
      <c r="C281" s="106" t="s">
        <v>1267</v>
      </c>
      <c r="D281" s="94" t="s">
        <v>46</v>
      </c>
      <c r="E281" s="94" t="s">
        <v>1240</v>
      </c>
      <c r="F281" s="104">
        <v>26990</v>
      </c>
      <c r="G281" s="104">
        <f t="shared" si="14"/>
        <v>1124.5833333333333</v>
      </c>
      <c r="H281" s="105">
        <v>49990</v>
      </c>
      <c r="I281" s="143">
        <f t="shared" si="13"/>
        <v>0.46009201840368075</v>
      </c>
    </row>
    <row r="282" spans="2:9" x14ac:dyDescent="0.25">
      <c r="B282" s="103">
        <v>7005323</v>
      </c>
      <c r="C282" s="106" t="s">
        <v>1268</v>
      </c>
      <c r="D282" s="94" t="s">
        <v>46</v>
      </c>
      <c r="E282" s="94" t="s">
        <v>1240</v>
      </c>
      <c r="F282" s="104">
        <v>26990</v>
      </c>
      <c r="G282" s="104">
        <f t="shared" si="14"/>
        <v>1124.5833333333333</v>
      </c>
      <c r="H282" s="105">
        <v>49990</v>
      </c>
      <c r="I282" s="143">
        <f t="shared" si="13"/>
        <v>0.46009201840368075</v>
      </c>
    </row>
    <row r="283" spans="2:9" x14ac:dyDescent="0.25">
      <c r="B283" s="107">
        <v>7000383</v>
      </c>
      <c r="C283" s="106" t="s">
        <v>1062</v>
      </c>
      <c r="D283" s="106" t="s">
        <v>1063</v>
      </c>
      <c r="E283" s="94" t="s">
        <v>1051</v>
      </c>
      <c r="F283" s="104">
        <v>4490</v>
      </c>
      <c r="G283" s="104">
        <f t="shared" si="14"/>
        <v>187.08333333333334</v>
      </c>
      <c r="H283" s="105">
        <v>5990</v>
      </c>
      <c r="I283" s="143">
        <f t="shared" si="13"/>
        <v>0.25041736227045075</v>
      </c>
    </row>
    <row r="284" spans="2:9" x14ac:dyDescent="0.25">
      <c r="B284" s="107">
        <v>7003448</v>
      </c>
      <c r="C284" s="106" t="s">
        <v>1188</v>
      </c>
      <c r="D284" s="106" t="s">
        <v>1189</v>
      </c>
      <c r="E284" s="94" t="s">
        <v>997</v>
      </c>
      <c r="F284" s="104">
        <v>19990</v>
      </c>
      <c r="G284" s="104">
        <f t="shared" si="14"/>
        <v>832.91666666666663</v>
      </c>
      <c r="H284" s="105">
        <v>29899.94</v>
      </c>
      <c r="I284" s="143">
        <f t="shared" si="13"/>
        <v>0.33143678549187716</v>
      </c>
    </row>
    <row r="285" spans="2:9" x14ac:dyDescent="0.25">
      <c r="B285" s="107">
        <v>7003075</v>
      </c>
      <c r="C285" s="106" t="s">
        <v>1192</v>
      </c>
      <c r="D285" s="106" t="s">
        <v>1189</v>
      </c>
      <c r="E285" s="94" t="s">
        <v>997</v>
      </c>
      <c r="F285" s="104">
        <v>13990</v>
      </c>
      <c r="G285" s="104">
        <f t="shared" si="14"/>
        <v>582.91666666666663</v>
      </c>
      <c r="H285" s="105">
        <v>16900</v>
      </c>
      <c r="I285" s="143">
        <f t="shared" si="13"/>
        <v>0.172189349112426</v>
      </c>
    </row>
    <row r="286" spans="2:9" x14ac:dyDescent="0.25">
      <c r="B286" s="111">
        <v>7001138</v>
      </c>
      <c r="C286" s="106" t="s">
        <v>1195</v>
      </c>
      <c r="D286" s="106" t="s">
        <v>1189</v>
      </c>
      <c r="E286" s="94" t="s">
        <v>997</v>
      </c>
      <c r="F286" s="104">
        <v>78990</v>
      </c>
      <c r="G286" s="104">
        <f t="shared" si="14"/>
        <v>3291.25</v>
      </c>
      <c r="H286" s="105">
        <v>99900</v>
      </c>
      <c r="I286" s="143">
        <f t="shared" si="13"/>
        <v>0.20930930930930935</v>
      </c>
    </row>
    <row r="287" spans="2:9" x14ac:dyDescent="0.25">
      <c r="B287" s="107">
        <v>7003078</v>
      </c>
      <c r="C287" s="106" t="s">
        <v>1196</v>
      </c>
      <c r="D287" s="106" t="s">
        <v>1189</v>
      </c>
      <c r="E287" s="94" t="s">
        <v>997</v>
      </c>
      <c r="F287" s="104">
        <v>990</v>
      </c>
      <c r="G287" s="104">
        <f t="shared" si="14"/>
        <v>41.25</v>
      </c>
      <c r="H287" s="105">
        <v>49900</v>
      </c>
      <c r="I287" s="143">
        <f t="shared" ref="I287:I350" si="15">1-F287/H287</f>
        <v>0.98016032064128256</v>
      </c>
    </row>
    <row r="288" spans="2:9" x14ac:dyDescent="0.25">
      <c r="B288" s="111">
        <v>7003633</v>
      </c>
      <c r="C288" s="106" t="s">
        <v>1199</v>
      </c>
      <c r="D288" s="106" t="s">
        <v>1189</v>
      </c>
      <c r="E288" s="94" t="s">
        <v>997</v>
      </c>
      <c r="F288" s="104">
        <v>15990</v>
      </c>
      <c r="G288" s="104">
        <f t="shared" si="14"/>
        <v>666.25</v>
      </c>
      <c r="H288" s="105">
        <v>24990</v>
      </c>
      <c r="I288" s="143">
        <f t="shared" si="15"/>
        <v>0.36014405762304924</v>
      </c>
    </row>
    <row r="289" spans="2:9" x14ac:dyDescent="0.25">
      <c r="B289" s="107">
        <v>7003444</v>
      </c>
      <c r="C289" s="106" t="s">
        <v>1211</v>
      </c>
      <c r="D289" s="106" t="s">
        <v>1212</v>
      </c>
      <c r="E289" s="94" t="s">
        <v>1203</v>
      </c>
      <c r="F289" s="104">
        <v>9990</v>
      </c>
      <c r="G289" s="104">
        <f t="shared" si="14"/>
        <v>416.25</v>
      </c>
      <c r="H289" s="105">
        <v>39990</v>
      </c>
      <c r="I289" s="143">
        <f t="shared" si="15"/>
        <v>0.75018754688672162</v>
      </c>
    </row>
    <row r="290" spans="2:9" x14ac:dyDescent="0.25">
      <c r="B290" s="111">
        <v>7004165</v>
      </c>
      <c r="C290" s="106" t="s">
        <v>1213</v>
      </c>
      <c r="D290" s="106" t="s">
        <v>1212</v>
      </c>
      <c r="E290" s="94" t="s">
        <v>1203</v>
      </c>
      <c r="F290" s="104">
        <v>22990</v>
      </c>
      <c r="G290" s="104">
        <f t="shared" si="14"/>
        <v>957.91666666666663</v>
      </c>
      <c r="H290" s="105">
        <v>39990</v>
      </c>
      <c r="I290" s="143">
        <f t="shared" si="15"/>
        <v>0.42510627656914224</v>
      </c>
    </row>
    <row r="291" spans="2:9" x14ac:dyDescent="0.25">
      <c r="B291" s="111">
        <v>7000839</v>
      </c>
      <c r="C291" s="106" t="s">
        <v>1284</v>
      </c>
      <c r="D291" s="106" t="s">
        <v>1212</v>
      </c>
      <c r="E291" s="94" t="s">
        <v>1280</v>
      </c>
      <c r="F291" s="104">
        <v>2490</v>
      </c>
      <c r="G291" s="104">
        <f t="shared" si="14"/>
        <v>103.75</v>
      </c>
      <c r="H291" s="105">
        <v>3990</v>
      </c>
      <c r="I291" s="143">
        <f t="shared" si="15"/>
        <v>0.37593984962406013</v>
      </c>
    </row>
    <row r="292" spans="2:9" x14ac:dyDescent="0.25">
      <c r="B292" s="107">
        <v>7000905</v>
      </c>
      <c r="C292" s="106" t="s">
        <v>1165</v>
      </c>
      <c r="D292" s="106" t="s">
        <v>1166</v>
      </c>
      <c r="E292" s="94" t="s">
        <v>1018</v>
      </c>
      <c r="F292" s="104">
        <v>2990</v>
      </c>
      <c r="G292" s="104">
        <f t="shared" ref="G292:G355" si="16">F292/24</f>
        <v>124.58333333333333</v>
      </c>
      <c r="H292" s="105">
        <v>6990</v>
      </c>
      <c r="I292" s="143">
        <f t="shared" si="15"/>
        <v>0.57224606580829751</v>
      </c>
    </row>
    <row r="293" spans="2:9" x14ac:dyDescent="0.25">
      <c r="B293" s="111">
        <v>7002673</v>
      </c>
      <c r="C293" s="106" t="s">
        <v>1167</v>
      </c>
      <c r="D293" s="106" t="s">
        <v>1166</v>
      </c>
      <c r="E293" s="94" t="s">
        <v>1018</v>
      </c>
      <c r="F293" s="104">
        <v>2990</v>
      </c>
      <c r="G293" s="104">
        <f t="shared" si="16"/>
        <v>124.58333333333333</v>
      </c>
      <c r="H293" s="105">
        <v>7990</v>
      </c>
      <c r="I293" s="143">
        <f t="shared" si="15"/>
        <v>0.62578222778473092</v>
      </c>
    </row>
    <row r="294" spans="2:9" x14ac:dyDescent="0.25">
      <c r="B294" s="111">
        <v>7004164</v>
      </c>
      <c r="C294" s="106" t="s">
        <v>1214</v>
      </c>
      <c r="D294" s="106" t="s">
        <v>1215</v>
      </c>
      <c r="E294" s="94" t="s">
        <v>1203</v>
      </c>
      <c r="F294" s="104">
        <v>9990</v>
      </c>
      <c r="G294" s="104">
        <f t="shared" si="16"/>
        <v>416.25</v>
      </c>
      <c r="H294" s="105">
        <v>13990</v>
      </c>
      <c r="I294" s="143">
        <f t="shared" si="15"/>
        <v>0.28591851322373119</v>
      </c>
    </row>
    <row r="295" spans="2:9" x14ac:dyDescent="0.25">
      <c r="B295" s="111">
        <v>7004162</v>
      </c>
      <c r="C295" s="106" t="s">
        <v>1216</v>
      </c>
      <c r="D295" s="106" t="s">
        <v>1215</v>
      </c>
      <c r="E295" s="94" t="s">
        <v>1203</v>
      </c>
      <c r="F295" s="104">
        <v>4490</v>
      </c>
      <c r="G295" s="104">
        <f t="shared" si="16"/>
        <v>187.08333333333334</v>
      </c>
      <c r="H295" s="105">
        <v>5990</v>
      </c>
      <c r="I295" s="143">
        <f t="shared" si="15"/>
        <v>0.25041736227045075</v>
      </c>
    </row>
    <row r="296" spans="2:9" x14ac:dyDescent="0.25">
      <c r="B296" s="111">
        <v>7004225</v>
      </c>
      <c r="C296" s="106" t="s">
        <v>2896</v>
      </c>
      <c r="D296" s="106" t="s">
        <v>1137</v>
      </c>
      <c r="E296" s="94" t="s">
        <v>1018</v>
      </c>
      <c r="F296" s="104">
        <v>8490</v>
      </c>
      <c r="G296" s="104">
        <f t="shared" si="16"/>
        <v>353.75</v>
      </c>
      <c r="H296" s="105">
        <v>10990</v>
      </c>
      <c r="I296" s="143">
        <f t="shared" si="15"/>
        <v>0.22747952684258421</v>
      </c>
    </row>
    <row r="297" spans="2:9" x14ac:dyDescent="0.25">
      <c r="B297" s="111">
        <v>7003586</v>
      </c>
      <c r="C297" s="106" t="s">
        <v>2905</v>
      </c>
      <c r="D297" s="106" t="s">
        <v>2906</v>
      </c>
      <c r="E297" s="94" t="s">
        <v>1203</v>
      </c>
      <c r="F297" s="104">
        <v>3490</v>
      </c>
      <c r="G297" s="104">
        <f t="shared" si="16"/>
        <v>145.41666666666666</v>
      </c>
      <c r="H297" s="105">
        <v>4990</v>
      </c>
      <c r="I297" s="143">
        <f t="shared" si="15"/>
        <v>0.30060120240480959</v>
      </c>
    </row>
    <row r="298" spans="2:9" x14ac:dyDescent="0.25">
      <c r="B298" s="107">
        <v>7003588</v>
      </c>
      <c r="C298" s="106" t="s">
        <v>2907</v>
      </c>
      <c r="D298" s="106" t="s">
        <v>2906</v>
      </c>
      <c r="E298" s="94" t="s">
        <v>1203</v>
      </c>
      <c r="F298" s="104">
        <v>3490</v>
      </c>
      <c r="G298" s="104">
        <f t="shared" si="16"/>
        <v>145.41666666666666</v>
      </c>
      <c r="H298" s="105">
        <v>4990</v>
      </c>
      <c r="I298" s="143">
        <f t="shared" si="15"/>
        <v>0.30060120240480959</v>
      </c>
    </row>
    <row r="299" spans="2:9" x14ac:dyDescent="0.25">
      <c r="B299" s="107">
        <v>7000557</v>
      </c>
      <c r="C299" s="106" t="s">
        <v>1308</v>
      </c>
      <c r="D299" s="106" t="s">
        <v>904</v>
      </c>
      <c r="E299" s="94" t="s">
        <v>1030</v>
      </c>
      <c r="F299" s="104">
        <v>19990</v>
      </c>
      <c r="G299" s="104">
        <f t="shared" si="16"/>
        <v>832.91666666666663</v>
      </c>
      <c r="H299" s="105">
        <v>29990</v>
      </c>
      <c r="I299" s="143">
        <f t="shared" si="15"/>
        <v>0.33344448149383132</v>
      </c>
    </row>
    <row r="300" spans="2:9" x14ac:dyDescent="0.25">
      <c r="B300" s="107">
        <v>7000007</v>
      </c>
      <c r="C300" s="106" t="s">
        <v>3364</v>
      </c>
      <c r="D300" s="106" t="s">
        <v>1203</v>
      </c>
      <c r="E300" s="94" t="s">
        <v>1203</v>
      </c>
      <c r="F300" s="104">
        <v>2490</v>
      </c>
      <c r="G300" s="104">
        <f t="shared" si="16"/>
        <v>103.75</v>
      </c>
      <c r="H300" s="105">
        <f t="shared" ref="H300:H334" si="17">+F300</f>
        <v>2490</v>
      </c>
      <c r="I300" s="143">
        <f t="shared" si="15"/>
        <v>0</v>
      </c>
    </row>
    <row r="301" spans="2:9" x14ac:dyDescent="0.25">
      <c r="B301" s="107">
        <v>7000329</v>
      </c>
      <c r="C301" s="106" t="s">
        <v>3365</v>
      </c>
      <c r="D301" s="106" t="s">
        <v>1203</v>
      </c>
      <c r="E301" s="94" t="s">
        <v>1240</v>
      </c>
      <c r="F301" s="104">
        <v>2990</v>
      </c>
      <c r="G301" s="104">
        <f t="shared" si="16"/>
        <v>124.58333333333333</v>
      </c>
      <c r="H301" s="105">
        <f t="shared" si="17"/>
        <v>2990</v>
      </c>
      <c r="I301" s="143">
        <f t="shared" si="15"/>
        <v>0</v>
      </c>
    </row>
    <row r="302" spans="2:9" x14ac:dyDescent="0.25">
      <c r="B302" s="107">
        <v>7000330</v>
      </c>
      <c r="C302" s="106" t="s">
        <v>3366</v>
      </c>
      <c r="D302" s="106" t="s">
        <v>1203</v>
      </c>
      <c r="E302" s="94" t="s">
        <v>1240</v>
      </c>
      <c r="F302" s="104">
        <v>2990</v>
      </c>
      <c r="G302" s="104">
        <f t="shared" si="16"/>
        <v>124.58333333333333</v>
      </c>
      <c r="H302" s="105">
        <f t="shared" si="17"/>
        <v>2990</v>
      </c>
      <c r="I302" s="143">
        <f t="shared" si="15"/>
        <v>0</v>
      </c>
    </row>
    <row r="303" spans="2:9" x14ac:dyDescent="0.25">
      <c r="B303" s="107">
        <v>7000331</v>
      </c>
      <c r="C303" s="106" t="s">
        <v>3367</v>
      </c>
      <c r="D303" s="106" t="s">
        <v>1203</v>
      </c>
      <c r="E303" s="94" t="s">
        <v>1240</v>
      </c>
      <c r="F303" s="104">
        <v>2490</v>
      </c>
      <c r="G303" s="104">
        <f t="shared" si="16"/>
        <v>103.75</v>
      </c>
      <c r="H303" s="105">
        <f t="shared" si="17"/>
        <v>2490</v>
      </c>
      <c r="I303" s="143">
        <f t="shared" si="15"/>
        <v>0</v>
      </c>
    </row>
    <row r="304" spans="2:9" x14ac:dyDescent="0.25">
      <c r="B304" s="107">
        <v>7000401</v>
      </c>
      <c r="C304" s="106" t="s">
        <v>3368</v>
      </c>
      <c r="D304" s="106" t="s">
        <v>1166</v>
      </c>
      <c r="E304" s="94" t="s">
        <v>1240</v>
      </c>
      <c r="F304" s="104">
        <v>2990</v>
      </c>
      <c r="G304" s="104">
        <f t="shared" si="16"/>
        <v>124.58333333333333</v>
      </c>
      <c r="H304" s="105">
        <f t="shared" si="17"/>
        <v>2990</v>
      </c>
      <c r="I304" s="143">
        <f t="shared" si="15"/>
        <v>0</v>
      </c>
    </row>
    <row r="305" spans="2:9" x14ac:dyDescent="0.25">
      <c r="B305" s="107">
        <v>7000419</v>
      </c>
      <c r="C305" s="106" t="s">
        <v>3369</v>
      </c>
      <c r="D305" s="106" t="s">
        <v>904</v>
      </c>
      <c r="E305" s="94" t="s">
        <v>1007</v>
      </c>
      <c r="F305" s="104">
        <v>20990</v>
      </c>
      <c r="G305" s="104">
        <f t="shared" si="16"/>
        <v>874.58333333333337</v>
      </c>
      <c r="H305" s="105">
        <f t="shared" si="17"/>
        <v>20990</v>
      </c>
      <c r="I305" s="143">
        <f t="shared" si="15"/>
        <v>0</v>
      </c>
    </row>
    <row r="306" spans="2:9" x14ac:dyDescent="0.25">
      <c r="B306" s="107">
        <v>7000690</v>
      </c>
      <c r="C306" s="106" t="s">
        <v>3370</v>
      </c>
      <c r="D306" s="106" t="s">
        <v>904</v>
      </c>
      <c r="E306" s="94" t="s">
        <v>1203</v>
      </c>
      <c r="F306" s="104">
        <v>16990</v>
      </c>
      <c r="G306" s="104">
        <f t="shared" si="16"/>
        <v>707.91666666666663</v>
      </c>
      <c r="H306" s="105">
        <f t="shared" si="17"/>
        <v>16990</v>
      </c>
      <c r="I306" s="143">
        <f t="shared" si="15"/>
        <v>0</v>
      </c>
    </row>
    <row r="307" spans="2:9" x14ac:dyDescent="0.25">
      <c r="B307" s="107">
        <v>7000713</v>
      </c>
      <c r="C307" s="106" t="s">
        <v>3371</v>
      </c>
      <c r="D307" s="106" t="s">
        <v>904</v>
      </c>
      <c r="E307" s="94" t="s">
        <v>1007</v>
      </c>
      <c r="F307" s="104">
        <v>15990</v>
      </c>
      <c r="G307" s="104">
        <f t="shared" si="16"/>
        <v>666.25</v>
      </c>
      <c r="H307" s="105">
        <f t="shared" si="17"/>
        <v>15990</v>
      </c>
      <c r="I307" s="143">
        <f t="shared" si="15"/>
        <v>0</v>
      </c>
    </row>
    <row r="308" spans="2:9" x14ac:dyDescent="0.25">
      <c r="B308" s="107">
        <v>7000916</v>
      </c>
      <c r="C308" s="106" t="s">
        <v>3372</v>
      </c>
      <c r="D308" s="106" t="s">
        <v>1063</v>
      </c>
      <c r="E308" s="94" t="s">
        <v>1203</v>
      </c>
      <c r="F308" s="104">
        <v>4490</v>
      </c>
      <c r="G308" s="104">
        <f t="shared" si="16"/>
        <v>187.08333333333334</v>
      </c>
      <c r="H308" s="105">
        <f t="shared" si="17"/>
        <v>4490</v>
      </c>
      <c r="I308" s="143">
        <f t="shared" si="15"/>
        <v>0</v>
      </c>
    </row>
    <row r="309" spans="2:9" x14ac:dyDescent="0.25">
      <c r="B309" s="107">
        <v>7000930</v>
      </c>
      <c r="C309" s="106" t="s">
        <v>3373</v>
      </c>
      <c r="D309" s="106" t="s">
        <v>904</v>
      </c>
      <c r="E309" s="94" t="s">
        <v>1203</v>
      </c>
      <c r="F309" s="104">
        <v>16990</v>
      </c>
      <c r="G309" s="104">
        <f t="shared" si="16"/>
        <v>707.91666666666663</v>
      </c>
      <c r="H309" s="105">
        <f t="shared" si="17"/>
        <v>16990</v>
      </c>
      <c r="I309" s="143">
        <f t="shared" si="15"/>
        <v>0</v>
      </c>
    </row>
    <row r="310" spans="2:9" x14ac:dyDescent="0.25">
      <c r="B310" s="107">
        <v>7000998</v>
      </c>
      <c r="C310" s="106" t="s">
        <v>3374</v>
      </c>
      <c r="D310" s="106" t="s">
        <v>904</v>
      </c>
      <c r="E310" s="94" t="s">
        <v>1018</v>
      </c>
      <c r="F310" s="104">
        <v>990</v>
      </c>
      <c r="G310" s="104">
        <f t="shared" si="16"/>
        <v>41.25</v>
      </c>
      <c r="H310" s="105">
        <f t="shared" si="17"/>
        <v>990</v>
      </c>
      <c r="I310" s="143">
        <f t="shared" si="15"/>
        <v>0</v>
      </c>
    </row>
    <row r="311" spans="2:9" x14ac:dyDescent="0.25">
      <c r="B311" s="107">
        <v>7001083</v>
      </c>
      <c r="C311" s="106" t="s">
        <v>3375</v>
      </c>
      <c r="D311" s="106" t="s">
        <v>1166</v>
      </c>
      <c r="E311" s="94" t="s">
        <v>1018</v>
      </c>
      <c r="F311" s="104">
        <v>2990</v>
      </c>
      <c r="G311" s="104">
        <f t="shared" si="16"/>
        <v>124.58333333333333</v>
      </c>
      <c r="H311" s="105">
        <f t="shared" si="17"/>
        <v>2990</v>
      </c>
      <c r="I311" s="143">
        <f t="shared" si="15"/>
        <v>0</v>
      </c>
    </row>
    <row r="312" spans="2:9" x14ac:dyDescent="0.25">
      <c r="B312" s="107">
        <v>7001085</v>
      </c>
      <c r="C312" s="106" t="s">
        <v>3376</v>
      </c>
      <c r="D312" s="106" t="s">
        <v>1166</v>
      </c>
      <c r="E312" s="94" t="s">
        <v>1203</v>
      </c>
      <c r="F312" s="104">
        <v>990</v>
      </c>
      <c r="G312" s="104">
        <f t="shared" si="16"/>
        <v>41.25</v>
      </c>
      <c r="H312" s="105">
        <f t="shared" si="17"/>
        <v>990</v>
      </c>
      <c r="I312" s="143">
        <f t="shared" si="15"/>
        <v>0</v>
      </c>
    </row>
    <row r="313" spans="2:9" x14ac:dyDescent="0.25">
      <c r="B313" s="107">
        <v>7001095</v>
      </c>
      <c r="C313" s="106" t="s">
        <v>3377</v>
      </c>
      <c r="D313" s="106" t="s">
        <v>904</v>
      </c>
      <c r="E313" s="94" t="s">
        <v>1203</v>
      </c>
      <c r="F313" s="104">
        <v>12990</v>
      </c>
      <c r="G313" s="104">
        <f t="shared" si="16"/>
        <v>541.25</v>
      </c>
      <c r="H313" s="105">
        <f t="shared" si="17"/>
        <v>12990</v>
      </c>
      <c r="I313" s="143">
        <f t="shared" si="15"/>
        <v>0</v>
      </c>
    </row>
    <row r="314" spans="2:9" x14ac:dyDescent="0.25">
      <c r="B314" s="107">
        <v>7001187</v>
      </c>
      <c r="C314" s="106" t="s">
        <v>3378</v>
      </c>
      <c r="D314" s="106" t="s">
        <v>46</v>
      </c>
      <c r="E314" s="94" t="s">
        <v>1203</v>
      </c>
      <c r="F314" s="104">
        <v>18990</v>
      </c>
      <c r="G314" s="104">
        <f t="shared" si="16"/>
        <v>791.25</v>
      </c>
      <c r="H314" s="105">
        <f t="shared" si="17"/>
        <v>18990</v>
      </c>
      <c r="I314" s="143">
        <f t="shared" si="15"/>
        <v>0</v>
      </c>
    </row>
    <row r="315" spans="2:9" x14ac:dyDescent="0.25">
      <c r="B315" s="107">
        <v>7002675</v>
      </c>
      <c r="C315" s="106" t="s">
        <v>3379</v>
      </c>
      <c r="D315" s="106" t="s">
        <v>1166</v>
      </c>
      <c r="E315" s="94" t="s">
        <v>1018</v>
      </c>
      <c r="F315" s="104">
        <v>2990</v>
      </c>
      <c r="G315" s="104">
        <f t="shared" si="16"/>
        <v>124.58333333333333</v>
      </c>
      <c r="H315" s="105">
        <f t="shared" si="17"/>
        <v>2990</v>
      </c>
      <c r="I315" s="143">
        <f t="shared" si="15"/>
        <v>0</v>
      </c>
    </row>
    <row r="316" spans="2:9" x14ac:dyDescent="0.25">
      <c r="B316" s="107">
        <v>7003257</v>
      </c>
      <c r="C316" s="106" t="s">
        <v>3380</v>
      </c>
      <c r="D316" s="106" t="s">
        <v>1203</v>
      </c>
      <c r="E316" s="94" t="s">
        <v>1203</v>
      </c>
      <c r="F316" s="104">
        <v>990</v>
      </c>
      <c r="G316" s="104">
        <f t="shared" si="16"/>
        <v>41.25</v>
      </c>
      <c r="H316" s="105">
        <f t="shared" si="17"/>
        <v>990</v>
      </c>
      <c r="I316" s="143">
        <f t="shared" si="15"/>
        <v>0</v>
      </c>
    </row>
    <row r="317" spans="2:9" x14ac:dyDescent="0.25">
      <c r="B317" s="107">
        <v>7003259</v>
      </c>
      <c r="C317" s="106" t="s">
        <v>3381</v>
      </c>
      <c r="D317" s="106" t="s">
        <v>1203</v>
      </c>
      <c r="E317" s="94" t="s">
        <v>1203</v>
      </c>
      <c r="F317" s="104">
        <v>1490</v>
      </c>
      <c r="G317" s="104">
        <f t="shared" si="16"/>
        <v>62.083333333333336</v>
      </c>
      <c r="H317" s="105">
        <f t="shared" si="17"/>
        <v>1490</v>
      </c>
      <c r="I317" s="143">
        <f t="shared" si="15"/>
        <v>0</v>
      </c>
    </row>
    <row r="318" spans="2:9" x14ac:dyDescent="0.25">
      <c r="B318" s="107">
        <v>7003599</v>
      </c>
      <c r="C318" s="106" t="s">
        <v>3382</v>
      </c>
      <c r="D318" s="106" t="s">
        <v>1166</v>
      </c>
      <c r="E318" s="94" t="s">
        <v>1018</v>
      </c>
      <c r="F318" s="104">
        <v>3490</v>
      </c>
      <c r="G318" s="104">
        <f t="shared" si="16"/>
        <v>145.41666666666666</v>
      </c>
      <c r="H318" s="105">
        <f t="shared" si="17"/>
        <v>3490</v>
      </c>
      <c r="I318" s="143">
        <f t="shared" si="15"/>
        <v>0</v>
      </c>
    </row>
    <row r="319" spans="2:9" x14ac:dyDescent="0.25">
      <c r="B319" s="107">
        <v>7003683</v>
      </c>
      <c r="C319" s="106" t="s">
        <v>3383</v>
      </c>
      <c r="D319" s="106" t="s">
        <v>904</v>
      </c>
      <c r="E319" s="94" t="s">
        <v>1007</v>
      </c>
      <c r="F319" s="104">
        <v>64990</v>
      </c>
      <c r="G319" s="104">
        <f t="shared" si="16"/>
        <v>2707.9166666666665</v>
      </c>
      <c r="H319" s="105">
        <f t="shared" si="17"/>
        <v>64990</v>
      </c>
      <c r="I319" s="143">
        <f t="shared" si="15"/>
        <v>0</v>
      </c>
    </row>
    <row r="320" spans="2:9" x14ac:dyDescent="0.25">
      <c r="B320" s="107">
        <v>7003772</v>
      </c>
      <c r="C320" s="106" t="s">
        <v>3384</v>
      </c>
      <c r="D320" s="106" t="s">
        <v>1203</v>
      </c>
      <c r="E320" s="94" t="s">
        <v>1203</v>
      </c>
      <c r="F320" s="104">
        <v>2990</v>
      </c>
      <c r="G320" s="104">
        <f t="shared" si="16"/>
        <v>124.58333333333333</v>
      </c>
      <c r="H320" s="105">
        <f t="shared" si="17"/>
        <v>2990</v>
      </c>
      <c r="I320" s="143">
        <f t="shared" si="15"/>
        <v>0</v>
      </c>
    </row>
    <row r="321" spans="2:9" x14ac:dyDescent="0.25">
      <c r="B321" s="107">
        <v>7003882</v>
      </c>
      <c r="C321" s="106" t="s">
        <v>3385</v>
      </c>
      <c r="D321" s="106" t="s">
        <v>3386</v>
      </c>
      <c r="E321" s="94" t="s">
        <v>1171</v>
      </c>
      <c r="F321" s="104">
        <v>4490</v>
      </c>
      <c r="G321" s="104">
        <f t="shared" si="16"/>
        <v>187.08333333333334</v>
      </c>
      <c r="H321" s="105">
        <f t="shared" si="17"/>
        <v>4490</v>
      </c>
      <c r="I321" s="143">
        <f t="shared" si="15"/>
        <v>0</v>
      </c>
    </row>
    <row r="322" spans="2:9" x14ac:dyDescent="0.25">
      <c r="B322" s="107">
        <v>7003884</v>
      </c>
      <c r="C322" s="106" t="s">
        <v>3387</v>
      </c>
      <c r="D322" s="106" t="s">
        <v>1215</v>
      </c>
      <c r="E322" s="94" t="s">
        <v>1203</v>
      </c>
      <c r="F322" s="104">
        <v>17990</v>
      </c>
      <c r="G322" s="104">
        <f t="shared" si="16"/>
        <v>749.58333333333337</v>
      </c>
      <c r="H322" s="105">
        <f t="shared" si="17"/>
        <v>17990</v>
      </c>
      <c r="I322" s="143">
        <f t="shared" si="15"/>
        <v>0</v>
      </c>
    </row>
    <row r="323" spans="2:9" x14ac:dyDescent="0.25">
      <c r="B323" s="107">
        <v>7003885</v>
      </c>
      <c r="C323" s="106" t="s">
        <v>3388</v>
      </c>
      <c r="D323" s="106" t="s">
        <v>1215</v>
      </c>
      <c r="E323" s="94" t="s">
        <v>1203</v>
      </c>
      <c r="F323" s="104">
        <v>17990</v>
      </c>
      <c r="G323" s="104">
        <f t="shared" si="16"/>
        <v>749.58333333333337</v>
      </c>
      <c r="H323" s="105">
        <f t="shared" si="17"/>
        <v>17990</v>
      </c>
      <c r="I323" s="143">
        <f t="shared" si="15"/>
        <v>0</v>
      </c>
    </row>
    <row r="324" spans="2:9" x14ac:dyDescent="0.25">
      <c r="B324" s="107">
        <v>7004167</v>
      </c>
      <c r="C324" s="106" t="s">
        <v>3389</v>
      </c>
      <c r="D324" s="106" t="s">
        <v>87</v>
      </c>
      <c r="E324" s="94" t="s">
        <v>1030</v>
      </c>
      <c r="F324" s="104">
        <v>99990</v>
      </c>
      <c r="G324" s="104">
        <f t="shared" si="16"/>
        <v>4166.25</v>
      </c>
      <c r="H324" s="105">
        <f t="shared" si="17"/>
        <v>99990</v>
      </c>
      <c r="I324" s="143">
        <f t="shared" si="15"/>
        <v>0</v>
      </c>
    </row>
    <row r="325" spans="2:9" x14ac:dyDescent="0.25">
      <c r="B325" s="107">
        <v>7004526</v>
      </c>
      <c r="C325" s="106" t="s">
        <v>3390</v>
      </c>
      <c r="D325" s="106" t="s">
        <v>1174</v>
      </c>
      <c r="E325" s="94" t="s">
        <v>1171</v>
      </c>
      <c r="F325" s="104">
        <v>239990</v>
      </c>
      <c r="G325" s="104">
        <f t="shared" si="16"/>
        <v>9999.5833333333339</v>
      </c>
      <c r="H325" s="105">
        <f t="shared" si="17"/>
        <v>239990</v>
      </c>
      <c r="I325" s="143">
        <f t="shared" si="15"/>
        <v>0</v>
      </c>
    </row>
    <row r="326" spans="2:9" x14ac:dyDescent="0.25">
      <c r="B326" s="107">
        <v>7004594</v>
      </c>
      <c r="C326" s="106" t="s">
        <v>3392</v>
      </c>
      <c r="D326" s="106" t="s">
        <v>1079</v>
      </c>
      <c r="E326" s="94" t="s">
        <v>1007</v>
      </c>
      <c r="F326" s="104">
        <v>990</v>
      </c>
      <c r="G326" s="104">
        <f t="shared" si="16"/>
        <v>41.25</v>
      </c>
      <c r="H326" s="105">
        <f t="shared" si="17"/>
        <v>990</v>
      </c>
      <c r="I326" s="143">
        <f t="shared" si="15"/>
        <v>0</v>
      </c>
    </row>
    <row r="327" spans="2:9" x14ac:dyDescent="0.25">
      <c r="B327" s="107">
        <v>7004618</v>
      </c>
      <c r="C327" s="106" t="s">
        <v>3393</v>
      </c>
      <c r="D327" s="106" t="s">
        <v>1079</v>
      </c>
      <c r="E327" s="94" t="s">
        <v>1007</v>
      </c>
      <c r="F327" s="104">
        <v>22990</v>
      </c>
      <c r="G327" s="104">
        <f t="shared" si="16"/>
        <v>957.91666666666663</v>
      </c>
      <c r="H327" s="105">
        <f t="shared" si="17"/>
        <v>22990</v>
      </c>
      <c r="I327" s="143">
        <f t="shared" si="15"/>
        <v>0</v>
      </c>
    </row>
    <row r="328" spans="2:9" x14ac:dyDescent="0.25">
      <c r="B328" s="107">
        <v>7004619</v>
      </c>
      <c r="C328" s="106" t="s">
        <v>3394</v>
      </c>
      <c r="D328" s="106" t="s">
        <v>1079</v>
      </c>
      <c r="E328" s="94" t="s">
        <v>1007</v>
      </c>
      <c r="F328" s="104">
        <v>22990</v>
      </c>
      <c r="G328" s="104">
        <f t="shared" si="16"/>
        <v>957.91666666666663</v>
      </c>
      <c r="H328" s="105">
        <f t="shared" si="17"/>
        <v>22990</v>
      </c>
      <c r="I328" s="143">
        <f t="shared" si="15"/>
        <v>0</v>
      </c>
    </row>
    <row r="329" spans="2:9" x14ac:dyDescent="0.25">
      <c r="B329" s="107">
        <v>7004724</v>
      </c>
      <c r="C329" s="106" t="s">
        <v>3395</v>
      </c>
      <c r="D329" s="106" t="s">
        <v>1174</v>
      </c>
      <c r="E329" s="94" t="s">
        <v>1171</v>
      </c>
      <c r="F329" s="104">
        <v>239990</v>
      </c>
      <c r="G329" s="104">
        <f t="shared" si="16"/>
        <v>9999.5833333333339</v>
      </c>
      <c r="H329" s="105">
        <f t="shared" si="17"/>
        <v>239990</v>
      </c>
      <c r="I329" s="143">
        <f t="shared" si="15"/>
        <v>0</v>
      </c>
    </row>
    <row r="330" spans="2:9" x14ac:dyDescent="0.25">
      <c r="B330" s="107">
        <v>7004746</v>
      </c>
      <c r="C330" s="106" t="s">
        <v>3396</v>
      </c>
      <c r="D330" s="106" t="s">
        <v>41</v>
      </c>
      <c r="E330" s="94" t="s">
        <v>1030</v>
      </c>
      <c r="F330" s="104">
        <v>42990</v>
      </c>
      <c r="G330" s="104">
        <f t="shared" si="16"/>
        <v>1791.25</v>
      </c>
      <c r="H330" s="105">
        <f t="shared" si="17"/>
        <v>42990</v>
      </c>
      <c r="I330" s="143">
        <f t="shared" si="15"/>
        <v>0</v>
      </c>
    </row>
    <row r="331" spans="2:9" x14ac:dyDescent="0.25">
      <c r="B331" s="107">
        <v>7005382</v>
      </c>
      <c r="C331" s="106" t="s">
        <v>3397</v>
      </c>
      <c r="D331" s="106" t="s">
        <v>3398</v>
      </c>
      <c r="E331" s="94" t="s">
        <v>1203</v>
      </c>
      <c r="F331" s="104">
        <v>490</v>
      </c>
      <c r="G331" s="104">
        <f t="shared" si="16"/>
        <v>20.416666666666668</v>
      </c>
      <c r="H331" s="105">
        <f t="shared" si="17"/>
        <v>490</v>
      </c>
      <c r="I331" s="143">
        <f t="shared" si="15"/>
        <v>0</v>
      </c>
    </row>
    <row r="332" spans="2:9" x14ac:dyDescent="0.25">
      <c r="B332" s="107">
        <v>7005571</v>
      </c>
      <c r="C332" s="106" t="s">
        <v>3399</v>
      </c>
      <c r="D332" s="106" t="s">
        <v>46</v>
      </c>
      <c r="E332" s="94" t="s">
        <v>1018</v>
      </c>
      <c r="F332" s="104">
        <v>8990</v>
      </c>
      <c r="G332" s="104">
        <f t="shared" si="16"/>
        <v>374.58333333333331</v>
      </c>
      <c r="H332" s="105">
        <f t="shared" si="17"/>
        <v>8990</v>
      </c>
      <c r="I332" s="143">
        <f t="shared" si="15"/>
        <v>0</v>
      </c>
    </row>
    <row r="333" spans="2:9" x14ac:dyDescent="0.25">
      <c r="B333" s="107">
        <v>70002670</v>
      </c>
      <c r="C333" s="106" t="s">
        <v>3400</v>
      </c>
      <c r="D333" s="106" t="s">
        <v>904</v>
      </c>
      <c r="E333" s="94" t="s">
        <v>1203</v>
      </c>
      <c r="F333" s="104">
        <v>52990</v>
      </c>
      <c r="G333" s="104">
        <f t="shared" si="16"/>
        <v>2207.9166666666665</v>
      </c>
      <c r="H333" s="105">
        <f t="shared" si="17"/>
        <v>52990</v>
      </c>
      <c r="I333" s="143">
        <f t="shared" si="15"/>
        <v>0</v>
      </c>
    </row>
    <row r="334" spans="2:9" x14ac:dyDescent="0.25">
      <c r="B334" s="107">
        <v>70009100</v>
      </c>
      <c r="C334" s="106" t="s">
        <v>3401</v>
      </c>
      <c r="D334" s="106" t="s">
        <v>1189</v>
      </c>
      <c r="E334" s="94" t="s">
        <v>1203</v>
      </c>
      <c r="F334" s="104">
        <v>60990</v>
      </c>
      <c r="G334" s="104">
        <f t="shared" si="16"/>
        <v>2541.25</v>
      </c>
      <c r="H334" s="105">
        <f t="shared" si="17"/>
        <v>60990</v>
      </c>
      <c r="I334" s="143">
        <f t="shared" si="15"/>
        <v>0</v>
      </c>
    </row>
    <row r="335" spans="2:9" x14ac:dyDescent="0.25">
      <c r="B335" s="108">
        <v>7004723</v>
      </c>
      <c r="C335" s="106" t="s">
        <v>1176</v>
      </c>
      <c r="D335" s="94" t="s">
        <v>1174</v>
      </c>
      <c r="E335" s="94" t="s">
        <v>1171</v>
      </c>
      <c r="F335" s="104">
        <v>239990</v>
      </c>
      <c r="G335" s="104">
        <f t="shared" si="16"/>
        <v>9999.5833333333339</v>
      </c>
      <c r="H335" s="105">
        <v>249990</v>
      </c>
      <c r="I335" s="143">
        <f t="shared" si="15"/>
        <v>4.0001600064002552E-2</v>
      </c>
    </row>
    <row r="336" spans="2:9" x14ac:dyDescent="0.25">
      <c r="B336" s="103">
        <v>7004745</v>
      </c>
      <c r="C336" s="106" t="s">
        <v>1291</v>
      </c>
      <c r="D336" s="94" t="s">
        <v>41</v>
      </c>
      <c r="E336" s="94" t="s">
        <v>1030</v>
      </c>
      <c r="F336" s="104">
        <v>42990</v>
      </c>
      <c r="G336" s="104">
        <f t="shared" si="16"/>
        <v>1791.25</v>
      </c>
      <c r="H336" s="105">
        <v>49990</v>
      </c>
      <c r="I336" s="143">
        <f t="shared" si="15"/>
        <v>0.14002800560112028</v>
      </c>
    </row>
    <row r="337" spans="2:9" x14ac:dyDescent="0.25">
      <c r="B337" s="107">
        <v>7003943</v>
      </c>
      <c r="C337" s="106" t="s">
        <v>1067</v>
      </c>
      <c r="D337" s="106" t="s">
        <v>63</v>
      </c>
      <c r="E337" s="94" t="s">
        <v>1007</v>
      </c>
      <c r="F337" s="104">
        <v>499990</v>
      </c>
      <c r="G337" s="104">
        <f t="shared" si="16"/>
        <v>20832.916666666668</v>
      </c>
      <c r="H337" s="105">
        <v>599990</v>
      </c>
      <c r="I337" s="143">
        <f t="shared" si="15"/>
        <v>0.1666694444907415</v>
      </c>
    </row>
    <row r="338" spans="2:9" x14ac:dyDescent="0.25">
      <c r="B338" s="111">
        <v>7004220</v>
      </c>
      <c r="C338" s="106" t="s">
        <v>1069</v>
      </c>
      <c r="D338" s="106" t="s">
        <v>63</v>
      </c>
      <c r="E338" s="94" t="s">
        <v>1007</v>
      </c>
      <c r="F338" s="104">
        <v>130990</v>
      </c>
      <c r="G338" s="104">
        <f t="shared" si="16"/>
        <v>5457.916666666667</v>
      </c>
      <c r="H338" s="105">
        <v>179990</v>
      </c>
      <c r="I338" s="143">
        <f t="shared" si="15"/>
        <v>0.27223734651925102</v>
      </c>
    </row>
    <row r="339" spans="2:9" x14ac:dyDescent="0.25">
      <c r="B339" s="111">
        <v>7003924</v>
      </c>
      <c r="C339" s="106" t="s">
        <v>1329</v>
      </c>
      <c r="D339" s="106" t="s">
        <v>87</v>
      </c>
      <c r="E339" s="94" t="s">
        <v>1030</v>
      </c>
      <c r="F339" s="104">
        <v>99990</v>
      </c>
      <c r="G339" s="104">
        <f t="shared" si="16"/>
        <v>4166.25</v>
      </c>
      <c r="H339" s="105">
        <v>129990</v>
      </c>
      <c r="I339" s="143">
        <f t="shared" si="15"/>
        <v>0.2307869836141242</v>
      </c>
    </row>
    <row r="340" spans="2:9" x14ac:dyDescent="0.25">
      <c r="B340" s="107">
        <v>7003684</v>
      </c>
      <c r="C340" s="106" t="s">
        <v>1075</v>
      </c>
      <c r="D340" s="106" t="s">
        <v>904</v>
      </c>
      <c r="E340" s="94" t="s">
        <v>1007</v>
      </c>
      <c r="F340" s="104">
        <v>64990</v>
      </c>
      <c r="G340" s="104">
        <f t="shared" si="16"/>
        <v>2707.9166666666665</v>
      </c>
      <c r="H340" s="105">
        <v>79990</v>
      </c>
      <c r="I340" s="143">
        <f t="shared" si="15"/>
        <v>0.18752344043005376</v>
      </c>
    </row>
    <row r="341" spans="2:9" x14ac:dyDescent="0.25">
      <c r="B341" s="107">
        <v>7000928</v>
      </c>
      <c r="C341" s="106" t="s">
        <v>1163</v>
      </c>
      <c r="D341" s="106" t="s">
        <v>904</v>
      </c>
      <c r="E341" s="94" t="s">
        <v>1018</v>
      </c>
      <c r="F341" s="104">
        <v>6490</v>
      </c>
      <c r="G341" s="104">
        <f t="shared" si="16"/>
        <v>270.41666666666669</v>
      </c>
      <c r="H341" s="105">
        <v>9990</v>
      </c>
      <c r="I341" s="143">
        <f t="shared" si="15"/>
        <v>0.35035035035035034</v>
      </c>
    </row>
    <row r="342" spans="2:9" x14ac:dyDescent="0.25">
      <c r="B342" s="112">
        <v>7000555</v>
      </c>
      <c r="C342" s="106" t="s">
        <v>1205</v>
      </c>
      <c r="D342" s="106" t="s">
        <v>904</v>
      </c>
      <c r="E342" s="94" t="s">
        <v>1203</v>
      </c>
      <c r="F342" s="104">
        <v>12990</v>
      </c>
      <c r="G342" s="104">
        <f t="shared" si="16"/>
        <v>541.25</v>
      </c>
      <c r="H342" s="105">
        <v>19990</v>
      </c>
      <c r="I342" s="143">
        <f t="shared" si="15"/>
        <v>0.35017508754377191</v>
      </c>
    </row>
    <row r="343" spans="2:9" x14ac:dyDescent="0.25">
      <c r="B343" s="108">
        <v>7004342</v>
      </c>
      <c r="C343" s="106" t="s">
        <v>1237</v>
      </c>
      <c r="D343" s="94" t="s">
        <v>87</v>
      </c>
      <c r="E343" s="94" t="s">
        <v>1218</v>
      </c>
      <c r="F343" s="104">
        <v>19990</v>
      </c>
      <c r="G343" s="104">
        <f t="shared" si="16"/>
        <v>832.91666666666663</v>
      </c>
      <c r="H343" s="105">
        <v>24990</v>
      </c>
      <c r="I343" s="143">
        <f t="shared" si="15"/>
        <v>0.20008003201280511</v>
      </c>
    </row>
    <row r="344" spans="2:9" x14ac:dyDescent="0.25">
      <c r="B344" s="103">
        <v>7004317</v>
      </c>
      <c r="C344" s="106" t="s">
        <v>1236</v>
      </c>
      <c r="D344" s="94" t="s">
        <v>87</v>
      </c>
      <c r="E344" s="94" t="s">
        <v>1218</v>
      </c>
      <c r="F344" s="104">
        <v>39990</v>
      </c>
      <c r="G344" s="104">
        <f t="shared" si="16"/>
        <v>1666.25</v>
      </c>
      <c r="H344" s="105">
        <v>49990</v>
      </c>
      <c r="I344" s="143">
        <f t="shared" si="15"/>
        <v>0.20004000800160027</v>
      </c>
    </row>
    <row r="345" spans="2:9" x14ac:dyDescent="0.25">
      <c r="B345" s="108">
        <v>7004239</v>
      </c>
      <c r="C345" s="106" t="s">
        <v>1305</v>
      </c>
      <c r="D345" s="106" t="s">
        <v>904</v>
      </c>
      <c r="E345" s="94" t="s">
        <v>1030</v>
      </c>
      <c r="F345" s="104">
        <v>99990</v>
      </c>
      <c r="G345" s="104">
        <f t="shared" si="16"/>
        <v>4166.25</v>
      </c>
      <c r="H345" s="105">
        <v>169990</v>
      </c>
      <c r="I345" s="143">
        <f t="shared" si="15"/>
        <v>0.41178892876051532</v>
      </c>
    </row>
    <row r="346" spans="2:9" x14ac:dyDescent="0.25">
      <c r="B346" s="103">
        <v>7006862</v>
      </c>
      <c r="C346" s="94" t="s">
        <v>2881</v>
      </c>
      <c r="D346" s="94" t="s">
        <v>87</v>
      </c>
      <c r="E346" s="94" t="s">
        <v>1007</v>
      </c>
      <c r="F346" s="104">
        <v>4490</v>
      </c>
      <c r="G346" s="104">
        <f t="shared" si="16"/>
        <v>187.08333333333334</v>
      </c>
      <c r="H346" s="105">
        <v>5990</v>
      </c>
      <c r="I346" s="143">
        <f t="shared" si="15"/>
        <v>0.25041736227045075</v>
      </c>
    </row>
    <row r="347" spans="2:9" x14ac:dyDescent="0.25">
      <c r="B347" s="103">
        <v>7004653</v>
      </c>
      <c r="C347" s="106" t="s">
        <v>1181</v>
      </c>
      <c r="D347" s="94" t="s">
        <v>1178</v>
      </c>
      <c r="E347" s="94" t="s">
        <v>1171</v>
      </c>
      <c r="F347" s="104">
        <v>109990</v>
      </c>
      <c r="G347" s="104">
        <f t="shared" si="16"/>
        <v>4582.916666666667</v>
      </c>
      <c r="H347" s="105">
        <v>113990</v>
      </c>
      <c r="I347" s="143">
        <f t="shared" si="15"/>
        <v>3.5090797438371735E-2</v>
      </c>
    </row>
    <row r="348" spans="2:9" x14ac:dyDescent="0.25">
      <c r="B348" s="111">
        <v>7004161</v>
      </c>
      <c r="C348" s="106" t="s">
        <v>1187</v>
      </c>
      <c r="D348" s="106" t="s">
        <v>1178</v>
      </c>
      <c r="E348" s="94" t="s">
        <v>1171</v>
      </c>
      <c r="F348" s="104">
        <v>109990</v>
      </c>
      <c r="G348" s="104">
        <f t="shared" si="16"/>
        <v>4582.916666666667</v>
      </c>
      <c r="H348" s="105">
        <v>119990</v>
      </c>
      <c r="I348" s="143">
        <f t="shared" si="15"/>
        <v>8.3340278356529685E-2</v>
      </c>
    </row>
    <row r="349" spans="2:9" x14ac:dyDescent="0.25">
      <c r="B349" s="111">
        <v>7003523</v>
      </c>
      <c r="C349" s="106" t="s">
        <v>1182</v>
      </c>
      <c r="D349" s="106" t="s">
        <v>1178</v>
      </c>
      <c r="E349" s="94" t="s">
        <v>1171</v>
      </c>
      <c r="F349" s="104">
        <v>78990</v>
      </c>
      <c r="G349" s="104">
        <f t="shared" si="16"/>
        <v>3291.25</v>
      </c>
      <c r="H349" s="105">
        <v>79990</v>
      </c>
      <c r="I349" s="143">
        <f t="shared" si="15"/>
        <v>1.2501562695336865E-2</v>
      </c>
    </row>
    <row r="350" spans="2:9" x14ac:dyDescent="0.25">
      <c r="B350" s="103">
        <v>7003366</v>
      </c>
      <c r="C350" s="94" t="s">
        <v>2925</v>
      </c>
      <c r="D350" s="94" t="s">
        <v>46</v>
      </c>
      <c r="E350" s="94" t="s">
        <v>1030</v>
      </c>
      <c r="F350" s="104">
        <v>40990</v>
      </c>
      <c r="G350" s="104">
        <f t="shared" si="16"/>
        <v>1707.9166666666667</v>
      </c>
      <c r="H350" s="105">
        <v>49990</v>
      </c>
      <c r="I350" s="143">
        <f t="shared" si="15"/>
        <v>0.18003600720144031</v>
      </c>
    </row>
    <row r="351" spans="2:9" x14ac:dyDescent="0.25">
      <c r="B351" s="103">
        <v>7004543</v>
      </c>
      <c r="C351" s="94" t="s">
        <v>2926</v>
      </c>
      <c r="D351" s="94" t="s">
        <v>46</v>
      </c>
      <c r="E351" s="94" t="s">
        <v>1030</v>
      </c>
      <c r="F351" s="104">
        <v>40990</v>
      </c>
      <c r="G351" s="104">
        <f t="shared" si="16"/>
        <v>1707.9166666666667</v>
      </c>
      <c r="H351" s="105">
        <v>49990</v>
      </c>
      <c r="I351" s="143">
        <f t="shared" ref="I351:I414" si="18">1-F351/H351</f>
        <v>0.18003600720144031</v>
      </c>
    </row>
    <row r="352" spans="2:9" x14ac:dyDescent="0.25">
      <c r="B352" s="111">
        <v>7003941</v>
      </c>
      <c r="C352" s="106" t="s">
        <v>1068</v>
      </c>
      <c r="D352" s="106" t="s">
        <v>63</v>
      </c>
      <c r="E352" s="94" t="s">
        <v>1007</v>
      </c>
      <c r="F352" s="104">
        <v>129990</v>
      </c>
      <c r="G352" s="104">
        <f t="shared" si="16"/>
        <v>5416.25</v>
      </c>
      <c r="H352" s="105">
        <v>179990</v>
      </c>
      <c r="I352" s="143">
        <f t="shared" si="18"/>
        <v>0.27779321073392971</v>
      </c>
    </row>
    <row r="353" spans="2:9" x14ac:dyDescent="0.25">
      <c r="B353" s="103">
        <v>7004823</v>
      </c>
      <c r="C353" s="106" t="s">
        <v>1169</v>
      </c>
      <c r="D353" s="94" t="s">
        <v>1170</v>
      </c>
      <c r="E353" s="94" t="s">
        <v>1171</v>
      </c>
      <c r="F353" s="104">
        <v>19990</v>
      </c>
      <c r="G353" s="104">
        <f t="shared" si="16"/>
        <v>832.91666666666663</v>
      </c>
      <c r="H353" s="105">
        <v>119990</v>
      </c>
      <c r="I353" s="143">
        <f t="shared" si="18"/>
        <v>0.83340278356529707</v>
      </c>
    </row>
    <row r="354" spans="2:9" x14ac:dyDescent="0.25">
      <c r="B354" s="103">
        <v>7005038</v>
      </c>
      <c r="C354" s="106" t="s">
        <v>1183</v>
      </c>
      <c r="D354" s="94" t="s">
        <v>1178</v>
      </c>
      <c r="E354" s="94" t="s">
        <v>1171</v>
      </c>
      <c r="F354" s="104">
        <v>489990</v>
      </c>
      <c r="G354" s="104">
        <f t="shared" si="16"/>
        <v>20416.25</v>
      </c>
      <c r="H354" s="105">
        <v>899990</v>
      </c>
      <c r="I354" s="143">
        <f t="shared" si="18"/>
        <v>0.45556061734019271</v>
      </c>
    </row>
    <row r="355" spans="2:9" x14ac:dyDescent="0.25">
      <c r="B355" s="103">
        <v>7005141</v>
      </c>
      <c r="C355" s="106" t="s">
        <v>1184</v>
      </c>
      <c r="D355" s="94" t="s">
        <v>1178</v>
      </c>
      <c r="E355" s="94" t="s">
        <v>1171</v>
      </c>
      <c r="F355" s="104">
        <v>489990</v>
      </c>
      <c r="G355" s="104">
        <f t="shared" si="16"/>
        <v>20416.25</v>
      </c>
      <c r="H355" s="105">
        <v>799990</v>
      </c>
      <c r="I355" s="143">
        <f t="shared" si="18"/>
        <v>0.38750484381054762</v>
      </c>
    </row>
    <row r="356" spans="2:9" x14ac:dyDescent="0.25">
      <c r="B356" s="107">
        <v>7004224</v>
      </c>
      <c r="C356" s="106" t="s">
        <v>2895</v>
      </c>
      <c r="D356" s="106" t="s">
        <v>87</v>
      </c>
      <c r="E356" s="94" t="s">
        <v>1007</v>
      </c>
      <c r="F356" s="104">
        <v>5990</v>
      </c>
      <c r="G356" s="104">
        <f t="shared" ref="G356:G419" si="19">F356/24</f>
        <v>249.58333333333334</v>
      </c>
      <c r="H356" s="105">
        <v>29990</v>
      </c>
      <c r="I356" s="143">
        <f t="shared" si="18"/>
        <v>0.800266755585195</v>
      </c>
    </row>
    <row r="357" spans="2:9" x14ac:dyDescent="0.25">
      <c r="B357" s="107">
        <v>7003621</v>
      </c>
      <c r="C357" s="106" t="s">
        <v>2901</v>
      </c>
      <c r="D357" s="106" t="s">
        <v>2902</v>
      </c>
      <c r="E357" s="94" t="s">
        <v>1171</v>
      </c>
      <c r="F357" s="104">
        <v>5990</v>
      </c>
      <c r="G357" s="104">
        <f t="shared" si="19"/>
        <v>249.58333333333334</v>
      </c>
      <c r="H357" s="105">
        <v>39990</v>
      </c>
      <c r="I357" s="143">
        <f t="shared" si="18"/>
        <v>0.85021255313828459</v>
      </c>
    </row>
    <row r="358" spans="2:9" x14ac:dyDescent="0.25">
      <c r="B358" s="111">
        <v>7003775</v>
      </c>
      <c r="C358" s="106" t="s">
        <v>1134</v>
      </c>
      <c r="D358" s="106" t="s">
        <v>1017</v>
      </c>
      <c r="E358" s="94" t="s">
        <v>1018</v>
      </c>
      <c r="F358" s="104">
        <v>12990</v>
      </c>
      <c r="G358" s="104">
        <f t="shared" si="19"/>
        <v>541.25</v>
      </c>
      <c r="H358" s="105">
        <v>24990</v>
      </c>
      <c r="I358" s="143">
        <f t="shared" si="18"/>
        <v>0.48019207683073228</v>
      </c>
    </row>
    <row r="359" spans="2:9" x14ac:dyDescent="0.25">
      <c r="B359" s="111">
        <v>7003026</v>
      </c>
      <c r="C359" s="106" t="s">
        <v>1139</v>
      </c>
      <c r="D359" s="106" t="s">
        <v>1137</v>
      </c>
      <c r="E359" s="94" t="s">
        <v>1018</v>
      </c>
      <c r="F359" s="104">
        <v>990</v>
      </c>
      <c r="G359" s="104">
        <f t="shared" si="19"/>
        <v>41.25</v>
      </c>
      <c r="H359" s="105">
        <v>12990</v>
      </c>
      <c r="I359" s="143">
        <f t="shared" si="18"/>
        <v>0.92378752886836024</v>
      </c>
    </row>
    <row r="360" spans="2:9" x14ac:dyDescent="0.25">
      <c r="B360" s="111">
        <v>7002780</v>
      </c>
      <c r="C360" s="106" t="s">
        <v>1304</v>
      </c>
      <c r="D360" s="106" t="s">
        <v>904</v>
      </c>
      <c r="E360" s="94" t="s">
        <v>1030</v>
      </c>
      <c r="F360" s="104">
        <v>39990</v>
      </c>
      <c r="G360" s="104">
        <f t="shared" si="19"/>
        <v>1666.25</v>
      </c>
      <c r="H360" s="105">
        <v>179990</v>
      </c>
      <c r="I360" s="143">
        <f t="shared" si="18"/>
        <v>0.77782099005500305</v>
      </c>
    </row>
    <row r="361" spans="2:9" x14ac:dyDescent="0.25">
      <c r="B361" s="111">
        <v>7003069</v>
      </c>
      <c r="C361" s="106" t="s">
        <v>1227</v>
      </c>
      <c r="D361" s="106" t="s">
        <v>1083</v>
      </c>
      <c r="E361" s="94" t="s">
        <v>1218</v>
      </c>
      <c r="F361" s="104">
        <v>29990</v>
      </c>
      <c r="G361" s="104">
        <f t="shared" si="19"/>
        <v>1249.5833333333333</v>
      </c>
      <c r="H361" s="105">
        <v>169990</v>
      </c>
      <c r="I361" s="143">
        <f t="shared" si="18"/>
        <v>0.82357785752103063</v>
      </c>
    </row>
    <row r="362" spans="2:9" x14ac:dyDescent="0.25">
      <c r="B362" s="103">
        <v>7006747</v>
      </c>
      <c r="C362" s="94" t="s">
        <v>2880</v>
      </c>
      <c r="D362" s="94" t="s">
        <v>87</v>
      </c>
      <c r="E362" s="94" t="s">
        <v>1007</v>
      </c>
      <c r="F362" s="104">
        <v>79990</v>
      </c>
      <c r="G362" s="104">
        <f t="shared" si="19"/>
        <v>3332.9166666666665</v>
      </c>
      <c r="H362" s="105">
        <v>79990</v>
      </c>
      <c r="I362" s="143">
        <f t="shared" si="18"/>
        <v>0</v>
      </c>
    </row>
    <row r="363" spans="2:9" x14ac:dyDescent="0.25">
      <c r="B363" s="103">
        <v>7005326</v>
      </c>
      <c r="C363" s="106" t="s">
        <v>1127</v>
      </c>
      <c r="D363" s="94" t="s">
        <v>1128</v>
      </c>
      <c r="E363" s="94" t="s">
        <v>1018</v>
      </c>
      <c r="F363" s="104">
        <v>6990</v>
      </c>
      <c r="G363" s="104">
        <f t="shared" si="19"/>
        <v>291.25</v>
      </c>
      <c r="H363" s="105">
        <v>12990</v>
      </c>
      <c r="I363" s="143">
        <f t="shared" si="18"/>
        <v>0.46189376443418018</v>
      </c>
    </row>
    <row r="364" spans="2:9" x14ac:dyDescent="0.25">
      <c r="B364" s="107">
        <v>7003580</v>
      </c>
      <c r="C364" s="106" t="s">
        <v>1143</v>
      </c>
      <c r="D364" s="106" t="s">
        <v>1137</v>
      </c>
      <c r="E364" s="94" t="s">
        <v>1018</v>
      </c>
      <c r="F364" s="104">
        <v>6990</v>
      </c>
      <c r="G364" s="104">
        <f t="shared" si="19"/>
        <v>291.25</v>
      </c>
      <c r="H364" s="105">
        <v>13990</v>
      </c>
      <c r="I364" s="143">
        <f t="shared" si="18"/>
        <v>0.50035739814152969</v>
      </c>
    </row>
    <row r="365" spans="2:9" x14ac:dyDescent="0.25">
      <c r="B365" s="108">
        <v>7004655</v>
      </c>
      <c r="C365" s="106" t="s">
        <v>1144</v>
      </c>
      <c r="D365" s="94" t="s">
        <v>1137</v>
      </c>
      <c r="E365" s="94" t="s">
        <v>1018</v>
      </c>
      <c r="F365" s="104">
        <v>15990</v>
      </c>
      <c r="G365" s="104">
        <f t="shared" si="19"/>
        <v>666.25</v>
      </c>
      <c r="H365" s="105">
        <v>31490</v>
      </c>
      <c r="I365" s="143">
        <f t="shared" si="18"/>
        <v>0.49221975230231818</v>
      </c>
    </row>
    <row r="366" spans="2:9" x14ac:dyDescent="0.25">
      <c r="B366" s="103">
        <v>7005351</v>
      </c>
      <c r="C366" s="106" t="s">
        <v>1147</v>
      </c>
      <c r="D366" s="94" t="s">
        <v>1137</v>
      </c>
      <c r="E366" s="94" t="s">
        <v>1018</v>
      </c>
      <c r="F366" s="104">
        <v>5990</v>
      </c>
      <c r="G366" s="104">
        <f t="shared" si="19"/>
        <v>249.58333333333334</v>
      </c>
      <c r="H366" s="105">
        <v>9990</v>
      </c>
      <c r="I366" s="143">
        <f t="shared" si="18"/>
        <v>0.40040040040040037</v>
      </c>
    </row>
    <row r="367" spans="2:9" x14ac:dyDescent="0.25">
      <c r="B367" s="111">
        <v>7003021</v>
      </c>
      <c r="C367" s="106" t="s">
        <v>1049</v>
      </c>
      <c r="D367" s="106" t="s">
        <v>1050</v>
      </c>
      <c r="E367" s="94" t="s">
        <v>1051</v>
      </c>
      <c r="F367" s="104">
        <v>490</v>
      </c>
      <c r="G367" s="104">
        <f t="shared" si="19"/>
        <v>20.416666666666668</v>
      </c>
      <c r="H367" s="105">
        <v>12990</v>
      </c>
      <c r="I367" s="143">
        <f t="shared" si="18"/>
        <v>0.96227867590454197</v>
      </c>
    </row>
    <row r="368" spans="2:9" x14ac:dyDescent="0.25">
      <c r="B368" s="111">
        <v>7003020</v>
      </c>
      <c r="C368" s="106" t="s">
        <v>1055</v>
      </c>
      <c r="D368" s="106" t="s">
        <v>1050</v>
      </c>
      <c r="E368" s="94" t="s">
        <v>1051</v>
      </c>
      <c r="F368" s="104">
        <v>990</v>
      </c>
      <c r="G368" s="104">
        <f t="shared" si="19"/>
        <v>41.25</v>
      </c>
      <c r="H368" s="105">
        <v>6990</v>
      </c>
      <c r="I368" s="143">
        <f t="shared" si="18"/>
        <v>0.85836909871244638</v>
      </c>
    </row>
    <row r="369" spans="2:9" x14ac:dyDescent="0.25">
      <c r="B369" s="111">
        <v>7004095</v>
      </c>
      <c r="C369" s="106" t="s">
        <v>1160</v>
      </c>
      <c r="D369" s="106" t="s">
        <v>1158</v>
      </c>
      <c r="E369" s="94" t="s">
        <v>1018</v>
      </c>
      <c r="F369" s="104">
        <v>12000</v>
      </c>
      <c r="G369" s="104">
        <f t="shared" si="19"/>
        <v>500</v>
      </c>
      <c r="H369" s="105">
        <v>34990</v>
      </c>
      <c r="I369" s="143">
        <f t="shared" si="18"/>
        <v>0.6570448699628465</v>
      </c>
    </row>
    <row r="370" spans="2:9" x14ac:dyDescent="0.25">
      <c r="B370" s="103">
        <v>7004966</v>
      </c>
      <c r="C370" s="106" t="s">
        <v>1319</v>
      </c>
      <c r="D370" s="94" t="s">
        <v>1315</v>
      </c>
      <c r="E370" s="94" t="s">
        <v>1030</v>
      </c>
      <c r="F370" s="104">
        <v>19990</v>
      </c>
      <c r="G370" s="104">
        <f t="shared" si="19"/>
        <v>832.91666666666663</v>
      </c>
      <c r="H370" s="105">
        <v>69990</v>
      </c>
      <c r="I370" s="143">
        <f t="shared" si="18"/>
        <v>0.71438776968138307</v>
      </c>
    </row>
    <row r="371" spans="2:9" x14ac:dyDescent="0.25">
      <c r="B371" s="103">
        <v>7004976</v>
      </c>
      <c r="C371" s="106" t="s">
        <v>1084</v>
      </c>
      <c r="D371" s="94" t="s">
        <v>1083</v>
      </c>
      <c r="E371" s="94" t="s">
        <v>1007</v>
      </c>
      <c r="F371" s="104">
        <v>18990</v>
      </c>
      <c r="G371" s="104">
        <f t="shared" si="19"/>
        <v>791.25</v>
      </c>
      <c r="H371" s="105">
        <v>29990</v>
      </c>
      <c r="I371" s="143">
        <f t="shared" si="18"/>
        <v>0.36678892964321441</v>
      </c>
    </row>
    <row r="372" spans="2:9" x14ac:dyDescent="0.25">
      <c r="B372" s="103">
        <v>7004977</v>
      </c>
      <c r="C372" s="106" t="s">
        <v>1085</v>
      </c>
      <c r="D372" s="94" t="s">
        <v>1083</v>
      </c>
      <c r="E372" s="94" t="s">
        <v>1007</v>
      </c>
      <c r="F372" s="104">
        <v>18990</v>
      </c>
      <c r="G372" s="104">
        <f t="shared" si="19"/>
        <v>791.25</v>
      </c>
      <c r="H372" s="105">
        <v>29990</v>
      </c>
      <c r="I372" s="143">
        <f t="shared" si="18"/>
        <v>0.36678892964321441</v>
      </c>
    </row>
    <row r="373" spans="2:9" x14ac:dyDescent="0.25">
      <c r="B373" s="103">
        <v>7005815</v>
      </c>
      <c r="C373" s="106" t="s">
        <v>1228</v>
      </c>
      <c r="D373" s="94" t="s">
        <v>1229</v>
      </c>
      <c r="E373" s="94" t="s">
        <v>1218</v>
      </c>
      <c r="F373" s="104">
        <v>37990</v>
      </c>
      <c r="G373" s="104">
        <f t="shared" si="19"/>
        <v>1582.9166666666667</v>
      </c>
      <c r="H373" s="105">
        <v>49990</v>
      </c>
      <c r="I373" s="143">
        <f t="shared" si="18"/>
        <v>0.24004800960192041</v>
      </c>
    </row>
    <row r="374" spans="2:9" x14ac:dyDescent="0.25">
      <c r="B374" s="103">
        <v>7005811</v>
      </c>
      <c r="C374" s="106" t="s">
        <v>1231</v>
      </c>
      <c r="D374" s="94" t="s">
        <v>1229</v>
      </c>
      <c r="E374" s="94" t="s">
        <v>1218</v>
      </c>
      <c r="F374" s="104">
        <v>11990</v>
      </c>
      <c r="G374" s="104">
        <f t="shared" si="19"/>
        <v>499.58333333333331</v>
      </c>
      <c r="H374" s="105">
        <v>29990</v>
      </c>
      <c r="I374" s="143">
        <f t="shared" si="18"/>
        <v>0.60020006668889625</v>
      </c>
    </row>
    <row r="375" spans="2:9" x14ac:dyDescent="0.25">
      <c r="B375" s="103">
        <v>7005814</v>
      </c>
      <c r="C375" s="106" t="s">
        <v>1232</v>
      </c>
      <c r="D375" s="94" t="s">
        <v>1229</v>
      </c>
      <c r="E375" s="94" t="s">
        <v>1218</v>
      </c>
      <c r="F375" s="104">
        <v>19920</v>
      </c>
      <c r="G375" s="104">
        <f t="shared" si="19"/>
        <v>830</v>
      </c>
      <c r="H375" s="105">
        <v>39990</v>
      </c>
      <c r="I375" s="143">
        <f t="shared" si="18"/>
        <v>0.50187546886721679</v>
      </c>
    </row>
    <row r="376" spans="2:9" x14ac:dyDescent="0.25">
      <c r="B376" s="103">
        <v>7004625</v>
      </c>
      <c r="C376" s="106" t="s">
        <v>1105</v>
      </c>
      <c r="D376" s="94" t="s">
        <v>1101</v>
      </c>
      <c r="E376" s="94" t="s">
        <v>1007</v>
      </c>
      <c r="F376" s="104">
        <v>11990</v>
      </c>
      <c r="G376" s="104">
        <f t="shared" si="19"/>
        <v>499.58333333333331</v>
      </c>
      <c r="H376" s="105">
        <v>25990</v>
      </c>
      <c r="I376" s="143">
        <f t="shared" si="18"/>
        <v>0.53866871873797617</v>
      </c>
    </row>
    <row r="377" spans="2:9" x14ac:dyDescent="0.25">
      <c r="B377" s="103">
        <v>7004626</v>
      </c>
      <c r="C377" s="106" t="s">
        <v>1107</v>
      </c>
      <c r="D377" s="94" t="s">
        <v>1101</v>
      </c>
      <c r="E377" s="94" t="s">
        <v>1007</v>
      </c>
      <c r="F377" s="104">
        <v>18990</v>
      </c>
      <c r="G377" s="104">
        <f t="shared" si="19"/>
        <v>791.25</v>
      </c>
      <c r="H377" s="105">
        <v>29990</v>
      </c>
      <c r="I377" s="143">
        <f t="shared" si="18"/>
        <v>0.36678892964321441</v>
      </c>
    </row>
    <row r="378" spans="2:9" x14ac:dyDescent="0.25">
      <c r="B378" s="103">
        <v>7004628</v>
      </c>
      <c r="C378" s="106" t="s">
        <v>1234</v>
      </c>
      <c r="D378" s="94" t="s">
        <v>1101</v>
      </c>
      <c r="E378" s="94" t="s">
        <v>1218</v>
      </c>
      <c r="F378" s="104">
        <v>11990</v>
      </c>
      <c r="G378" s="104">
        <f t="shared" si="19"/>
        <v>499.58333333333331</v>
      </c>
      <c r="H378" s="105">
        <v>24990</v>
      </c>
      <c r="I378" s="143">
        <f t="shared" si="18"/>
        <v>0.52020808323329337</v>
      </c>
    </row>
    <row r="379" spans="2:9" x14ac:dyDescent="0.25">
      <c r="B379" s="111">
        <v>7000837</v>
      </c>
      <c r="C379" s="106" t="s">
        <v>1282</v>
      </c>
      <c r="D379" s="106" t="s">
        <v>1283</v>
      </c>
      <c r="E379" s="94" t="s">
        <v>1280</v>
      </c>
      <c r="F379" s="104">
        <v>990</v>
      </c>
      <c r="G379" s="104">
        <f t="shared" si="19"/>
        <v>41.25</v>
      </c>
      <c r="H379" s="105">
        <v>7990</v>
      </c>
      <c r="I379" s="143">
        <f t="shared" si="18"/>
        <v>0.87609511889862324</v>
      </c>
    </row>
    <row r="380" spans="2:9" x14ac:dyDescent="0.25">
      <c r="B380" s="111">
        <v>7005713</v>
      </c>
      <c r="C380" s="106" t="s">
        <v>1185</v>
      </c>
      <c r="D380" s="106" t="s">
        <v>1178</v>
      </c>
      <c r="E380" s="94" t="s">
        <v>1171</v>
      </c>
      <c r="F380" s="104">
        <v>419990</v>
      </c>
      <c r="G380" s="104">
        <f t="shared" si="19"/>
        <v>17499.583333333332</v>
      </c>
      <c r="H380" s="105">
        <v>899990</v>
      </c>
      <c r="I380" s="143">
        <f t="shared" si="18"/>
        <v>0.53333925932510362</v>
      </c>
    </row>
    <row r="381" spans="2:9" x14ac:dyDescent="0.25">
      <c r="B381" s="108">
        <v>7004524</v>
      </c>
      <c r="C381" s="106" t="s">
        <v>1275</v>
      </c>
      <c r="D381" s="94" t="s">
        <v>1276</v>
      </c>
      <c r="E381" s="94" t="s">
        <v>1270</v>
      </c>
      <c r="F381" s="104">
        <v>44990</v>
      </c>
      <c r="G381" s="104">
        <f t="shared" si="19"/>
        <v>1874.5833333333333</v>
      </c>
      <c r="H381" s="105">
        <v>59990</v>
      </c>
      <c r="I381" s="143">
        <f t="shared" si="18"/>
        <v>0.2500416736122687</v>
      </c>
    </row>
    <row r="382" spans="2:9" x14ac:dyDescent="0.25">
      <c r="B382" s="108">
        <v>7004523</v>
      </c>
      <c r="C382" s="106" t="s">
        <v>1277</v>
      </c>
      <c r="D382" s="94" t="s">
        <v>1276</v>
      </c>
      <c r="E382" s="94" t="s">
        <v>1270</v>
      </c>
      <c r="F382" s="104">
        <v>14990</v>
      </c>
      <c r="G382" s="104">
        <f t="shared" si="19"/>
        <v>624.58333333333337</v>
      </c>
      <c r="H382" s="105">
        <v>47990</v>
      </c>
      <c r="I382" s="143">
        <f t="shared" si="18"/>
        <v>0.68764325901229428</v>
      </c>
    </row>
    <row r="383" spans="2:9" x14ac:dyDescent="0.25">
      <c r="B383" s="108">
        <v>7004522</v>
      </c>
      <c r="C383" s="106" t="s">
        <v>1278</v>
      </c>
      <c r="D383" s="94" t="s">
        <v>1276</v>
      </c>
      <c r="E383" s="94" t="s">
        <v>1270</v>
      </c>
      <c r="F383" s="104">
        <v>9990</v>
      </c>
      <c r="G383" s="104">
        <f t="shared" si="19"/>
        <v>416.25</v>
      </c>
      <c r="H383" s="105">
        <v>37990</v>
      </c>
      <c r="I383" s="143">
        <f t="shared" si="18"/>
        <v>0.73703606212161099</v>
      </c>
    </row>
    <row r="384" spans="2:9" x14ac:dyDescent="0.25">
      <c r="B384" s="103">
        <v>7005277</v>
      </c>
      <c r="C384" s="106" t="s">
        <v>1209</v>
      </c>
      <c r="D384" s="94" t="s">
        <v>46</v>
      </c>
      <c r="E384" s="94" t="s">
        <v>1203</v>
      </c>
      <c r="F384" s="104">
        <v>9990</v>
      </c>
      <c r="G384" s="104">
        <f t="shared" si="19"/>
        <v>416.25</v>
      </c>
      <c r="H384" s="105">
        <v>39990</v>
      </c>
      <c r="I384" s="143">
        <f t="shared" si="18"/>
        <v>0.75018754688672162</v>
      </c>
    </row>
    <row r="385" spans="2:9" x14ac:dyDescent="0.25">
      <c r="B385" s="111">
        <v>7005317</v>
      </c>
      <c r="C385" s="106" t="s">
        <v>1250</v>
      </c>
      <c r="D385" s="106" t="s">
        <v>46</v>
      </c>
      <c r="E385" s="94" t="s">
        <v>1240</v>
      </c>
      <c r="F385" s="104">
        <v>1990</v>
      </c>
      <c r="G385" s="104">
        <f t="shared" si="19"/>
        <v>82.916666666666671</v>
      </c>
      <c r="H385" s="105">
        <v>29990</v>
      </c>
      <c r="I385" s="143">
        <f t="shared" si="18"/>
        <v>0.93364454818272757</v>
      </c>
    </row>
    <row r="386" spans="2:9" x14ac:dyDescent="0.25">
      <c r="B386" s="103">
        <v>7005325</v>
      </c>
      <c r="C386" s="106" t="s">
        <v>1065</v>
      </c>
      <c r="D386" s="94" t="s">
        <v>1063</v>
      </c>
      <c r="E386" s="94" t="s">
        <v>1051</v>
      </c>
      <c r="F386" s="104">
        <v>9990</v>
      </c>
      <c r="G386" s="104">
        <f t="shared" si="19"/>
        <v>416.25</v>
      </c>
      <c r="H386" s="105">
        <v>16990</v>
      </c>
      <c r="I386" s="143">
        <f t="shared" si="18"/>
        <v>0.41200706297822254</v>
      </c>
    </row>
    <row r="387" spans="2:9" x14ac:dyDescent="0.25">
      <c r="B387" s="103">
        <v>7005324</v>
      </c>
      <c r="C387" s="106" t="s">
        <v>1066</v>
      </c>
      <c r="D387" s="94" t="s">
        <v>1063</v>
      </c>
      <c r="E387" s="94" t="s">
        <v>1051</v>
      </c>
      <c r="F387" s="104">
        <v>4990</v>
      </c>
      <c r="G387" s="104">
        <f t="shared" si="19"/>
        <v>207.91666666666666</v>
      </c>
      <c r="H387" s="105">
        <v>7990</v>
      </c>
      <c r="I387" s="143">
        <f t="shared" si="18"/>
        <v>0.37546933667083859</v>
      </c>
    </row>
    <row r="388" spans="2:9" x14ac:dyDescent="0.25">
      <c r="B388" s="107">
        <v>7003074</v>
      </c>
      <c r="C388" s="106" t="s">
        <v>1190</v>
      </c>
      <c r="D388" s="106" t="s">
        <v>1189</v>
      </c>
      <c r="E388" s="94" t="s">
        <v>997</v>
      </c>
      <c r="F388" s="104">
        <v>990</v>
      </c>
      <c r="G388" s="104">
        <f t="shared" si="19"/>
        <v>41.25</v>
      </c>
      <c r="H388" s="105">
        <v>25900</v>
      </c>
      <c r="I388" s="143">
        <f t="shared" si="18"/>
        <v>0.96177606177606179</v>
      </c>
    </row>
    <row r="389" spans="2:9" x14ac:dyDescent="0.25">
      <c r="B389" s="111">
        <v>7001135</v>
      </c>
      <c r="C389" s="106" t="s">
        <v>1191</v>
      </c>
      <c r="D389" s="106" t="s">
        <v>1189</v>
      </c>
      <c r="E389" s="94" t="s">
        <v>997</v>
      </c>
      <c r="F389" s="104">
        <v>990</v>
      </c>
      <c r="G389" s="104">
        <f t="shared" si="19"/>
        <v>41.25</v>
      </c>
      <c r="H389" s="105">
        <v>19900</v>
      </c>
      <c r="I389" s="143">
        <f t="shared" si="18"/>
        <v>0.95025125628140705</v>
      </c>
    </row>
    <row r="390" spans="2:9" x14ac:dyDescent="0.25">
      <c r="B390" s="111">
        <v>7001136</v>
      </c>
      <c r="C390" s="106" t="s">
        <v>1193</v>
      </c>
      <c r="D390" s="106" t="s">
        <v>1189</v>
      </c>
      <c r="E390" s="94" t="s">
        <v>997</v>
      </c>
      <c r="F390" s="104">
        <v>990</v>
      </c>
      <c r="G390" s="104">
        <f t="shared" si="19"/>
        <v>41.25</v>
      </c>
      <c r="H390" s="105">
        <v>14900</v>
      </c>
      <c r="I390" s="143">
        <f t="shared" si="18"/>
        <v>0.93355704697986575</v>
      </c>
    </row>
    <row r="391" spans="2:9" x14ac:dyDescent="0.25">
      <c r="B391" s="111">
        <v>7001139</v>
      </c>
      <c r="C391" s="106" t="s">
        <v>1194</v>
      </c>
      <c r="D391" s="106" t="s">
        <v>1189</v>
      </c>
      <c r="E391" s="94" t="s">
        <v>997</v>
      </c>
      <c r="F391" s="104">
        <v>990</v>
      </c>
      <c r="G391" s="104">
        <f t="shared" si="19"/>
        <v>41.25</v>
      </c>
      <c r="H391" s="105">
        <v>14900</v>
      </c>
      <c r="I391" s="143">
        <f t="shared" si="18"/>
        <v>0.93355704697986575</v>
      </c>
    </row>
    <row r="392" spans="2:9" x14ac:dyDescent="0.25">
      <c r="B392" s="107">
        <v>7003256</v>
      </c>
      <c r="C392" s="106" t="s">
        <v>1197</v>
      </c>
      <c r="D392" s="106" t="s">
        <v>1189</v>
      </c>
      <c r="E392" s="94" t="s">
        <v>997</v>
      </c>
      <c r="F392" s="104">
        <v>5990</v>
      </c>
      <c r="G392" s="104">
        <f t="shared" si="19"/>
        <v>249.58333333333334</v>
      </c>
      <c r="H392" s="105">
        <v>14900</v>
      </c>
      <c r="I392" s="143">
        <f t="shared" si="18"/>
        <v>0.59798657718120807</v>
      </c>
    </row>
    <row r="393" spans="2:9" x14ac:dyDescent="0.25">
      <c r="B393" s="111">
        <v>7001134</v>
      </c>
      <c r="C393" s="106" t="s">
        <v>1198</v>
      </c>
      <c r="D393" s="106" t="s">
        <v>1189</v>
      </c>
      <c r="E393" s="94" t="s">
        <v>997</v>
      </c>
      <c r="F393" s="104">
        <v>5990</v>
      </c>
      <c r="G393" s="104">
        <f t="shared" si="19"/>
        <v>249.58333333333334</v>
      </c>
      <c r="H393" s="105">
        <v>12900</v>
      </c>
      <c r="I393" s="143">
        <f t="shared" si="18"/>
        <v>0.5356589147286821</v>
      </c>
    </row>
    <row r="394" spans="2:9" x14ac:dyDescent="0.25">
      <c r="B394" s="107">
        <v>7001084</v>
      </c>
      <c r="C394" s="106" t="s">
        <v>1285</v>
      </c>
      <c r="D394" s="106" t="s">
        <v>1166</v>
      </c>
      <c r="E394" s="94" t="s">
        <v>1280</v>
      </c>
      <c r="F394" s="104">
        <v>990</v>
      </c>
      <c r="G394" s="104">
        <f t="shared" si="19"/>
        <v>41.25</v>
      </c>
      <c r="H394" s="105">
        <v>5990</v>
      </c>
      <c r="I394" s="143">
        <f t="shared" si="18"/>
        <v>0.8347245409015025</v>
      </c>
    </row>
    <row r="395" spans="2:9" x14ac:dyDescent="0.25">
      <c r="B395" s="108">
        <v>7004318</v>
      </c>
      <c r="C395" s="106" t="s">
        <v>1168</v>
      </c>
      <c r="D395" s="94" t="s">
        <v>87</v>
      </c>
      <c r="E395" s="94" t="s">
        <v>1018</v>
      </c>
      <c r="F395" s="104">
        <v>7200</v>
      </c>
      <c r="G395" s="104">
        <f t="shared" si="19"/>
        <v>300</v>
      </c>
      <c r="H395" s="105">
        <v>39990</v>
      </c>
      <c r="I395" s="143">
        <f t="shared" si="18"/>
        <v>0.81995498874718686</v>
      </c>
    </row>
    <row r="396" spans="2:9" x14ac:dyDescent="0.25">
      <c r="B396" s="103">
        <v>7004222</v>
      </c>
      <c r="C396" s="106" t="s">
        <v>1326</v>
      </c>
      <c r="D396" s="106" t="s">
        <v>87</v>
      </c>
      <c r="E396" s="94" t="s">
        <v>1030</v>
      </c>
      <c r="F396" s="104">
        <v>9990</v>
      </c>
      <c r="G396" s="104">
        <f t="shared" si="19"/>
        <v>416.25</v>
      </c>
      <c r="H396" s="105">
        <v>49990</v>
      </c>
      <c r="I396" s="143">
        <f t="shared" si="18"/>
        <v>0.80016003200640129</v>
      </c>
    </row>
    <row r="397" spans="2:9" x14ac:dyDescent="0.25">
      <c r="B397" s="108">
        <v>7004729</v>
      </c>
      <c r="C397" s="106" t="s">
        <v>1328</v>
      </c>
      <c r="D397" s="94" t="s">
        <v>87</v>
      </c>
      <c r="E397" s="94" t="s">
        <v>1030</v>
      </c>
      <c r="F397" s="104">
        <v>14880</v>
      </c>
      <c r="G397" s="104">
        <f t="shared" si="19"/>
        <v>620</v>
      </c>
      <c r="H397" s="105">
        <v>69990</v>
      </c>
      <c r="I397" s="143">
        <f t="shared" si="18"/>
        <v>0.78739819974282044</v>
      </c>
    </row>
    <row r="398" spans="2:9" x14ac:dyDescent="0.25">
      <c r="B398" s="108">
        <v>7004780</v>
      </c>
      <c r="C398" s="106" t="s">
        <v>1330</v>
      </c>
      <c r="D398" s="94" t="s">
        <v>87</v>
      </c>
      <c r="E398" s="94" t="s">
        <v>1030</v>
      </c>
      <c r="F398" s="104">
        <v>24000</v>
      </c>
      <c r="G398" s="104">
        <f t="shared" si="19"/>
        <v>1000</v>
      </c>
      <c r="H398" s="105">
        <v>89990</v>
      </c>
      <c r="I398" s="143">
        <f t="shared" si="18"/>
        <v>0.73330370041115678</v>
      </c>
    </row>
    <row r="399" spans="2:9" x14ac:dyDescent="0.25">
      <c r="B399" s="107">
        <v>7003373</v>
      </c>
      <c r="C399" s="106" t="s">
        <v>1327</v>
      </c>
      <c r="D399" s="106" t="s">
        <v>87</v>
      </c>
      <c r="E399" s="94" t="s">
        <v>1030</v>
      </c>
      <c r="F399" s="104">
        <v>4990</v>
      </c>
      <c r="G399" s="104">
        <f t="shared" si="19"/>
        <v>207.91666666666666</v>
      </c>
      <c r="H399" s="105">
        <v>44990</v>
      </c>
      <c r="I399" s="143">
        <f t="shared" si="18"/>
        <v>0.88908646365859079</v>
      </c>
    </row>
    <row r="400" spans="2:9" x14ac:dyDescent="0.25">
      <c r="B400" s="107">
        <v>7000966</v>
      </c>
      <c r="C400" s="106" t="s">
        <v>2886</v>
      </c>
      <c r="D400" s="106" t="s">
        <v>1079</v>
      </c>
      <c r="E400" s="94" t="s">
        <v>1007</v>
      </c>
      <c r="F400" s="104">
        <v>1990</v>
      </c>
      <c r="G400" s="104">
        <f t="shared" si="19"/>
        <v>82.916666666666671</v>
      </c>
      <c r="H400" s="105">
        <v>11990</v>
      </c>
      <c r="I400" s="143">
        <f t="shared" si="18"/>
        <v>0.8340283569641368</v>
      </c>
    </row>
    <row r="401" spans="2:9" x14ac:dyDescent="0.25">
      <c r="B401" s="107">
        <v>7004482</v>
      </c>
      <c r="C401" s="106" t="s">
        <v>2887</v>
      </c>
      <c r="D401" s="106" t="s">
        <v>46</v>
      </c>
      <c r="E401" s="94" t="s">
        <v>1007</v>
      </c>
      <c r="F401" s="104">
        <v>24990</v>
      </c>
      <c r="G401" s="104">
        <f t="shared" si="19"/>
        <v>1041.25</v>
      </c>
      <c r="H401" s="105">
        <v>199990</v>
      </c>
      <c r="I401" s="143">
        <f t="shared" si="18"/>
        <v>0.87504375218760932</v>
      </c>
    </row>
    <row r="402" spans="2:9" x14ac:dyDescent="0.25">
      <c r="B402" s="107">
        <v>7004961</v>
      </c>
      <c r="C402" s="106" t="s">
        <v>2889</v>
      </c>
      <c r="D402" s="106" t="s">
        <v>1315</v>
      </c>
      <c r="E402" s="94" t="s">
        <v>1030</v>
      </c>
      <c r="F402" s="104">
        <v>14990</v>
      </c>
      <c r="G402" s="104">
        <f t="shared" si="19"/>
        <v>624.58333333333337</v>
      </c>
      <c r="H402" s="105">
        <v>49990</v>
      </c>
      <c r="I402" s="143">
        <f t="shared" si="18"/>
        <v>0.70014002800560116</v>
      </c>
    </row>
    <row r="403" spans="2:9" x14ac:dyDescent="0.25">
      <c r="B403" s="111">
        <v>7004314</v>
      </c>
      <c r="C403" s="106" t="s">
        <v>2890</v>
      </c>
      <c r="D403" s="106" t="s">
        <v>2891</v>
      </c>
      <c r="E403" s="94" t="s">
        <v>1007</v>
      </c>
      <c r="F403" s="104">
        <v>9990</v>
      </c>
      <c r="G403" s="104">
        <f t="shared" si="19"/>
        <v>416.25</v>
      </c>
      <c r="H403" s="105">
        <v>39990</v>
      </c>
      <c r="I403" s="143">
        <f t="shared" si="18"/>
        <v>0.75018754688672162</v>
      </c>
    </row>
    <row r="404" spans="2:9" x14ac:dyDescent="0.25">
      <c r="B404" s="111">
        <v>7001072</v>
      </c>
      <c r="C404" s="106" t="s">
        <v>2892</v>
      </c>
      <c r="D404" s="106" t="s">
        <v>131</v>
      </c>
      <c r="E404" s="94" t="s">
        <v>1007</v>
      </c>
      <c r="F404" s="104">
        <v>6960</v>
      </c>
      <c r="G404" s="104">
        <f t="shared" si="19"/>
        <v>290</v>
      </c>
      <c r="H404" s="105">
        <v>14990</v>
      </c>
      <c r="I404" s="143">
        <f t="shared" si="18"/>
        <v>0.53569046030687129</v>
      </c>
    </row>
    <row r="405" spans="2:9" x14ac:dyDescent="0.25">
      <c r="B405" s="111">
        <v>7003045</v>
      </c>
      <c r="C405" s="106" t="s">
        <v>2893</v>
      </c>
      <c r="D405" s="106" t="s">
        <v>46</v>
      </c>
      <c r="E405" s="94" t="s">
        <v>1007</v>
      </c>
      <c r="F405" s="104">
        <v>4800</v>
      </c>
      <c r="G405" s="104">
        <f t="shared" si="19"/>
        <v>200</v>
      </c>
      <c r="H405" s="105">
        <v>24990</v>
      </c>
      <c r="I405" s="143">
        <f t="shared" si="18"/>
        <v>0.80792316926770713</v>
      </c>
    </row>
    <row r="406" spans="2:9" x14ac:dyDescent="0.25">
      <c r="B406" s="107">
        <v>7003437</v>
      </c>
      <c r="C406" s="106" t="s">
        <v>2894</v>
      </c>
      <c r="D406" s="106" t="s">
        <v>87</v>
      </c>
      <c r="E406" s="94" t="s">
        <v>1007</v>
      </c>
      <c r="F406" s="104">
        <v>4800</v>
      </c>
      <c r="G406" s="104">
        <f t="shared" si="19"/>
        <v>200</v>
      </c>
      <c r="H406" s="105">
        <v>29990</v>
      </c>
      <c r="I406" s="143">
        <f t="shared" si="18"/>
        <v>0.839946648882961</v>
      </c>
    </row>
    <row r="407" spans="2:9" x14ac:dyDescent="0.25">
      <c r="B407" s="111">
        <v>7004099</v>
      </c>
      <c r="C407" s="106" t="s">
        <v>2897</v>
      </c>
      <c r="D407" s="106" t="s">
        <v>1158</v>
      </c>
      <c r="E407" s="94" t="s">
        <v>1018</v>
      </c>
      <c r="F407" s="104">
        <v>990</v>
      </c>
      <c r="G407" s="104">
        <f t="shared" si="19"/>
        <v>41.25</v>
      </c>
      <c r="H407" s="105">
        <v>4990</v>
      </c>
      <c r="I407" s="143">
        <f t="shared" si="18"/>
        <v>0.80160320641282568</v>
      </c>
    </row>
    <row r="408" spans="2:9" x14ac:dyDescent="0.25">
      <c r="B408" s="107">
        <v>7001186</v>
      </c>
      <c r="C408" s="106" t="s">
        <v>2898</v>
      </c>
      <c r="D408" s="106" t="s">
        <v>46</v>
      </c>
      <c r="E408" s="94" t="s">
        <v>1018</v>
      </c>
      <c r="F408" s="104">
        <v>14399.999999999998</v>
      </c>
      <c r="G408" s="104">
        <f t="shared" si="19"/>
        <v>599.99999999999989</v>
      </c>
      <c r="H408" s="105">
        <v>34990</v>
      </c>
      <c r="I408" s="143">
        <f t="shared" si="18"/>
        <v>0.58845384395541589</v>
      </c>
    </row>
    <row r="409" spans="2:9" x14ac:dyDescent="0.25">
      <c r="B409" s="111">
        <v>7000346</v>
      </c>
      <c r="C409" s="106" t="s">
        <v>2899</v>
      </c>
      <c r="D409" s="106" t="s">
        <v>1166</v>
      </c>
      <c r="E409" s="94" t="s">
        <v>1018</v>
      </c>
      <c r="F409" s="104">
        <v>990</v>
      </c>
      <c r="G409" s="104">
        <f t="shared" si="19"/>
        <v>41.25</v>
      </c>
      <c r="H409" s="105">
        <v>4990</v>
      </c>
      <c r="I409" s="143">
        <f t="shared" si="18"/>
        <v>0.80160320641282568</v>
      </c>
    </row>
    <row r="410" spans="2:9" x14ac:dyDescent="0.25">
      <c r="B410" s="111">
        <v>7001154</v>
      </c>
      <c r="C410" s="106" t="s">
        <v>2900</v>
      </c>
      <c r="D410" s="106" t="s">
        <v>1166</v>
      </c>
      <c r="E410" s="94" t="s">
        <v>1018</v>
      </c>
      <c r="F410" s="104">
        <v>990</v>
      </c>
      <c r="G410" s="104">
        <f t="shared" si="19"/>
        <v>41.25</v>
      </c>
      <c r="H410" s="105">
        <v>3400</v>
      </c>
      <c r="I410" s="143">
        <f t="shared" si="18"/>
        <v>0.70882352941176463</v>
      </c>
    </row>
    <row r="411" spans="2:9" x14ac:dyDescent="0.25">
      <c r="B411" s="111">
        <v>7003427</v>
      </c>
      <c r="C411" s="106" t="s">
        <v>2903</v>
      </c>
      <c r="D411" s="106" t="s">
        <v>1178</v>
      </c>
      <c r="E411" s="94" t="s">
        <v>1171</v>
      </c>
      <c r="F411" s="104">
        <v>990</v>
      </c>
      <c r="G411" s="104">
        <f t="shared" si="19"/>
        <v>41.25</v>
      </c>
      <c r="H411" s="105">
        <v>19990</v>
      </c>
      <c r="I411" s="143">
        <f t="shared" si="18"/>
        <v>0.95047523761880937</v>
      </c>
    </row>
    <row r="412" spans="2:9" x14ac:dyDescent="0.25">
      <c r="B412" s="107">
        <v>7001137</v>
      </c>
      <c r="C412" s="106" t="s">
        <v>2904</v>
      </c>
      <c r="D412" s="106" t="s">
        <v>1189</v>
      </c>
      <c r="E412" s="94" t="s">
        <v>997</v>
      </c>
      <c r="F412" s="104">
        <v>4990</v>
      </c>
      <c r="G412" s="104">
        <f t="shared" si="19"/>
        <v>207.91666666666666</v>
      </c>
      <c r="H412" s="105">
        <v>54900</v>
      </c>
      <c r="I412" s="143">
        <f t="shared" si="18"/>
        <v>0.90910746812386156</v>
      </c>
    </row>
    <row r="413" spans="2:9" x14ac:dyDescent="0.25">
      <c r="B413" s="107">
        <v>7004092</v>
      </c>
      <c r="C413" s="106" t="s">
        <v>2908</v>
      </c>
      <c r="D413" s="106" t="s">
        <v>904</v>
      </c>
      <c r="E413" s="94" t="s">
        <v>1203</v>
      </c>
      <c r="F413" s="104">
        <v>4810</v>
      </c>
      <c r="G413" s="104">
        <f t="shared" si="19"/>
        <v>200.41666666666666</v>
      </c>
      <c r="H413" s="105">
        <v>34990</v>
      </c>
      <c r="I413" s="143">
        <f t="shared" si="18"/>
        <v>0.86253215204344102</v>
      </c>
    </row>
    <row r="414" spans="2:9" x14ac:dyDescent="0.25">
      <c r="B414" s="111">
        <v>7004330</v>
      </c>
      <c r="C414" s="106" t="s">
        <v>2909</v>
      </c>
      <c r="D414" s="106" t="s">
        <v>87</v>
      </c>
      <c r="E414" s="94" t="s">
        <v>1203</v>
      </c>
      <c r="F414" s="104">
        <v>19990</v>
      </c>
      <c r="G414" s="104">
        <f t="shared" si="19"/>
        <v>832.91666666666663</v>
      </c>
      <c r="H414" s="105">
        <v>54990</v>
      </c>
      <c r="I414" s="143">
        <f t="shared" si="18"/>
        <v>0.63647935988361515</v>
      </c>
    </row>
    <row r="415" spans="2:9" x14ac:dyDescent="0.25">
      <c r="B415" s="107">
        <v>7003876</v>
      </c>
      <c r="C415" s="106" t="s">
        <v>2910</v>
      </c>
      <c r="D415" s="106" t="s">
        <v>2911</v>
      </c>
      <c r="E415" s="94" t="s">
        <v>1218</v>
      </c>
      <c r="F415" s="104">
        <v>9840</v>
      </c>
      <c r="G415" s="104">
        <f t="shared" si="19"/>
        <v>410</v>
      </c>
      <c r="H415" s="105">
        <v>19990</v>
      </c>
      <c r="I415" s="143">
        <f t="shared" ref="I415:I478" si="20">1-F415/H415</f>
        <v>0.5077538769384693</v>
      </c>
    </row>
    <row r="416" spans="2:9" x14ac:dyDescent="0.25">
      <c r="B416" s="111">
        <v>7003423</v>
      </c>
      <c r="C416" s="106" t="s">
        <v>2912</v>
      </c>
      <c r="D416" s="106" t="s">
        <v>1079</v>
      </c>
      <c r="E416" s="94" t="s">
        <v>1218</v>
      </c>
      <c r="F416" s="104">
        <v>48000</v>
      </c>
      <c r="G416" s="104">
        <f t="shared" si="19"/>
        <v>2000</v>
      </c>
      <c r="H416" s="105">
        <v>129989.65</v>
      </c>
      <c r="I416" s="143">
        <f t="shared" si="20"/>
        <v>0.63073983197893058</v>
      </c>
    </row>
    <row r="417" spans="2:9" x14ac:dyDescent="0.25">
      <c r="B417" s="111">
        <v>7004974</v>
      </c>
      <c r="C417" s="106" t="s">
        <v>2913</v>
      </c>
      <c r="D417" s="106" t="s">
        <v>1083</v>
      </c>
      <c r="E417" s="94" t="s">
        <v>1218</v>
      </c>
      <c r="F417" s="104">
        <v>91990</v>
      </c>
      <c r="G417" s="104">
        <f t="shared" si="19"/>
        <v>3832.9166666666665</v>
      </c>
      <c r="H417" s="105">
        <v>129990</v>
      </c>
      <c r="I417" s="143">
        <f t="shared" si="20"/>
        <v>0.29233017924455729</v>
      </c>
    </row>
    <row r="418" spans="2:9" x14ac:dyDescent="0.25">
      <c r="B418" s="111">
        <v>7001176</v>
      </c>
      <c r="C418" s="106" t="s">
        <v>2914</v>
      </c>
      <c r="D418" s="106" t="s">
        <v>1269</v>
      </c>
      <c r="E418" s="94" t="s">
        <v>1270</v>
      </c>
      <c r="F418" s="104">
        <v>19199.999999999993</v>
      </c>
      <c r="G418" s="104">
        <f t="shared" si="19"/>
        <v>799.99999999999966</v>
      </c>
      <c r="H418" s="105">
        <v>63990</v>
      </c>
      <c r="I418" s="143">
        <f t="shared" si="20"/>
        <v>0.69995311767463675</v>
      </c>
    </row>
    <row r="419" spans="2:9" x14ac:dyDescent="0.25">
      <c r="B419" s="107">
        <v>7003787</v>
      </c>
      <c r="C419" s="106" t="s">
        <v>2915</v>
      </c>
      <c r="D419" s="106" t="s">
        <v>1274</v>
      </c>
      <c r="E419" s="94" t="s">
        <v>1270</v>
      </c>
      <c r="F419" s="104">
        <v>59990</v>
      </c>
      <c r="G419" s="104">
        <f t="shared" si="19"/>
        <v>2499.5833333333335</v>
      </c>
      <c r="H419" s="105">
        <v>399990</v>
      </c>
      <c r="I419" s="143">
        <f t="shared" si="20"/>
        <v>0.85002125053126332</v>
      </c>
    </row>
    <row r="420" spans="2:9" x14ac:dyDescent="0.25">
      <c r="B420" s="111">
        <v>7003634</v>
      </c>
      <c r="C420" s="106" t="s">
        <v>2916</v>
      </c>
      <c r="D420" s="106" t="s">
        <v>87</v>
      </c>
      <c r="E420" s="94" t="s">
        <v>1270</v>
      </c>
      <c r="F420" s="104">
        <v>49990</v>
      </c>
      <c r="G420" s="104">
        <f t="shared" ref="G420:G483" si="21">F420/24</f>
        <v>2082.9166666666665</v>
      </c>
      <c r="H420" s="105">
        <v>379990</v>
      </c>
      <c r="I420" s="143">
        <f t="shared" si="20"/>
        <v>0.86844390641858993</v>
      </c>
    </row>
    <row r="421" spans="2:9" x14ac:dyDescent="0.25">
      <c r="B421" s="111">
        <v>70010680</v>
      </c>
      <c r="C421" s="106" t="s">
        <v>2917</v>
      </c>
      <c r="D421" s="106" t="s">
        <v>1286</v>
      </c>
      <c r="E421" s="94" t="s">
        <v>1287</v>
      </c>
      <c r="F421" s="104">
        <v>54960</v>
      </c>
      <c r="G421" s="104">
        <f t="shared" si="21"/>
        <v>2290</v>
      </c>
      <c r="H421" s="105">
        <v>109990</v>
      </c>
      <c r="I421" s="143">
        <f t="shared" si="20"/>
        <v>0.50031821074643146</v>
      </c>
    </row>
    <row r="422" spans="2:9" x14ac:dyDescent="0.25">
      <c r="B422" s="107">
        <v>7004783</v>
      </c>
      <c r="C422" s="106" t="s">
        <v>2918</v>
      </c>
      <c r="D422" s="106" t="s">
        <v>904</v>
      </c>
      <c r="E422" s="94" t="s">
        <v>1030</v>
      </c>
      <c r="F422" s="104">
        <v>48000</v>
      </c>
      <c r="G422" s="104">
        <f t="shared" si="21"/>
        <v>2000</v>
      </c>
      <c r="H422" s="105">
        <v>119990</v>
      </c>
      <c r="I422" s="143">
        <f t="shared" si="20"/>
        <v>0.59996666388865738</v>
      </c>
    </row>
    <row r="423" spans="2:9" x14ac:dyDescent="0.25">
      <c r="B423" s="111">
        <v>7004233</v>
      </c>
      <c r="C423" s="106" t="s">
        <v>2919</v>
      </c>
      <c r="D423" s="106" t="s">
        <v>904</v>
      </c>
      <c r="E423" s="94" t="s">
        <v>1030</v>
      </c>
      <c r="F423" s="104">
        <v>48000</v>
      </c>
      <c r="G423" s="104">
        <f t="shared" si="21"/>
        <v>2000</v>
      </c>
      <c r="H423" s="105">
        <v>249990</v>
      </c>
      <c r="I423" s="143">
        <f t="shared" si="20"/>
        <v>0.80799231969278773</v>
      </c>
    </row>
    <row r="424" spans="2:9" x14ac:dyDescent="0.25">
      <c r="B424" s="111">
        <v>7004234</v>
      </c>
      <c r="C424" s="106" t="s">
        <v>2920</v>
      </c>
      <c r="D424" s="106" t="s">
        <v>904</v>
      </c>
      <c r="E424" s="94" t="s">
        <v>1030</v>
      </c>
      <c r="F424" s="104">
        <v>48000</v>
      </c>
      <c r="G424" s="104">
        <f t="shared" si="21"/>
        <v>2000</v>
      </c>
      <c r="H424" s="105">
        <v>249990</v>
      </c>
      <c r="I424" s="143">
        <f t="shared" si="20"/>
        <v>0.80799231969278773</v>
      </c>
    </row>
    <row r="425" spans="2:9" x14ac:dyDescent="0.25">
      <c r="B425" s="111">
        <v>7004238</v>
      </c>
      <c r="C425" s="106" t="s">
        <v>2921</v>
      </c>
      <c r="D425" s="106" t="s">
        <v>904</v>
      </c>
      <c r="E425" s="94" t="s">
        <v>1030</v>
      </c>
      <c r="F425" s="104">
        <v>49920</v>
      </c>
      <c r="G425" s="104">
        <f t="shared" si="21"/>
        <v>2080</v>
      </c>
      <c r="H425" s="105">
        <v>279990</v>
      </c>
      <c r="I425" s="143">
        <f t="shared" si="20"/>
        <v>0.8217079181399336</v>
      </c>
    </row>
    <row r="426" spans="2:9" x14ac:dyDescent="0.25">
      <c r="B426" s="107">
        <v>7003959</v>
      </c>
      <c r="C426" s="106" t="s">
        <v>2923</v>
      </c>
      <c r="D426" s="106" t="s">
        <v>904</v>
      </c>
      <c r="E426" s="94" t="s">
        <v>1030</v>
      </c>
      <c r="F426" s="104">
        <v>29989.999999999996</v>
      </c>
      <c r="G426" s="104">
        <f t="shared" si="21"/>
        <v>1249.5833333333333</v>
      </c>
      <c r="H426" s="105">
        <v>99990</v>
      </c>
      <c r="I426" s="143">
        <f t="shared" si="20"/>
        <v>0.7000700070007001</v>
      </c>
    </row>
  </sheetData>
  <autoFilter ref="A2:AB410" xr:uid="{00000000-0001-0000-0100-000000000000}"/>
  <mergeCells count="2">
    <mergeCell ref="K1:P1"/>
    <mergeCell ref="T1:AA1"/>
  </mergeCells>
  <conditionalFormatting sqref="B24:B93">
    <cfRule type="duplicateValues" dxfId="839" priority="228"/>
  </conditionalFormatting>
  <conditionalFormatting sqref="B24:B104">
    <cfRule type="duplicateValues" dxfId="838" priority="229"/>
  </conditionalFormatting>
  <conditionalFormatting sqref="B24:B134">
    <cfRule type="duplicateValues" dxfId="837" priority="230"/>
  </conditionalFormatting>
  <conditionalFormatting sqref="B24:B340">
    <cfRule type="duplicateValues" dxfId="836" priority="231"/>
  </conditionalFormatting>
  <conditionalFormatting sqref="B24:B360">
    <cfRule type="duplicateValues" dxfId="835" priority="232"/>
  </conditionalFormatting>
  <conditionalFormatting sqref="B93">
    <cfRule type="duplicateValues" dxfId="834" priority="212"/>
  </conditionalFormatting>
  <conditionalFormatting sqref="B94:B97">
    <cfRule type="duplicateValues" dxfId="833" priority="208"/>
  </conditionalFormatting>
  <conditionalFormatting sqref="B98">
    <cfRule type="duplicateValues" dxfId="832" priority="198"/>
  </conditionalFormatting>
  <conditionalFormatting sqref="B105:B106">
    <cfRule type="duplicateValues" dxfId="831" priority="209"/>
  </conditionalFormatting>
  <conditionalFormatting sqref="B107 B24:B92 B110">
    <cfRule type="duplicateValues" dxfId="830" priority="207"/>
  </conditionalFormatting>
  <conditionalFormatting sqref="B109">
    <cfRule type="duplicateValues" dxfId="829" priority="197"/>
  </conditionalFormatting>
  <conditionalFormatting sqref="B111:B114">
    <cfRule type="duplicateValues" dxfId="828" priority="206"/>
  </conditionalFormatting>
  <conditionalFormatting sqref="B115:B117">
    <cfRule type="duplicateValues" dxfId="827" priority="205"/>
  </conditionalFormatting>
  <conditionalFormatting sqref="B118:B133">
    <cfRule type="duplicateValues" dxfId="826" priority="211"/>
  </conditionalFormatting>
  <conditionalFormatting sqref="B135:B138">
    <cfRule type="duplicateValues" dxfId="825" priority="204"/>
  </conditionalFormatting>
  <conditionalFormatting sqref="B135:B139">
    <cfRule type="duplicateValues" dxfId="824" priority="210"/>
  </conditionalFormatting>
  <conditionalFormatting sqref="B140">
    <cfRule type="duplicateValues" dxfId="823" priority="192"/>
    <cfRule type="duplicateValues" dxfId="822" priority="193"/>
    <cfRule type="duplicateValues" dxfId="821" priority="194"/>
    <cfRule type="duplicateValues" dxfId="820" priority="195"/>
    <cfRule type="duplicateValues" dxfId="819" priority="196"/>
  </conditionalFormatting>
  <conditionalFormatting sqref="B141">
    <cfRule type="duplicateValues" dxfId="818" priority="200"/>
    <cfRule type="duplicateValues" dxfId="817" priority="201"/>
    <cfRule type="duplicateValues" dxfId="816" priority="202"/>
    <cfRule type="duplicateValues" dxfId="815" priority="203"/>
  </conditionalFormatting>
  <conditionalFormatting sqref="B142">
    <cfRule type="duplicateValues" dxfId="814" priority="188"/>
    <cfRule type="duplicateValues" dxfId="813" priority="189"/>
    <cfRule type="duplicateValues" dxfId="812" priority="190"/>
    <cfRule type="duplicateValues" dxfId="811" priority="191"/>
  </conditionalFormatting>
  <conditionalFormatting sqref="B150">
    <cfRule type="duplicateValues" dxfId="810" priority="183"/>
    <cfRule type="duplicateValues" dxfId="809" priority="184"/>
    <cfRule type="duplicateValues" dxfId="808" priority="185"/>
  </conditionalFormatting>
  <conditionalFormatting sqref="B156">
    <cfRule type="duplicateValues" dxfId="807" priority="177"/>
    <cfRule type="duplicateValues" dxfId="806" priority="178"/>
    <cfRule type="duplicateValues" dxfId="805" priority="179"/>
    <cfRule type="duplicateValues" dxfId="804" priority="180"/>
  </conditionalFormatting>
  <conditionalFormatting sqref="B160">
    <cfRule type="duplicateValues" dxfId="803" priority="171"/>
    <cfRule type="duplicateValues" dxfId="802" priority="172"/>
    <cfRule type="duplicateValues" dxfId="801" priority="173"/>
    <cfRule type="duplicateValues" dxfId="800" priority="174"/>
    <cfRule type="duplicateValues" dxfId="799" priority="175"/>
  </conditionalFormatting>
  <conditionalFormatting sqref="B161">
    <cfRule type="duplicateValues" dxfId="798" priority="167"/>
    <cfRule type="duplicateValues" dxfId="797" priority="168"/>
    <cfRule type="duplicateValues" dxfId="796" priority="169"/>
    <cfRule type="duplicateValues" dxfId="795" priority="170"/>
  </conditionalFormatting>
  <conditionalFormatting sqref="B162:B303 B2 B24:B159">
    <cfRule type="duplicateValues" dxfId="794" priority="176"/>
  </conditionalFormatting>
  <conditionalFormatting sqref="B162:B303 B151:B155 B2 B157:B159">
    <cfRule type="duplicateValues" dxfId="793" priority="199"/>
  </conditionalFormatting>
  <conditionalFormatting sqref="B162:B303 B151:B155 B157:B159 B2 B24:B149">
    <cfRule type="duplicateValues" dxfId="792" priority="187"/>
  </conditionalFormatting>
  <conditionalFormatting sqref="B162:B303 B157:B159 B2 B24:B155">
    <cfRule type="duplicateValues" dxfId="791" priority="181"/>
    <cfRule type="duplicateValues" dxfId="790" priority="182"/>
  </conditionalFormatting>
  <conditionalFormatting sqref="B304:B340">
    <cfRule type="duplicateValues" dxfId="789" priority="213"/>
    <cfRule type="duplicateValues" dxfId="788" priority="214"/>
    <cfRule type="duplicateValues" dxfId="787" priority="215"/>
    <cfRule type="duplicateValues" dxfId="786" priority="216"/>
    <cfRule type="duplicateValues" dxfId="785" priority="217"/>
    <cfRule type="duplicateValues" dxfId="784" priority="218"/>
    <cfRule type="duplicateValues" dxfId="783" priority="219"/>
    <cfRule type="duplicateValues" dxfId="782" priority="220"/>
    <cfRule type="duplicateValues" dxfId="781" priority="221"/>
  </conditionalFormatting>
  <conditionalFormatting sqref="B341:B360">
    <cfRule type="duplicateValues" dxfId="780" priority="156"/>
    <cfRule type="duplicateValues" dxfId="779" priority="157"/>
    <cfRule type="duplicateValues" dxfId="778" priority="158"/>
    <cfRule type="duplicateValues" dxfId="777" priority="159"/>
    <cfRule type="duplicateValues" dxfId="776" priority="160"/>
    <cfRule type="duplicateValues" dxfId="775" priority="161"/>
    <cfRule type="duplicateValues" dxfId="774" priority="162"/>
    <cfRule type="duplicateValues" dxfId="773" priority="163"/>
    <cfRule type="duplicateValues" dxfId="772" priority="164"/>
    <cfRule type="duplicateValues" dxfId="771" priority="165"/>
    <cfRule type="duplicateValues" dxfId="770" priority="166"/>
  </conditionalFormatting>
  <conditionalFormatting sqref="B357">
    <cfRule type="duplicateValues" dxfId="769" priority="145"/>
    <cfRule type="duplicateValues" dxfId="768" priority="146"/>
    <cfRule type="duplicateValues" dxfId="767" priority="147"/>
    <cfRule type="duplicateValues" dxfId="766" priority="148"/>
    <cfRule type="duplicateValues" dxfId="765" priority="149"/>
    <cfRule type="duplicateValues" dxfId="764" priority="150"/>
    <cfRule type="duplicateValues" dxfId="763" priority="151"/>
    <cfRule type="duplicateValues" dxfId="762" priority="152"/>
    <cfRule type="duplicateValues" dxfId="761" priority="153"/>
    <cfRule type="duplicateValues" dxfId="760" priority="154"/>
    <cfRule type="duplicateValues" dxfId="759" priority="155"/>
  </conditionalFormatting>
  <conditionalFormatting sqref="B361:B404">
    <cfRule type="duplicateValues" dxfId="758" priority="131"/>
    <cfRule type="duplicateValues" dxfId="757" priority="132"/>
    <cfRule type="duplicateValues" dxfId="756" priority="133"/>
    <cfRule type="duplicateValues" dxfId="755" priority="134"/>
    <cfRule type="duplicateValues" dxfId="754" priority="135"/>
    <cfRule type="duplicateValues" dxfId="753" priority="136"/>
    <cfRule type="duplicateValues" dxfId="752" priority="137"/>
    <cfRule type="duplicateValues" dxfId="751" priority="138"/>
    <cfRule type="duplicateValues" dxfId="750" priority="139"/>
    <cfRule type="duplicateValues" dxfId="749" priority="140"/>
    <cfRule type="duplicateValues" dxfId="748" priority="141"/>
    <cfRule type="duplicateValues" dxfId="747" priority="142"/>
  </conditionalFormatting>
  <conditionalFormatting sqref="B362:B367">
    <cfRule type="duplicateValues" dxfId="746" priority="144"/>
  </conditionalFormatting>
  <conditionalFormatting sqref="B369:B404">
    <cfRule type="duplicateValues" dxfId="745" priority="143"/>
  </conditionalFormatting>
  <conditionalFormatting sqref="B405">
    <cfRule type="duplicateValues" dxfId="744" priority="119"/>
  </conditionalFormatting>
  <conditionalFormatting sqref="B405">
    <cfRule type="duplicateValues" dxfId="743" priority="115"/>
  </conditionalFormatting>
  <conditionalFormatting sqref="B405">
    <cfRule type="duplicateValues" dxfId="742" priority="118"/>
  </conditionalFormatting>
  <conditionalFormatting sqref="B405">
    <cfRule type="duplicateValues" dxfId="741" priority="116"/>
    <cfRule type="duplicateValues" dxfId="740" priority="117"/>
  </conditionalFormatting>
  <conditionalFormatting sqref="B405">
    <cfRule type="duplicateValues" dxfId="739" priority="120"/>
    <cfRule type="duplicateValues" dxfId="738" priority="121"/>
    <cfRule type="duplicateValues" dxfId="737" priority="122"/>
    <cfRule type="duplicateValues" dxfId="736" priority="123"/>
    <cfRule type="duplicateValues" dxfId="735" priority="124"/>
    <cfRule type="duplicateValues" dxfId="734" priority="125"/>
  </conditionalFormatting>
  <conditionalFormatting sqref="B405">
    <cfRule type="duplicateValues" dxfId="733" priority="126"/>
  </conditionalFormatting>
  <conditionalFormatting sqref="B405">
    <cfRule type="duplicateValues" dxfId="732" priority="127"/>
  </conditionalFormatting>
  <conditionalFormatting sqref="B405">
    <cfRule type="duplicateValues" dxfId="731" priority="128"/>
  </conditionalFormatting>
  <conditionalFormatting sqref="B405">
    <cfRule type="duplicateValues" dxfId="730" priority="129"/>
  </conditionalFormatting>
  <conditionalFormatting sqref="B405">
    <cfRule type="duplicateValues" dxfId="729" priority="130"/>
  </conditionalFormatting>
  <conditionalFormatting sqref="B24:B303 B2">
    <cfRule type="duplicateValues" dxfId="728" priority="23171"/>
    <cfRule type="duplicateValues" dxfId="727" priority="23172"/>
    <cfRule type="duplicateValues" dxfId="726" priority="23173"/>
    <cfRule type="duplicateValues" dxfId="725" priority="23174"/>
    <cfRule type="duplicateValues" dxfId="724" priority="23175"/>
    <cfRule type="duplicateValues" dxfId="723" priority="23176"/>
  </conditionalFormatting>
  <conditionalFormatting sqref="B10:B23">
    <cfRule type="duplicateValues" dxfId="722" priority="103"/>
  </conditionalFormatting>
  <conditionalFormatting sqref="B10:B23">
    <cfRule type="duplicateValues" dxfId="721" priority="99"/>
  </conditionalFormatting>
  <conditionalFormatting sqref="B10:B23">
    <cfRule type="duplicateValues" dxfId="720" priority="102"/>
  </conditionalFormatting>
  <conditionalFormatting sqref="B10:B23">
    <cfRule type="duplicateValues" dxfId="719" priority="100"/>
    <cfRule type="duplicateValues" dxfId="718" priority="101"/>
  </conditionalFormatting>
  <conditionalFormatting sqref="B10:B23">
    <cfRule type="duplicateValues" dxfId="717" priority="104"/>
    <cfRule type="duplicateValues" dxfId="716" priority="105"/>
    <cfRule type="duplicateValues" dxfId="715" priority="106"/>
    <cfRule type="duplicateValues" dxfId="714" priority="107"/>
    <cfRule type="duplicateValues" dxfId="713" priority="108"/>
    <cfRule type="duplicateValues" dxfId="712" priority="109"/>
  </conditionalFormatting>
  <conditionalFormatting sqref="B10:B23">
    <cfRule type="duplicateValues" dxfId="711" priority="110"/>
  </conditionalFormatting>
  <conditionalFormatting sqref="B10:B23">
    <cfRule type="duplicateValues" dxfId="710" priority="111"/>
  </conditionalFormatting>
  <conditionalFormatting sqref="B10:B23">
    <cfRule type="duplicateValues" dxfId="709" priority="112"/>
  </conditionalFormatting>
  <conditionalFormatting sqref="B10:B23">
    <cfRule type="duplicateValues" dxfId="708" priority="113"/>
  </conditionalFormatting>
  <conditionalFormatting sqref="B10:B23">
    <cfRule type="duplicateValues" dxfId="707" priority="114"/>
  </conditionalFormatting>
  <conditionalFormatting sqref="B5:B9">
    <cfRule type="duplicateValues" dxfId="706" priority="87"/>
  </conditionalFormatting>
  <conditionalFormatting sqref="B5:B9">
    <cfRule type="duplicateValues" dxfId="705" priority="83"/>
  </conditionalFormatting>
  <conditionalFormatting sqref="B5:B9">
    <cfRule type="duplicateValues" dxfId="704" priority="86"/>
  </conditionalFormatting>
  <conditionalFormatting sqref="B5:B9">
    <cfRule type="duplicateValues" dxfId="703" priority="84"/>
    <cfRule type="duplicateValues" dxfId="702" priority="85"/>
  </conditionalFormatting>
  <conditionalFormatting sqref="B5:B9">
    <cfRule type="duplicateValues" dxfId="701" priority="88"/>
    <cfRule type="duplicateValues" dxfId="700" priority="89"/>
    <cfRule type="duplicateValues" dxfId="699" priority="90"/>
    <cfRule type="duplicateValues" dxfId="698" priority="91"/>
    <cfRule type="duplicateValues" dxfId="697" priority="92"/>
    <cfRule type="duplicateValues" dxfId="696" priority="93"/>
  </conditionalFormatting>
  <conditionalFormatting sqref="B5:B9">
    <cfRule type="duplicateValues" dxfId="695" priority="94"/>
  </conditionalFormatting>
  <conditionalFormatting sqref="B5:B9">
    <cfRule type="duplicateValues" dxfId="694" priority="95"/>
  </conditionalFormatting>
  <conditionalFormatting sqref="B5:B9">
    <cfRule type="duplicateValues" dxfId="693" priority="96"/>
  </conditionalFormatting>
  <conditionalFormatting sqref="B5:B9">
    <cfRule type="duplicateValues" dxfId="692" priority="97"/>
  </conditionalFormatting>
  <conditionalFormatting sqref="B5:B9">
    <cfRule type="duplicateValues" dxfId="691" priority="98"/>
  </conditionalFormatting>
  <conditionalFormatting sqref="B5:B9">
    <cfRule type="duplicateValues" dxfId="690" priority="71"/>
  </conditionalFormatting>
  <conditionalFormatting sqref="B5:B9">
    <cfRule type="duplicateValues" dxfId="689" priority="67"/>
  </conditionalFormatting>
  <conditionalFormatting sqref="B5:B9">
    <cfRule type="duplicateValues" dxfId="688" priority="70"/>
  </conditionalFormatting>
  <conditionalFormatting sqref="B5:B9">
    <cfRule type="duplicateValues" dxfId="687" priority="68"/>
    <cfRule type="duplicateValues" dxfId="686" priority="69"/>
  </conditionalFormatting>
  <conditionalFormatting sqref="B5:B9">
    <cfRule type="duplicateValues" dxfId="685" priority="72"/>
    <cfRule type="duplicateValues" dxfId="684" priority="73"/>
    <cfRule type="duplicateValues" dxfId="683" priority="74"/>
    <cfRule type="duplicateValues" dxfId="682" priority="75"/>
    <cfRule type="duplicateValues" dxfId="681" priority="76"/>
    <cfRule type="duplicateValues" dxfId="680" priority="77"/>
  </conditionalFormatting>
  <conditionalFormatting sqref="B5:B9">
    <cfRule type="duplicateValues" dxfId="679" priority="78"/>
  </conditionalFormatting>
  <conditionalFormatting sqref="B5:B9">
    <cfRule type="duplicateValues" dxfId="678" priority="79"/>
  </conditionalFormatting>
  <conditionalFormatting sqref="B5:B9">
    <cfRule type="duplicateValues" dxfId="677" priority="80"/>
  </conditionalFormatting>
  <conditionalFormatting sqref="B5:B9">
    <cfRule type="duplicateValues" dxfId="676" priority="81"/>
  </conditionalFormatting>
  <conditionalFormatting sqref="B5:B9">
    <cfRule type="duplicateValues" dxfId="675" priority="82"/>
  </conditionalFormatting>
  <conditionalFormatting sqref="B406:B409">
    <cfRule type="duplicateValues" dxfId="674" priority="58"/>
  </conditionalFormatting>
  <conditionalFormatting sqref="B406:B409">
    <cfRule type="duplicateValues" dxfId="673" priority="59"/>
    <cfRule type="duplicateValues" dxfId="672" priority="60"/>
  </conditionalFormatting>
  <conditionalFormatting sqref="B406:B409">
    <cfRule type="duplicateValues" dxfId="671" priority="61"/>
    <cfRule type="duplicateValues" dxfId="670" priority="62"/>
    <cfRule type="duplicateValues" dxfId="669" priority="63"/>
    <cfRule type="duplicateValues" dxfId="668" priority="64"/>
    <cfRule type="duplicateValues" dxfId="667" priority="65"/>
    <cfRule type="duplicateValues" dxfId="666" priority="66"/>
  </conditionalFormatting>
  <conditionalFormatting sqref="B3">
    <cfRule type="duplicateValues" dxfId="665" priority="40"/>
  </conditionalFormatting>
  <conditionalFormatting sqref="B3">
    <cfRule type="duplicateValues" dxfId="664" priority="41"/>
    <cfRule type="duplicateValues" dxfId="663" priority="42"/>
  </conditionalFormatting>
  <conditionalFormatting sqref="B3">
    <cfRule type="duplicateValues" dxfId="662" priority="43"/>
    <cfRule type="duplicateValues" dxfId="661" priority="44"/>
    <cfRule type="duplicateValues" dxfId="660" priority="45"/>
    <cfRule type="duplicateValues" dxfId="659" priority="46"/>
    <cfRule type="duplicateValues" dxfId="658" priority="47"/>
    <cfRule type="duplicateValues" dxfId="657" priority="48"/>
  </conditionalFormatting>
  <conditionalFormatting sqref="B4">
    <cfRule type="duplicateValues" dxfId="656" priority="49"/>
  </conditionalFormatting>
  <conditionalFormatting sqref="B4">
    <cfRule type="duplicateValues" dxfId="655" priority="50"/>
    <cfRule type="duplicateValues" dxfId="654" priority="51"/>
  </conditionalFormatting>
  <conditionalFormatting sqref="B4">
    <cfRule type="duplicateValues" dxfId="653" priority="52"/>
    <cfRule type="duplicateValues" dxfId="652" priority="53"/>
    <cfRule type="duplicateValues" dxfId="651" priority="54"/>
    <cfRule type="duplicateValues" dxfId="650" priority="55"/>
    <cfRule type="duplicateValues" dxfId="649" priority="56"/>
    <cfRule type="duplicateValues" dxfId="648" priority="57"/>
  </conditionalFormatting>
  <conditionalFormatting sqref="B410">
    <cfRule type="duplicateValues" dxfId="647" priority="31"/>
  </conditionalFormatting>
  <conditionalFormatting sqref="B410">
    <cfRule type="duplicateValues" dxfId="646" priority="32"/>
    <cfRule type="duplicateValues" dxfId="645" priority="33"/>
  </conditionalFormatting>
  <conditionalFormatting sqref="B410">
    <cfRule type="duplicateValues" dxfId="644" priority="34"/>
    <cfRule type="duplicateValues" dxfId="643" priority="35"/>
    <cfRule type="duplicateValues" dxfId="642" priority="36"/>
    <cfRule type="duplicateValues" dxfId="641" priority="37"/>
    <cfRule type="duplicateValues" dxfId="640" priority="38"/>
    <cfRule type="duplicateValues" dxfId="639" priority="39"/>
  </conditionalFormatting>
  <conditionalFormatting sqref="B411">
    <cfRule type="duplicateValues" dxfId="638" priority="13"/>
  </conditionalFormatting>
  <conditionalFormatting sqref="B411">
    <cfRule type="duplicateValues" dxfId="637" priority="14"/>
    <cfRule type="duplicateValues" dxfId="636" priority="15"/>
  </conditionalFormatting>
  <conditionalFormatting sqref="B411">
    <cfRule type="duplicateValues" dxfId="635" priority="16"/>
    <cfRule type="duplicateValues" dxfId="634" priority="17"/>
    <cfRule type="duplicateValues" dxfId="633" priority="18"/>
    <cfRule type="duplicateValues" dxfId="632" priority="19"/>
    <cfRule type="duplicateValues" dxfId="631" priority="20"/>
    <cfRule type="duplicateValues" dxfId="630" priority="21"/>
  </conditionalFormatting>
  <conditionalFormatting sqref="B411:B426">
    <cfRule type="duplicateValues" dxfId="629" priority="22"/>
  </conditionalFormatting>
  <conditionalFormatting sqref="B411:B426">
    <cfRule type="duplicateValues" dxfId="628" priority="23"/>
    <cfRule type="duplicateValues" dxfId="627" priority="24"/>
  </conditionalFormatting>
  <conditionalFormatting sqref="B411:B426">
    <cfRule type="duplicateValues" dxfId="626" priority="25"/>
    <cfRule type="duplicateValues" dxfId="625" priority="26"/>
    <cfRule type="duplicateValues" dxfId="624" priority="27"/>
    <cfRule type="duplicateValues" dxfId="623" priority="28"/>
    <cfRule type="duplicateValues" dxfId="622" priority="29"/>
    <cfRule type="duplicateValues" dxfId="621" priority="30"/>
  </conditionalFormatting>
  <conditionalFormatting sqref="H2">
    <cfRule type="dataBar" priority="34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{CBC6E1F3-4901-4CB9-8B8A-1C19CC2946A2}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6E1F3-4901-4CB9-8B8A-1C19CC294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2ACB-88BA-44EC-BEF8-517BD8F9CC93}">
  <dimension ref="A1:J15"/>
  <sheetViews>
    <sheetView workbookViewId="0">
      <selection activeCell="J1" sqref="J1"/>
    </sheetView>
  </sheetViews>
  <sheetFormatPr baseColWidth="10" defaultRowHeight="15" x14ac:dyDescent="0.25"/>
  <sheetData>
    <row r="1" spans="1:10" ht="30.75" thickBot="1" x14ac:dyDescent="0.3">
      <c r="A1" s="195" t="s">
        <v>999</v>
      </c>
      <c r="B1" s="196" t="s">
        <v>23</v>
      </c>
      <c r="C1" s="196" t="s">
        <v>1000</v>
      </c>
      <c r="D1" s="196" t="s">
        <v>4732</v>
      </c>
      <c r="E1" s="196" t="s">
        <v>22</v>
      </c>
      <c r="F1" s="196" t="s">
        <v>1001</v>
      </c>
      <c r="G1" s="196" t="s">
        <v>4733</v>
      </c>
      <c r="H1" s="196" t="s">
        <v>4734</v>
      </c>
      <c r="I1" s="197" t="s">
        <v>4735</v>
      </c>
      <c r="J1" s="197" t="s">
        <v>1002</v>
      </c>
    </row>
    <row r="2" spans="1:10" ht="15.75" thickBot="1" x14ac:dyDescent="0.3">
      <c r="A2" s="198">
        <v>7006376</v>
      </c>
      <c r="B2" s="199" t="s">
        <v>4736</v>
      </c>
      <c r="C2" s="199" t="s">
        <v>1312</v>
      </c>
      <c r="D2" s="199" t="s">
        <v>4737</v>
      </c>
      <c r="E2" s="199" t="s">
        <v>4737</v>
      </c>
      <c r="F2" s="199" t="s">
        <v>4447</v>
      </c>
      <c r="G2" s="199" t="s">
        <v>4738</v>
      </c>
      <c r="H2" s="199" t="s">
        <v>4739</v>
      </c>
      <c r="I2" s="200">
        <v>299990</v>
      </c>
      <c r="J2" s="200">
        <v>129990</v>
      </c>
    </row>
    <row r="3" spans="1:10" ht="15.75" thickBot="1" x14ac:dyDescent="0.3">
      <c r="A3" s="198">
        <v>7006543</v>
      </c>
      <c r="B3" s="199" t="s">
        <v>4736</v>
      </c>
      <c r="C3" s="199" t="s">
        <v>1342</v>
      </c>
      <c r="D3" s="199" t="s">
        <v>4737</v>
      </c>
      <c r="E3" s="199" t="s">
        <v>4737</v>
      </c>
      <c r="F3" s="199" t="s">
        <v>4447</v>
      </c>
      <c r="G3" s="199" t="s">
        <v>4738</v>
      </c>
      <c r="H3" s="199" t="s">
        <v>4739</v>
      </c>
      <c r="I3" s="200">
        <v>299990</v>
      </c>
      <c r="J3" s="200">
        <v>129990</v>
      </c>
    </row>
    <row r="4" spans="1:10" ht="15.75" thickBot="1" x14ac:dyDescent="0.3">
      <c r="A4" s="198">
        <v>7006730</v>
      </c>
      <c r="B4" s="199" t="s">
        <v>4736</v>
      </c>
      <c r="C4" s="199" t="s">
        <v>1350</v>
      </c>
      <c r="D4" s="199" t="s">
        <v>4737</v>
      </c>
      <c r="E4" s="199" t="s">
        <v>4737</v>
      </c>
      <c r="F4" s="199" t="s">
        <v>4447</v>
      </c>
      <c r="G4" s="199" t="s">
        <v>4738</v>
      </c>
      <c r="H4" s="199" t="s">
        <v>4739</v>
      </c>
      <c r="I4" s="200">
        <v>299990</v>
      </c>
      <c r="J4" s="200">
        <v>129990</v>
      </c>
    </row>
    <row r="5" spans="1:10" ht="15.75" thickBot="1" x14ac:dyDescent="0.3">
      <c r="A5" s="198">
        <v>7006375</v>
      </c>
      <c r="B5" s="199" t="s">
        <v>4740</v>
      </c>
      <c r="C5" s="199" t="s">
        <v>1311</v>
      </c>
      <c r="D5" s="199" t="s">
        <v>4737</v>
      </c>
      <c r="E5" s="199" t="s">
        <v>4737</v>
      </c>
      <c r="F5" s="199" t="s">
        <v>4447</v>
      </c>
      <c r="G5" s="199" t="s">
        <v>4738</v>
      </c>
      <c r="H5" s="199" t="s">
        <v>4739</v>
      </c>
      <c r="I5" s="200">
        <v>249990</v>
      </c>
      <c r="J5" s="200">
        <v>129990</v>
      </c>
    </row>
    <row r="6" spans="1:10" ht="15.75" thickBot="1" x14ac:dyDescent="0.3">
      <c r="A6" s="198">
        <v>7006542</v>
      </c>
      <c r="B6" s="199" t="s">
        <v>4740</v>
      </c>
      <c r="C6" s="199" t="s">
        <v>1343</v>
      </c>
      <c r="D6" s="199" t="s">
        <v>4737</v>
      </c>
      <c r="E6" s="199" t="s">
        <v>4737</v>
      </c>
      <c r="F6" s="199" t="s">
        <v>4447</v>
      </c>
      <c r="G6" s="199" t="s">
        <v>4738</v>
      </c>
      <c r="H6" s="199" t="s">
        <v>4739</v>
      </c>
      <c r="I6" s="200">
        <v>249990</v>
      </c>
      <c r="J6" s="200">
        <v>129990</v>
      </c>
    </row>
    <row r="7" spans="1:10" ht="15.75" thickBot="1" x14ac:dyDescent="0.3">
      <c r="A7" s="198">
        <v>7006731</v>
      </c>
      <c r="B7" s="199" t="s">
        <v>4740</v>
      </c>
      <c r="C7" s="199" t="s">
        <v>1351</v>
      </c>
      <c r="D7" s="199" t="s">
        <v>4737</v>
      </c>
      <c r="E7" s="199" t="s">
        <v>4737</v>
      </c>
      <c r="F7" s="199" t="s">
        <v>4447</v>
      </c>
      <c r="G7" s="199" t="s">
        <v>4738</v>
      </c>
      <c r="H7" s="199" t="s">
        <v>4739</v>
      </c>
      <c r="I7" s="200">
        <v>249990</v>
      </c>
      <c r="J7" s="200">
        <v>129990</v>
      </c>
    </row>
    <row r="8" spans="1:10" ht="15.75" thickBot="1" x14ac:dyDescent="0.3">
      <c r="A8" s="198">
        <v>7006544</v>
      </c>
      <c r="B8" s="199" t="s">
        <v>4741</v>
      </c>
      <c r="C8" s="199" t="s">
        <v>1344</v>
      </c>
      <c r="D8" s="199" t="s">
        <v>4737</v>
      </c>
      <c r="E8" s="199" t="s">
        <v>4737</v>
      </c>
      <c r="F8" s="199" t="s">
        <v>4447</v>
      </c>
      <c r="G8" s="199" t="s">
        <v>4738</v>
      </c>
      <c r="H8" s="199" t="s">
        <v>4739</v>
      </c>
      <c r="I8" s="200">
        <v>349990</v>
      </c>
      <c r="J8" s="200">
        <v>199990</v>
      </c>
    </row>
    <row r="9" spans="1:10" ht="15.75" thickBot="1" x14ac:dyDescent="0.3">
      <c r="A9" s="198">
        <v>7006377</v>
      </c>
      <c r="B9" s="199" t="s">
        <v>4742</v>
      </c>
      <c r="C9" s="199" t="s">
        <v>1313</v>
      </c>
      <c r="D9" s="199" t="s">
        <v>4737</v>
      </c>
      <c r="E9" s="199" t="s">
        <v>4737</v>
      </c>
      <c r="F9" s="199" t="s">
        <v>4447</v>
      </c>
      <c r="G9" s="199" t="s">
        <v>4738</v>
      </c>
      <c r="H9" s="199" t="s">
        <v>4739</v>
      </c>
      <c r="I9" s="200">
        <v>349990</v>
      </c>
      <c r="J9" s="200">
        <v>199990</v>
      </c>
    </row>
    <row r="10" spans="1:10" ht="15.75" thickBot="1" x14ac:dyDescent="0.3">
      <c r="A10" s="198">
        <v>7006734</v>
      </c>
      <c r="B10" s="199" t="s">
        <v>4743</v>
      </c>
      <c r="C10" s="199" t="s">
        <v>1346</v>
      </c>
      <c r="D10" s="199" t="s">
        <v>4737</v>
      </c>
      <c r="E10" s="199" t="s">
        <v>4737</v>
      </c>
      <c r="F10" s="199" t="s">
        <v>4444</v>
      </c>
      <c r="G10" s="199" t="s">
        <v>4738</v>
      </c>
      <c r="H10" s="199" t="s">
        <v>4538</v>
      </c>
      <c r="I10" s="200">
        <v>199990</v>
      </c>
      <c r="J10" s="200">
        <v>129990</v>
      </c>
    </row>
    <row r="11" spans="1:10" ht="15.75" thickBot="1" x14ac:dyDescent="0.3">
      <c r="A11" s="198">
        <v>7006735</v>
      </c>
      <c r="B11" s="199" t="s">
        <v>4743</v>
      </c>
      <c r="C11" s="199" t="s">
        <v>3363</v>
      </c>
      <c r="D11" s="199" t="s">
        <v>4737</v>
      </c>
      <c r="E11" s="199" t="s">
        <v>4737</v>
      </c>
      <c r="F11" s="199" t="s">
        <v>4444</v>
      </c>
      <c r="G11" s="199" t="s">
        <v>4738</v>
      </c>
      <c r="H11" s="199" t="s">
        <v>4538</v>
      </c>
      <c r="I11" s="200">
        <v>199990</v>
      </c>
      <c r="J11" s="200">
        <v>129990</v>
      </c>
    </row>
    <row r="12" spans="1:10" ht="15.75" thickBot="1" x14ac:dyDescent="0.3">
      <c r="A12" s="198">
        <v>7006911</v>
      </c>
      <c r="B12" s="199" t="s">
        <v>4744</v>
      </c>
      <c r="C12" s="199" t="s">
        <v>4745</v>
      </c>
      <c r="D12" s="199" t="s">
        <v>4746</v>
      </c>
      <c r="E12" s="199" t="s">
        <v>4737</v>
      </c>
      <c r="F12" s="199" t="s">
        <v>4447</v>
      </c>
      <c r="G12" s="199" t="s">
        <v>4738</v>
      </c>
      <c r="H12" s="199" t="s">
        <v>4538</v>
      </c>
      <c r="I12" s="200">
        <v>169990</v>
      </c>
      <c r="J12" s="200">
        <v>99990</v>
      </c>
    </row>
    <row r="13" spans="1:10" ht="15.75" thickBot="1" x14ac:dyDescent="0.3">
      <c r="A13" s="198">
        <v>7006910</v>
      </c>
      <c r="B13" s="199" t="s">
        <v>4744</v>
      </c>
      <c r="C13" s="199" t="s">
        <v>4747</v>
      </c>
      <c r="D13" s="199" t="s">
        <v>4746</v>
      </c>
      <c r="E13" s="199" t="s">
        <v>4737</v>
      </c>
      <c r="F13" s="199" t="s">
        <v>4447</v>
      </c>
      <c r="G13" s="199" t="s">
        <v>4738</v>
      </c>
      <c r="H13" s="199" t="s">
        <v>4538</v>
      </c>
      <c r="I13" s="200">
        <v>169990</v>
      </c>
      <c r="J13" s="200">
        <v>99990</v>
      </c>
    </row>
    <row r="14" spans="1:10" ht="15.75" thickBot="1" x14ac:dyDescent="0.3">
      <c r="A14" s="198">
        <v>7006754</v>
      </c>
      <c r="B14" s="199" t="s">
        <v>4748</v>
      </c>
      <c r="C14" s="199" t="s">
        <v>2877</v>
      </c>
      <c r="D14" s="199" t="s">
        <v>4749</v>
      </c>
      <c r="E14" s="199" t="s">
        <v>4737</v>
      </c>
      <c r="F14" s="199" t="s">
        <v>4447</v>
      </c>
      <c r="G14" s="199" t="s">
        <v>4738</v>
      </c>
      <c r="H14" s="199" t="s">
        <v>4538</v>
      </c>
      <c r="I14" s="200">
        <v>49990</v>
      </c>
      <c r="J14" s="200">
        <v>32990</v>
      </c>
    </row>
    <row r="15" spans="1:10" ht="15.75" thickBot="1" x14ac:dyDescent="0.3">
      <c r="A15" s="198">
        <v>7006753</v>
      </c>
      <c r="B15" s="199" t="s">
        <v>4748</v>
      </c>
      <c r="C15" s="199" t="s">
        <v>2878</v>
      </c>
      <c r="D15" s="199" t="s">
        <v>4749</v>
      </c>
      <c r="E15" s="199" t="s">
        <v>4737</v>
      </c>
      <c r="F15" s="199" t="s">
        <v>4447</v>
      </c>
      <c r="G15" s="199" t="s">
        <v>4738</v>
      </c>
      <c r="H15" s="199" t="s">
        <v>4538</v>
      </c>
      <c r="I15" s="200">
        <v>49990</v>
      </c>
      <c r="J15" s="200">
        <v>32990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B2:G9"/>
  <sheetViews>
    <sheetView showGridLines="0" zoomScaleNormal="100" workbookViewId="0">
      <selection activeCell="E9" sqref="E9"/>
    </sheetView>
  </sheetViews>
  <sheetFormatPr baseColWidth="10" defaultColWidth="11.42578125" defaultRowHeight="15.75" x14ac:dyDescent="0.25"/>
  <cols>
    <col min="1" max="1" width="3.85546875" style="4" customWidth="1"/>
    <col min="2" max="4" width="17.7109375" style="4" customWidth="1"/>
    <col min="5" max="5" width="12.42578125" bestFit="1" customWidth="1"/>
    <col min="6" max="6" width="14.42578125" bestFit="1" customWidth="1"/>
    <col min="7" max="7" width="14.28515625" bestFit="1" customWidth="1"/>
    <col min="8" max="16384" width="11.42578125" style="4"/>
  </cols>
  <sheetData>
    <row r="2" spans="2:4" x14ac:dyDescent="0.25">
      <c r="B2" s="237" t="s">
        <v>1352</v>
      </c>
      <c r="C2" s="238"/>
      <c r="D2" s="239"/>
    </row>
    <row r="3" spans="2:4" x14ac:dyDescent="0.25">
      <c r="B3" s="84" t="s">
        <v>3405</v>
      </c>
      <c r="C3" s="85" t="s">
        <v>3406</v>
      </c>
      <c r="D3" s="86" t="s">
        <v>3404</v>
      </c>
    </row>
    <row r="4" spans="2:4" x14ac:dyDescent="0.25">
      <c r="B4" s="80">
        <v>1750001</v>
      </c>
      <c r="C4" s="81" t="s">
        <v>3407</v>
      </c>
      <c r="D4" s="87">
        <v>12000</v>
      </c>
    </row>
    <row r="5" spans="2:4" x14ac:dyDescent="0.25">
      <c r="B5" s="80">
        <v>1000001</v>
      </c>
      <c r="C5" s="81">
        <v>1750000</v>
      </c>
      <c r="D5" s="88">
        <v>9500</v>
      </c>
    </row>
    <row r="6" spans="2:4" x14ac:dyDescent="0.25">
      <c r="B6" s="80">
        <v>700001</v>
      </c>
      <c r="C6" s="81">
        <v>1000000</v>
      </c>
      <c r="D6" s="88">
        <v>7000</v>
      </c>
    </row>
    <row r="7" spans="2:4" x14ac:dyDescent="0.25">
      <c r="B7" s="80">
        <v>300001</v>
      </c>
      <c r="C7" s="81">
        <v>700000</v>
      </c>
      <c r="D7" s="88">
        <v>6000</v>
      </c>
    </row>
    <row r="8" spans="2:4" x14ac:dyDescent="0.25">
      <c r="B8" s="80">
        <v>170001</v>
      </c>
      <c r="C8" s="81">
        <v>300000</v>
      </c>
      <c r="D8" s="88">
        <v>4000</v>
      </c>
    </row>
    <row r="9" spans="2:4" x14ac:dyDescent="0.25">
      <c r="B9" s="82">
        <v>5000</v>
      </c>
      <c r="C9" s="83">
        <v>170000</v>
      </c>
      <c r="D9" s="89">
        <v>2500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G1458"/>
  <sheetViews>
    <sheetView showGridLines="0" zoomScale="74" zoomScaleNormal="120" workbookViewId="0">
      <pane ySplit="1" topLeftCell="A1440" activePane="bottomLeft" state="frozen"/>
      <selection pane="bottomLeft" activeCell="A1446" sqref="A1446"/>
    </sheetView>
  </sheetViews>
  <sheetFormatPr baseColWidth="10" defaultColWidth="11.42578125" defaultRowHeight="15" x14ac:dyDescent="0.25"/>
  <cols>
    <col min="1" max="1" width="44.5703125" style="2" bestFit="1" customWidth="1"/>
    <col min="2" max="2" width="10.140625" style="2" bestFit="1" customWidth="1"/>
    <col min="3" max="3" width="19.85546875" style="1" bestFit="1" customWidth="1"/>
    <col min="4" max="4" width="28.85546875" style="2" bestFit="1" customWidth="1"/>
    <col min="5" max="5" width="52.7109375" style="2" bestFit="1" customWidth="1"/>
    <col min="6" max="6" width="11.85546875" style="1" bestFit="1" customWidth="1"/>
    <col min="7" max="7" width="9.140625" style="50" bestFit="1" customWidth="1"/>
    <col min="8" max="16384" width="11.42578125" style="50"/>
  </cols>
  <sheetData>
    <row r="1" spans="1:6" s="1" customFormat="1" ht="26.25" customHeight="1" x14ac:dyDescent="0.25">
      <c r="A1" s="26" t="s">
        <v>1353</v>
      </c>
      <c r="B1" s="26" t="s">
        <v>999</v>
      </c>
      <c r="C1" s="26" t="s">
        <v>1354</v>
      </c>
      <c r="D1" s="26" t="s">
        <v>1355</v>
      </c>
      <c r="E1" s="26" t="s">
        <v>1356</v>
      </c>
      <c r="F1" s="26" t="s">
        <v>1357</v>
      </c>
    </row>
    <row r="2" spans="1:6" x14ac:dyDescent="0.25">
      <c r="A2" s="48" t="s">
        <v>1358</v>
      </c>
      <c r="B2" s="27">
        <v>70003050</v>
      </c>
      <c r="C2" s="47">
        <v>2</v>
      </c>
      <c r="D2" s="48" t="s">
        <v>1359</v>
      </c>
      <c r="E2" s="48" t="s">
        <v>1360</v>
      </c>
      <c r="F2" s="47" t="s">
        <v>63</v>
      </c>
    </row>
    <row r="3" spans="1:6" x14ac:dyDescent="0.25">
      <c r="A3" s="48" t="s">
        <v>1361</v>
      </c>
      <c r="B3" s="27">
        <v>70003056</v>
      </c>
      <c r="C3" s="47">
        <v>2</v>
      </c>
      <c r="D3" s="48" t="s">
        <v>1359</v>
      </c>
      <c r="E3" s="48" t="s">
        <v>1362</v>
      </c>
      <c r="F3" s="47" t="s">
        <v>63</v>
      </c>
    </row>
    <row r="4" spans="1:6" x14ac:dyDescent="0.25">
      <c r="A4" s="48" t="s">
        <v>1363</v>
      </c>
      <c r="B4" s="27">
        <v>70003057</v>
      </c>
      <c r="C4" s="47">
        <v>2</v>
      </c>
      <c r="D4" s="48" t="s">
        <v>1359</v>
      </c>
      <c r="E4" s="48" t="s">
        <v>1364</v>
      </c>
      <c r="F4" s="47" t="s">
        <v>63</v>
      </c>
    </row>
    <row r="5" spans="1:6" x14ac:dyDescent="0.25">
      <c r="A5" s="48" t="s">
        <v>1365</v>
      </c>
      <c r="B5" s="27">
        <v>70003058</v>
      </c>
      <c r="C5" s="47">
        <v>2</v>
      </c>
      <c r="D5" s="48" t="s">
        <v>1359</v>
      </c>
      <c r="E5" s="48" t="s">
        <v>1366</v>
      </c>
      <c r="F5" s="47" t="s">
        <v>63</v>
      </c>
    </row>
    <row r="6" spans="1:6" x14ac:dyDescent="0.25">
      <c r="A6" s="48" t="s">
        <v>1367</v>
      </c>
      <c r="B6" s="27">
        <v>70004571</v>
      </c>
      <c r="C6" s="47">
        <v>1</v>
      </c>
      <c r="D6" s="48" t="s">
        <v>1359</v>
      </c>
      <c r="E6" s="48" t="s">
        <v>1368</v>
      </c>
      <c r="F6" s="47" t="s">
        <v>904</v>
      </c>
    </row>
    <row r="7" spans="1:6" x14ac:dyDescent="0.25">
      <c r="A7" s="48" t="s">
        <v>995</v>
      </c>
      <c r="B7" s="27">
        <v>70007713</v>
      </c>
      <c r="C7" s="47">
        <v>1</v>
      </c>
      <c r="D7" s="48" t="s">
        <v>1359</v>
      </c>
      <c r="E7" s="48" t="s">
        <v>1369</v>
      </c>
      <c r="F7" s="47" t="s">
        <v>46</v>
      </c>
    </row>
    <row r="8" spans="1:6" x14ac:dyDescent="0.25">
      <c r="A8" s="48" t="s">
        <v>994</v>
      </c>
      <c r="B8" s="48">
        <v>70007716</v>
      </c>
      <c r="C8" s="47">
        <v>1</v>
      </c>
      <c r="D8" s="48" t="s">
        <v>1359</v>
      </c>
      <c r="E8" s="48" t="s">
        <v>1370</v>
      </c>
      <c r="F8" s="47" t="s">
        <v>46</v>
      </c>
    </row>
    <row r="9" spans="1:6" x14ac:dyDescent="0.25">
      <c r="A9" s="48" t="s">
        <v>993</v>
      </c>
      <c r="B9" s="48">
        <v>70007791</v>
      </c>
      <c r="C9" s="47">
        <v>2</v>
      </c>
      <c r="D9" s="48" t="s">
        <v>1359</v>
      </c>
      <c r="E9" s="48" t="s">
        <v>1371</v>
      </c>
      <c r="F9" s="47" t="s">
        <v>63</v>
      </c>
    </row>
    <row r="10" spans="1:6" x14ac:dyDescent="0.25">
      <c r="A10" s="48" t="s">
        <v>992</v>
      </c>
      <c r="B10" s="48">
        <v>70007794</v>
      </c>
      <c r="C10" s="47">
        <v>2</v>
      </c>
      <c r="D10" s="48" t="s">
        <v>1359</v>
      </c>
      <c r="E10" s="48" t="s">
        <v>1371</v>
      </c>
      <c r="F10" s="47" t="s">
        <v>63</v>
      </c>
    </row>
    <row r="11" spans="1:6" x14ac:dyDescent="0.25">
      <c r="A11" s="48" t="s">
        <v>1372</v>
      </c>
      <c r="B11" s="48">
        <v>70007806</v>
      </c>
      <c r="C11" s="47">
        <v>2</v>
      </c>
      <c r="D11" s="48" t="s">
        <v>1359</v>
      </c>
      <c r="E11" s="48" t="s">
        <v>1373</v>
      </c>
      <c r="F11" s="47" t="s">
        <v>63</v>
      </c>
    </row>
    <row r="12" spans="1:6" x14ac:dyDescent="0.25">
      <c r="A12" s="48" t="s">
        <v>991</v>
      </c>
      <c r="B12" s="27">
        <v>70008006</v>
      </c>
      <c r="C12" s="47">
        <v>1</v>
      </c>
      <c r="D12" s="48" t="s">
        <v>1359</v>
      </c>
      <c r="E12" s="48" t="s">
        <v>1374</v>
      </c>
      <c r="F12" s="47" t="s">
        <v>904</v>
      </c>
    </row>
    <row r="13" spans="1:6" x14ac:dyDescent="0.25">
      <c r="A13" s="48" t="s">
        <v>1375</v>
      </c>
      <c r="B13" s="27">
        <v>70008032</v>
      </c>
      <c r="C13" s="47">
        <v>1</v>
      </c>
      <c r="D13" s="48" t="s">
        <v>1359</v>
      </c>
      <c r="E13" s="48" t="s">
        <v>1376</v>
      </c>
      <c r="F13" s="47" t="s">
        <v>904</v>
      </c>
    </row>
    <row r="14" spans="1:6" x14ac:dyDescent="0.25">
      <c r="A14" s="48" t="s">
        <v>1377</v>
      </c>
      <c r="B14" s="48">
        <v>70008039</v>
      </c>
      <c r="C14" s="47">
        <v>1</v>
      </c>
      <c r="D14" s="48" t="s">
        <v>1359</v>
      </c>
      <c r="E14" s="48" t="s">
        <v>1378</v>
      </c>
      <c r="F14" s="47" t="s">
        <v>46</v>
      </c>
    </row>
    <row r="15" spans="1:6" x14ac:dyDescent="0.25">
      <c r="A15" s="48" t="s">
        <v>1379</v>
      </c>
      <c r="B15" s="27">
        <v>70008046</v>
      </c>
      <c r="C15" s="47">
        <v>3</v>
      </c>
      <c r="D15" s="48" t="s">
        <v>1359</v>
      </c>
      <c r="E15" s="48" t="s">
        <v>1380</v>
      </c>
      <c r="F15" s="47" t="s">
        <v>46</v>
      </c>
    </row>
    <row r="16" spans="1:6" x14ac:dyDescent="0.25">
      <c r="A16" s="48" t="s">
        <v>1381</v>
      </c>
      <c r="B16" s="27">
        <v>70008104</v>
      </c>
      <c r="C16" s="47">
        <v>3</v>
      </c>
      <c r="D16" s="48" t="s">
        <v>1359</v>
      </c>
      <c r="E16" s="48" t="s">
        <v>1382</v>
      </c>
      <c r="F16" s="47" t="s">
        <v>46</v>
      </c>
    </row>
    <row r="17" spans="1:6" x14ac:dyDescent="0.25">
      <c r="A17" s="48" t="s">
        <v>990</v>
      </c>
      <c r="B17" s="27">
        <v>70008113</v>
      </c>
      <c r="C17" s="47">
        <v>1</v>
      </c>
      <c r="D17" s="48" t="s">
        <v>1359</v>
      </c>
      <c r="E17" s="48" t="s">
        <v>1383</v>
      </c>
      <c r="F17" s="47" t="s">
        <v>46</v>
      </c>
    </row>
    <row r="18" spans="1:6" x14ac:dyDescent="0.25">
      <c r="A18" s="48" t="s">
        <v>989</v>
      </c>
      <c r="B18" s="27">
        <v>70008116</v>
      </c>
      <c r="C18" s="47">
        <v>1</v>
      </c>
      <c r="D18" s="48" t="s">
        <v>1359</v>
      </c>
      <c r="E18" s="48" t="s">
        <v>1384</v>
      </c>
      <c r="F18" s="47" t="s">
        <v>46</v>
      </c>
    </row>
    <row r="19" spans="1:6" x14ac:dyDescent="0.25">
      <c r="A19" s="48" t="s">
        <v>988</v>
      </c>
      <c r="B19" s="27">
        <v>70008199</v>
      </c>
      <c r="C19" s="47">
        <v>1</v>
      </c>
      <c r="D19" s="48" t="s">
        <v>1359</v>
      </c>
      <c r="E19" s="48" t="s">
        <v>1385</v>
      </c>
      <c r="F19" s="47" t="s">
        <v>46</v>
      </c>
    </row>
    <row r="20" spans="1:6" x14ac:dyDescent="0.25">
      <c r="A20" s="48" t="s">
        <v>1386</v>
      </c>
      <c r="B20" s="27">
        <v>70008230</v>
      </c>
      <c r="C20" s="47">
        <v>1</v>
      </c>
      <c r="D20" s="48" t="s">
        <v>1359</v>
      </c>
      <c r="E20" s="48" t="s">
        <v>1387</v>
      </c>
      <c r="F20" s="47" t="s">
        <v>131</v>
      </c>
    </row>
    <row r="21" spans="1:6" x14ac:dyDescent="0.25">
      <c r="A21" s="48" t="s">
        <v>1388</v>
      </c>
      <c r="B21" s="27">
        <v>70008233</v>
      </c>
      <c r="C21" s="47">
        <v>1</v>
      </c>
      <c r="D21" s="48" t="s">
        <v>1359</v>
      </c>
      <c r="E21" s="48" t="s">
        <v>1389</v>
      </c>
      <c r="F21" s="47" t="s">
        <v>131</v>
      </c>
    </row>
    <row r="22" spans="1:6" x14ac:dyDescent="0.25">
      <c r="A22" s="48" t="s">
        <v>986</v>
      </c>
      <c r="B22" s="27">
        <v>70008236</v>
      </c>
      <c r="C22" s="47">
        <v>1</v>
      </c>
      <c r="D22" s="48" t="s">
        <v>1359</v>
      </c>
      <c r="E22" s="48" t="s">
        <v>1390</v>
      </c>
      <c r="F22" s="47" t="s">
        <v>131</v>
      </c>
    </row>
    <row r="23" spans="1:6" x14ac:dyDescent="0.25">
      <c r="A23" s="48" t="s">
        <v>1391</v>
      </c>
      <c r="B23" s="27">
        <v>70008248</v>
      </c>
      <c r="C23" s="47">
        <v>3</v>
      </c>
      <c r="D23" s="48" t="s">
        <v>1359</v>
      </c>
      <c r="E23" s="48" t="s">
        <v>1392</v>
      </c>
      <c r="F23" s="47" t="s">
        <v>904</v>
      </c>
    </row>
    <row r="24" spans="1:6" x14ac:dyDescent="0.25">
      <c r="A24" s="48" t="s">
        <v>1393</v>
      </c>
      <c r="B24" s="27">
        <v>70008251</v>
      </c>
      <c r="C24" s="47">
        <v>1</v>
      </c>
      <c r="D24" s="48" t="s">
        <v>1359</v>
      </c>
      <c r="E24" s="48" t="s">
        <v>1393</v>
      </c>
      <c r="F24" s="47" t="s">
        <v>904</v>
      </c>
    </row>
    <row r="25" spans="1:6" x14ac:dyDescent="0.25">
      <c r="A25" s="48" t="s">
        <v>1394</v>
      </c>
      <c r="B25" s="27">
        <v>70008257</v>
      </c>
      <c r="C25" s="47">
        <v>1</v>
      </c>
      <c r="D25" s="48" t="s">
        <v>1359</v>
      </c>
      <c r="E25" s="48" t="s">
        <v>1394</v>
      </c>
      <c r="F25" s="47" t="s">
        <v>904</v>
      </c>
    </row>
    <row r="26" spans="1:6" x14ac:dyDescent="0.25">
      <c r="A26" s="48" t="s">
        <v>1395</v>
      </c>
      <c r="B26" s="27">
        <v>70008259</v>
      </c>
      <c r="C26" s="47">
        <v>3</v>
      </c>
      <c r="D26" s="48" t="s">
        <v>1359</v>
      </c>
      <c r="E26" s="48" t="s">
        <v>1395</v>
      </c>
      <c r="F26" s="47" t="s">
        <v>904</v>
      </c>
    </row>
    <row r="27" spans="1:6" x14ac:dyDescent="0.25">
      <c r="A27" s="48" t="s">
        <v>985</v>
      </c>
      <c r="B27" s="27">
        <v>70008261</v>
      </c>
      <c r="C27" s="47">
        <v>3</v>
      </c>
      <c r="D27" s="48" t="s">
        <v>1359</v>
      </c>
      <c r="E27" s="48" t="s">
        <v>985</v>
      </c>
      <c r="F27" s="47" t="s">
        <v>904</v>
      </c>
    </row>
    <row r="28" spans="1:6" x14ac:dyDescent="0.25">
      <c r="A28" s="48" t="s">
        <v>1396</v>
      </c>
      <c r="B28" s="27">
        <v>70008264</v>
      </c>
      <c r="C28" s="47">
        <v>3</v>
      </c>
      <c r="D28" s="48" t="s">
        <v>1359</v>
      </c>
      <c r="E28" s="48" t="s">
        <v>1397</v>
      </c>
      <c r="F28" s="47" t="s">
        <v>904</v>
      </c>
    </row>
    <row r="29" spans="1:6" x14ac:dyDescent="0.25">
      <c r="A29" s="48" t="s">
        <v>1398</v>
      </c>
      <c r="B29" s="27">
        <v>70008269</v>
      </c>
      <c r="C29" s="47">
        <v>1</v>
      </c>
      <c r="D29" s="48" t="s">
        <v>1359</v>
      </c>
      <c r="E29" s="48" t="s">
        <v>1398</v>
      </c>
      <c r="F29" s="47" t="s">
        <v>904</v>
      </c>
    </row>
    <row r="30" spans="1:6" x14ac:dyDescent="0.25">
      <c r="A30" s="48" t="s">
        <v>1399</v>
      </c>
      <c r="B30" s="27">
        <v>70008271</v>
      </c>
      <c r="C30" s="47">
        <v>1</v>
      </c>
      <c r="D30" s="48" t="s">
        <v>1359</v>
      </c>
      <c r="E30" s="48" t="s">
        <v>1399</v>
      </c>
      <c r="F30" s="47" t="s">
        <v>904</v>
      </c>
    </row>
    <row r="31" spans="1:6" x14ac:dyDescent="0.25">
      <c r="A31" s="48" t="s">
        <v>1400</v>
      </c>
      <c r="B31" s="27">
        <v>70008273</v>
      </c>
      <c r="C31" s="47">
        <v>3</v>
      </c>
      <c r="D31" s="48" t="s">
        <v>1359</v>
      </c>
      <c r="E31" s="48" t="s">
        <v>1400</v>
      </c>
      <c r="F31" s="47" t="s">
        <v>904</v>
      </c>
    </row>
    <row r="32" spans="1:6" x14ac:dyDescent="0.25">
      <c r="A32" s="48" t="s">
        <v>1401</v>
      </c>
      <c r="B32" s="27">
        <v>70008275</v>
      </c>
      <c r="C32" s="47">
        <v>3</v>
      </c>
      <c r="D32" s="48" t="s">
        <v>1359</v>
      </c>
      <c r="E32" s="48" t="s">
        <v>1401</v>
      </c>
      <c r="F32" s="47" t="s">
        <v>904</v>
      </c>
    </row>
    <row r="33" spans="1:6" x14ac:dyDescent="0.25">
      <c r="A33" s="48" t="s">
        <v>1402</v>
      </c>
      <c r="B33" s="27">
        <v>70008277</v>
      </c>
      <c r="C33" s="47">
        <v>3</v>
      </c>
      <c r="D33" s="48" t="s">
        <v>1359</v>
      </c>
      <c r="E33" s="48" t="s">
        <v>1403</v>
      </c>
      <c r="F33" s="47" t="s">
        <v>904</v>
      </c>
    </row>
    <row r="34" spans="1:6" x14ac:dyDescent="0.25">
      <c r="A34" s="48" t="s">
        <v>1404</v>
      </c>
      <c r="B34" s="27">
        <v>70008279</v>
      </c>
      <c r="C34" s="47">
        <v>3</v>
      </c>
      <c r="D34" s="48" t="s">
        <v>1359</v>
      </c>
      <c r="E34" s="48" t="s">
        <v>1405</v>
      </c>
      <c r="F34" s="47" t="s">
        <v>904</v>
      </c>
    </row>
    <row r="35" spans="1:6" x14ac:dyDescent="0.25">
      <c r="A35" s="48" t="s">
        <v>1406</v>
      </c>
      <c r="B35" s="27">
        <v>70008314</v>
      </c>
      <c r="C35" s="47">
        <v>2</v>
      </c>
      <c r="D35" s="48" t="s">
        <v>1359</v>
      </c>
      <c r="E35" s="48" t="s">
        <v>1407</v>
      </c>
      <c r="F35" s="47" t="s">
        <v>63</v>
      </c>
    </row>
    <row r="36" spans="1:6" x14ac:dyDescent="0.25">
      <c r="A36" s="48" t="s">
        <v>1408</v>
      </c>
      <c r="B36" s="27">
        <v>70008317</v>
      </c>
      <c r="C36" s="47">
        <v>2</v>
      </c>
      <c r="D36" s="48" t="s">
        <v>1359</v>
      </c>
      <c r="E36" s="48" t="s">
        <v>1407</v>
      </c>
      <c r="F36" s="47" t="s">
        <v>63</v>
      </c>
    </row>
    <row r="37" spans="1:6" x14ac:dyDescent="0.25">
      <c r="A37" s="48" t="s">
        <v>1409</v>
      </c>
      <c r="B37" s="27">
        <v>70008320</v>
      </c>
      <c r="C37" s="47">
        <v>2</v>
      </c>
      <c r="D37" s="48" t="s">
        <v>1359</v>
      </c>
      <c r="E37" s="48" t="s">
        <v>1407</v>
      </c>
      <c r="F37" s="47" t="s">
        <v>63</v>
      </c>
    </row>
    <row r="38" spans="1:6" x14ac:dyDescent="0.25">
      <c r="A38" s="48" t="s">
        <v>1410</v>
      </c>
      <c r="B38" s="27">
        <v>70008323</v>
      </c>
      <c r="C38" s="47">
        <v>2</v>
      </c>
      <c r="D38" s="48" t="s">
        <v>1359</v>
      </c>
      <c r="E38" s="48" t="s">
        <v>1411</v>
      </c>
      <c r="F38" s="47" t="s">
        <v>63</v>
      </c>
    </row>
    <row r="39" spans="1:6" x14ac:dyDescent="0.25">
      <c r="A39" s="48" t="s">
        <v>1412</v>
      </c>
      <c r="B39" s="27">
        <v>70008326</v>
      </c>
      <c r="C39" s="47">
        <v>2</v>
      </c>
      <c r="D39" s="48" t="s">
        <v>1359</v>
      </c>
      <c r="E39" s="48" t="s">
        <v>1413</v>
      </c>
      <c r="F39" s="47" t="s">
        <v>63</v>
      </c>
    </row>
    <row r="40" spans="1:6" x14ac:dyDescent="0.25">
      <c r="A40" s="48" t="s">
        <v>1414</v>
      </c>
      <c r="B40" s="27">
        <v>70008329</v>
      </c>
      <c r="C40" s="47">
        <v>2</v>
      </c>
      <c r="D40" s="48" t="s">
        <v>1359</v>
      </c>
      <c r="E40" s="48" t="s">
        <v>1415</v>
      </c>
      <c r="F40" s="47" t="s">
        <v>63</v>
      </c>
    </row>
    <row r="41" spans="1:6" x14ac:dyDescent="0.25">
      <c r="A41" s="48" t="s">
        <v>1416</v>
      </c>
      <c r="B41" s="27">
        <v>70008397</v>
      </c>
      <c r="C41" s="47">
        <v>1</v>
      </c>
      <c r="D41" s="48" t="s">
        <v>1359</v>
      </c>
      <c r="E41" s="48" t="s">
        <v>1417</v>
      </c>
      <c r="F41" s="47" t="s">
        <v>904</v>
      </c>
    </row>
    <row r="42" spans="1:6" x14ac:dyDescent="0.25">
      <c r="A42" s="48" t="s">
        <v>1418</v>
      </c>
      <c r="B42" s="27">
        <v>70008400</v>
      </c>
      <c r="C42" s="47">
        <v>1</v>
      </c>
      <c r="D42" s="48" t="s">
        <v>1359</v>
      </c>
      <c r="E42" s="48" t="s">
        <v>1419</v>
      </c>
      <c r="F42" s="47" t="s">
        <v>904</v>
      </c>
    </row>
    <row r="43" spans="1:6" x14ac:dyDescent="0.25">
      <c r="A43" s="48" t="s">
        <v>1420</v>
      </c>
      <c r="B43" s="27">
        <v>70008403</v>
      </c>
      <c r="C43" s="47">
        <v>1</v>
      </c>
      <c r="D43" s="48" t="s">
        <v>1359</v>
      </c>
      <c r="E43" s="48" t="s">
        <v>1421</v>
      </c>
      <c r="F43" s="47" t="s">
        <v>904</v>
      </c>
    </row>
    <row r="44" spans="1:6" x14ac:dyDescent="0.25">
      <c r="A44" s="48" t="s">
        <v>1422</v>
      </c>
      <c r="B44" s="27">
        <v>70008406</v>
      </c>
      <c r="C44" s="47">
        <v>1</v>
      </c>
      <c r="D44" s="48" t="s">
        <v>1359</v>
      </c>
      <c r="E44" s="48" t="s">
        <v>1423</v>
      </c>
      <c r="F44" s="47" t="s">
        <v>904</v>
      </c>
    </row>
    <row r="45" spans="1:6" x14ac:dyDescent="0.25">
      <c r="A45" s="48" t="s">
        <v>984</v>
      </c>
      <c r="B45" s="27">
        <v>70008419</v>
      </c>
      <c r="C45" s="47">
        <v>1</v>
      </c>
      <c r="D45" s="48" t="s">
        <v>1359</v>
      </c>
      <c r="E45" s="48" t="s">
        <v>1424</v>
      </c>
      <c r="F45" s="47" t="s">
        <v>87</v>
      </c>
    </row>
    <row r="46" spans="1:6" x14ac:dyDescent="0.25">
      <c r="A46" s="48" t="s">
        <v>1425</v>
      </c>
      <c r="B46" s="27">
        <v>70008422</v>
      </c>
      <c r="C46" s="47">
        <v>1</v>
      </c>
      <c r="D46" s="48" t="s">
        <v>1359</v>
      </c>
      <c r="E46" s="48" t="s">
        <v>1426</v>
      </c>
      <c r="F46" s="47" t="s">
        <v>87</v>
      </c>
    </row>
    <row r="47" spans="1:6" x14ac:dyDescent="0.25">
      <c r="A47" s="48" t="s">
        <v>983</v>
      </c>
      <c r="B47" s="48">
        <v>70008429</v>
      </c>
      <c r="C47" s="47">
        <v>1</v>
      </c>
      <c r="D47" s="48" t="s">
        <v>1359</v>
      </c>
      <c r="E47" s="48" t="s">
        <v>1427</v>
      </c>
      <c r="F47" s="47" t="s">
        <v>87</v>
      </c>
    </row>
    <row r="48" spans="1:6" x14ac:dyDescent="0.25">
      <c r="A48" s="48" t="s">
        <v>982</v>
      </c>
      <c r="B48" s="48">
        <v>70008432</v>
      </c>
      <c r="C48" s="47">
        <v>1</v>
      </c>
      <c r="D48" s="48" t="s">
        <v>1359</v>
      </c>
      <c r="E48" s="48" t="s">
        <v>1427</v>
      </c>
      <c r="F48" s="47" t="s">
        <v>87</v>
      </c>
    </row>
    <row r="49" spans="1:6" x14ac:dyDescent="0.25">
      <c r="A49" s="48" t="s">
        <v>981</v>
      </c>
      <c r="B49" s="27">
        <v>70008438</v>
      </c>
      <c r="C49" s="47">
        <v>1</v>
      </c>
      <c r="D49" s="48" t="s">
        <v>1359</v>
      </c>
      <c r="E49" s="48" t="s">
        <v>1428</v>
      </c>
      <c r="F49" s="47" t="s">
        <v>980</v>
      </c>
    </row>
    <row r="50" spans="1:6" x14ac:dyDescent="0.25">
      <c r="A50" s="48" t="s">
        <v>979</v>
      </c>
      <c r="B50" s="27">
        <v>70008441</v>
      </c>
      <c r="C50" s="47">
        <v>1</v>
      </c>
      <c r="D50" s="48" t="s">
        <v>1359</v>
      </c>
      <c r="E50" s="48" t="s">
        <v>1429</v>
      </c>
      <c r="F50" s="47" t="s">
        <v>131</v>
      </c>
    </row>
    <row r="51" spans="1:6" x14ac:dyDescent="0.25">
      <c r="A51" s="48" t="s">
        <v>1430</v>
      </c>
      <c r="B51" s="27">
        <v>70008444</v>
      </c>
      <c r="C51" s="47">
        <v>3</v>
      </c>
      <c r="D51" s="48" t="s">
        <v>1359</v>
      </c>
      <c r="E51" s="48" t="s">
        <v>1431</v>
      </c>
      <c r="F51" s="47" t="s">
        <v>131</v>
      </c>
    </row>
    <row r="52" spans="1:6" x14ac:dyDescent="0.25">
      <c r="A52" s="48" t="s">
        <v>1432</v>
      </c>
      <c r="B52" s="27">
        <v>70008467</v>
      </c>
      <c r="C52" s="47">
        <v>3</v>
      </c>
      <c r="D52" s="48" t="s">
        <v>1359</v>
      </c>
      <c r="E52" s="48" t="s">
        <v>1433</v>
      </c>
      <c r="F52" s="47" t="s">
        <v>46</v>
      </c>
    </row>
    <row r="53" spans="1:6" x14ac:dyDescent="0.25">
      <c r="A53" s="48" t="s">
        <v>1434</v>
      </c>
      <c r="B53" s="48">
        <v>70008491</v>
      </c>
      <c r="C53" s="47">
        <v>3</v>
      </c>
      <c r="D53" s="48" t="s">
        <v>1359</v>
      </c>
      <c r="E53" s="48" t="s">
        <v>1435</v>
      </c>
      <c r="F53" s="47" t="s">
        <v>46</v>
      </c>
    </row>
    <row r="54" spans="1:6" x14ac:dyDescent="0.25">
      <c r="A54" s="48" t="s">
        <v>1436</v>
      </c>
      <c r="B54" s="27">
        <v>70008504</v>
      </c>
      <c r="C54" s="47">
        <v>1</v>
      </c>
      <c r="D54" s="48" t="s">
        <v>1359</v>
      </c>
      <c r="E54" s="48" t="s">
        <v>1437</v>
      </c>
      <c r="F54" s="47" t="s">
        <v>87</v>
      </c>
    </row>
    <row r="55" spans="1:6" x14ac:dyDescent="0.25">
      <c r="A55" s="48" t="s">
        <v>1438</v>
      </c>
      <c r="B55" s="27">
        <v>70008506</v>
      </c>
      <c r="C55" s="47">
        <v>1</v>
      </c>
      <c r="D55" s="48" t="s">
        <v>1359</v>
      </c>
      <c r="E55" s="48" t="s">
        <v>1438</v>
      </c>
      <c r="F55" s="47" t="s">
        <v>87</v>
      </c>
    </row>
    <row r="56" spans="1:6" x14ac:dyDescent="0.25">
      <c r="A56" s="48" t="s">
        <v>1439</v>
      </c>
      <c r="B56" s="48">
        <v>70008511</v>
      </c>
      <c r="C56" s="47">
        <v>1</v>
      </c>
      <c r="D56" s="48" t="s">
        <v>1359</v>
      </c>
      <c r="E56" s="48" t="s">
        <v>1440</v>
      </c>
      <c r="F56" s="47" t="s">
        <v>87</v>
      </c>
    </row>
    <row r="57" spans="1:6" x14ac:dyDescent="0.25">
      <c r="A57" s="48" t="s">
        <v>977</v>
      </c>
      <c r="B57" s="48">
        <v>70008514</v>
      </c>
      <c r="C57" s="47">
        <v>1</v>
      </c>
      <c r="D57" s="48" t="s">
        <v>1359</v>
      </c>
      <c r="E57" s="48" t="s">
        <v>1440</v>
      </c>
      <c r="F57" s="47" t="s">
        <v>87</v>
      </c>
    </row>
    <row r="58" spans="1:6" x14ac:dyDescent="0.25">
      <c r="A58" s="48" t="s">
        <v>976</v>
      </c>
      <c r="B58" s="27">
        <v>70008565</v>
      </c>
      <c r="C58" s="47">
        <v>1</v>
      </c>
      <c r="D58" s="48" t="s">
        <v>1359</v>
      </c>
      <c r="E58" s="48" t="s">
        <v>1441</v>
      </c>
      <c r="F58" s="47" t="s">
        <v>87</v>
      </c>
    </row>
    <row r="59" spans="1:6" x14ac:dyDescent="0.25">
      <c r="A59" s="48" t="s">
        <v>1442</v>
      </c>
      <c r="B59" s="27">
        <v>70008587</v>
      </c>
      <c r="C59" s="47">
        <v>1</v>
      </c>
      <c r="D59" s="48" t="s">
        <v>1359</v>
      </c>
      <c r="E59" s="48" t="s">
        <v>1443</v>
      </c>
      <c r="F59" s="47" t="s">
        <v>904</v>
      </c>
    </row>
    <row r="60" spans="1:6" x14ac:dyDescent="0.25">
      <c r="A60" s="48" t="s">
        <v>975</v>
      </c>
      <c r="B60" s="27">
        <v>70008595</v>
      </c>
      <c r="C60" s="47">
        <v>1</v>
      </c>
      <c r="D60" s="48" t="s">
        <v>1359</v>
      </c>
      <c r="E60" s="48" t="s">
        <v>1444</v>
      </c>
      <c r="F60" s="47" t="s">
        <v>131</v>
      </c>
    </row>
    <row r="61" spans="1:6" x14ac:dyDescent="0.25">
      <c r="A61" s="48" t="s">
        <v>1445</v>
      </c>
      <c r="B61" s="27">
        <v>70008603</v>
      </c>
      <c r="C61" s="47">
        <v>1</v>
      </c>
      <c r="D61" s="48" t="s">
        <v>1359</v>
      </c>
      <c r="E61" s="48" t="s">
        <v>1446</v>
      </c>
      <c r="F61" s="47" t="s">
        <v>904</v>
      </c>
    </row>
    <row r="62" spans="1:6" x14ac:dyDescent="0.25">
      <c r="A62" s="48" t="s">
        <v>1447</v>
      </c>
      <c r="B62" s="27">
        <v>70008606</v>
      </c>
      <c r="C62" s="47">
        <v>3</v>
      </c>
      <c r="D62" s="48" t="s">
        <v>1359</v>
      </c>
      <c r="E62" s="48" t="s">
        <v>1448</v>
      </c>
      <c r="F62" s="47" t="s">
        <v>46</v>
      </c>
    </row>
    <row r="63" spans="1:6" x14ac:dyDescent="0.25">
      <c r="A63" s="48" t="s">
        <v>1449</v>
      </c>
      <c r="B63" s="27">
        <v>70008612</v>
      </c>
      <c r="C63" s="47">
        <v>1</v>
      </c>
      <c r="D63" s="48" t="s">
        <v>1359</v>
      </c>
      <c r="E63" s="48" t="s">
        <v>1450</v>
      </c>
      <c r="F63" s="47" t="s">
        <v>904</v>
      </c>
    </row>
    <row r="64" spans="1:6" x14ac:dyDescent="0.25">
      <c r="A64" s="48" t="s">
        <v>974</v>
      </c>
      <c r="B64" s="27">
        <v>70008615</v>
      </c>
      <c r="C64" s="47">
        <v>1</v>
      </c>
      <c r="D64" s="48" t="s">
        <v>1359</v>
      </c>
      <c r="E64" s="48" t="s">
        <v>1451</v>
      </c>
      <c r="F64" s="47" t="s">
        <v>904</v>
      </c>
    </row>
    <row r="65" spans="1:6" x14ac:dyDescent="0.25">
      <c r="A65" s="48" t="s">
        <v>1452</v>
      </c>
      <c r="B65" s="27">
        <v>70008618</v>
      </c>
      <c r="C65" s="47">
        <v>3</v>
      </c>
      <c r="D65" s="48" t="s">
        <v>1359</v>
      </c>
      <c r="E65" s="48" t="s">
        <v>1453</v>
      </c>
      <c r="F65" s="47" t="s">
        <v>904</v>
      </c>
    </row>
    <row r="66" spans="1:6" x14ac:dyDescent="0.25">
      <c r="A66" s="48" t="s">
        <v>1454</v>
      </c>
      <c r="B66" s="48">
        <v>70008628</v>
      </c>
      <c r="C66" s="47">
        <v>1</v>
      </c>
      <c r="D66" s="48" t="s">
        <v>1359</v>
      </c>
      <c r="E66" s="48" t="s">
        <v>1455</v>
      </c>
      <c r="F66" s="47" t="s">
        <v>87</v>
      </c>
    </row>
    <row r="67" spans="1:6" x14ac:dyDescent="0.25">
      <c r="A67" s="48" t="s">
        <v>1456</v>
      </c>
      <c r="B67" s="48">
        <v>70008630</v>
      </c>
      <c r="C67" s="47">
        <v>1</v>
      </c>
      <c r="D67" s="48" t="s">
        <v>1359</v>
      </c>
      <c r="E67" s="48" t="s">
        <v>1457</v>
      </c>
      <c r="F67" s="47" t="s">
        <v>87</v>
      </c>
    </row>
    <row r="68" spans="1:6" x14ac:dyDescent="0.25">
      <c r="A68" s="48" t="s">
        <v>1458</v>
      </c>
      <c r="B68" s="48">
        <v>70008632</v>
      </c>
      <c r="C68" s="47">
        <v>3</v>
      </c>
      <c r="D68" s="48" t="s">
        <v>1359</v>
      </c>
      <c r="E68" s="48" t="s">
        <v>1459</v>
      </c>
      <c r="F68" s="47" t="s">
        <v>46</v>
      </c>
    </row>
    <row r="69" spans="1:6" x14ac:dyDescent="0.25">
      <c r="A69" s="48" t="s">
        <v>973</v>
      </c>
      <c r="B69" s="48">
        <v>70008637</v>
      </c>
      <c r="C69" s="47">
        <v>2</v>
      </c>
      <c r="D69" s="48" t="s">
        <v>1359</v>
      </c>
      <c r="E69" s="48" t="s">
        <v>1460</v>
      </c>
      <c r="F69" s="47" t="s">
        <v>63</v>
      </c>
    </row>
    <row r="70" spans="1:6" x14ac:dyDescent="0.25">
      <c r="A70" s="48" t="s">
        <v>1461</v>
      </c>
      <c r="B70" s="48">
        <v>70008668</v>
      </c>
      <c r="C70" s="47">
        <v>2</v>
      </c>
      <c r="D70" s="48" t="s">
        <v>1359</v>
      </c>
      <c r="E70" s="48" t="s">
        <v>1460</v>
      </c>
      <c r="F70" s="47" t="s">
        <v>63</v>
      </c>
    </row>
    <row r="71" spans="1:6" x14ac:dyDescent="0.25">
      <c r="A71" s="48" t="s">
        <v>661</v>
      </c>
      <c r="B71" s="48">
        <v>70011208</v>
      </c>
      <c r="C71" s="47">
        <v>1</v>
      </c>
      <c r="D71" s="48" t="s">
        <v>1359</v>
      </c>
      <c r="E71" s="48" t="s">
        <v>662</v>
      </c>
      <c r="F71" s="47" t="s">
        <v>87</v>
      </c>
    </row>
    <row r="72" spans="1:6" x14ac:dyDescent="0.25">
      <c r="A72" s="48" t="s">
        <v>1462</v>
      </c>
      <c r="B72" s="27">
        <v>70008675</v>
      </c>
      <c r="C72" s="47">
        <v>2</v>
      </c>
      <c r="D72" s="48" t="s">
        <v>1359</v>
      </c>
      <c r="E72" s="48" t="s">
        <v>1463</v>
      </c>
      <c r="F72" s="47" t="s">
        <v>63</v>
      </c>
    </row>
    <row r="73" spans="1:6" x14ac:dyDescent="0.25">
      <c r="A73" s="48" t="s">
        <v>1464</v>
      </c>
      <c r="B73" s="48">
        <v>70008680</v>
      </c>
      <c r="C73" s="47">
        <v>2</v>
      </c>
      <c r="D73" s="48" t="s">
        <v>1359</v>
      </c>
      <c r="E73" s="48" t="s">
        <v>1465</v>
      </c>
      <c r="F73" s="47" t="s">
        <v>63</v>
      </c>
    </row>
    <row r="74" spans="1:6" x14ac:dyDescent="0.25">
      <c r="A74" s="48" t="s">
        <v>968</v>
      </c>
      <c r="B74" s="48">
        <v>70008683</v>
      </c>
      <c r="C74" s="47">
        <v>2</v>
      </c>
      <c r="D74" s="48" t="s">
        <v>1359</v>
      </c>
      <c r="E74" s="48" t="s">
        <v>1466</v>
      </c>
      <c r="F74" s="47" t="s">
        <v>63</v>
      </c>
    </row>
    <row r="75" spans="1:6" x14ac:dyDescent="0.25">
      <c r="A75" s="48" t="s">
        <v>967</v>
      </c>
      <c r="B75" s="48">
        <v>70008686</v>
      </c>
      <c r="C75" s="47">
        <v>2</v>
      </c>
      <c r="D75" s="48" t="s">
        <v>1359</v>
      </c>
      <c r="E75" s="48" t="s">
        <v>1466</v>
      </c>
      <c r="F75" s="47" t="s">
        <v>63</v>
      </c>
    </row>
    <row r="76" spans="1:6" x14ac:dyDescent="0.25">
      <c r="A76" s="48" t="s">
        <v>1467</v>
      </c>
      <c r="B76" s="48">
        <v>70008689</v>
      </c>
      <c r="C76" s="47">
        <v>2</v>
      </c>
      <c r="D76" s="48" t="s">
        <v>1359</v>
      </c>
      <c r="E76" s="48" t="s">
        <v>1468</v>
      </c>
      <c r="F76" s="47" t="s">
        <v>63</v>
      </c>
    </row>
    <row r="77" spans="1:6" x14ac:dyDescent="0.25">
      <c r="A77" s="48" t="s">
        <v>965</v>
      </c>
      <c r="B77" s="27">
        <v>70008692</v>
      </c>
      <c r="C77" s="47">
        <v>2</v>
      </c>
      <c r="D77" s="48" t="s">
        <v>1359</v>
      </c>
      <c r="E77" s="48" t="s">
        <v>1469</v>
      </c>
      <c r="F77" s="47" t="s">
        <v>63</v>
      </c>
    </row>
    <row r="78" spans="1:6" x14ac:dyDescent="0.25">
      <c r="A78" s="48" t="s">
        <v>964</v>
      </c>
      <c r="B78" s="48">
        <v>70008695</v>
      </c>
      <c r="C78" s="47">
        <v>2</v>
      </c>
      <c r="D78" s="48" t="s">
        <v>1359</v>
      </c>
      <c r="E78" s="48" t="s">
        <v>1470</v>
      </c>
      <c r="F78" s="47" t="s">
        <v>63</v>
      </c>
    </row>
    <row r="79" spans="1:6" x14ac:dyDescent="0.25">
      <c r="A79" s="48" t="s">
        <v>963</v>
      </c>
      <c r="B79" s="27">
        <v>70008698</v>
      </c>
      <c r="C79" s="47">
        <v>2</v>
      </c>
      <c r="D79" s="48" t="s">
        <v>1359</v>
      </c>
      <c r="E79" s="48" t="s">
        <v>1471</v>
      </c>
      <c r="F79" s="47" t="s">
        <v>63</v>
      </c>
    </row>
    <row r="80" spans="1:6" x14ac:dyDescent="0.25">
      <c r="A80" s="48" t="s">
        <v>1472</v>
      </c>
      <c r="B80" s="27">
        <v>70008701</v>
      </c>
      <c r="C80" s="47">
        <v>2</v>
      </c>
      <c r="D80" s="48" t="s">
        <v>1359</v>
      </c>
      <c r="E80" s="48" t="s">
        <v>1473</v>
      </c>
      <c r="F80" s="47" t="s">
        <v>63</v>
      </c>
    </row>
    <row r="81" spans="1:6" x14ac:dyDescent="0.25">
      <c r="A81" s="48" t="s">
        <v>1474</v>
      </c>
      <c r="B81" s="27">
        <v>70008708</v>
      </c>
      <c r="C81" s="47">
        <v>2</v>
      </c>
      <c r="D81" s="48" t="s">
        <v>1359</v>
      </c>
      <c r="E81" s="48" t="s">
        <v>1475</v>
      </c>
      <c r="F81" s="47" t="s">
        <v>63</v>
      </c>
    </row>
    <row r="82" spans="1:6" x14ac:dyDescent="0.25">
      <c r="A82" s="48" t="s">
        <v>962</v>
      </c>
      <c r="B82" s="48">
        <v>70008727</v>
      </c>
      <c r="C82" s="47">
        <v>2</v>
      </c>
      <c r="D82" s="48" t="s">
        <v>1359</v>
      </c>
      <c r="E82" s="48" t="s">
        <v>1476</v>
      </c>
      <c r="F82" s="47" t="s">
        <v>63</v>
      </c>
    </row>
    <row r="83" spans="1:6" x14ac:dyDescent="0.25">
      <c r="A83" s="48" t="s">
        <v>961</v>
      </c>
      <c r="B83" s="48">
        <v>70008740</v>
      </c>
      <c r="C83" s="47">
        <v>2</v>
      </c>
      <c r="D83" s="48" t="s">
        <v>1359</v>
      </c>
      <c r="E83" s="48" t="s">
        <v>1477</v>
      </c>
      <c r="F83" s="47" t="s">
        <v>63</v>
      </c>
    </row>
    <row r="84" spans="1:6" x14ac:dyDescent="0.25">
      <c r="A84" s="48" t="s">
        <v>960</v>
      </c>
      <c r="B84" s="27">
        <v>70008746</v>
      </c>
      <c r="C84" s="47">
        <v>2</v>
      </c>
      <c r="D84" s="48" t="s">
        <v>1359</v>
      </c>
      <c r="E84" s="48" t="s">
        <v>1407</v>
      </c>
      <c r="F84" s="47" t="s">
        <v>63</v>
      </c>
    </row>
    <row r="85" spans="1:6" x14ac:dyDescent="0.25">
      <c r="A85" s="48" t="s">
        <v>1478</v>
      </c>
      <c r="B85" s="27">
        <v>70008749</v>
      </c>
      <c r="C85" s="47">
        <v>2</v>
      </c>
      <c r="D85" s="48" t="s">
        <v>1359</v>
      </c>
      <c r="E85" s="48" t="s">
        <v>1407</v>
      </c>
      <c r="F85" s="47" t="s">
        <v>63</v>
      </c>
    </row>
    <row r="86" spans="1:6" x14ac:dyDescent="0.25">
      <c r="A86" s="48" t="s">
        <v>1479</v>
      </c>
      <c r="B86" s="27">
        <v>70008769</v>
      </c>
      <c r="C86" s="47">
        <v>3</v>
      </c>
      <c r="D86" s="48" t="s">
        <v>1359</v>
      </c>
      <c r="E86" s="48" t="s">
        <v>1480</v>
      </c>
      <c r="F86" s="47" t="s">
        <v>131</v>
      </c>
    </row>
    <row r="87" spans="1:6" x14ac:dyDescent="0.25">
      <c r="A87" s="48" t="s">
        <v>1481</v>
      </c>
      <c r="B87" s="27">
        <v>70008794</v>
      </c>
      <c r="C87" s="47">
        <v>1</v>
      </c>
      <c r="D87" s="48" t="s">
        <v>1359</v>
      </c>
      <c r="E87" s="48" t="s">
        <v>1482</v>
      </c>
      <c r="F87" s="47" t="s">
        <v>46</v>
      </c>
    </row>
    <row r="88" spans="1:6" x14ac:dyDescent="0.25">
      <c r="A88" s="48" t="s">
        <v>1483</v>
      </c>
      <c r="B88" s="27">
        <v>70008833</v>
      </c>
      <c r="C88" s="47">
        <v>1</v>
      </c>
      <c r="D88" s="48" t="s">
        <v>1359</v>
      </c>
      <c r="E88" s="48" t="s">
        <v>1484</v>
      </c>
      <c r="F88" s="47" t="s">
        <v>46</v>
      </c>
    </row>
    <row r="89" spans="1:6" x14ac:dyDescent="0.25">
      <c r="A89" s="48" t="s">
        <v>958</v>
      </c>
      <c r="B89" s="27">
        <v>70008839</v>
      </c>
      <c r="C89" s="47">
        <v>1</v>
      </c>
      <c r="D89" s="48" t="s">
        <v>1359</v>
      </c>
      <c r="E89" s="48" t="s">
        <v>1485</v>
      </c>
      <c r="F89" s="47" t="s">
        <v>131</v>
      </c>
    </row>
    <row r="90" spans="1:6" x14ac:dyDescent="0.25">
      <c r="A90" s="48" t="s">
        <v>1486</v>
      </c>
      <c r="B90" s="27">
        <v>70008840</v>
      </c>
      <c r="C90" s="47">
        <v>1</v>
      </c>
      <c r="D90" s="48" t="s">
        <v>1359</v>
      </c>
      <c r="E90" s="48" t="s">
        <v>1487</v>
      </c>
      <c r="F90" s="47" t="s">
        <v>980</v>
      </c>
    </row>
    <row r="91" spans="1:6" x14ac:dyDescent="0.25">
      <c r="A91" s="48" t="s">
        <v>1488</v>
      </c>
      <c r="B91" s="27">
        <v>70008843</v>
      </c>
      <c r="C91" s="47">
        <v>1</v>
      </c>
      <c r="D91" s="48" t="s">
        <v>1359</v>
      </c>
      <c r="E91" s="48" t="s">
        <v>1489</v>
      </c>
      <c r="F91" s="47" t="s">
        <v>980</v>
      </c>
    </row>
    <row r="92" spans="1:6" x14ac:dyDescent="0.25">
      <c r="A92" s="48" t="s">
        <v>957</v>
      </c>
      <c r="B92" s="48">
        <v>70008847</v>
      </c>
      <c r="C92" s="47">
        <v>3</v>
      </c>
      <c r="D92" s="48" t="s">
        <v>1359</v>
      </c>
      <c r="E92" s="48" t="s">
        <v>1490</v>
      </c>
      <c r="F92" s="47" t="s">
        <v>46</v>
      </c>
    </row>
    <row r="93" spans="1:6" x14ac:dyDescent="0.25">
      <c r="A93" s="48" t="s">
        <v>1491</v>
      </c>
      <c r="B93" s="27">
        <v>70008850</v>
      </c>
      <c r="C93" s="47">
        <v>3</v>
      </c>
      <c r="D93" s="48" t="s">
        <v>1359</v>
      </c>
      <c r="E93" s="48" t="s">
        <v>1492</v>
      </c>
      <c r="F93" s="47" t="s">
        <v>87</v>
      </c>
    </row>
    <row r="94" spans="1:6" x14ac:dyDescent="0.25">
      <c r="A94" s="48" t="s">
        <v>956</v>
      </c>
      <c r="B94" s="48">
        <v>70008860</v>
      </c>
      <c r="C94" s="47">
        <v>3</v>
      </c>
      <c r="D94" s="48" t="s">
        <v>1359</v>
      </c>
      <c r="E94" s="48" t="s">
        <v>1493</v>
      </c>
      <c r="F94" s="47" t="s">
        <v>46</v>
      </c>
    </row>
    <row r="95" spans="1:6" x14ac:dyDescent="0.25">
      <c r="A95" s="48" t="s">
        <v>1494</v>
      </c>
      <c r="B95" s="48">
        <v>70008863</v>
      </c>
      <c r="C95" s="47">
        <v>3</v>
      </c>
      <c r="D95" s="48" t="s">
        <v>1359</v>
      </c>
      <c r="E95" s="48" t="s">
        <v>1495</v>
      </c>
      <c r="F95" s="47" t="s">
        <v>46</v>
      </c>
    </row>
    <row r="96" spans="1:6" x14ac:dyDescent="0.25">
      <c r="A96" s="48" t="s">
        <v>955</v>
      </c>
      <c r="B96" s="48">
        <v>70008867</v>
      </c>
      <c r="C96" s="47">
        <v>1</v>
      </c>
      <c r="D96" s="48" t="s">
        <v>1359</v>
      </c>
      <c r="E96" s="48" t="s">
        <v>901</v>
      </c>
      <c r="F96" s="47" t="s">
        <v>1496</v>
      </c>
    </row>
    <row r="97" spans="1:6" x14ac:dyDescent="0.25">
      <c r="A97" s="48" t="s">
        <v>1497</v>
      </c>
      <c r="B97" s="27">
        <v>70008872</v>
      </c>
      <c r="C97" s="47">
        <v>3</v>
      </c>
      <c r="D97" s="48" t="s">
        <v>1359</v>
      </c>
      <c r="E97" s="48" t="s">
        <v>1498</v>
      </c>
      <c r="F97" s="47" t="s">
        <v>87</v>
      </c>
    </row>
    <row r="98" spans="1:6" x14ac:dyDescent="0.25">
      <c r="A98" s="48" t="s">
        <v>954</v>
      </c>
      <c r="B98" s="48">
        <v>70008903</v>
      </c>
      <c r="C98" s="47">
        <v>3</v>
      </c>
      <c r="D98" s="48" t="s">
        <v>1359</v>
      </c>
      <c r="E98" s="48" t="s">
        <v>1499</v>
      </c>
      <c r="F98" s="47" t="s">
        <v>46</v>
      </c>
    </row>
    <row r="99" spans="1:6" x14ac:dyDescent="0.25">
      <c r="A99" s="48" t="s">
        <v>953</v>
      </c>
      <c r="B99" s="27">
        <v>70008928</v>
      </c>
      <c r="C99" s="47">
        <v>1</v>
      </c>
      <c r="D99" s="48" t="s">
        <v>1359</v>
      </c>
      <c r="E99" s="48" t="s">
        <v>1500</v>
      </c>
      <c r="F99" s="47" t="s">
        <v>229</v>
      </c>
    </row>
    <row r="100" spans="1:6" x14ac:dyDescent="0.25">
      <c r="A100" s="48" t="s">
        <v>952</v>
      </c>
      <c r="B100" s="48">
        <v>70008931</v>
      </c>
      <c r="C100" s="47">
        <v>3</v>
      </c>
      <c r="D100" s="48" t="s">
        <v>1359</v>
      </c>
      <c r="E100" s="48" t="s">
        <v>1501</v>
      </c>
      <c r="F100" s="47" t="s">
        <v>131</v>
      </c>
    </row>
    <row r="101" spans="1:6" x14ac:dyDescent="0.25">
      <c r="A101" s="48" t="s">
        <v>951</v>
      </c>
      <c r="B101" s="48">
        <v>70008933</v>
      </c>
      <c r="C101" s="47">
        <v>1</v>
      </c>
      <c r="D101" s="48" t="s">
        <v>1359</v>
      </c>
      <c r="E101" s="48" t="s">
        <v>1502</v>
      </c>
      <c r="F101" s="47" t="s">
        <v>229</v>
      </c>
    </row>
    <row r="102" spans="1:6" x14ac:dyDescent="0.25">
      <c r="A102" s="48" t="s">
        <v>1503</v>
      </c>
      <c r="B102" s="27">
        <v>70008947</v>
      </c>
      <c r="C102" s="47">
        <v>1</v>
      </c>
      <c r="D102" s="48" t="s">
        <v>1359</v>
      </c>
      <c r="E102" s="48" t="s">
        <v>1504</v>
      </c>
      <c r="F102" s="47" t="s">
        <v>46</v>
      </c>
    </row>
    <row r="103" spans="1:6" x14ac:dyDescent="0.25">
      <c r="A103" s="48" t="s">
        <v>1505</v>
      </c>
      <c r="B103" s="27">
        <v>70008950</v>
      </c>
      <c r="C103" s="47">
        <v>3</v>
      </c>
      <c r="D103" s="48" t="s">
        <v>1359</v>
      </c>
      <c r="E103" s="48" t="s">
        <v>1506</v>
      </c>
      <c r="F103" s="47" t="s">
        <v>46</v>
      </c>
    </row>
    <row r="104" spans="1:6" x14ac:dyDescent="0.25">
      <c r="A104" s="48" t="s">
        <v>950</v>
      </c>
      <c r="B104" s="48">
        <v>70008951</v>
      </c>
      <c r="C104" s="47">
        <v>1</v>
      </c>
      <c r="D104" s="48" t="s">
        <v>1359</v>
      </c>
      <c r="E104" s="48" t="s">
        <v>1507</v>
      </c>
      <c r="F104" s="47" t="s">
        <v>46</v>
      </c>
    </row>
    <row r="105" spans="1:6" x14ac:dyDescent="0.25">
      <c r="A105" s="48" t="s">
        <v>949</v>
      </c>
      <c r="B105" s="27">
        <v>70008953</v>
      </c>
      <c r="C105" s="47">
        <v>1</v>
      </c>
      <c r="D105" s="48" t="s">
        <v>1359</v>
      </c>
      <c r="E105" s="48" t="s">
        <v>1508</v>
      </c>
      <c r="F105" s="47" t="s">
        <v>131</v>
      </c>
    </row>
    <row r="106" spans="1:6" x14ac:dyDescent="0.25">
      <c r="A106" s="48" t="s">
        <v>1509</v>
      </c>
      <c r="B106" s="48">
        <v>70008960</v>
      </c>
      <c r="C106" s="47">
        <v>1</v>
      </c>
      <c r="D106" s="48" t="s">
        <v>1359</v>
      </c>
      <c r="E106" s="48" t="s">
        <v>1510</v>
      </c>
      <c r="F106" s="47" t="s">
        <v>904</v>
      </c>
    </row>
    <row r="107" spans="1:6" x14ac:dyDescent="0.25">
      <c r="A107" s="48" t="s">
        <v>948</v>
      </c>
      <c r="B107" s="48">
        <v>70008962</v>
      </c>
      <c r="C107" s="47">
        <v>1</v>
      </c>
      <c r="D107" s="48" t="s">
        <v>1359</v>
      </c>
      <c r="E107" s="48" t="s">
        <v>1510</v>
      </c>
      <c r="F107" s="47" t="s">
        <v>904</v>
      </c>
    </row>
    <row r="108" spans="1:6" x14ac:dyDescent="0.25">
      <c r="A108" s="48" t="s">
        <v>947</v>
      </c>
      <c r="B108" s="48">
        <v>70008966</v>
      </c>
      <c r="C108" s="47">
        <v>3</v>
      </c>
      <c r="D108" s="48" t="s">
        <v>1359</v>
      </c>
      <c r="E108" s="48" t="s">
        <v>1511</v>
      </c>
      <c r="F108" s="47" t="s">
        <v>87</v>
      </c>
    </row>
    <row r="109" spans="1:6" x14ac:dyDescent="0.25">
      <c r="A109" s="48" t="s">
        <v>946</v>
      </c>
      <c r="B109" s="48">
        <v>70008969</v>
      </c>
      <c r="C109" s="47">
        <v>1</v>
      </c>
      <c r="D109" s="48" t="s">
        <v>1359</v>
      </c>
      <c r="E109" s="48" t="s">
        <v>1512</v>
      </c>
      <c r="F109" s="47" t="s">
        <v>87</v>
      </c>
    </row>
    <row r="110" spans="1:6" x14ac:dyDescent="0.25">
      <c r="A110" s="48" t="s">
        <v>1513</v>
      </c>
      <c r="B110" s="27">
        <v>70008972</v>
      </c>
      <c r="C110" s="47">
        <v>3</v>
      </c>
      <c r="D110" s="48" t="s">
        <v>1359</v>
      </c>
      <c r="E110" s="48" t="s">
        <v>1514</v>
      </c>
      <c r="F110" s="47" t="s">
        <v>87</v>
      </c>
    </row>
    <row r="111" spans="1:6" x14ac:dyDescent="0.25">
      <c r="A111" s="48" t="s">
        <v>1515</v>
      </c>
      <c r="B111" s="48">
        <v>70008975</v>
      </c>
      <c r="C111" s="47">
        <v>3</v>
      </c>
      <c r="D111" s="48" t="s">
        <v>1359</v>
      </c>
      <c r="E111" s="48" t="s">
        <v>1511</v>
      </c>
      <c r="F111" s="47" t="s">
        <v>87</v>
      </c>
    </row>
    <row r="112" spans="1:6" x14ac:dyDescent="0.25">
      <c r="A112" s="48" t="s">
        <v>1516</v>
      </c>
      <c r="B112" s="27">
        <v>70008979</v>
      </c>
      <c r="C112" s="47">
        <v>3</v>
      </c>
      <c r="D112" s="48" t="s">
        <v>1359</v>
      </c>
      <c r="E112" s="48" t="s">
        <v>1517</v>
      </c>
      <c r="F112" s="47" t="s">
        <v>87</v>
      </c>
    </row>
    <row r="113" spans="1:6" x14ac:dyDescent="0.25">
      <c r="A113" s="48" t="s">
        <v>1518</v>
      </c>
      <c r="B113" s="27">
        <v>70008986</v>
      </c>
      <c r="C113" s="47">
        <v>1</v>
      </c>
      <c r="D113" s="48" t="s">
        <v>1359</v>
      </c>
      <c r="E113" s="48" t="s">
        <v>1519</v>
      </c>
      <c r="F113" s="47" t="s">
        <v>87</v>
      </c>
    </row>
    <row r="114" spans="1:6" x14ac:dyDescent="0.25">
      <c r="A114" s="48" t="s">
        <v>1520</v>
      </c>
      <c r="B114" s="27">
        <v>70008989</v>
      </c>
      <c r="C114" s="47">
        <v>3</v>
      </c>
      <c r="D114" s="48" t="s">
        <v>1359</v>
      </c>
      <c r="E114" s="48" t="s">
        <v>1521</v>
      </c>
      <c r="F114" s="47" t="s">
        <v>87</v>
      </c>
    </row>
    <row r="115" spans="1:6" x14ac:dyDescent="0.25">
      <c r="A115" s="48" t="s">
        <v>1522</v>
      </c>
      <c r="B115" s="27">
        <v>70008992</v>
      </c>
      <c r="C115" s="47">
        <v>1</v>
      </c>
      <c r="D115" s="48" t="s">
        <v>1359</v>
      </c>
      <c r="E115" s="48" t="s">
        <v>1523</v>
      </c>
      <c r="F115" s="47" t="s">
        <v>87</v>
      </c>
    </row>
    <row r="116" spans="1:6" x14ac:dyDescent="0.25">
      <c r="A116" s="48" t="s">
        <v>945</v>
      </c>
      <c r="B116" s="48">
        <v>70008997</v>
      </c>
      <c r="C116" s="47">
        <v>1</v>
      </c>
      <c r="D116" s="48" t="s">
        <v>1359</v>
      </c>
      <c r="E116" s="48" t="s">
        <v>1502</v>
      </c>
      <c r="F116" s="47" t="s">
        <v>229</v>
      </c>
    </row>
    <row r="117" spans="1:6" x14ac:dyDescent="0.25">
      <c r="A117" s="48" t="s">
        <v>944</v>
      </c>
      <c r="B117" s="27">
        <v>70009001</v>
      </c>
      <c r="C117" s="47">
        <v>1</v>
      </c>
      <c r="D117" s="48" t="s">
        <v>1359</v>
      </c>
      <c r="E117" s="48" t="s">
        <v>1500</v>
      </c>
      <c r="F117" s="47" t="s">
        <v>229</v>
      </c>
    </row>
    <row r="118" spans="1:6" x14ac:dyDescent="0.25">
      <c r="A118" s="48" t="s">
        <v>1524</v>
      </c>
      <c r="B118" s="48">
        <v>70009023</v>
      </c>
      <c r="C118" s="47">
        <v>1</v>
      </c>
      <c r="D118" s="48" t="s">
        <v>1359</v>
      </c>
      <c r="E118" s="48" t="s">
        <v>1512</v>
      </c>
      <c r="F118" s="47" t="s">
        <v>87</v>
      </c>
    </row>
    <row r="119" spans="1:6" x14ac:dyDescent="0.25">
      <c r="A119" s="48" t="s">
        <v>943</v>
      </c>
      <c r="B119" s="48">
        <v>70009090</v>
      </c>
      <c r="C119" s="47">
        <v>3</v>
      </c>
      <c r="D119" s="48" t="s">
        <v>1359</v>
      </c>
      <c r="E119" s="48" t="s">
        <v>1525</v>
      </c>
      <c r="F119" s="47" t="s">
        <v>229</v>
      </c>
    </row>
    <row r="120" spans="1:6" x14ac:dyDescent="0.25">
      <c r="A120" s="48" t="s">
        <v>942</v>
      </c>
      <c r="B120" s="27">
        <v>70009093</v>
      </c>
      <c r="C120" s="47">
        <v>1</v>
      </c>
      <c r="D120" s="48" t="s">
        <v>1359</v>
      </c>
      <c r="E120" s="48" t="s">
        <v>1526</v>
      </c>
      <c r="F120" s="47" t="s">
        <v>87</v>
      </c>
    </row>
    <row r="121" spans="1:6" x14ac:dyDescent="0.25">
      <c r="A121" s="48" t="s">
        <v>941</v>
      </c>
      <c r="B121" s="48">
        <v>70009095</v>
      </c>
      <c r="C121" s="47">
        <v>3</v>
      </c>
      <c r="D121" s="48" t="s">
        <v>1359</v>
      </c>
      <c r="E121" s="48" t="s">
        <v>1525</v>
      </c>
      <c r="F121" s="47" t="s">
        <v>229</v>
      </c>
    </row>
    <row r="122" spans="1:6" x14ac:dyDescent="0.25">
      <c r="A122" s="48" t="s">
        <v>1527</v>
      </c>
      <c r="B122" s="48">
        <v>70009102</v>
      </c>
      <c r="C122" s="47">
        <v>2</v>
      </c>
      <c r="D122" s="48" t="s">
        <v>1359</v>
      </c>
      <c r="E122" s="48" t="s">
        <v>1528</v>
      </c>
      <c r="F122" s="47" t="s">
        <v>63</v>
      </c>
    </row>
    <row r="123" spans="1:6" x14ac:dyDescent="0.25">
      <c r="A123" s="48" t="s">
        <v>940</v>
      </c>
      <c r="B123" s="48">
        <v>70009105</v>
      </c>
      <c r="C123" s="47">
        <v>1</v>
      </c>
      <c r="D123" s="48" t="s">
        <v>1359</v>
      </c>
      <c r="E123" s="48" t="s">
        <v>1529</v>
      </c>
      <c r="F123" s="47" t="s">
        <v>87</v>
      </c>
    </row>
    <row r="124" spans="1:6" x14ac:dyDescent="0.25">
      <c r="A124" s="48" t="s">
        <v>1530</v>
      </c>
      <c r="B124" s="48">
        <v>70009107</v>
      </c>
      <c r="C124" s="47">
        <v>1</v>
      </c>
      <c r="D124" s="48" t="s">
        <v>1359</v>
      </c>
      <c r="E124" s="48" t="s">
        <v>1531</v>
      </c>
      <c r="F124" s="47" t="s">
        <v>87</v>
      </c>
    </row>
    <row r="125" spans="1:6" x14ac:dyDescent="0.25">
      <c r="A125" s="48" t="s">
        <v>939</v>
      </c>
      <c r="B125" s="48">
        <v>70009111</v>
      </c>
      <c r="C125" s="47">
        <v>3</v>
      </c>
      <c r="D125" s="48" t="s">
        <v>1359</v>
      </c>
      <c r="E125" s="48" t="s">
        <v>939</v>
      </c>
      <c r="F125" s="47" t="s">
        <v>46</v>
      </c>
    </row>
    <row r="126" spans="1:6" x14ac:dyDescent="0.25">
      <c r="A126" s="48" t="s">
        <v>1532</v>
      </c>
      <c r="B126" s="27">
        <v>70009113</v>
      </c>
      <c r="C126" s="47">
        <v>1</v>
      </c>
      <c r="D126" s="48" t="s">
        <v>1359</v>
      </c>
      <c r="E126" s="48" t="s">
        <v>1533</v>
      </c>
      <c r="F126" s="47" t="s">
        <v>131</v>
      </c>
    </row>
    <row r="127" spans="1:6" x14ac:dyDescent="0.25">
      <c r="A127" s="48" t="s">
        <v>1534</v>
      </c>
      <c r="B127" s="48">
        <v>70009116</v>
      </c>
      <c r="C127" s="47">
        <v>2</v>
      </c>
      <c r="D127" s="48" t="s">
        <v>1359</v>
      </c>
      <c r="E127" s="48" t="s">
        <v>1535</v>
      </c>
      <c r="F127" s="47" t="s">
        <v>63</v>
      </c>
    </row>
    <row r="128" spans="1:6" x14ac:dyDescent="0.25">
      <c r="A128" s="48" t="s">
        <v>1536</v>
      </c>
      <c r="B128" s="27">
        <v>70009132</v>
      </c>
      <c r="C128" s="47">
        <v>3</v>
      </c>
      <c r="D128" s="48" t="s">
        <v>1359</v>
      </c>
      <c r="E128" s="48" t="s">
        <v>1537</v>
      </c>
      <c r="F128" s="47" t="s">
        <v>87</v>
      </c>
    </row>
    <row r="129" spans="1:6" x14ac:dyDescent="0.25">
      <c r="A129" s="48" t="s">
        <v>1538</v>
      </c>
      <c r="B129" s="27">
        <v>70009135</v>
      </c>
      <c r="C129" s="47">
        <v>3</v>
      </c>
      <c r="D129" s="48" t="s">
        <v>1359</v>
      </c>
      <c r="E129" s="48" t="s">
        <v>1539</v>
      </c>
      <c r="F129" s="47" t="s">
        <v>87</v>
      </c>
    </row>
    <row r="130" spans="1:6" x14ac:dyDescent="0.25">
      <c r="A130" s="48" t="s">
        <v>938</v>
      </c>
      <c r="B130" s="48">
        <v>70009139</v>
      </c>
      <c r="C130" s="47">
        <v>1</v>
      </c>
      <c r="D130" s="48" t="s">
        <v>1359</v>
      </c>
      <c r="E130" s="48" t="s">
        <v>1512</v>
      </c>
      <c r="F130" s="47" t="s">
        <v>87</v>
      </c>
    </row>
    <row r="131" spans="1:6" x14ac:dyDescent="0.25">
      <c r="A131" s="48" t="s">
        <v>1540</v>
      </c>
      <c r="B131" s="48">
        <v>70009141</v>
      </c>
      <c r="C131" s="47">
        <v>1</v>
      </c>
      <c r="D131" s="48" t="s">
        <v>1359</v>
      </c>
      <c r="E131" s="48" t="s">
        <v>1512</v>
      </c>
      <c r="F131" s="47" t="s">
        <v>87</v>
      </c>
    </row>
    <row r="132" spans="1:6" x14ac:dyDescent="0.25">
      <c r="A132" s="48" t="s">
        <v>1541</v>
      </c>
      <c r="B132" s="27">
        <v>70009144</v>
      </c>
      <c r="C132" s="47">
        <v>3</v>
      </c>
      <c r="D132" s="48" t="s">
        <v>1359</v>
      </c>
      <c r="E132" s="48" t="s">
        <v>1542</v>
      </c>
      <c r="F132" s="47" t="s">
        <v>46</v>
      </c>
    </row>
    <row r="133" spans="1:6" x14ac:dyDescent="0.25">
      <c r="A133" s="48" t="s">
        <v>937</v>
      </c>
      <c r="B133" s="48">
        <v>70009147</v>
      </c>
      <c r="C133" s="47">
        <v>3</v>
      </c>
      <c r="D133" s="48" t="s">
        <v>1359</v>
      </c>
      <c r="E133" s="48" t="s">
        <v>1543</v>
      </c>
      <c r="F133" s="47" t="s">
        <v>46</v>
      </c>
    </row>
    <row r="134" spans="1:6" x14ac:dyDescent="0.25">
      <c r="A134" s="48" t="s">
        <v>1544</v>
      </c>
      <c r="B134" s="48">
        <v>70009150</v>
      </c>
      <c r="C134" s="47">
        <v>1</v>
      </c>
      <c r="D134" s="48" t="s">
        <v>1359</v>
      </c>
      <c r="E134" s="48" t="s">
        <v>1545</v>
      </c>
      <c r="F134" s="47" t="s">
        <v>46</v>
      </c>
    </row>
    <row r="135" spans="1:6" x14ac:dyDescent="0.25">
      <c r="A135" s="48" t="s">
        <v>936</v>
      </c>
      <c r="B135" s="48">
        <v>70009153</v>
      </c>
      <c r="C135" s="47">
        <v>1</v>
      </c>
      <c r="D135" s="48" t="s">
        <v>1359</v>
      </c>
      <c r="E135" s="48" t="s">
        <v>1546</v>
      </c>
      <c r="F135" s="47" t="s">
        <v>87</v>
      </c>
    </row>
    <row r="136" spans="1:6" x14ac:dyDescent="0.25">
      <c r="A136" s="48" t="s">
        <v>935</v>
      </c>
      <c r="B136" s="48">
        <v>70009188</v>
      </c>
      <c r="C136" s="47">
        <v>1</v>
      </c>
      <c r="D136" s="48" t="s">
        <v>1359</v>
      </c>
      <c r="E136" s="48" t="s">
        <v>935</v>
      </c>
      <c r="F136" s="47" t="s">
        <v>46</v>
      </c>
    </row>
    <row r="137" spans="1:6" x14ac:dyDescent="0.25">
      <c r="A137" s="48" t="s">
        <v>934</v>
      </c>
      <c r="B137" s="48">
        <v>70009192</v>
      </c>
      <c r="C137" s="47">
        <v>2</v>
      </c>
      <c r="D137" s="48" t="s">
        <v>1359</v>
      </c>
      <c r="E137" s="48" t="s">
        <v>934</v>
      </c>
      <c r="F137" s="47" t="s">
        <v>63</v>
      </c>
    </row>
    <row r="138" spans="1:6" x14ac:dyDescent="0.25">
      <c r="A138" s="48" t="s">
        <v>933</v>
      </c>
      <c r="B138" s="27">
        <v>70009194</v>
      </c>
      <c r="C138" s="47">
        <v>1</v>
      </c>
      <c r="D138" s="48" t="s">
        <v>1359</v>
      </c>
      <c r="E138" s="48" t="s">
        <v>1547</v>
      </c>
      <c r="F138" s="47" t="s">
        <v>46</v>
      </c>
    </row>
    <row r="139" spans="1:6" x14ac:dyDescent="0.25">
      <c r="A139" s="48" t="s">
        <v>1548</v>
      </c>
      <c r="B139" s="27">
        <v>70009197</v>
      </c>
      <c r="C139" s="47">
        <v>2</v>
      </c>
      <c r="D139" s="48" t="s">
        <v>1359</v>
      </c>
      <c r="E139" s="48" t="s">
        <v>1549</v>
      </c>
      <c r="F139" s="47" t="s">
        <v>63</v>
      </c>
    </row>
    <row r="140" spans="1:6" x14ac:dyDescent="0.25">
      <c r="A140" s="48" t="s">
        <v>1550</v>
      </c>
      <c r="B140" s="48">
        <v>70009200</v>
      </c>
      <c r="C140" s="47">
        <v>2</v>
      </c>
      <c r="D140" s="48" t="s">
        <v>1359</v>
      </c>
      <c r="E140" s="48" t="s">
        <v>1550</v>
      </c>
      <c r="F140" s="47" t="s">
        <v>63</v>
      </c>
    </row>
    <row r="141" spans="1:6" x14ac:dyDescent="0.25">
      <c r="A141" s="48" t="s">
        <v>1551</v>
      </c>
      <c r="B141" s="27">
        <v>70009202</v>
      </c>
      <c r="C141" s="47">
        <v>2</v>
      </c>
      <c r="D141" s="48" t="s">
        <v>1359</v>
      </c>
      <c r="E141" s="48" t="s">
        <v>1552</v>
      </c>
      <c r="F141" s="47" t="s">
        <v>63</v>
      </c>
    </row>
    <row r="142" spans="1:6" x14ac:dyDescent="0.25">
      <c r="A142" s="48" t="s">
        <v>1553</v>
      </c>
      <c r="B142" s="27">
        <v>70009206</v>
      </c>
      <c r="C142" s="47">
        <v>2</v>
      </c>
      <c r="D142" s="48" t="s">
        <v>1359</v>
      </c>
      <c r="E142" s="48" t="s">
        <v>1554</v>
      </c>
      <c r="F142" s="47" t="s">
        <v>63</v>
      </c>
    </row>
    <row r="143" spans="1:6" x14ac:dyDescent="0.25">
      <c r="A143" s="48" t="s">
        <v>1555</v>
      </c>
      <c r="B143" s="27">
        <v>70009208</v>
      </c>
      <c r="C143" s="47">
        <v>2</v>
      </c>
      <c r="D143" s="48" t="s">
        <v>1359</v>
      </c>
      <c r="E143" s="48" t="s">
        <v>1556</v>
      </c>
      <c r="F143" s="47" t="s">
        <v>63</v>
      </c>
    </row>
    <row r="144" spans="1:6" x14ac:dyDescent="0.25">
      <c r="A144" s="48" t="s">
        <v>1557</v>
      </c>
      <c r="B144" s="27">
        <v>70009210</v>
      </c>
      <c r="C144" s="47">
        <v>2</v>
      </c>
      <c r="D144" s="48" t="s">
        <v>1359</v>
      </c>
      <c r="E144" s="48" t="s">
        <v>1558</v>
      </c>
      <c r="F144" s="47" t="s">
        <v>63</v>
      </c>
    </row>
    <row r="145" spans="1:6" x14ac:dyDescent="0.25">
      <c r="A145" s="48" t="s">
        <v>1559</v>
      </c>
      <c r="B145" s="48">
        <v>70009212</v>
      </c>
      <c r="C145" s="47">
        <v>2</v>
      </c>
      <c r="D145" s="48" t="s">
        <v>1359</v>
      </c>
      <c r="E145" s="48" t="s">
        <v>1559</v>
      </c>
      <c r="F145" s="47" t="s">
        <v>63</v>
      </c>
    </row>
    <row r="146" spans="1:6" x14ac:dyDescent="0.25">
      <c r="A146" s="48" t="s">
        <v>1560</v>
      </c>
      <c r="B146" s="48">
        <v>70009214</v>
      </c>
      <c r="C146" s="47">
        <v>2</v>
      </c>
      <c r="D146" s="48" t="s">
        <v>1359</v>
      </c>
      <c r="E146" s="48" t="s">
        <v>1560</v>
      </c>
      <c r="F146" s="47" t="s">
        <v>63</v>
      </c>
    </row>
    <row r="147" spans="1:6" x14ac:dyDescent="0.25">
      <c r="A147" s="48" t="s">
        <v>1561</v>
      </c>
      <c r="B147" s="27">
        <v>70009216</v>
      </c>
      <c r="C147" s="47">
        <v>2</v>
      </c>
      <c r="D147" s="48" t="s">
        <v>1359</v>
      </c>
      <c r="E147" s="48" t="s">
        <v>1562</v>
      </c>
      <c r="F147" s="47" t="s">
        <v>63</v>
      </c>
    </row>
    <row r="148" spans="1:6" x14ac:dyDescent="0.25">
      <c r="A148" s="48" t="s">
        <v>931</v>
      </c>
      <c r="B148" s="27">
        <v>70009227</v>
      </c>
      <c r="C148" s="47">
        <v>1</v>
      </c>
      <c r="D148" s="48" t="s">
        <v>1359</v>
      </c>
      <c r="E148" s="48" t="s">
        <v>1563</v>
      </c>
      <c r="F148" s="47" t="s">
        <v>87</v>
      </c>
    </row>
    <row r="149" spans="1:6" x14ac:dyDescent="0.25">
      <c r="A149" s="48" t="s">
        <v>930</v>
      </c>
      <c r="B149" s="48">
        <v>70009240</v>
      </c>
      <c r="C149" s="47">
        <v>1</v>
      </c>
      <c r="D149" s="48" t="s">
        <v>1359</v>
      </c>
      <c r="E149" s="48" t="s">
        <v>930</v>
      </c>
      <c r="F149" s="47" t="s">
        <v>46</v>
      </c>
    </row>
    <row r="150" spans="1:6" x14ac:dyDescent="0.25">
      <c r="A150" s="48" t="s">
        <v>1564</v>
      </c>
      <c r="B150" s="48">
        <v>70009243</v>
      </c>
      <c r="C150" s="47">
        <v>3</v>
      </c>
      <c r="D150" s="48" t="s">
        <v>1359</v>
      </c>
      <c r="E150" s="48" t="s">
        <v>1564</v>
      </c>
      <c r="F150" s="47" t="s">
        <v>46</v>
      </c>
    </row>
    <row r="151" spans="1:6" x14ac:dyDescent="0.25">
      <c r="A151" s="48" t="s">
        <v>929</v>
      </c>
      <c r="B151" s="48">
        <v>70009276</v>
      </c>
      <c r="C151" s="47">
        <v>3</v>
      </c>
      <c r="D151" s="48" t="s">
        <v>1359</v>
      </c>
      <c r="E151" s="48" t="s">
        <v>929</v>
      </c>
      <c r="F151" s="47" t="s">
        <v>131</v>
      </c>
    </row>
    <row r="152" spans="1:6" x14ac:dyDescent="0.25">
      <c r="A152" s="48" t="s">
        <v>928</v>
      </c>
      <c r="B152" s="48">
        <v>70009279</v>
      </c>
      <c r="C152" s="47">
        <v>1</v>
      </c>
      <c r="D152" s="48" t="s">
        <v>1359</v>
      </c>
      <c r="E152" s="48" t="s">
        <v>928</v>
      </c>
      <c r="F152" s="47" t="s">
        <v>131</v>
      </c>
    </row>
    <row r="153" spans="1:6" x14ac:dyDescent="0.25">
      <c r="A153" s="48" t="s">
        <v>927</v>
      </c>
      <c r="B153" s="27">
        <v>70009282</v>
      </c>
      <c r="C153" s="47">
        <v>1</v>
      </c>
      <c r="D153" s="48" t="s">
        <v>1359</v>
      </c>
      <c r="E153" s="48" t="s">
        <v>1565</v>
      </c>
      <c r="F153" s="47" t="s">
        <v>46</v>
      </c>
    </row>
    <row r="154" spans="1:6" x14ac:dyDescent="0.25">
      <c r="A154" s="48" t="s">
        <v>926</v>
      </c>
      <c r="B154" s="48">
        <v>70009287</v>
      </c>
      <c r="C154" s="47">
        <v>3</v>
      </c>
      <c r="D154" s="48" t="s">
        <v>1359</v>
      </c>
      <c r="E154" s="48" t="s">
        <v>926</v>
      </c>
      <c r="F154" s="47" t="s">
        <v>46</v>
      </c>
    </row>
    <row r="155" spans="1:6" x14ac:dyDescent="0.25">
      <c r="A155" s="48" t="s">
        <v>925</v>
      </c>
      <c r="B155" s="48">
        <v>70009291</v>
      </c>
      <c r="C155" s="47">
        <v>3</v>
      </c>
      <c r="D155" s="48" t="s">
        <v>1359</v>
      </c>
      <c r="E155" s="48" t="s">
        <v>925</v>
      </c>
      <c r="F155" s="47" t="s">
        <v>46</v>
      </c>
    </row>
    <row r="156" spans="1:6" x14ac:dyDescent="0.25">
      <c r="A156" s="48" t="s">
        <v>1566</v>
      </c>
      <c r="B156" s="48">
        <v>70009310</v>
      </c>
      <c r="C156" s="47">
        <v>3</v>
      </c>
      <c r="D156" s="48" t="s">
        <v>1359</v>
      </c>
      <c r="E156" s="48" t="s">
        <v>1566</v>
      </c>
      <c r="F156" s="47" t="s">
        <v>46</v>
      </c>
    </row>
    <row r="157" spans="1:6" x14ac:dyDescent="0.25">
      <c r="A157" s="48" t="s">
        <v>1567</v>
      </c>
      <c r="B157" s="48">
        <v>70009343</v>
      </c>
      <c r="C157" s="47">
        <v>1</v>
      </c>
      <c r="D157" s="48" t="s">
        <v>1359</v>
      </c>
      <c r="E157" s="48" t="s">
        <v>1567</v>
      </c>
      <c r="F157" s="47" t="s">
        <v>87</v>
      </c>
    </row>
    <row r="158" spans="1:6" x14ac:dyDescent="0.25">
      <c r="A158" s="48" t="s">
        <v>924</v>
      </c>
      <c r="B158" s="48">
        <v>70009349</v>
      </c>
      <c r="C158" s="47">
        <v>1</v>
      </c>
      <c r="D158" s="48" t="s">
        <v>1359</v>
      </c>
      <c r="E158" s="48" t="s">
        <v>924</v>
      </c>
      <c r="F158" s="47" t="s">
        <v>87</v>
      </c>
    </row>
    <row r="159" spans="1:6" x14ac:dyDescent="0.25">
      <c r="A159" s="48" t="s">
        <v>1568</v>
      </c>
      <c r="B159" s="48">
        <v>70009381</v>
      </c>
      <c r="C159" s="47">
        <v>3</v>
      </c>
      <c r="D159" s="48" t="s">
        <v>1359</v>
      </c>
      <c r="E159" s="48" t="s">
        <v>1568</v>
      </c>
      <c r="F159" s="47" t="s">
        <v>87</v>
      </c>
    </row>
    <row r="160" spans="1:6" x14ac:dyDescent="0.25">
      <c r="A160" s="48" t="s">
        <v>923</v>
      </c>
      <c r="B160" s="48">
        <v>70009384</v>
      </c>
      <c r="C160" s="47">
        <v>1</v>
      </c>
      <c r="D160" s="48" t="s">
        <v>1359</v>
      </c>
      <c r="E160" s="48" t="s">
        <v>923</v>
      </c>
      <c r="F160" s="47" t="s">
        <v>87</v>
      </c>
    </row>
    <row r="161" spans="1:6" x14ac:dyDescent="0.25">
      <c r="A161" s="48" t="s">
        <v>1569</v>
      </c>
      <c r="B161" s="48">
        <v>70009387</v>
      </c>
      <c r="C161" s="47">
        <v>1</v>
      </c>
      <c r="D161" s="48" t="s">
        <v>1359</v>
      </c>
      <c r="E161" s="48" t="s">
        <v>1569</v>
      </c>
      <c r="F161" s="47" t="s">
        <v>87</v>
      </c>
    </row>
    <row r="162" spans="1:6" x14ac:dyDescent="0.25">
      <c r="A162" s="48" t="s">
        <v>922</v>
      </c>
      <c r="B162" s="48">
        <v>70009389</v>
      </c>
      <c r="C162" s="47">
        <v>3</v>
      </c>
      <c r="D162" s="48" t="s">
        <v>1359</v>
      </c>
      <c r="E162" s="48" t="s">
        <v>922</v>
      </c>
      <c r="F162" s="47" t="s">
        <v>87</v>
      </c>
    </row>
    <row r="163" spans="1:6" x14ac:dyDescent="0.25">
      <c r="A163" s="48" t="s">
        <v>1570</v>
      </c>
      <c r="B163" s="48">
        <v>70009392</v>
      </c>
      <c r="C163" s="47">
        <v>3</v>
      </c>
      <c r="D163" s="48" t="s">
        <v>1359</v>
      </c>
      <c r="E163" s="48" t="s">
        <v>1570</v>
      </c>
      <c r="F163" s="47" t="s">
        <v>87</v>
      </c>
    </row>
    <row r="164" spans="1:6" x14ac:dyDescent="0.25">
      <c r="A164" s="48" t="s">
        <v>921</v>
      </c>
      <c r="B164" s="48">
        <v>70009395</v>
      </c>
      <c r="C164" s="47">
        <v>3</v>
      </c>
      <c r="D164" s="48" t="s">
        <v>1359</v>
      </c>
      <c r="E164" s="48" t="s">
        <v>921</v>
      </c>
      <c r="F164" s="47" t="s">
        <v>87</v>
      </c>
    </row>
    <row r="165" spans="1:6" x14ac:dyDescent="0.25">
      <c r="A165" s="48" t="s">
        <v>1571</v>
      </c>
      <c r="B165" s="48">
        <v>70009398</v>
      </c>
      <c r="C165" s="47">
        <v>3</v>
      </c>
      <c r="D165" s="48" t="s">
        <v>1359</v>
      </c>
      <c r="E165" s="48" t="s">
        <v>1571</v>
      </c>
      <c r="F165" s="47" t="s">
        <v>87</v>
      </c>
    </row>
    <row r="166" spans="1:6" x14ac:dyDescent="0.25">
      <c r="A166" s="48" t="s">
        <v>920</v>
      </c>
      <c r="B166" s="48">
        <v>70009401</v>
      </c>
      <c r="C166" s="47">
        <v>3</v>
      </c>
      <c r="D166" s="48" t="s">
        <v>1359</v>
      </c>
      <c r="E166" s="48" t="s">
        <v>920</v>
      </c>
      <c r="F166" s="47" t="s">
        <v>87</v>
      </c>
    </row>
    <row r="167" spans="1:6" x14ac:dyDescent="0.25">
      <c r="A167" s="48" t="s">
        <v>1572</v>
      </c>
      <c r="B167" s="48">
        <v>70009406</v>
      </c>
      <c r="C167" s="47">
        <v>3</v>
      </c>
      <c r="D167" s="48" t="s">
        <v>1359</v>
      </c>
      <c r="E167" s="48" t="s">
        <v>1572</v>
      </c>
      <c r="F167" s="47" t="s">
        <v>87</v>
      </c>
    </row>
    <row r="168" spans="1:6" x14ac:dyDescent="0.25">
      <c r="A168" s="48" t="s">
        <v>919</v>
      </c>
      <c r="B168" s="48">
        <v>70009409</v>
      </c>
      <c r="C168" s="47">
        <v>3</v>
      </c>
      <c r="D168" s="48" t="s">
        <v>1359</v>
      </c>
      <c r="E168" s="48" t="s">
        <v>919</v>
      </c>
      <c r="F168" s="47" t="s">
        <v>87</v>
      </c>
    </row>
    <row r="169" spans="1:6" x14ac:dyDescent="0.25">
      <c r="A169" s="48" t="s">
        <v>1573</v>
      </c>
      <c r="B169" s="48">
        <v>70009412</v>
      </c>
      <c r="C169" s="47">
        <v>3</v>
      </c>
      <c r="D169" s="48" t="s">
        <v>1359</v>
      </c>
      <c r="E169" s="48" t="s">
        <v>1573</v>
      </c>
      <c r="F169" s="47" t="s">
        <v>87</v>
      </c>
    </row>
    <row r="170" spans="1:6" x14ac:dyDescent="0.25">
      <c r="A170" s="48" t="s">
        <v>918</v>
      </c>
      <c r="B170" s="48">
        <v>70009415</v>
      </c>
      <c r="C170" s="47">
        <v>1</v>
      </c>
      <c r="D170" s="48" t="s">
        <v>1359</v>
      </c>
      <c r="E170" s="48" t="s">
        <v>918</v>
      </c>
      <c r="F170" s="47" t="s">
        <v>87</v>
      </c>
    </row>
    <row r="171" spans="1:6" x14ac:dyDescent="0.25">
      <c r="A171" s="48" t="s">
        <v>1574</v>
      </c>
      <c r="B171" s="48">
        <v>70009428</v>
      </c>
      <c r="C171" s="47">
        <v>3</v>
      </c>
      <c r="D171" s="48" t="s">
        <v>1359</v>
      </c>
      <c r="E171" s="48" t="s">
        <v>1574</v>
      </c>
      <c r="F171" s="47" t="s">
        <v>904</v>
      </c>
    </row>
    <row r="172" spans="1:6" x14ac:dyDescent="0.25">
      <c r="A172" s="48" t="s">
        <v>1575</v>
      </c>
      <c r="B172" s="48">
        <v>70009430</v>
      </c>
      <c r="C172" s="47">
        <v>3</v>
      </c>
      <c r="D172" s="48" t="s">
        <v>1359</v>
      </c>
      <c r="E172" s="48" t="s">
        <v>1575</v>
      </c>
      <c r="F172" s="47" t="s">
        <v>904</v>
      </c>
    </row>
    <row r="173" spans="1:6" x14ac:dyDescent="0.25">
      <c r="A173" s="48" t="s">
        <v>1576</v>
      </c>
      <c r="B173" s="48">
        <v>70009432</v>
      </c>
      <c r="C173" s="47">
        <v>3</v>
      </c>
      <c r="D173" s="48" t="s">
        <v>1359</v>
      </c>
      <c r="E173" s="48" t="s">
        <v>1577</v>
      </c>
      <c r="F173" s="47" t="s">
        <v>904</v>
      </c>
    </row>
    <row r="174" spans="1:6" x14ac:dyDescent="0.25">
      <c r="A174" s="48" t="s">
        <v>1578</v>
      </c>
      <c r="B174" s="48">
        <v>70009435</v>
      </c>
      <c r="C174" s="47">
        <v>2</v>
      </c>
      <c r="D174" s="48" t="s">
        <v>1359</v>
      </c>
      <c r="E174" s="48" t="s">
        <v>1578</v>
      </c>
      <c r="F174" s="47" t="s">
        <v>63</v>
      </c>
    </row>
    <row r="175" spans="1:6" x14ac:dyDescent="0.25">
      <c r="A175" s="48" t="s">
        <v>1579</v>
      </c>
      <c r="B175" s="48">
        <v>70009438</v>
      </c>
      <c r="C175" s="47">
        <v>2</v>
      </c>
      <c r="D175" s="48" t="s">
        <v>1359</v>
      </c>
      <c r="E175" s="48" t="s">
        <v>1579</v>
      </c>
      <c r="F175" s="47" t="s">
        <v>63</v>
      </c>
    </row>
    <row r="176" spans="1:6" x14ac:dyDescent="0.25">
      <c r="A176" s="48" t="s">
        <v>1580</v>
      </c>
      <c r="B176" s="48">
        <v>70009441</v>
      </c>
      <c r="C176" s="47">
        <v>2</v>
      </c>
      <c r="D176" s="48" t="s">
        <v>1359</v>
      </c>
      <c r="E176" s="48" t="s">
        <v>1580</v>
      </c>
      <c r="F176" s="47" t="s">
        <v>63</v>
      </c>
    </row>
    <row r="177" spans="1:6" x14ac:dyDescent="0.25">
      <c r="A177" s="48" t="s">
        <v>95</v>
      </c>
      <c r="B177" s="48">
        <v>70009444</v>
      </c>
      <c r="C177" s="47">
        <v>2</v>
      </c>
      <c r="D177" s="48" t="s">
        <v>1359</v>
      </c>
      <c r="E177" s="48" t="s">
        <v>95</v>
      </c>
      <c r="F177" s="47" t="s">
        <v>63</v>
      </c>
    </row>
    <row r="178" spans="1:6" x14ac:dyDescent="0.25">
      <c r="A178" s="48" t="s">
        <v>94</v>
      </c>
      <c r="B178" s="48">
        <v>70009447</v>
      </c>
      <c r="C178" s="47">
        <v>2</v>
      </c>
      <c r="D178" s="48" t="s">
        <v>1359</v>
      </c>
      <c r="E178" s="48" t="s">
        <v>94</v>
      </c>
      <c r="F178" s="47" t="s">
        <v>63</v>
      </c>
    </row>
    <row r="179" spans="1:6" x14ac:dyDescent="0.25">
      <c r="A179" s="48" t="s">
        <v>93</v>
      </c>
      <c r="B179" s="48">
        <v>70009450</v>
      </c>
      <c r="C179" s="47">
        <v>2</v>
      </c>
      <c r="D179" s="48" t="s">
        <v>1359</v>
      </c>
      <c r="E179" s="48" t="s">
        <v>93</v>
      </c>
      <c r="F179" s="47" t="s">
        <v>63</v>
      </c>
    </row>
    <row r="180" spans="1:6" x14ac:dyDescent="0.25">
      <c r="A180" s="48" t="s">
        <v>916</v>
      </c>
      <c r="B180" s="48">
        <v>70009453</v>
      </c>
      <c r="C180" s="47">
        <v>2</v>
      </c>
      <c r="D180" s="48" t="s">
        <v>1359</v>
      </c>
      <c r="E180" s="48" t="s">
        <v>916</v>
      </c>
      <c r="F180" s="47" t="s">
        <v>63</v>
      </c>
    </row>
    <row r="181" spans="1:6" x14ac:dyDescent="0.25">
      <c r="A181" s="48" t="s">
        <v>1581</v>
      </c>
      <c r="B181" s="48">
        <v>70009456</v>
      </c>
      <c r="C181" s="47">
        <v>2</v>
      </c>
      <c r="D181" s="48" t="s">
        <v>1359</v>
      </c>
      <c r="E181" s="48" t="s">
        <v>1581</v>
      </c>
      <c r="F181" s="47" t="s">
        <v>63</v>
      </c>
    </row>
    <row r="182" spans="1:6" x14ac:dyDescent="0.25">
      <c r="A182" s="48" t="s">
        <v>1582</v>
      </c>
      <c r="B182" s="48">
        <v>70009459</v>
      </c>
      <c r="C182" s="47">
        <v>2</v>
      </c>
      <c r="D182" s="48" t="s">
        <v>1359</v>
      </c>
      <c r="E182" s="48" t="s">
        <v>1582</v>
      </c>
      <c r="F182" s="47" t="s">
        <v>63</v>
      </c>
    </row>
    <row r="183" spans="1:6" x14ac:dyDescent="0.25">
      <c r="A183" s="48" t="s">
        <v>1583</v>
      </c>
      <c r="B183" s="48">
        <v>70009462</v>
      </c>
      <c r="C183" s="47">
        <v>2</v>
      </c>
      <c r="D183" s="48" t="s">
        <v>1359</v>
      </c>
      <c r="E183" s="48" t="s">
        <v>1583</v>
      </c>
      <c r="F183" s="47" t="s">
        <v>63</v>
      </c>
    </row>
    <row r="184" spans="1:6" x14ac:dyDescent="0.25">
      <c r="A184" s="48" t="s">
        <v>1584</v>
      </c>
      <c r="B184" s="48">
        <v>70009465</v>
      </c>
      <c r="C184" s="47">
        <v>2</v>
      </c>
      <c r="D184" s="48" t="s">
        <v>1359</v>
      </c>
      <c r="E184" s="48" t="s">
        <v>1584</v>
      </c>
      <c r="F184" s="47" t="s">
        <v>63</v>
      </c>
    </row>
    <row r="185" spans="1:6" x14ac:dyDescent="0.25">
      <c r="A185" s="48" t="s">
        <v>1585</v>
      </c>
      <c r="B185" s="48">
        <v>70009468</v>
      </c>
      <c r="C185" s="47">
        <v>2</v>
      </c>
      <c r="D185" s="48" t="s">
        <v>1359</v>
      </c>
      <c r="E185" s="48" t="s">
        <v>1585</v>
      </c>
      <c r="F185" s="47" t="s">
        <v>63</v>
      </c>
    </row>
    <row r="186" spans="1:6" x14ac:dyDescent="0.25">
      <c r="A186" s="48" t="s">
        <v>1586</v>
      </c>
      <c r="B186" s="48">
        <v>70009471</v>
      </c>
      <c r="C186" s="47">
        <v>2</v>
      </c>
      <c r="D186" s="48" t="s">
        <v>1359</v>
      </c>
      <c r="E186" s="48" t="s">
        <v>1586</v>
      </c>
      <c r="F186" s="47" t="s">
        <v>63</v>
      </c>
    </row>
    <row r="187" spans="1:6" x14ac:dyDescent="0.25">
      <c r="A187" s="48" t="s">
        <v>1587</v>
      </c>
      <c r="B187" s="48">
        <v>70009474</v>
      </c>
      <c r="C187" s="47">
        <v>2</v>
      </c>
      <c r="D187" s="48" t="s">
        <v>1359</v>
      </c>
      <c r="E187" s="48" t="s">
        <v>1587</v>
      </c>
      <c r="F187" s="47" t="s">
        <v>63</v>
      </c>
    </row>
    <row r="188" spans="1:6" x14ac:dyDescent="0.25">
      <c r="A188" s="48" t="s">
        <v>1588</v>
      </c>
      <c r="B188" s="48">
        <v>70009477</v>
      </c>
      <c r="C188" s="47">
        <v>2</v>
      </c>
      <c r="D188" s="48" t="s">
        <v>1359</v>
      </c>
      <c r="E188" s="48" t="s">
        <v>1588</v>
      </c>
      <c r="F188" s="47" t="s">
        <v>63</v>
      </c>
    </row>
    <row r="189" spans="1:6" x14ac:dyDescent="0.25">
      <c r="A189" s="48" t="s">
        <v>1589</v>
      </c>
      <c r="B189" s="48">
        <v>70009480</v>
      </c>
      <c r="C189" s="47">
        <v>2</v>
      </c>
      <c r="D189" s="48" t="s">
        <v>1359</v>
      </c>
      <c r="E189" s="48" t="s">
        <v>1589</v>
      </c>
      <c r="F189" s="47" t="s">
        <v>63</v>
      </c>
    </row>
    <row r="190" spans="1:6" x14ac:dyDescent="0.25">
      <c r="A190" s="48" t="s">
        <v>915</v>
      </c>
      <c r="B190" s="48">
        <v>70009483</v>
      </c>
      <c r="C190" s="47">
        <v>2</v>
      </c>
      <c r="D190" s="48" t="s">
        <v>1359</v>
      </c>
      <c r="E190" s="48" t="s">
        <v>915</v>
      </c>
      <c r="F190" s="47" t="s">
        <v>63</v>
      </c>
    </row>
    <row r="191" spans="1:6" x14ac:dyDescent="0.25">
      <c r="A191" s="48" t="s">
        <v>1590</v>
      </c>
      <c r="B191" s="48">
        <v>70009486</v>
      </c>
      <c r="C191" s="47">
        <v>2</v>
      </c>
      <c r="D191" s="48" t="s">
        <v>1359</v>
      </c>
      <c r="E191" s="48" t="s">
        <v>1590</v>
      </c>
      <c r="F191" s="47" t="s">
        <v>63</v>
      </c>
    </row>
    <row r="192" spans="1:6" x14ac:dyDescent="0.25">
      <c r="A192" s="48" t="s">
        <v>914</v>
      </c>
      <c r="B192" s="48">
        <v>70009489</v>
      </c>
      <c r="C192" s="47">
        <v>2</v>
      </c>
      <c r="D192" s="48" t="s">
        <v>1359</v>
      </c>
      <c r="E192" s="48" t="s">
        <v>914</v>
      </c>
      <c r="F192" s="47" t="s">
        <v>63</v>
      </c>
    </row>
    <row r="193" spans="1:6" x14ac:dyDescent="0.25">
      <c r="A193" s="48" t="s">
        <v>1591</v>
      </c>
      <c r="B193" s="48">
        <v>70009492</v>
      </c>
      <c r="C193" s="47">
        <v>2</v>
      </c>
      <c r="D193" s="48" t="s">
        <v>1359</v>
      </c>
      <c r="E193" s="48" t="s">
        <v>1591</v>
      </c>
      <c r="F193" s="47" t="s">
        <v>63</v>
      </c>
    </row>
    <row r="194" spans="1:6" x14ac:dyDescent="0.25">
      <c r="A194" s="48" t="s">
        <v>1592</v>
      </c>
      <c r="B194" s="48">
        <v>70009495</v>
      </c>
      <c r="C194" s="47">
        <v>2</v>
      </c>
      <c r="D194" s="48" t="s">
        <v>1359</v>
      </c>
      <c r="E194" s="48" t="s">
        <v>1592</v>
      </c>
      <c r="F194" s="47" t="s">
        <v>63</v>
      </c>
    </row>
    <row r="195" spans="1:6" x14ac:dyDescent="0.25">
      <c r="A195" s="48" t="s">
        <v>1593</v>
      </c>
      <c r="B195" s="48">
        <v>70009498</v>
      </c>
      <c r="C195" s="47">
        <v>2</v>
      </c>
      <c r="D195" s="48" t="s">
        <v>1359</v>
      </c>
      <c r="E195" s="48" t="s">
        <v>1593</v>
      </c>
      <c r="F195" s="47" t="s">
        <v>63</v>
      </c>
    </row>
    <row r="196" spans="1:6" x14ac:dyDescent="0.25">
      <c r="A196" s="48" t="s">
        <v>1594</v>
      </c>
      <c r="B196" s="48">
        <v>70009501</v>
      </c>
      <c r="C196" s="47">
        <v>2</v>
      </c>
      <c r="D196" s="48" t="s">
        <v>1359</v>
      </c>
      <c r="E196" s="48" t="s">
        <v>1594</v>
      </c>
      <c r="F196" s="47" t="s">
        <v>63</v>
      </c>
    </row>
    <row r="197" spans="1:6" x14ac:dyDescent="0.25">
      <c r="A197" s="48" t="s">
        <v>1595</v>
      </c>
      <c r="B197" s="48">
        <v>70009505</v>
      </c>
      <c r="C197" s="47">
        <v>3</v>
      </c>
      <c r="D197" s="48" t="s">
        <v>1359</v>
      </c>
      <c r="E197" s="48" t="s">
        <v>1595</v>
      </c>
      <c r="F197" s="47" t="s">
        <v>904</v>
      </c>
    </row>
    <row r="198" spans="1:6" x14ac:dyDescent="0.25">
      <c r="A198" s="48" t="s">
        <v>913</v>
      </c>
      <c r="B198" s="48">
        <v>70009506</v>
      </c>
      <c r="C198" s="47">
        <v>1</v>
      </c>
      <c r="D198" s="48" t="s">
        <v>1359</v>
      </c>
      <c r="E198" s="48" t="s">
        <v>913</v>
      </c>
      <c r="F198" s="47" t="s">
        <v>229</v>
      </c>
    </row>
    <row r="199" spans="1:6" x14ac:dyDescent="0.25">
      <c r="A199" s="48" t="s">
        <v>912</v>
      </c>
      <c r="B199" s="48">
        <v>70009508</v>
      </c>
      <c r="C199" s="47">
        <v>1</v>
      </c>
      <c r="D199" s="48" t="s">
        <v>1359</v>
      </c>
      <c r="E199" s="48" t="s">
        <v>912</v>
      </c>
      <c r="F199" s="47" t="s">
        <v>229</v>
      </c>
    </row>
    <row r="200" spans="1:6" x14ac:dyDescent="0.25">
      <c r="A200" s="48" t="s">
        <v>911</v>
      </c>
      <c r="B200" s="48">
        <v>70009510</v>
      </c>
      <c r="C200" s="47">
        <v>1</v>
      </c>
      <c r="D200" s="48" t="s">
        <v>1359</v>
      </c>
      <c r="E200" s="48" t="s">
        <v>1596</v>
      </c>
      <c r="F200" s="47" t="s">
        <v>131</v>
      </c>
    </row>
    <row r="201" spans="1:6" x14ac:dyDescent="0.25">
      <c r="A201" s="48" t="s">
        <v>910</v>
      </c>
      <c r="B201" s="48">
        <v>70009512</v>
      </c>
      <c r="C201" s="47">
        <v>1</v>
      </c>
      <c r="D201" s="48" t="s">
        <v>1359</v>
      </c>
      <c r="E201" s="48" t="s">
        <v>910</v>
      </c>
      <c r="F201" s="47" t="s">
        <v>131</v>
      </c>
    </row>
    <row r="202" spans="1:6" x14ac:dyDescent="0.25">
      <c r="A202" s="48" t="s">
        <v>909</v>
      </c>
      <c r="B202" s="48">
        <v>70009514</v>
      </c>
      <c r="C202" s="47">
        <v>1</v>
      </c>
      <c r="D202" s="48" t="s">
        <v>1359</v>
      </c>
      <c r="E202" s="48" t="s">
        <v>909</v>
      </c>
      <c r="F202" s="47" t="s">
        <v>131</v>
      </c>
    </row>
    <row r="203" spans="1:6" x14ac:dyDescent="0.25">
      <c r="A203" s="48" t="s">
        <v>908</v>
      </c>
      <c r="B203" s="48">
        <v>70009516</v>
      </c>
      <c r="C203" s="47">
        <v>1</v>
      </c>
      <c r="D203" s="48" t="s">
        <v>1359</v>
      </c>
      <c r="E203" s="48" t="s">
        <v>908</v>
      </c>
      <c r="F203" s="47" t="s">
        <v>131</v>
      </c>
    </row>
    <row r="204" spans="1:6" x14ac:dyDescent="0.25">
      <c r="A204" s="48" t="s">
        <v>907</v>
      </c>
      <c r="B204" s="48">
        <v>70009520</v>
      </c>
      <c r="C204" s="47">
        <v>3</v>
      </c>
      <c r="D204" s="48" t="s">
        <v>1359</v>
      </c>
      <c r="E204" s="48" t="s">
        <v>1597</v>
      </c>
      <c r="F204" s="47" t="s">
        <v>229</v>
      </c>
    </row>
    <row r="205" spans="1:6" x14ac:dyDescent="0.25">
      <c r="A205" s="48" t="s">
        <v>906</v>
      </c>
      <c r="B205" s="48">
        <v>70009523</v>
      </c>
      <c r="C205" s="47">
        <v>3</v>
      </c>
      <c r="D205" s="48" t="s">
        <v>1359</v>
      </c>
      <c r="E205" s="48" t="s">
        <v>1598</v>
      </c>
      <c r="F205" s="47" t="s">
        <v>229</v>
      </c>
    </row>
    <row r="206" spans="1:6" x14ac:dyDescent="0.25">
      <c r="A206" s="48" t="s">
        <v>905</v>
      </c>
      <c r="B206" s="48">
        <v>70009526</v>
      </c>
      <c r="C206" s="47">
        <v>1</v>
      </c>
      <c r="D206" s="48" t="s">
        <v>1359</v>
      </c>
      <c r="E206" s="48" t="s">
        <v>1599</v>
      </c>
      <c r="F206" s="47" t="s">
        <v>87</v>
      </c>
    </row>
    <row r="207" spans="1:6" x14ac:dyDescent="0.25">
      <c r="A207" s="48" t="s">
        <v>1600</v>
      </c>
      <c r="B207" s="48">
        <v>70009528</v>
      </c>
      <c r="C207" s="47">
        <v>3</v>
      </c>
      <c r="D207" s="48" t="s">
        <v>1359</v>
      </c>
      <c r="E207" s="48" t="s">
        <v>1601</v>
      </c>
      <c r="F207" s="47" t="s">
        <v>904</v>
      </c>
    </row>
    <row r="208" spans="1:6" x14ac:dyDescent="0.25">
      <c r="A208" s="48" t="s">
        <v>1602</v>
      </c>
      <c r="B208" s="48">
        <v>70009529</v>
      </c>
      <c r="C208" s="47">
        <v>3</v>
      </c>
      <c r="D208" s="48" t="s">
        <v>1359</v>
      </c>
      <c r="E208" s="48" t="s">
        <v>1602</v>
      </c>
      <c r="F208" s="47" t="s">
        <v>87</v>
      </c>
    </row>
    <row r="209" spans="1:6" x14ac:dyDescent="0.25">
      <c r="A209" s="48" t="s">
        <v>1603</v>
      </c>
      <c r="B209" s="48">
        <v>70009531</v>
      </c>
      <c r="C209" s="47">
        <v>3</v>
      </c>
      <c r="D209" s="48" t="s">
        <v>1359</v>
      </c>
      <c r="E209" s="48" t="s">
        <v>1603</v>
      </c>
      <c r="F209" s="47" t="s">
        <v>87</v>
      </c>
    </row>
    <row r="210" spans="1:6" x14ac:dyDescent="0.25">
      <c r="A210" s="48" t="s">
        <v>1604</v>
      </c>
      <c r="B210" s="48">
        <v>70009533</v>
      </c>
      <c r="C210" s="47">
        <v>3</v>
      </c>
      <c r="D210" s="48" t="s">
        <v>1359</v>
      </c>
      <c r="E210" s="48" t="s">
        <v>1605</v>
      </c>
      <c r="F210" s="47" t="s">
        <v>87</v>
      </c>
    </row>
    <row r="211" spans="1:6" x14ac:dyDescent="0.25">
      <c r="A211" s="48" t="s">
        <v>1606</v>
      </c>
      <c r="B211" s="48">
        <v>70009535</v>
      </c>
      <c r="C211" s="47">
        <v>3</v>
      </c>
      <c r="D211" s="48" t="s">
        <v>1359</v>
      </c>
      <c r="E211" s="48" t="s">
        <v>1607</v>
      </c>
      <c r="F211" s="47" t="s">
        <v>87</v>
      </c>
    </row>
    <row r="212" spans="1:6" x14ac:dyDescent="0.25">
      <c r="A212" s="48" t="s">
        <v>1608</v>
      </c>
      <c r="B212" s="48">
        <v>70009537</v>
      </c>
      <c r="C212" s="47">
        <v>3</v>
      </c>
      <c r="D212" s="48" t="s">
        <v>1359</v>
      </c>
      <c r="E212" s="48" t="s">
        <v>1609</v>
      </c>
      <c r="F212" s="47" t="s">
        <v>87</v>
      </c>
    </row>
    <row r="213" spans="1:6" x14ac:dyDescent="0.25">
      <c r="A213" s="48" t="s">
        <v>903</v>
      </c>
      <c r="B213" s="48">
        <v>70009544</v>
      </c>
      <c r="C213" s="47">
        <v>3</v>
      </c>
      <c r="D213" s="48" t="s">
        <v>1359</v>
      </c>
      <c r="E213" s="48" t="s">
        <v>1610</v>
      </c>
      <c r="F213" s="47" t="s">
        <v>229</v>
      </c>
    </row>
    <row r="214" spans="1:6" x14ac:dyDescent="0.25">
      <c r="A214" s="48" t="s">
        <v>1611</v>
      </c>
      <c r="B214" s="48">
        <v>70009547</v>
      </c>
      <c r="C214" s="47">
        <v>3</v>
      </c>
      <c r="D214" s="48" t="s">
        <v>1359</v>
      </c>
      <c r="E214" s="48" t="s">
        <v>1612</v>
      </c>
      <c r="F214" s="47" t="s">
        <v>229</v>
      </c>
    </row>
    <row r="215" spans="1:6" x14ac:dyDescent="0.25">
      <c r="A215" s="48" t="s">
        <v>1613</v>
      </c>
      <c r="B215" s="27">
        <v>70009563</v>
      </c>
      <c r="C215" s="47">
        <v>1</v>
      </c>
      <c r="D215" s="48" t="s">
        <v>1359</v>
      </c>
      <c r="E215" s="48" t="s">
        <v>1614</v>
      </c>
      <c r="F215" s="47" t="s">
        <v>46</v>
      </c>
    </row>
    <row r="216" spans="1:6" x14ac:dyDescent="0.25">
      <c r="A216" s="48" t="s">
        <v>1615</v>
      </c>
      <c r="B216" s="27">
        <v>70009565</v>
      </c>
      <c r="C216" s="47">
        <v>1</v>
      </c>
      <c r="D216" s="48" t="s">
        <v>1359</v>
      </c>
      <c r="E216" s="48" t="s">
        <v>1616</v>
      </c>
      <c r="F216" s="47" t="s">
        <v>46</v>
      </c>
    </row>
    <row r="217" spans="1:6" x14ac:dyDescent="0.25">
      <c r="A217" s="48" t="s">
        <v>902</v>
      </c>
      <c r="B217" s="48">
        <v>70009568</v>
      </c>
      <c r="C217" s="47">
        <v>1</v>
      </c>
      <c r="D217" s="48" t="s">
        <v>1359</v>
      </c>
      <c r="E217" s="48" t="s">
        <v>902</v>
      </c>
      <c r="F217" s="47" t="s">
        <v>46</v>
      </c>
    </row>
    <row r="218" spans="1:6" x14ac:dyDescent="0.25">
      <c r="A218" s="48" t="s">
        <v>900</v>
      </c>
      <c r="B218" s="48">
        <v>70009571</v>
      </c>
      <c r="C218" s="47">
        <v>1</v>
      </c>
      <c r="D218" s="48" t="s">
        <v>1359</v>
      </c>
      <c r="E218" s="48" t="s">
        <v>46</v>
      </c>
      <c r="F218" s="47" t="s">
        <v>46</v>
      </c>
    </row>
    <row r="219" spans="1:6" x14ac:dyDescent="0.25">
      <c r="A219" s="48" t="s">
        <v>899</v>
      </c>
      <c r="B219" s="48">
        <v>70009574</v>
      </c>
      <c r="C219" s="47">
        <v>1</v>
      </c>
      <c r="D219" s="48" t="s">
        <v>1359</v>
      </c>
      <c r="E219" s="48" t="s">
        <v>1617</v>
      </c>
      <c r="F219" s="47" t="s">
        <v>46</v>
      </c>
    </row>
    <row r="220" spans="1:6" x14ac:dyDescent="0.25">
      <c r="A220" s="48" t="s">
        <v>897</v>
      </c>
      <c r="B220" s="48">
        <v>70009589</v>
      </c>
      <c r="C220" s="47">
        <v>3</v>
      </c>
      <c r="D220" s="48" t="s">
        <v>1359</v>
      </c>
      <c r="E220" s="48" t="s">
        <v>1618</v>
      </c>
      <c r="F220" s="47" t="s">
        <v>46</v>
      </c>
    </row>
    <row r="221" spans="1:6" x14ac:dyDescent="0.25">
      <c r="A221" s="48" t="s">
        <v>1619</v>
      </c>
      <c r="B221" s="27">
        <v>70009594</v>
      </c>
      <c r="C221" s="47">
        <v>1</v>
      </c>
      <c r="D221" s="48" t="s">
        <v>1359</v>
      </c>
      <c r="E221" s="48" t="s">
        <v>1620</v>
      </c>
      <c r="F221" s="47" t="s">
        <v>46</v>
      </c>
    </row>
    <row r="222" spans="1:6" x14ac:dyDescent="0.25">
      <c r="A222" s="48" t="s">
        <v>1621</v>
      </c>
      <c r="B222" s="48">
        <v>70009606</v>
      </c>
      <c r="C222" s="47">
        <v>3</v>
      </c>
      <c r="D222" s="48" t="s">
        <v>1359</v>
      </c>
      <c r="E222" s="48" t="s">
        <v>1622</v>
      </c>
      <c r="F222" s="47" t="s">
        <v>46</v>
      </c>
    </row>
    <row r="223" spans="1:6" x14ac:dyDescent="0.25">
      <c r="A223" s="48" t="s">
        <v>1623</v>
      </c>
      <c r="B223" s="48">
        <v>70009607</v>
      </c>
      <c r="C223" s="47">
        <v>3</v>
      </c>
      <c r="D223" s="48" t="s">
        <v>1359</v>
      </c>
      <c r="E223" s="48" t="s">
        <v>1623</v>
      </c>
      <c r="F223" s="47" t="s">
        <v>171</v>
      </c>
    </row>
    <row r="224" spans="1:6" x14ac:dyDescent="0.25">
      <c r="A224" s="48" t="s">
        <v>1624</v>
      </c>
      <c r="B224" s="48">
        <v>70009609</v>
      </c>
      <c r="C224" s="47">
        <v>1</v>
      </c>
      <c r="D224" s="48" t="s">
        <v>1359</v>
      </c>
      <c r="E224" s="48" t="s">
        <v>1625</v>
      </c>
      <c r="F224" s="47" t="s">
        <v>171</v>
      </c>
    </row>
    <row r="225" spans="1:6" x14ac:dyDescent="0.25">
      <c r="A225" s="48" t="s">
        <v>1626</v>
      </c>
      <c r="B225" s="48">
        <v>70009612</v>
      </c>
      <c r="C225" s="47">
        <v>1</v>
      </c>
      <c r="D225" s="48" t="s">
        <v>1359</v>
      </c>
      <c r="E225" s="48" t="s">
        <v>1627</v>
      </c>
      <c r="F225" s="47" t="s">
        <v>171</v>
      </c>
    </row>
    <row r="226" spans="1:6" x14ac:dyDescent="0.25">
      <c r="A226" s="48" t="s">
        <v>1628</v>
      </c>
      <c r="B226" s="48">
        <v>70009617</v>
      </c>
      <c r="C226" s="47">
        <v>1</v>
      </c>
      <c r="D226" s="48" t="s">
        <v>1359</v>
      </c>
      <c r="E226" s="48" t="s">
        <v>1629</v>
      </c>
      <c r="F226" s="47" t="s">
        <v>171</v>
      </c>
    </row>
    <row r="227" spans="1:6" x14ac:dyDescent="0.25">
      <c r="A227" s="48" t="s">
        <v>1630</v>
      </c>
      <c r="B227" s="48">
        <v>70009619</v>
      </c>
      <c r="C227" s="47">
        <v>1</v>
      </c>
      <c r="D227" s="48" t="s">
        <v>1359</v>
      </c>
      <c r="E227" s="48" t="s">
        <v>1631</v>
      </c>
      <c r="F227" s="47" t="s">
        <v>171</v>
      </c>
    </row>
    <row r="228" spans="1:6" x14ac:dyDescent="0.25">
      <c r="A228" s="48" t="s">
        <v>1632</v>
      </c>
      <c r="B228" s="48">
        <v>70009621</v>
      </c>
      <c r="C228" s="47">
        <v>3</v>
      </c>
      <c r="D228" s="48" t="s">
        <v>1359</v>
      </c>
      <c r="E228" s="48" t="s">
        <v>1632</v>
      </c>
      <c r="F228" s="47" t="s">
        <v>171</v>
      </c>
    </row>
    <row r="229" spans="1:6" x14ac:dyDescent="0.25">
      <c r="A229" s="48" t="s">
        <v>1633</v>
      </c>
      <c r="B229" s="48">
        <v>70009627</v>
      </c>
      <c r="C229" s="47">
        <v>3</v>
      </c>
      <c r="D229" s="48" t="s">
        <v>1359</v>
      </c>
      <c r="E229" s="48" t="s">
        <v>1633</v>
      </c>
      <c r="F229" s="47" t="s">
        <v>171</v>
      </c>
    </row>
    <row r="230" spans="1:6" x14ac:dyDescent="0.25">
      <c r="A230" s="48" t="s">
        <v>1634</v>
      </c>
      <c r="B230" s="48">
        <v>70009630</v>
      </c>
      <c r="C230" s="47">
        <v>3</v>
      </c>
      <c r="D230" s="48" t="s">
        <v>1359</v>
      </c>
      <c r="E230" s="48" t="s">
        <v>1635</v>
      </c>
      <c r="F230" s="47" t="s">
        <v>46</v>
      </c>
    </row>
    <row r="231" spans="1:6" x14ac:dyDescent="0.25">
      <c r="A231" s="48" t="s">
        <v>1636</v>
      </c>
      <c r="B231" s="48">
        <v>70009695</v>
      </c>
      <c r="C231" s="47">
        <v>3</v>
      </c>
      <c r="D231" s="48" t="s">
        <v>1359</v>
      </c>
      <c r="E231" s="48" t="s">
        <v>1637</v>
      </c>
      <c r="F231" s="47" t="s">
        <v>904</v>
      </c>
    </row>
    <row r="232" spans="1:6" x14ac:dyDescent="0.25">
      <c r="A232" s="48" t="s">
        <v>1638</v>
      </c>
      <c r="B232" s="48">
        <v>70009697</v>
      </c>
      <c r="C232" s="47">
        <v>3</v>
      </c>
      <c r="D232" s="48" t="s">
        <v>1359</v>
      </c>
      <c r="E232" s="48" t="s">
        <v>1639</v>
      </c>
      <c r="F232" s="47" t="s">
        <v>904</v>
      </c>
    </row>
    <row r="233" spans="1:6" x14ac:dyDescent="0.25">
      <c r="A233" s="48" t="s">
        <v>1640</v>
      </c>
      <c r="B233" s="48">
        <v>70009709</v>
      </c>
      <c r="C233" s="47">
        <v>3</v>
      </c>
      <c r="D233" s="48" t="s">
        <v>1359</v>
      </c>
      <c r="E233" s="48" t="s">
        <v>1640</v>
      </c>
      <c r="F233" s="47" t="s">
        <v>171</v>
      </c>
    </row>
    <row r="234" spans="1:6" x14ac:dyDescent="0.25">
      <c r="A234" s="48" t="s">
        <v>1641</v>
      </c>
      <c r="B234" s="48">
        <v>70009710</v>
      </c>
      <c r="C234" s="47">
        <v>1</v>
      </c>
      <c r="D234" s="48" t="s">
        <v>1359</v>
      </c>
      <c r="E234" s="48" t="s">
        <v>1642</v>
      </c>
      <c r="F234" s="47" t="s">
        <v>171</v>
      </c>
    </row>
    <row r="235" spans="1:6" x14ac:dyDescent="0.25">
      <c r="A235" s="48" t="s">
        <v>1643</v>
      </c>
      <c r="B235" s="48">
        <v>70009712</v>
      </c>
      <c r="C235" s="47">
        <v>1</v>
      </c>
      <c r="D235" s="48" t="s">
        <v>1359</v>
      </c>
      <c r="E235" s="48" t="s">
        <v>1644</v>
      </c>
      <c r="F235" s="47" t="s">
        <v>171</v>
      </c>
    </row>
    <row r="236" spans="1:6" x14ac:dyDescent="0.25">
      <c r="A236" s="48" t="s">
        <v>1645</v>
      </c>
      <c r="B236" s="48">
        <v>70009714</v>
      </c>
      <c r="C236" s="47">
        <v>3</v>
      </c>
      <c r="D236" s="48" t="s">
        <v>1359</v>
      </c>
      <c r="E236" s="48" t="s">
        <v>1645</v>
      </c>
      <c r="F236" s="47" t="s">
        <v>171</v>
      </c>
    </row>
    <row r="237" spans="1:6" x14ac:dyDescent="0.25">
      <c r="A237" s="48" t="s">
        <v>1646</v>
      </c>
      <c r="B237" s="48">
        <v>70009716</v>
      </c>
      <c r="C237" s="47">
        <v>3</v>
      </c>
      <c r="D237" s="48" t="s">
        <v>1359</v>
      </c>
      <c r="E237" s="48" t="s">
        <v>1646</v>
      </c>
      <c r="F237" s="47" t="s">
        <v>171</v>
      </c>
    </row>
    <row r="238" spans="1:6" x14ac:dyDescent="0.25">
      <c r="A238" s="48" t="s">
        <v>1647</v>
      </c>
      <c r="B238" s="48">
        <v>70009718</v>
      </c>
      <c r="C238" s="47">
        <v>1</v>
      </c>
      <c r="D238" s="48" t="s">
        <v>1359</v>
      </c>
      <c r="E238" s="48" t="s">
        <v>1648</v>
      </c>
      <c r="F238" s="47" t="s">
        <v>171</v>
      </c>
    </row>
    <row r="239" spans="1:6" x14ac:dyDescent="0.25">
      <c r="A239" s="48" t="s">
        <v>1649</v>
      </c>
      <c r="B239" s="48">
        <v>70009720</v>
      </c>
      <c r="C239" s="47">
        <v>1</v>
      </c>
      <c r="D239" s="48" t="s">
        <v>1359</v>
      </c>
      <c r="E239" s="48" t="s">
        <v>1650</v>
      </c>
      <c r="F239" s="47" t="s">
        <v>171</v>
      </c>
    </row>
    <row r="240" spans="1:6" x14ac:dyDescent="0.25">
      <c r="A240" s="48" t="s">
        <v>896</v>
      </c>
      <c r="B240" s="48">
        <v>70009723</v>
      </c>
      <c r="C240" s="47">
        <v>1</v>
      </c>
      <c r="D240" s="48" t="s">
        <v>1359</v>
      </c>
      <c r="E240" s="48" t="s">
        <v>1651</v>
      </c>
      <c r="F240" s="47" t="s">
        <v>895</v>
      </c>
    </row>
    <row r="241" spans="1:6" x14ac:dyDescent="0.25">
      <c r="A241" s="48" t="s">
        <v>894</v>
      </c>
      <c r="B241" s="48">
        <v>70009725</v>
      </c>
      <c r="C241" s="47">
        <v>1</v>
      </c>
      <c r="D241" s="48" t="s">
        <v>1359</v>
      </c>
      <c r="E241" s="48" t="s">
        <v>1652</v>
      </c>
      <c r="F241" s="47" t="s">
        <v>229</v>
      </c>
    </row>
    <row r="242" spans="1:6" x14ac:dyDescent="0.25">
      <c r="A242" s="48" t="s">
        <v>1653</v>
      </c>
      <c r="B242" s="48">
        <v>70009727</v>
      </c>
      <c r="C242" s="47">
        <v>3</v>
      </c>
      <c r="D242" s="48" t="s">
        <v>1359</v>
      </c>
      <c r="E242" s="48" t="s">
        <v>1654</v>
      </c>
      <c r="F242" s="47" t="s">
        <v>229</v>
      </c>
    </row>
    <row r="243" spans="1:6" x14ac:dyDescent="0.25">
      <c r="A243" s="48" t="s">
        <v>1655</v>
      </c>
      <c r="B243" s="48">
        <v>70009729</v>
      </c>
      <c r="C243" s="47">
        <v>3</v>
      </c>
      <c r="D243" s="48" t="s">
        <v>1359</v>
      </c>
      <c r="E243" s="48" t="s">
        <v>1656</v>
      </c>
      <c r="F243" s="47" t="s">
        <v>229</v>
      </c>
    </row>
    <row r="244" spans="1:6" x14ac:dyDescent="0.25">
      <c r="A244" s="48" t="s">
        <v>893</v>
      </c>
      <c r="B244" s="48">
        <v>70009731</v>
      </c>
      <c r="C244" s="47">
        <v>3</v>
      </c>
      <c r="D244" s="48" t="s">
        <v>1359</v>
      </c>
      <c r="E244" s="48" t="s">
        <v>1657</v>
      </c>
      <c r="F244" s="47" t="s">
        <v>229</v>
      </c>
    </row>
    <row r="245" spans="1:6" x14ac:dyDescent="0.25">
      <c r="A245" s="48" t="s">
        <v>1658</v>
      </c>
      <c r="B245" s="48">
        <v>70009733</v>
      </c>
      <c r="C245" s="47">
        <v>3</v>
      </c>
      <c r="D245" s="48" t="s">
        <v>1359</v>
      </c>
      <c r="E245" s="48" t="s">
        <v>1659</v>
      </c>
      <c r="F245" s="47" t="s">
        <v>229</v>
      </c>
    </row>
    <row r="246" spans="1:6" x14ac:dyDescent="0.25">
      <c r="A246" s="48" t="s">
        <v>1660</v>
      </c>
      <c r="B246" s="48">
        <v>70009734</v>
      </c>
      <c r="C246" s="47">
        <v>1</v>
      </c>
      <c r="D246" s="48" t="s">
        <v>1359</v>
      </c>
      <c r="E246" s="48" t="s">
        <v>1661</v>
      </c>
      <c r="F246" s="47" t="s">
        <v>229</v>
      </c>
    </row>
    <row r="247" spans="1:6" x14ac:dyDescent="0.25">
      <c r="A247" s="48" t="s">
        <v>892</v>
      </c>
      <c r="B247" s="48">
        <v>70009736</v>
      </c>
      <c r="C247" s="47">
        <v>1</v>
      </c>
      <c r="D247" s="48" t="s">
        <v>1359</v>
      </c>
      <c r="E247" s="48" t="s">
        <v>1662</v>
      </c>
      <c r="F247" s="47" t="s">
        <v>229</v>
      </c>
    </row>
    <row r="248" spans="1:6" x14ac:dyDescent="0.25">
      <c r="A248" s="48" t="s">
        <v>1663</v>
      </c>
      <c r="B248" s="48">
        <v>70009738</v>
      </c>
      <c r="C248" s="47">
        <v>1</v>
      </c>
      <c r="D248" s="48" t="s">
        <v>1359</v>
      </c>
      <c r="E248" s="48" t="s">
        <v>1664</v>
      </c>
      <c r="F248" s="47" t="s">
        <v>229</v>
      </c>
    </row>
    <row r="249" spans="1:6" x14ac:dyDescent="0.25">
      <c r="A249" s="48" t="s">
        <v>1665</v>
      </c>
      <c r="B249" s="48">
        <v>70009765</v>
      </c>
      <c r="C249" s="47">
        <v>3</v>
      </c>
      <c r="D249" s="48" t="s">
        <v>1359</v>
      </c>
      <c r="E249" s="48" t="s">
        <v>1666</v>
      </c>
      <c r="F249" s="47" t="s">
        <v>46</v>
      </c>
    </row>
    <row r="250" spans="1:6" x14ac:dyDescent="0.25">
      <c r="A250" s="48" t="s">
        <v>1667</v>
      </c>
      <c r="B250" s="48">
        <v>70009767</v>
      </c>
      <c r="C250" s="47">
        <v>3</v>
      </c>
      <c r="D250" s="48" t="s">
        <v>1359</v>
      </c>
      <c r="E250" s="48" t="s">
        <v>1668</v>
      </c>
      <c r="F250" s="47" t="s">
        <v>46</v>
      </c>
    </row>
    <row r="251" spans="1:6" x14ac:dyDescent="0.25">
      <c r="A251" s="48" t="s">
        <v>1669</v>
      </c>
      <c r="B251" s="48">
        <v>70009769</v>
      </c>
      <c r="C251" s="47">
        <v>3</v>
      </c>
      <c r="D251" s="48" t="s">
        <v>1359</v>
      </c>
      <c r="E251" s="48" t="s">
        <v>1670</v>
      </c>
      <c r="F251" s="47" t="s">
        <v>46</v>
      </c>
    </row>
    <row r="252" spans="1:6" x14ac:dyDescent="0.25">
      <c r="A252" s="48" t="s">
        <v>1671</v>
      </c>
      <c r="B252" s="48">
        <v>70009771</v>
      </c>
      <c r="C252" s="47">
        <v>3</v>
      </c>
      <c r="D252" s="48" t="s">
        <v>1359</v>
      </c>
      <c r="E252" s="48" t="s">
        <v>1671</v>
      </c>
      <c r="F252" s="47" t="s">
        <v>87</v>
      </c>
    </row>
    <row r="253" spans="1:6" x14ac:dyDescent="0.25">
      <c r="A253" s="48" t="s">
        <v>1672</v>
      </c>
      <c r="B253" s="48">
        <v>70009773</v>
      </c>
      <c r="C253" s="47">
        <v>3</v>
      </c>
      <c r="D253" s="48" t="s">
        <v>1359</v>
      </c>
      <c r="E253" s="48" t="s">
        <v>1672</v>
      </c>
      <c r="F253" s="47" t="s">
        <v>87</v>
      </c>
    </row>
    <row r="254" spans="1:6" x14ac:dyDescent="0.25">
      <c r="A254" s="48" t="s">
        <v>1673</v>
      </c>
      <c r="B254" s="48">
        <v>70009775</v>
      </c>
      <c r="C254" s="47">
        <v>3</v>
      </c>
      <c r="D254" s="48" t="s">
        <v>1359</v>
      </c>
      <c r="E254" s="48" t="s">
        <v>1673</v>
      </c>
      <c r="F254" s="47" t="s">
        <v>87</v>
      </c>
    </row>
    <row r="255" spans="1:6" x14ac:dyDescent="0.25">
      <c r="A255" s="48" t="s">
        <v>890</v>
      </c>
      <c r="B255" s="48">
        <v>70009777</v>
      </c>
      <c r="C255" s="47">
        <v>3</v>
      </c>
      <c r="D255" s="48" t="s">
        <v>1359</v>
      </c>
      <c r="E255" s="48" t="s">
        <v>1674</v>
      </c>
      <c r="F255" s="47" t="s">
        <v>87</v>
      </c>
    </row>
    <row r="256" spans="1:6" x14ac:dyDescent="0.25">
      <c r="A256" s="48" t="s">
        <v>1675</v>
      </c>
      <c r="B256" s="48">
        <v>70009778</v>
      </c>
      <c r="C256" s="47">
        <v>3</v>
      </c>
      <c r="D256" s="48" t="s">
        <v>1359</v>
      </c>
      <c r="E256" s="48" t="s">
        <v>1676</v>
      </c>
      <c r="F256" s="47" t="s">
        <v>87</v>
      </c>
    </row>
    <row r="257" spans="1:6" x14ac:dyDescent="0.25">
      <c r="A257" s="48" t="s">
        <v>889</v>
      </c>
      <c r="B257" s="48">
        <v>70009780</v>
      </c>
      <c r="C257" s="47">
        <v>3</v>
      </c>
      <c r="D257" s="48" t="s">
        <v>1359</v>
      </c>
      <c r="E257" s="48" t="s">
        <v>1677</v>
      </c>
      <c r="F257" s="47" t="s">
        <v>87</v>
      </c>
    </row>
    <row r="258" spans="1:6" x14ac:dyDescent="0.25">
      <c r="A258" s="48" t="s">
        <v>888</v>
      </c>
      <c r="B258" s="48">
        <v>70009782</v>
      </c>
      <c r="C258" s="47">
        <v>3</v>
      </c>
      <c r="D258" s="48" t="s">
        <v>1359</v>
      </c>
      <c r="E258" s="48" t="s">
        <v>1678</v>
      </c>
      <c r="F258" s="47" t="s">
        <v>87</v>
      </c>
    </row>
    <row r="259" spans="1:6" x14ac:dyDescent="0.25">
      <c r="A259" s="48" t="s">
        <v>887</v>
      </c>
      <c r="B259" s="48">
        <v>70009785</v>
      </c>
      <c r="C259" s="47">
        <v>3</v>
      </c>
      <c r="D259" s="48" t="s">
        <v>1359</v>
      </c>
      <c r="E259" s="48" t="s">
        <v>1679</v>
      </c>
      <c r="F259" s="47" t="s">
        <v>229</v>
      </c>
    </row>
    <row r="260" spans="1:6" x14ac:dyDescent="0.25">
      <c r="A260" s="48" t="s">
        <v>886</v>
      </c>
      <c r="B260" s="48">
        <v>70009788</v>
      </c>
      <c r="C260" s="47">
        <v>3</v>
      </c>
      <c r="D260" s="48" t="s">
        <v>1359</v>
      </c>
      <c r="E260" s="48" t="s">
        <v>1680</v>
      </c>
      <c r="F260" s="47" t="s">
        <v>87</v>
      </c>
    </row>
    <row r="261" spans="1:6" x14ac:dyDescent="0.25">
      <c r="A261" s="48" t="s">
        <v>1681</v>
      </c>
      <c r="B261" s="48">
        <v>70009791</v>
      </c>
      <c r="C261" s="47">
        <v>3</v>
      </c>
      <c r="D261" s="48" t="s">
        <v>1359</v>
      </c>
      <c r="E261" s="48" t="s">
        <v>1682</v>
      </c>
      <c r="F261" s="47" t="s">
        <v>87</v>
      </c>
    </row>
    <row r="262" spans="1:6" x14ac:dyDescent="0.25">
      <c r="A262" s="48" t="s">
        <v>884</v>
      </c>
      <c r="B262" s="48">
        <v>70009804</v>
      </c>
      <c r="C262" s="47">
        <v>1</v>
      </c>
      <c r="D262" s="48" t="s">
        <v>1359</v>
      </c>
      <c r="E262" s="48" t="s">
        <v>1683</v>
      </c>
      <c r="F262" s="47" t="s">
        <v>46</v>
      </c>
    </row>
    <row r="263" spans="1:6" x14ac:dyDescent="0.25">
      <c r="A263" s="48" t="s">
        <v>1684</v>
      </c>
      <c r="B263" s="48">
        <v>70009807</v>
      </c>
      <c r="C263" s="47">
        <v>1</v>
      </c>
      <c r="D263" s="48" t="s">
        <v>1359</v>
      </c>
      <c r="E263" s="48" t="s">
        <v>1685</v>
      </c>
      <c r="F263" s="47" t="s">
        <v>46</v>
      </c>
    </row>
    <row r="264" spans="1:6" x14ac:dyDescent="0.25">
      <c r="A264" s="48" t="s">
        <v>1686</v>
      </c>
      <c r="B264" s="48">
        <v>70009824</v>
      </c>
      <c r="C264" s="47">
        <v>3</v>
      </c>
      <c r="D264" s="48" t="s">
        <v>1359</v>
      </c>
      <c r="E264" s="48" t="s">
        <v>1687</v>
      </c>
      <c r="F264" s="47" t="s">
        <v>46</v>
      </c>
    </row>
    <row r="265" spans="1:6" x14ac:dyDescent="0.25">
      <c r="A265" s="48" t="s">
        <v>883</v>
      </c>
      <c r="B265" s="48">
        <v>70009827</v>
      </c>
      <c r="C265" s="47">
        <v>1</v>
      </c>
      <c r="D265" s="48" t="s">
        <v>1359</v>
      </c>
      <c r="E265" s="48" t="s">
        <v>1688</v>
      </c>
      <c r="F265" s="47" t="s">
        <v>131</v>
      </c>
    </row>
    <row r="266" spans="1:6" x14ac:dyDescent="0.25">
      <c r="A266" s="48" t="s">
        <v>882</v>
      </c>
      <c r="B266" s="48">
        <v>70009830</v>
      </c>
      <c r="C266" s="47">
        <v>3</v>
      </c>
      <c r="D266" s="48" t="s">
        <v>1359</v>
      </c>
      <c r="E266" s="48" t="s">
        <v>1689</v>
      </c>
      <c r="F266" s="47" t="s">
        <v>46</v>
      </c>
    </row>
    <row r="267" spans="1:6" x14ac:dyDescent="0.25">
      <c r="A267" s="48" t="s">
        <v>1690</v>
      </c>
      <c r="B267" s="48">
        <v>70009833</v>
      </c>
      <c r="C267" s="47">
        <v>1</v>
      </c>
      <c r="D267" s="48" t="s">
        <v>1359</v>
      </c>
      <c r="E267" s="48" t="s">
        <v>1691</v>
      </c>
      <c r="F267" s="47" t="s">
        <v>46</v>
      </c>
    </row>
    <row r="268" spans="1:6" x14ac:dyDescent="0.25">
      <c r="A268" s="48" t="s">
        <v>1692</v>
      </c>
      <c r="B268" s="48">
        <v>70009836</v>
      </c>
      <c r="C268" s="47">
        <v>3</v>
      </c>
      <c r="D268" s="48" t="s">
        <v>1359</v>
      </c>
      <c r="E268" s="48" t="s">
        <v>1693</v>
      </c>
      <c r="F268" s="47" t="s">
        <v>46</v>
      </c>
    </row>
    <row r="269" spans="1:6" x14ac:dyDescent="0.25">
      <c r="A269" s="48" t="s">
        <v>1694</v>
      </c>
      <c r="B269" s="48">
        <v>70009839</v>
      </c>
      <c r="C269" s="47">
        <v>1</v>
      </c>
      <c r="D269" s="48" t="s">
        <v>1359</v>
      </c>
      <c r="E269" s="48" t="s">
        <v>1695</v>
      </c>
      <c r="F269" s="47" t="s">
        <v>46</v>
      </c>
    </row>
    <row r="270" spans="1:6" x14ac:dyDescent="0.25">
      <c r="A270" s="48" t="s">
        <v>1696</v>
      </c>
      <c r="B270" s="48">
        <v>70009845</v>
      </c>
      <c r="C270" s="47">
        <v>3</v>
      </c>
      <c r="D270" s="48" t="s">
        <v>1359</v>
      </c>
      <c r="E270" s="48" t="s">
        <v>1697</v>
      </c>
      <c r="F270" s="47" t="s">
        <v>131</v>
      </c>
    </row>
    <row r="271" spans="1:6" x14ac:dyDescent="0.25">
      <c r="A271" s="48" t="s">
        <v>1698</v>
      </c>
      <c r="B271" s="48">
        <v>70009855</v>
      </c>
      <c r="C271" s="47">
        <v>3</v>
      </c>
      <c r="D271" s="48" t="s">
        <v>1359</v>
      </c>
      <c r="E271" s="48" t="s">
        <v>1698</v>
      </c>
      <c r="F271" s="47" t="s">
        <v>131</v>
      </c>
    </row>
    <row r="272" spans="1:6" x14ac:dyDescent="0.25">
      <c r="A272" s="48" t="s">
        <v>1699</v>
      </c>
      <c r="B272" s="48">
        <v>70009861</v>
      </c>
      <c r="C272" s="47">
        <v>3</v>
      </c>
      <c r="D272" s="48" t="s">
        <v>1359</v>
      </c>
      <c r="E272" s="48" t="s">
        <v>1700</v>
      </c>
      <c r="F272" s="47" t="s">
        <v>46</v>
      </c>
    </row>
    <row r="273" spans="1:6" x14ac:dyDescent="0.25">
      <c r="A273" s="48" t="s">
        <v>1701</v>
      </c>
      <c r="B273" s="48">
        <v>70009864</v>
      </c>
      <c r="C273" s="47">
        <v>3</v>
      </c>
      <c r="D273" s="48" t="s">
        <v>1359</v>
      </c>
      <c r="E273" s="48" t="s">
        <v>1702</v>
      </c>
      <c r="F273" s="47" t="s">
        <v>46</v>
      </c>
    </row>
    <row r="274" spans="1:6" x14ac:dyDescent="0.25">
      <c r="A274" s="48" t="s">
        <v>1703</v>
      </c>
      <c r="B274" s="48">
        <v>70009867</v>
      </c>
      <c r="C274" s="47">
        <v>3</v>
      </c>
      <c r="D274" s="48" t="s">
        <v>1359</v>
      </c>
      <c r="E274" s="48" t="s">
        <v>1704</v>
      </c>
      <c r="F274" s="47" t="s">
        <v>46</v>
      </c>
    </row>
    <row r="275" spans="1:6" x14ac:dyDescent="0.25">
      <c r="A275" s="48" t="s">
        <v>1703</v>
      </c>
      <c r="B275" s="48">
        <v>70009867</v>
      </c>
      <c r="C275" s="47">
        <v>3</v>
      </c>
      <c r="D275" s="48" t="s">
        <v>1359</v>
      </c>
      <c r="E275" s="48" t="s">
        <v>1703</v>
      </c>
      <c r="F275" s="47" t="s">
        <v>46</v>
      </c>
    </row>
    <row r="276" spans="1:6" x14ac:dyDescent="0.25">
      <c r="A276" s="48" t="s">
        <v>1705</v>
      </c>
      <c r="B276" s="27">
        <v>70009869</v>
      </c>
      <c r="C276" s="47">
        <v>1</v>
      </c>
      <c r="D276" s="48" t="s">
        <v>1359</v>
      </c>
      <c r="E276" s="48" t="s">
        <v>1706</v>
      </c>
      <c r="F276" s="47" t="s">
        <v>171</v>
      </c>
    </row>
    <row r="277" spans="1:6" x14ac:dyDescent="0.25">
      <c r="A277" s="48" t="s">
        <v>1707</v>
      </c>
      <c r="B277" s="27">
        <v>70009872</v>
      </c>
      <c r="C277" s="47">
        <v>1</v>
      </c>
      <c r="D277" s="48" t="s">
        <v>1359</v>
      </c>
      <c r="E277" s="48" t="s">
        <v>1708</v>
      </c>
      <c r="F277" s="47" t="s">
        <v>171</v>
      </c>
    </row>
    <row r="278" spans="1:6" x14ac:dyDescent="0.25">
      <c r="A278" s="48" t="s">
        <v>1709</v>
      </c>
      <c r="B278" s="48">
        <v>70009873</v>
      </c>
      <c r="C278" s="47">
        <v>3</v>
      </c>
      <c r="D278" s="48" t="s">
        <v>1359</v>
      </c>
      <c r="E278" s="48" t="s">
        <v>1710</v>
      </c>
      <c r="F278" s="47" t="s">
        <v>87</v>
      </c>
    </row>
    <row r="279" spans="1:6" x14ac:dyDescent="0.25">
      <c r="A279" s="48" t="s">
        <v>1711</v>
      </c>
      <c r="B279" s="48">
        <v>70009875</v>
      </c>
      <c r="C279" s="47">
        <v>1</v>
      </c>
      <c r="D279" s="48" t="s">
        <v>1359</v>
      </c>
      <c r="E279" s="48" t="s">
        <v>1712</v>
      </c>
      <c r="F279" s="47" t="s">
        <v>171</v>
      </c>
    </row>
    <row r="280" spans="1:6" x14ac:dyDescent="0.25">
      <c r="A280" s="48" t="s">
        <v>881</v>
      </c>
      <c r="B280" s="48">
        <v>70009877</v>
      </c>
      <c r="C280" s="47">
        <v>1</v>
      </c>
      <c r="D280" s="48" t="s">
        <v>1359</v>
      </c>
      <c r="E280" s="48" t="s">
        <v>1713</v>
      </c>
      <c r="F280" s="47" t="s">
        <v>46</v>
      </c>
    </row>
    <row r="281" spans="1:6" x14ac:dyDescent="0.25">
      <c r="A281" s="48" t="s">
        <v>880</v>
      </c>
      <c r="B281" s="48">
        <v>70009880</v>
      </c>
      <c r="C281" s="47">
        <v>1</v>
      </c>
      <c r="D281" s="48" t="s">
        <v>1359</v>
      </c>
      <c r="E281" s="48" t="s">
        <v>1714</v>
      </c>
      <c r="F281" s="47" t="s">
        <v>87</v>
      </c>
    </row>
    <row r="282" spans="1:6" x14ac:dyDescent="0.25">
      <c r="A282" s="48" t="s">
        <v>1715</v>
      </c>
      <c r="B282" s="48">
        <v>70009883</v>
      </c>
      <c r="C282" s="47">
        <v>3</v>
      </c>
      <c r="D282" s="48" t="s">
        <v>1359</v>
      </c>
      <c r="E282" s="48" t="s">
        <v>1716</v>
      </c>
      <c r="F282" s="47" t="s">
        <v>87</v>
      </c>
    </row>
    <row r="283" spans="1:6" x14ac:dyDescent="0.25">
      <c r="A283" s="48" t="s">
        <v>1717</v>
      </c>
      <c r="B283" s="48">
        <v>70009886</v>
      </c>
      <c r="C283" s="47">
        <v>3</v>
      </c>
      <c r="D283" s="48" t="s">
        <v>1359</v>
      </c>
      <c r="E283" s="48" t="s">
        <v>1718</v>
      </c>
      <c r="F283" s="47" t="s">
        <v>87</v>
      </c>
    </row>
    <row r="284" spans="1:6" x14ac:dyDescent="0.25">
      <c r="A284" s="48" t="s">
        <v>1719</v>
      </c>
      <c r="B284" s="48">
        <v>70009890</v>
      </c>
      <c r="C284" s="47">
        <v>3</v>
      </c>
      <c r="D284" s="48" t="s">
        <v>1359</v>
      </c>
      <c r="E284" s="48" t="s">
        <v>1720</v>
      </c>
      <c r="F284" s="47" t="s">
        <v>46</v>
      </c>
    </row>
    <row r="285" spans="1:6" x14ac:dyDescent="0.25">
      <c r="A285" s="48" t="s">
        <v>1721</v>
      </c>
      <c r="B285" s="48">
        <v>70009892</v>
      </c>
      <c r="C285" s="47">
        <v>3</v>
      </c>
      <c r="D285" s="48" t="s">
        <v>1359</v>
      </c>
      <c r="E285" s="48" t="s">
        <v>1722</v>
      </c>
      <c r="F285" s="47" t="s">
        <v>46</v>
      </c>
    </row>
    <row r="286" spans="1:6" x14ac:dyDescent="0.25">
      <c r="A286" s="48" t="s">
        <v>1723</v>
      </c>
      <c r="B286" s="48">
        <v>70009895</v>
      </c>
      <c r="C286" s="47">
        <v>1</v>
      </c>
      <c r="D286" s="48" t="s">
        <v>1359</v>
      </c>
      <c r="E286" s="48" t="s">
        <v>1724</v>
      </c>
      <c r="F286" s="47" t="s">
        <v>87</v>
      </c>
    </row>
    <row r="287" spans="1:6" x14ac:dyDescent="0.25">
      <c r="A287" s="48" t="s">
        <v>879</v>
      </c>
      <c r="B287" s="48">
        <v>70009898</v>
      </c>
      <c r="C287" s="47">
        <v>1</v>
      </c>
      <c r="D287" s="48" t="s">
        <v>1359</v>
      </c>
      <c r="E287" s="48" t="s">
        <v>1725</v>
      </c>
      <c r="F287" s="47" t="s">
        <v>87</v>
      </c>
    </row>
    <row r="288" spans="1:6" x14ac:dyDescent="0.25">
      <c r="A288" s="48" t="s">
        <v>1726</v>
      </c>
      <c r="B288" s="48">
        <v>70009903</v>
      </c>
      <c r="C288" s="47">
        <v>3</v>
      </c>
      <c r="D288" s="48" t="s">
        <v>1359</v>
      </c>
      <c r="E288" s="48" t="s">
        <v>1727</v>
      </c>
      <c r="F288" s="47" t="s">
        <v>904</v>
      </c>
    </row>
    <row r="289" spans="1:6" x14ac:dyDescent="0.25">
      <c r="A289" s="48" t="s">
        <v>1728</v>
      </c>
      <c r="B289" s="48">
        <v>70009906</v>
      </c>
      <c r="C289" s="47">
        <v>3</v>
      </c>
      <c r="D289" s="48" t="s">
        <v>1359</v>
      </c>
      <c r="E289" s="48" t="s">
        <v>1729</v>
      </c>
      <c r="F289" s="47" t="s">
        <v>904</v>
      </c>
    </row>
    <row r="290" spans="1:6" x14ac:dyDescent="0.25">
      <c r="A290" s="48" t="s">
        <v>1730</v>
      </c>
      <c r="B290" s="48">
        <v>70009910</v>
      </c>
      <c r="C290" s="47">
        <v>3</v>
      </c>
      <c r="D290" s="48" t="s">
        <v>1359</v>
      </c>
      <c r="E290" s="48" t="s">
        <v>1731</v>
      </c>
      <c r="F290" s="47" t="s">
        <v>46</v>
      </c>
    </row>
    <row r="291" spans="1:6" x14ac:dyDescent="0.25">
      <c r="A291" s="48" t="s">
        <v>1730</v>
      </c>
      <c r="B291" s="48">
        <v>70009910</v>
      </c>
      <c r="C291" s="47">
        <v>3</v>
      </c>
      <c r="D291" s="48" t="s">
        <v>1359</v>
      </c>
      <c r="E291" s="48" t="s">
        <v>1730</v>
      </c>
      <c r="F291" s="47" t="s">
        <v>46</v>
      </c>
    </row>
    <row r="292" spans="1:6" x14ac:dyDescent="0.25">
      <c r="A292" s="48" t="s">
        <v>1732</v>
      </c>
      <c r="B292" s="48">
        <v>70009919</v>
      </c>
      <c r="C292" s="47">
        <v>3</v>
      </c>
      <c r="D292" s="48" t="s">
        <v>1359</v>
      </c>
      <c r="E292" s="48" t="s">
        <v>1733</v>
      </c>
      <c r="F292" s="47" t="s">
        <v>904</v>
      </c>
    </row>
    <row r="293" spans="1:6" x14ac:dyDescent="0.25">
      <c r="A293" s="48" t="s">
        <v>1734</v>
      </c>
      <c r="B293" s="48">
        <v>70009921</v>
      </c>
      <c r="C293" s="47">
        <v>3</v>
      </c>
      <c r="D293" s="48" t="s">
        <v>1359</v>
      </c>
      <c r="E293" s="48" t="s">
        <v>1735</v>
      </c>
      <c r="F293" s="47" t="s">
        <v>904</v>
      </c>
    </row>
    <row r="294" spans="1:6" x14ac:dyDescent="0.25">
      <c r="A294" s="48" t="s">
        <v>1736</v>
      </c>
      <c r="B294" s="48">
        <v>70009939</v>
      </c>
      <c r="C294" s="47">
        <v>3</v>
      </c>
      <c r="D294" s="48" t="s">
        <v>1359</v>
      </c>
      <c r="E294" s="48" t="s">
        <v>1737</v>
      </c>
      <c r="F294" s="47" t="s">
        <v>46</v>
      </c>
    </row>
    <row r="295" spans="1:6" x14ac:dyDescent="0.25">
      <c r="A295" s="48" t="s">
        <v>1738</v>
      </c>
      <c r="B295" s="48">
        <v>70009942</v>
      </c>
      <c r="C295" s="47">
        <v>3</v>
      </c>
      <c r="D295" s="48" t="s">
        <v>1359</v>
      </c>
      <c r="E295" s="48" t="s">
        <v>1739</v>
      </c>
      <c r="F295" s="47" t="s">
        <v>46</v>
      </c>
    </row>
    <row r="296" spans="1:6" x14ac:dyDescent="0.25">
      <c r="A296" s="48" t="s">
        <v>1740</v>
      </c>
      <c r="B296" s="48">
        <v>70009971</v>
      </c>
      <c r="C296" s="47">
        <v>3</v>
      </c>
      <c r="D296" s="48" t="s">
        <v>1359</v>
      </c>
      <c r="E296" s="48" t="s">
        <v>1741</v>
      </c>
      <c r="F296" s="47" t="s">
        <v>46</v>
      </c>
    </row>
    <row r="297" spans="1:6" x14ac:dyDescent="0.25">
      <c r="A297" s="48" t="s">
        <v>1742</v>
      </c>
      <c r="B297" s="48">
        <v>70009974</v>
      </c>
      <c r="C297" s="47">
        <v>3</v>
      </c>
      <c r="D297" s="48" t="s">
        <v>1359</v>
      </c>
      <c r="E297" s="48" t="s">
        <v>1743</v>
      </c>
      <c r="F297" s="47" t="s">
        <v>46</v>
      </c>
    </row>
    <row r="298" spans="1:6" x14ac:dyDescent="0.25">
      <c r="A298" s="48" t="s">
        <v>1744</v>
      </c>
      <c r="B298" s="48">
        <v>70009976</v>
      </c>
      <c r="C298" s="47">
        <v>3</v>
      </c>
      <c r="D298" s="48" t="s">
        <v>1359</v>
      </c>
      <c r="E298" s="48" t="s">
        <v>1745</v>
      </c>
      <c r="F298" s="47" t="s">
        <v>46</v>
      </c>
    </row>
    <row r="299" spans="1:6" x14ac:dyDescent="0.25">
      <c r="A299" s="48" t="s">
        <v>1746</v>
      </c>
      <c r="B299" s="48">
        <v>70009979</v>
      </c>
      <c r="C299" s="47">
        <v>3</v>
      </c>
      <c r="D299" s="48" t="s">
        <v>1359</v>
      </c>
      <c r="E299" s="48" t="s">
        <v>1747</v>
      </c>
      <c r="F299" s="47" t="s">
        <v>46</v>
      </c>
    </row>
    <row r="300" spans="1:6" x14ac:dyDescent="0.25">
      <c r="A300" s="48" t="s">
        <v>1748</v>
      </c>
      <c r="B300" s="48">
        <v>70009980</v>
      </c>
      <c r="C300" s="47">
        <v>3</v>
      </c>
      <c r="D300" s="48" t="s">
        <v>1359</v>
      </c>
      <c r="E300" s="48" t="s">
        <v>1749</v>
      </c>
      <c r="F300" s="47" t="s">
        <v>46</v>
      </c>
    </row>
    <row r="301" spans="1:6" x14ac:dyDescent="0.25">
      <c r="A301" s="48" t="s">
        <v>1750</v>
      </c>
      <c r="B301" s="48">
        <v>70009983</v>
      </c>
      <c r="C301" s="47">
        <v>3</v>
      </c>
      <c r="D301" s="48" t="s">
        <v>1359</v>
      </c>
      <c r="E301" s="48" t="s">
        <v>1751</v>
      </c>
      <c r="F301" s="47" t="s">
        <v>46</v>
      </c>
    </row>
    <row r="302" spans="1:6" x14ac:dyDescent="0.25">
      <c r="A302" s="48" t="s">
        <v>1752</v>
      </c>
      <c r="B302" s="48">
        <v>70009985</v>
      </c>
      <c r="C302" s="47">
        <v>3</v>
      </c>
      <c r="D302" s="48" t="s">
        <v>1359</v>
      </c>
      <c r="E302" s="48" t="s">
        <v>1753</v>
      </c>
      <c r="F302" s="47" t="s">
        <v>46</v>
      </c>
    </row>
    <row r="303" spans="1:6" x14ac:dyDescent="0.25">
      <c r="A303" s="48" t="s">
        <v>1752</v>
      </c>
      <c r="B303" s="48">
        <v>70009985</v>
      </c>
      <c r="C303" s="47">
        <v>3</v>
      </c>
      <c r="D303" s="48" t="s">
        <v>1359</v>
      </c>
      <c r="E303" s="48" t="s">
        <v>1752</v>
      </c>
      <c r="F303" s="47" t="s">
        <v>46</v>
      </c>
    </row>
    <row r="304" spans="1:6" x14ac:dyDescent="0.25">
      <c r="A304" s="48" t="s">
        <v>1754</v>
      </c>
      <c r="B304" s="48">
        <v>70009988</v>
      </c>
      <c r="C304" s="47">
        <v>3</v>
      </c>
      <c r="D304" s="48" t="s">
        <v>1359</v>
      </c>
      <c r="E304" s="48" t="s">
        <v>1755</v>
      </c>
      <c r="F304" s="47" t="s">
        <v>46</v>
      </c>
    </row>
    <row r="305" spans="1:6" x14ac:dyDescent="0.25">
      <c r="A305" s="48" t="s">
        <v>1756</v>
      </c>
      <c r="B305" s="48">
        <v>70010009</v>
      </c>
      <c r="C305" s="47">
        <v>3</v>
      </c>
      <c r="D305" s="48" t="s">
        <v>1359</v>
      </c>
      <c r="E305" s="48" t="s">
        <v>1757</v>
      </c>
      <c r="F305" s="47" t="s">
        <v>46</v>
      </c>
    </row>
    <row r="306" spans="1:6" x14ac:dyDescent="0.25">
      <c r="A306" s="48" t="s">
        <v>1758</v>
      </c>
      <c r="B306" s="48">
        <v>70010011</v>
      </c>
      <c r="C306" s="47">
        <v>3</v>
      </c>
      <c r="D306" s="48" t="s">
        <v>1359</v>
      </c>
      <c r="E306" s="48" t="s">
        <v>1759</v>
      </c>
      <c r="F306" s="47" t="s">
        <v>46</v>
      </c>
    </row>
    <row r="307" spans="1:6" x14ac:dyDescent="0.25">
      <c r="A307" s="48" t="s">
        <v>1760</v>
      </c>
      <c r="B307" s="48">
        <v>70010014</v>
      </c>
      <c r="C307" s="47">
        <v>3</v>
      </c>
      <c r="D307" s="48" t="s">
        <v>1359</v>
      </c>
      <c r="E307" s="48" t="s">
        <v>1761</v>
      </c>
      <c r="F307" s="47" t="s">
        <v>46</v>
      </c>
    </row>
    <row r="308" spans="1:6" x14ac:dyDescent="0.25">
      <c r="A308" s="48" t="s">
        <v>1762</v>
      </c>
      <c r="B308" s="48">
        <v>70010018</v>
      </c>
      <c r="C308" s="47">
        <v>3</v>
      </c>
      <c r="D308" s="48" t="s">
        <v>1359</v>
      </c>
      <c r="E308" s="48" t="s">
        <v>1763</v>
      </c>
      <c r="F308" s="47" t="s">
        <v>46</v>
      </c>
    </row>
    <row r="309" spans="1:6" x14ac:dyDescent="0.25">
      <c r="A309" s="48" t="s">
        <v>1764</v>
      </c>
      <c r="B309" s="48">
        <v>70010021</v>
      </c>
      <c r="C309" s="47">
        <v>3</v>
      </c>
      <c r="D309" s="48" t="s">
        <v>1359</v>
      </c>
      <c r="E309" s="48" t="s">
        <v>1765</v>
      </c>
      <c r="F309" s="47" t="s">
        <v>46</v>
      </c>
    </row>
    <row r="310" spans="1:6" x14ac:dyDescent="0.25">
      <c r="A310" s="48" t="s">
        <v>1766</v>
      </c>
      <c r="B310" s="48">
        <v>70010024</v>
      </c>
      <c r="C310" s="47">
        <v>3</v>
      </c>
      <c r="D310" s="48" t="s">
        <v>1359</v>
      </c>
      <c r="E310" s="48" t="s">
        <v>1767</v>
      </c>
      <c r="F310" s="47" t="s">
        <v>46</v>
      </c>
    </row>
    <row r="311" spans="1:6" x14ac:dyDescent="0.25">
      <c r="A311" s="48" t="s">
        <v>1768</v>
      </c>
      <c r="B311" s="48">
        <v>70010027</v>
      </c>
      <c r="C311" s="47">
        <v>3</v>
      </c>
      <c r="D311" s="48" t="s">
        <v>1359</v>
      </c>
      <c r="E311" s="48" t="s">
        <v>1769</v>
      </c>
      <c r="F311" s="47" t="s">
        <v>46</v>
      </c>
    </row>
    <row r="312" spans="1:6" x14ac:dyDescent="0.25">
      <c r="A312" s="48" t="s">
        <v>1770</v>
      </c>
      <c r="B312" s="48">
        <v>70010030</v>
      </c>
      <c r="C312" s="47">
        <v>3</v>
      </c>
      <c r="D312" s="48" t="s">
        <v>1359</v>
      </c>
      <c r="E312" s="48" t="s">
        <v>1771</v>
      </c>
      <c r="F312" s="47" t="s">
        <v>46</v>
      </c>
    </row>
    <row r="313" spans="1:6" x14ac:dyDescent="0.25">
      <c r="A313" s="48" t="s">
        <v>1772</v>
      </c>
      <c r="B313" s="48">
        <v>70010033</v>
      </c>
      <c r="C313" s="47">
        <v>3</v>
      </c>
      <c r="D313" s="48" t="s">
        <v>1359</v>
      </c>
      <c r="E313" s="48" t="s">
        <v>1773</v>
      </c>
      <c r="F313" s="47" t="s">
        <v>904</v>
      </c>
    </row>
    <row r="314" spans="1:6" x14ac:dyDescent="0.25">
      <c r="A314" s="48" t="s">
        <v>878</v>
      </c>
      <c r="B314" s="48">
        <v>70010036</v>
      </c>
      <c r="C314" s="47">
        <v>1</v>
      </c>
      <c r="D314" s="48" t="s">
        <v>1359</v>
      </c>
      <c r="E314" s="48" t="s">
        <v>1774</v>
      </c>
      <c r="F314" s="47" t="s">
        <v>87</v>
      </c>
    </row>
    <row r="315" spans="1:6" x14ac:dyDescent="0.25">
      <c r="A315" s="48" t="s">
        <v>1775</v>
      </c>
      <c r="B315" s="48">
        <v>70010039</v>
      </c>
      <c r="C315" s="47">
        <v>1</v>
      </c>
      <c r="D315" s="48" t="s">
        <v>1359</v>
      </c>
      <c r="E315" s="48" t="s">
        <v>1776</v>
      </c>
      <c r="F315" s="47" t="s">
        <v>87</v>
      </c>
    </row>
    <row r="316" spans="1:6" x14ac:dyDescent="0.25">
      <c r="A316" s="48" t="s">
        <v>1777</v>
      </c>
      <c r="B316" s="48">
        <v>70010043</v>
      </c>
      <c r="C316" s="47">
        <v>3</v>
      </c>
      <c r="D316" s="48" t="s">
        <v>1359</v>
      </c>
      <c r="E316" s="48" t="s">
        <v>1778</v>
      </c>
      <c r="F316" s="47" t="s">
        <v>46</v>
      </c>
    </row>
    <row r="317" spans="1:6" x14ac:dyDescent="0.25">
      <c r="A317" s="48" t="s">
        <v>1779</v>
      </c>
      <c r="B317" s="48">
        <v>70010062</v>
      </c>
      <c r="C317" s="47">
        <v>3</v>
      </c>
      <c r="D317" s="48" t="s">
        <v>1359</v>
      </c>
      <c r="E317" s="48" t="s">
        <v>1780</v>
      </c>
      <c r="F317" s="47" t="s">
        <v>46</v>
      </c>
    </row>
    <row r="318" spans="1:6" x14ac:dyDescent="0.25">
      <c r="A318" s="48" t="s">
        <v>1781</v>
      </c>
      <c r="B318" s="48">
        <v>70010065</v>
      </c>
      <c r="C318" s="47">
        <v>3</v>
      </c>
      <c r="D318" s="48" t="s">
        <v>1359</v>
      </c>
      <c r="E318" s="48" t="s">
        <v>1782</v>
      </c>
      <c r="F318" s="47" t="s">
        <v>46</v>
      </c>
    </row>
    <row r="319" spans="1:6" x14ac:dyDescent="0.25">
      <c r="A319" s="48" t="s">
        <v>877</v>
      </c>
      <c r="B319" s="48">
        <v>70010082</v>
      </c>
      <c r="C319" s="47">
        <v>1</v>
      </c>
      <c r="D319" s="48" t="s">
        <v>1359</v>
      </c>
      <c r="E319" s="48" t="s">
        <v>1783</v>
      </c>
      <c r="F319" s="47" t="s">
        <v>87</v>
      </c>
    </row>
    <row r="320" spans="1:6" x14ac:dyDescent="0.25">
      <c r="A320" s="48" t="s">
        <v>876</v>
      </c>
      <c r="B320" s="48">
        <v>70010083</v>
      </c>
      <c r="C320" s="47">
        <v>1</v>
      </c>
      <c r="D320" s="48" t="s">
        <v>1359</v>
      </c>
      <c r="E320" s="48" t="s">
        <v>1784</v>
      </c>
      <c r="F320" s="47" t="s">
        <v>87</v>
      </c>
    </row>
    <row r="321" spans="1:6" x14ac:dyDescent="0.25">
      <c r="A321" s="48" t="s">
        <v>875</v>
      </c>
      <c r="B321" s="48">
        <v>70010084</v>
      </c>
      <c r="C321" s="47">
        <v>1</v>
      </c>
      <c r="D321" s="48" t="s">
        <v>1359</v>
      </c>
      <c r="E321" s="48" t="s">
        <v>1785</v>
      </c>
      <c r="F321" s="47" t="s">
        <v>87</v>
      </c>
    </row>
    <row r="322" spans="1:6" x14ac:dyDescent="0.25">
      <c r="A322" s="48" t="s">
        <v>874</v>
      </c>
      <c r="B322" s="48">
        <v>70010085</v>
      </c>
      <c r="C322" s="47">
        <v>1</v>
      </c>
      <c r="D322" s="48" t="s">
        <v>1359</v>
      </c>
      <c r="E322" s="48" t="s">
        <v>1786</v>
      </c>
      <c r="F322" s="47" t="s">
        <v>87</v>
      </c>
    </row>
    <row r="323" spans="1:6" x14ac:dyDescent="0.25">
      <c r="A323" s="48" t="s">
        <v>873</v>
      </c>
      <c r="B323" s="48">
        <v>70010087</v>
      </c>
      <c r="C323" s="47">
        <v>2</v>
      </c>
      <c r="D323" s="48" t="s">
        <v>1359</v>
      </c>
      <c r="E323" s="48" t="s">
        <v>1787</v>
      </c>
      <c r="F323" s="47" t="s">
        <v>63</v>
      </c>
    </row>
    <row r="324" spans="1:6" x14ac:dyDescent="0.25">
      <c r="A324" s="48" t="s">
        <v>1788</v>
      </c>
      <c r="B324" s="48">
        <v>70010100</v>
      </c>
      <c r="C324" s="47">
        <v>2</v>
      </c>
      <c r="D324" s="48" t="s">
        <v>1359</v>
      </c>
      <c r="E324" s="48" t="s">
        <v>1789</v>
      </c>
      <c r="F324" s="47" t="s">
        <v>63</v>
      </c>
    </row>
    <row r="325" spans="1:6" x14ac:dyDescent="0.25">
      <c r="A325" s="48" t="s">
        <v>1790</v>
      </c>
      <c r="B325" s="48">
        <v>70010103</v>
      </c>
      <c r="C325" s="47">
        <v>2</v>
      </c>
      <c r="D325" s="48" t="s">
        <v>1359</v>
      </c>
      <c r="E325" s="48" t="s">
        <v>1791</v>
      </c>
      <c r="F325" s="47" t="s">
        <v>63</v>
      </c>
    </row>
    <row r="326" spans="1:6" x14ac:dyDescent="0.25">
      <c r="A326" s="48" t="s">
        <v>92</v>
      </c>
      <c r="B326" s="48">
        <v>70010106</v>
      </c>
      <c r="C326" s="47">
        <v>2</v>
      </c>
      <c r="D326" s="48" t="s">
        <v>1359</v>
      </c>
      <c r="E326" s="48" t="s">
        <v>1792</v>
      </c>
      <c r="F326" s="47" t="s">
        <v>63</v>
      </c>
    </row>
    <row r="327" spans="1:6" x14ac:dyDescent="0.25">
      <c r="A327" s="48" t="s">
        <v>1793</v>
      </c>
      <c r="B327" s="48">
        <v>70010109</v>
      </c>
      <c r="C327" s="47">
        <v>2</v>
      </c>
      <c r="D327" s="48" t="s">
        <v>1359</v>
      </c>
      <c r="E327" s="48" t="s">
        <v>1794</v>
      </c>
      <c r="F327" s="47" t="s">
        <v>63</v>
      </c>
    </row>
    <row r="328" spans="1:6" x14ac:dyDescent="0.25">
      <c r="A328" s="48" t="s">
        <v>1795</v>
      </c>
      <c r="B328" s="48">
        <v>70010112</v>
      </c>
      <c r="C328" s="47">
        <v>2</v>
      </c>
      <c r="D328" s="48" t="s">
        <v>1359</v>
      </c>
      <c r="E328" s="48" t="s">
        <v>1796</v>
      </c>
      <c r="F328" s="47" t="s">
        <v>63</v>
      </c>
    </row>
    <row r="329" spans="1:6" x14ac:dyDescent="0.25">
      <c r="A329" s="48" t="s">
        <v>1797</v>
      </c>
      <c r="B329" s="48">
        <v>70010115</v>
      </c>
      <c r="C329" s="47">
        <v>2</v>
      </c>
      <c r="D329" s="48" t="s">
        <v>1359</v>
      </c>
      <c r="E329" s="48" t="s">
        <v>1798</v>
      </c>
      <c r="F329" s="47" t="s">
        <v>63</v>
      </c>
    </row>
    <row r="330" spans="1:6" x14ac:dyDescent="0.25">
      <c r="A330" s="48" t="s">
        <v>1799</v>
      </c>
      <c r="B330" s="27">
        <v>70010118</v>
      </c>
      <c r="C330" s="47">
        <v>1</v>
      </c>
      <c r="D330" s="48" t="s">
        <v>1359</v>
      </c>
      <c r="E330" s="48" t="s">
        <v>1800</v>
      </c>
      <c r="F330" s="47" t="s">
        <v>46</v>
      </c>
    </row>
    <row r="331" spans="1:6" x14ac:dyDescent="0.25">
      <c r="A331" s="48" t="s">
        <v>1801</v>
      </c>
      <c r="B331" s="48">
        <v>70010121</v>
      </c>
      <c r="C331" s="47">
        <v>1</v>
      </c>
      <c r="D331" s="48" t="s">
        <v>1359</v>
      </c>
      <c r="E331" s="48" t="s">
        <v>1802</v>
      </c>
      <c r="F331" s="47" t="s">
        <v>46</v>
      </c>
    </row>
    <row r="332" spans="1:6" x14ac:dyDescent="0.25">
      <c r="A332" s="48" t="s">
        <v>1803</v>
      </c>
      <c r="B332" s="48">
        <v>70010124</v>
      </c>
      <c r="C332" s="47">
        <v>1</v>
      </c>
      <c r="D332" s="48" t="s">
        <v>1359</v>
      </c>
      <c r="E332" s="48" t="s">
        <v>1804</v>
      </c>
      <c r="F332" s="47" t="s">
        <v>46</v>
      </c>
    </row>
    <row r="333" spans="1:6" x14ac:dyDescent="0.25">
      <c r="A333" s="48" t="s">
        <v>872</v>
      </c>
      <c r="B333" s="48">
        <v>70010137</v>
      </c>
      <c r="C333" s="47">
        <v>3</v>
      </c>
      <c r="D333" s="48" t="s">
        <v>1359</v>
      </c>
      <c r="E333" s="48" t="s">
        <v>1805</v>
      </c>
      <c r="F333" s="47" t="s">
        <v>87</v>
      </c>
    </row>
    <row r="334" spans="1:6" x14ac:dyDescent="0.25">
      <c r="A334" s="48" t="s">
        <v>871</v>
      </c>
      <c r="B334" s="48">
        <v>70010152</v>
      </c>
      <c r="C334" s="47">
        <v>3</v>
      </c>
      <c r="D334" s="48" t="s">
        <v>1359</v>
      </c>
      <c r="E334" s="48" t="s">
        <v>1806</v>
      </c>
      <c r="F334" s="47" t="s">
        <v>46</v>
      </c>
    </row>
    <row r="335" spans="1:6" x14ac:dyDescent="0.25">
      <c r="A335" s="48" t="s">
        <v>869</v>
      </c>
      <c r="B335" s="48">
        <v>70010189</v>
      </c>
      <c r="C335" s="47">
        <v>3</v>
      </c>
      <c r="D335" s="48" t="s">
        <v>1359</v>
      </c>
      <c r="E335" s="48" t="s">
        <v>869</v>
      </c>
      <c r="F335" s="47" t="s">
        <v>87</v>
      </c>
    </row>
    <row r="336" spans="1:6" x14ac:dyDescent="0.25">
      <c r="A336" s="48" t="s">
        <v>1807</v>
      </c>
      <c r="B336" s="48">
        <v>70010191</v>
      </c>
      <c r="C336" s="47">
        <v>3</v>
      </c>
      <c r="D336" s="48" t="s">
        <v>1359</v>
      </c>
      <c r="E336" s="48" t="s">
        <v>1807</v>
      </c>
      <c r="F336" s="47" t="s">
        <v>87</v>
      </c>
    </row>
    <row r="337" spans="1:6" x14ac:dyDescent="0.25">
      <c r="A337" s="48" t="s">
        <v>1808</v>
      </c>
      <c r="B337" s="48">
        <v>70010193</v>
      </c>
      <c r="C337" s="47">
        <v>3</v>
      </c>
      <c r="D337" s="48" t="s">
        <v>1359</v>
      </c>
      <c r="E337" s="48" t="s">
        <v>1808</v>
      </c>
      <c r="F337" s="47" t="s">
        <v>87</v>
      </c>
    </row>
    <row r="338" spans="1:6" x14ac:dyDescent="0.25">
      <c r="A338" s="48" t="s">
        <v>868</v>
      </c>
      <c r="B338" s="48">
        <v>70010195</v>
      </c>
      <c r="C338" s="47">
        <v>3</v>
      </c>
      <c r="D338" s="48" t="s">
        <v>1359</v>
      </c>
      <c r="E338" s="48" t="s">
        <v>868</v>
      </c>
      <c r="F338" s="47" t="s">
        <v>87</v>
      </c>
    </row>
    <row r="339" spans="1:6" x14ac:dyDescent="0.25">
      <c r="A339" s="48" t="s">
        <v>1809</v>
      </c>
      <c r="B339" s="48">
        <v>70010197</v>
      </c>
      <c r="C339" s="47">
        <v>3</v>
      </c>
      <c r="D339" s="48" t="s">
        <v>1359</v>
      </c>
      <c r="E339" s="48" t="s">
        <v>1809</v>
      </c>
      <c r="F339" s="47" t="s">
        <v>87</v>
      </c>
    </row>
    <row r="340" spans="1:6" x14ac:dyDescent="0.25">
      <c r="A340" s="48" t="s">
        <v>867</v>
      </c>
      <c r="B340" s="48">
        <v>70010199</v>
      </c>
      <c r="C340" s="47">
        <v>3</v>
      </c>
      <c r="D340" s="48" t="s">
        <v>1359</v>
      </c>
      <c r="E340" s="48" t="s">
        <v>867</v>
      </c>
      <c r="F340" s="47" t="s">
        <v>87</v>
      </c>
    </row>
    <row r="341" spans="1:6" x14ac:dyDescent="0.25">
      <c r="A341" s="48" t="s">
        <v>866</v>
      </c>
      <c r="B341" s="48">
        <v>70010201</v>
      </c>
      <c r="C341" s="47">
        <v>3</v>
      </c>
      <c r="D341" s="48" t="s">
        <v>1359</v>
      </c>
      <c r="E341" s="48" t="s">
        <v>866</v>
      </c>
      <c r="F341" s="47" t="s">
        <v>87</v>
      </c>
    </row>
    <row r="342" spans="1:6" x14ac:dyDescent="0.25">
      <c r="A342" s="48" t="s">
        <v>866</v>
      </c>
      <c r="B342" s="48">
        <v>70010201</v>
      </c>
      <c r="C342" s="47">
        <v>3</v>
      </c>
      <c r="D342" s="48" t="s">
        <v>1359</v>
      </c>
      <c r="E342" s="48" t="s">
        <v>1810</v>
      </c>
      <c r="F342" s="47" t="s">
        <v>87</v>
      </c>
    </row>
    <row r="343" spans="1:6" x14ac:dyDescent="0.25">
      <c r="A343" s="48" t="s">
        <v>1811</v>
      </c>
      <c r="B343" s="48">
        <v>70010203</v>
      </c>
      <c r="C343" s="47">
        <v>3</v>
      </c>
      <c r="D343" s="48" t="s">
        <v>1359</v>
      </c>
      <c r="E343" s="48" t="s">
        <v>1811</v>
      </c>
      <c r="F343" s="47" t="s">
        <v>87</v>
      </c>
    </row>
    <row r="344" spans="1:6" x14ac:dyDescent="0.25">
      <c r="A344" s="48" t="s">
        <v>1811</v>
      </c>
      <c r="B344" s="48">
        <v>70010203</v>
      </c>
      <c r="C344" s="47">
        <v>3</v>
      </c>
      <c r="D344" s="48" t="s">
        <v>1359</v>
      </c>
      <c r="E344" s="48" t="s">
        <v>1812</v>
      </c>
      <c r="F344" s="47" t="s">
        <v>87</v>
      </c>
    </row>
    <row r="345" spans="1:6" x14ac:dyDescent="0.25">
      <c r="A345" s="48" t="s">
        <v>1813</v>
      </c>
      <c r="B345" s="48">
        <v>70010205</v>
      </c>
      <c r="C345" s="47">
        <v>3</v>
      </c>
      <c r="D345" s="48" t="s">
        <v>1359</v>
      </c>
      <c r="E345" s="48" t="s">
        <v>1813</v>
      </c>
      <c r="F345" s="47" t="s">
        <v>87</v>
      </c>
    </row>
    <row r="346" spans="1:6" x14ac:dyDescent="0.25">
      <c r="A346" s="48" t="s">
        <v>1813</v>
      </c>
      <c r="B346" s="48">
        <v>70010205</v>
      </c>
      <c r="C346" s="47">
        <v>3</v>
      </c>
      <c r="D346" s="48" t="s">
        <v>1359</v>
      </c>
      <c r="E346" s="48" t="s">
        <v>1814</v>
      </c>
      <c r="F346" s="47" t="s">
        <v>87</v>
      </c>
    </row>
    <row r="347" spans="1:6" x14ac:dyDescent="0.25">
      <c r="A347" s="48" t="s">
        <v>1815</v>
      </c>
      <c r="B347" s="48">
        <v>70010207</v>
      </c>
      <c r="C347" s="47">
        <v>3</v>
      </c>
      <c r="D347" s="48" t="s">
        <v>1359</v>
      </c>
      <c r="E347" s="48" t="s">
        <v>1815</v>
      </c>
      <c r="F347" s="47" t="s">
        <v>87</v>
      </c>
    </row>
    <row r="348" spans="1:6" x14ac:dyDescent="0.25">
      <c r="A348" s="48" t="s">
        <v>1815</v>
      </c>
      <c r="B348" s="48">
        <v>70010207</v>
      </c>
      <c r="C348" s="47">
        <v>3</v>
      </c>
      <c r="D348" s="48" t="s">
        <v>1359</v>
      </c>
      <c r="E348" s="48" t="s">
        <v>1816</v>
      </c>
      <c r="F348" s="47" t="s">
        <v>87</v>
      </c>
    </row>
    <row r="349" spans="1:6" x14ac:dyDescent="0.25">
      <c r="A349" s="48" t="s">
        <v>1817</v>
      </c>
      <c r="B349" s="48">
        <v>70010209</v>
      </c>
      <c r="C349" s="47">
        <v>3</v>
      </c>
      <c r="D349" s="48" t="s">
        <v>1359</v>
      </c>
      <c r="E349" s="48" t="s">
        <v>1817</v>
      </c>
      <c r="F349" s="47" t="s">
        <v>87</v>
      </c>
    </row>
    <row r="350" spans="1:6" x14ac:dyDescent="0.25">
      <c r="A350" s="48" t="s">
        <v>1817</v>
      </c>
      <c r="B350" s="48">
        <v>70010209</v>
      </c>
      <c r="C350" s="47">
        <v>3</v>
      </c>
      <c r="D350" s="48" t="s">
        <v>1359</v>
      </c>
      <c r="E350" s="48" t="s">
        <v>1818</v>
      </c>
      <c r="F350" s="47" t="s">
        <v>87</v>
      </c>
    </row>
    <row r="351" spans="1:6" x14ac:dyDescent="0.25">
      <c r="A351" s="48" t="s">
        <v>1819</v>
      </c>
      <c r="B351" s="48">
        <v>70010211</v>
      </c>
      <c r="C351" s="47">
        <v>3</v>
      </c>
      <c r="D351" s="48" t="s">
        <v>1359</v>
      </c>
      <c r="E351" s="48" t="s">
        <v>1819</v>
      </c>
      <c r="F351" s="47" t="s">
        <v>87</v>
      </c>
    </row>
    <row r="352" spans="1:6" x14ac:dyDescent="0.25">
      <c r="A352" s="48" t="s">
        <v>1819</v>
      </c>
      <c r="B352" s="48">
        <v>70010211</v>
      </c>
      <c r="C352" s="47">
        <v>3</v>
      </c>
      <c r="D352" s="48" t="s">
        <v>1359</v>
      </c>
      <c r="E352" s="48" t="s">
        <v>1820</v>
      </c>
      <c r="F352" s="47" t="s">
        <v>87</v>
      </c>
    </row>
    <row r="353" spans="1:6" x14ac:dyDescent="0.25">
      <c r="A353" s="48" t="s">
        <v>1821</v>
      </c>
      <c r="B353" s="48">
        <v>70010272</v>
      </c>
      <c r="C353" s="47">
        <v>3</v>
      </c>
      <c r="D353" s="48" t="s">
        <v>1359</v>
      </c>
      <c r="E353" s="48" t="s">
        <v>1821</v>
      </c>
      <c r="F353" s="47" t="s">
        <v>46</v>
      </c>
    </row>
    <row r="354" spans="1:6" x14ac:dyDescent="0.25">
      <c r="A354" s="48" t="s">
        <v>1821</v>
      </c>
      <c r="B354" s="48">
        <v>70010272</v>
      </c>
      <c r="C354" s="47">
        <v>3</v>
      </c>
      <c r="D354" s="48" t="s">
        <v>1359</v>
      </c>
      <c r="E354" s="48" t="s">
        <v>1822</v>
      </c>
      <c r="F354" s="47" t="s">
        <v>46</v>
      </c>
    </row>
    <row r="355" spans="1:6" x14ac:dyDescent="0.25">
      <c r="A355" s="48" t="s">
        <v>1823</v>
      </c>
      <c r="B355" s="48">
        <v>70010274</v>
      </c>
      <c r="C355" s="47">
        <v>3</v>
      </c>
      <c r="D355" s="48" t="s">
        <v>1359</v>
      </c>
      <c r="E355" s="48" t="s">
        <v>1823</v>
      </c>
      <c r="F355" s="47" t="s">
        <v>46</v>
      </c>
    </row>
    <row r="356" spans="1:6" x14ac:dyDescent="0.25">
      <c r="A356" s="48" t="s">
        <v>865</v>
      </c>
      <c r="B356" s="48">
        <v>70010277</v>
      </c>
      <c r="C356" s="47">
        <v>3</v>
      </c>
      <c r="D356" s="48" t="s">
        <v>1359</v>
      </c>
      <c r="E356" s="48" t="s">
        <v>865</v>
      </c>
      <c r="F356" s="47" t="s">
        <v>46</v>
      </c>
    </row>
    <row r="357" spans="1:6" x14ac:dyDescent="0.25">
      <c r="A357" s="48" t="s">
        <v>1824</v>
      </c>
      <c r="B357" s="48">
        <v>70010279</v>
      </c>
      <c r="C357" s="47">
        <v>3</v>
      </c>
      <c r="D357" s="48" t="s">
        <v>1359</v>
      </c>
      <c r="E357" s="48" t="s">
        <v>1824</v>
      </c>
      <c r="F357" s="47" t="s">
        <v>46</v>
      </c>
    </row>
    <row r="358" spans="1:6" x14ac:dyDescent="0.25">
      <c r="A358" s="48" t="s">
        <v>1825</v>
      </c>
      <c r="B358" s="48">
        <v>70010281</v>
      </c>
      <c r="C358" s="47">
        <v>3</v>
      </c>
      <c r="D358" s="48" t="s">
        <v>1359</v>
      </c>
      <c r="E358" s="48" t="s">
        <v>1825</v>
      </c>
      <c r="F358" s="47" t="s">
        <v>46</v>
      </c>
    </row>
    <row r="359" spans="1:6" x14ac:dyDescent="0.25">
      <c r="A359" s="48" t="s">
        <v>1826</v>
      </c>
      <c r="B359" s="48">
        <v>70010283</v>
      </c>
      <c r="C359" s="47">
        <v>3</v>
      </c>
      <c r="D359" s="48" t="s">
        <v>1359</v>
      </c>
      <c r="E359" s="48" t="s">
        <v>1826</v>
      </c>
      <c r="F359" s="47" t="s">
        <v>46</v>
      </c>
    </row>
    <row r="360" spans="1:6" x14ac:dyDescent="0.25">
      <c r="A360" s="48" t="s">
        <v>1827</v>
      </c>
      <c r="B360" s="48">
        <v>70010285</v>
      </c>
      <c r="C360" s="47">
        <v>3</v>
      </c>
      <c r="D360" s="48" t="s">
        <v>1359</v>
      </c>
      <c r="E360" s="48" t="s">
        <v>1827</v>
      </c>
      <c r="F360" s="47" t="s">
        <v>46</v>
      </c>
    </row>
    <row r="361" spans="1:6" x14ac:dyDescent="0.25">
      <c r="A361" s="48" t="s">
        <v>1828</v>
      </c>
      <c r="B361" s="48">
        <v>70010287</v>
      </c>
      <c r="C361" s="47">
        <v>3</v>
      </c>
      <c r="D361" s="48" t="s">
        <v>1359</v>
      </c>
      <c r="E361" s="48" t="s">
        <v>1828</v>
      </c>
      <c r="F361" s="47" t="s">
        <v>46</v>
      </c>
    </row>
    <row r="362" spans="1:6" x14ac:dyDescent="0.25">
      <c r="A362" s="48" t="s">
        <v>864</v>
      </c>
      <c r="B362" s="48">
        <v>70010289</v>
      </c>
      <c r="C362" s="47">
        <v>3</v>
      </c>
      <c r="D362" s="48" t="s">
        <v>1359</v>
      </c>
      <c r="E362" s="48" t="s">
        <v>1829</v>
      </c>
      <c r="F362" s="47" t="s">
        <v>46</v>
      </c>
    </row>
    <row r="363" spans="1:6" x14ac:dyDescent="0.25">
      <c r="A363" s="48" t="s">
        <v>863</v>
      </c>
      <c r="B363" s="48">
        <v>70010292</v>
      </c>
      <c r="C363" s="47">
        <v>1</v>
      </c>
      <c r="D363" s="48" t="s">
        <v>1359</v>
      </c>
      <c r="E363" s="48" t="s">
        <v>1830</v>
      </c>
      <c r="F363" s="47" t="s">
        <v>46</v>
      </c>
    </row>
    <row r="364" spans="1:6" x14ac:dyDescent="0.25">
      <c r="A364" s="48" t="s">
        <v>1831</v>
      </c>
      <c r="B364" s="48">
        <v>70010294</v>
      </c>
      <c r="C364" s="47">
        <v>3</v>
      </c>
      <c r="D364" s="48" t="s">
        <v>1359</v>
      </c>
      <c r="E364" s="48" t="s">
        <v>623</v>
      </c>
      <c r="F364" s="47" t="s">
        <v>46</v>
      </c>
    </row>
    <row r="365" spans="1:6" x14ac:dyDescent="0.25">
      <c r="A365" s="48" t="s">
        <v>1832</v>
      </c>
      <c r="B365" s="48">
        <v>70010296</v>
      </c>
      <c r="C365" s="47">
        <v>3</v>
      </c>
      <c r="D365" s="48" t="s">
        <v>1359</v>
      </c>
      <c r="E365" s="48" t="s">
        <v>1833</v>
      </c>
      <c r="F365" s="47" t="s">
        <v>46</v>
      </c>
    </row>
    <row r="366" spans="1:6" x14ac:dyDescent="0.25">
      <c r="A366" s="48" t="s">
        <v>861</v>
      </c>
      <c r="B366" s="48">
        <v>70010298</v>
      </c>
      <c r="C366" s="47">
        <v>1</v>
      </c>
      <c r="D366" s="48" t="s">
        <v>1359</v>
      </c>
      <c r="E366" s="48" t="s">
        <v>1834</v>
      </c>
      <c r="F366" s="47" t="s">
        <v>46</v>
      </c>
    </row>
    <row r="367" spans="1:6" x14ac:dyDescent="0.25">
      <c r="A367" s="48" t="s">
        <v>1835</v>
      </c>
      <c r="B367" s="48">
        <v>70010300</v>
      </c>
      <c r="C367" s="47">
        <v>3</v>
      </c>
      <c r="D367" s="48" t="s">
        <v>1359</v>
      </c>
      <c r="E367" s="48" t="s">
        <v>1835</v>
      </c>
      <c r="F367" s="47" t="s">
        <v>46</v>
      </c>
    </row>
    <row r="368" spans="1:6" x14ac:dyDescent="0.25">
      <c r="A368" s="48" t="s">
        <v>1836</v>
      </c>
      <c r="B368" s="48">
        <v>70010311</v>
      </c>
      <c r="C368" s="47">
        <v>1</v>
      </c>
      <c r="D368" s="48" t="s">
        <v>1359</v>
      </c>
      <c r="E368" s="48" t="s">
        <v>1837</v>
      </c>
      <c r="F368" s="47" t="s">
        <v>87</v>
      </c>
    </row>
    <row r="369" spans="1:6" x14ac:dyDescent="0.25">
      <c r="A369" s="48" t="s">
        <v>860</v>
      </c>
      <c r="B369" s="48">
        <v>70010315</v>
      </c>
      <c r="C369" s="47">
        <v>1</v>
      </c>
      <c r="D369" s="48" t="s">
        <v>1359</v>
      </c>
      <c r="E369" s="48" t="s">
        <v>1838</v>
      </c>
      <c r="F369" s="47" t="s">
        <v>46</v>
      </c>
    </row>
    <row r="370" spans="1:6" x14ac:dyDescent="0.25">
      <c r="A370" s="48" t="s">
        <v>859</v>
      </c>
      <c r="B370" s="48">
        <v>70010317</v>
      </c>
      <c r="C370" s="47">
        <v>1</v>
      </c>
      <c r="D370" s="48" t="s">
        <v>1359</v>
      </c>
      <c r="E370" s="48" t="s">
        <v>1839</v>
      </c>
      <c r="F370" s="47" t="s">
        <v>87</v>
      </c>
    </row>
    <row r="371" spans="1:6" x14ac:dyDescent="0.25">
      <c r="A371" s="48" t="s">
        <v>1840</v>
      </c>
      <c r="B371" s="48">
        <v>70010319</v>
      </c>
      <c r="C371" s="47">
        <v>1</v>
      </c>
      <c r="D371" s="48" t="s">
        <v>1359</v>
      </c>
      <c r="E371" s="48" t="s">
        <v>1841</v>
      </c>
      <c r="F371" s="47" t="s">
        <v>87</v>
      </c>
    </row>
    <row r="372" spans="1:6" x14ac:dyDescent="0.25">
      <c r="A372" s="48" t="s">
        <v>858</v>
      </c>
      <c r="B372" s="48">
        <v>70010343</v>
      </c>
      <c r="C372" s="47">
        <v>3</v>
      </c>
      <c r="D372" s="48" t="s">
        <v>1359</v>
      </c>
      <c r="E372" s="48" t="s">
        <v>1842</v>
      </c>
      <c r="F372" s="47" t="s">
        <v>87</v>
      </c>
    </row>
    <row r="373" spans="1:6" x14ac:dyDescent="0.25">
      <c r="A373" s="48" t="s">
        <v>1843</v>
      </c>
      <c r="B373" s="48">
        <v>70010344</v>
      </c>
      <c r="C373" s="47">
        <v>3</v>
      </c>
      <c r="D373" s="48" t="s">
        <v>1359</v>
      </c>
      <c r="E373" s="48" t="s">
        <v>1844</v>
      </c>
      <c r="F373" s="47" t="s">
        <v>87</v>
      </c>
    </row>
    <row r="374" spans="1:6" x14ac:dyDescent="0.25">
      <c r="A374" s="48" t="s">
        <v>1845</v>
      </c>
      <c r="B374" s="48">
        <v>70010347</v>
      </c>
      <c r="C374" s="47">
        <v>3</v>
      </c>
      <c r="D374" s="48" t="s">
        <v>1359</v>
      </c>
      <c r="E374" s="48" t="s">
        <v>1846</v>
      </c>
      <c r="F374" s="47" t="s">
        <v>87</v>
      </c>
    </row>
    <row r="375" spans="1:6" x14ac:dyDescent="0.25">
      <c r="A375" s="48" t="s">
        <v>1847</v>
      </c>
      <c r="B375" s="48">
        <v>70010349</v>
      </c>
      <c r="C375" s="47">
        <v>3</v>
      </c>
      <c r="D375" s="48" t="s">
        <v>1359</v>
      </c>
      <c r="E375" s="48" t="s">
        <v>1848</v>
      </c>
      <c r="F375" s="47" t="s">
        <v>87</v>
      </c>
    </row>
    <row r="376" spans="1:6" x14ac:dyDescent="0.25">
      <c r="A376" s="48" t="s">
        <v>857</v>
      </c>
      <c r="B376" s="48">
        <v>70010359</v>
      </c>
      <c r="C376" s="47">
        <v>3</v>
      </c>
      <c r="D376" s="48" t="s">
        <v>1359</v>
      </c>
      <c r="E376" s="48" t="s">
        <v>1849</v>
      </c>
      <c r="F376" s="47" t="s">
        <v>87</v>
      </c>
    </row>
    <row r="377" spans="1:6" x14ac:dyDescent="0.25">
      <c r="A377" s="48" t="s">
        <v>856</v>
      </c>
      <c r="B377" s="48">
        <v>70010360</v>
      </c>
      <c r="C377" s="47">
        <v>3</v>
      </c>
      <c r="D377" s="48" t="s">
        <v>1359</v>
      </c>
      <c r="E377" s="48" t="s">
        <v>1850</v>
      </c>
      <c r="F377" s="47" t="s">
        <v>87</v>
      </c>
    </row>
    <row r="378" spans="1:6" x14ac:dyDescent="0.25">
      <c r="A378" s="48" t="s">
        <v>855</v>
      </c>
      <c r="B378" s="48">
        <v>70010361</v>
      </c>
      <c r="C378" s="47">
        <v>3</v>
      </c>
      <c r="D378" s="48" t="s">
        <v>1359</v>
      </c>
      <c r="E378" s="48" t="s">
        <v>1851</v>
      </c>
      <c r="F378" s="47" t="s">
        <v>87</v>
      </c>
    </row>
    <row r="379" spans="1:6" x14ac:dyDescent="0.25">
      <c r="A379" s="48" t="s">
        <v>854</v>
      </c>
      <c r="B379" s="48">
        <v>70010362</v>
      </c>
      <c r="C379" s="47">
        <v>3</v>
      </c>
      <c r="D379" s="48" t="s">
        <v>1359</v>
      </c>
      <c r="E379" s="48" t="s">
        <v>1852</v>
      </c>
      <c r="F379" s="47" t="s">
        <v>46</v>
      </c>
    </row>
    <row r="380" spans="1:6" x14ac:dyDescent="0.25">
      <c r="A380" s="48" t="s">
        <v>852</v>
      </c>
      <c r="B380" s="48">
        <v>70010372</v>
      </c>
      <c r="C380" s="47">
        <v>1</v>
      </c>
      <c r="D380" s="48" t="s">
        <v>1359</v>
      </c>
      <c r="E380" s="48" t="s">
        <v>1853</v>
      </c>
      <c r="F380" s="47" t="s">
        <v>87</v>
      </c>
    </row>
    <row r="381" spans="1:6" x14ac:dyDescent="0.25">
      <c r="A381" s="48" t="s">
        <v>1854</v>
      </c>
      <c r="B381" s="48">
        <v>70010374</v>
      </c>
      <c r="C381" s="47">
        <v>1</v>
      </c>
      <c r="D381" s="48" t="s">
        <v>1359</v>
      </c>
      <c r="E381" s="48" t="s">
        <v>1855</v>
      </c>
      <c r="F381" s="47" t="s">
        <v>87</v>
      </c>
    </row>
    <row r="382" spans="1:6" x14ac:dyDescent="0.25">
      <c r="A382" s="48" t="s">
        <v>851</v>
      </c>
      <c r="B382" s="48">
        <v>70010378</v>
      </c>
      <c r="C382" s="47">
        <v>3</v>
      </c>
      <c r="D382" s="48" t="s">
        <v>1359</v>
      </c>
      <c r="E382" s="48" t="s">
        <v>1856</v>
      </c>
      <c r="F382" s="47" t="s">
        <v>87</v>
      </c>
    </row>
    <row r="383" spans="1:6" x14ac:dyDescent="0.25">
      <c r="A383" s="48" t="s">
        <v>849</v>
      </c>
      <c r="B383" s="48">
        <v>70010380</v>
      </c>
      <c r="C383" s="47">
        <v>1</v>
      </c>
      <c r="D383" s="48" t="s">
        <v>1359</v>
      </c>
      <c r="E383" s="48" t="s">
        <v>1857</v>
      </c>
      <c r="F383" s="47" t="s">
        <v>131</v>
      </c>
    </row>
    <row r="384" spans="1:6" x14ac:dyDescent="0.25">
      <c r="A384" s="48" t="s">
        <v>848</v>
      </c>
      <c r="B384" s="48">
        <v>70010388</v>
      </c>
      <c r="C384" s="47">
        <v>1</v>
      </c>
      <c r="D384" s="48" t="s">
        <v>1359</v>
      </c>
      <c r="E384" s="48" t="s">
        <v>1858</v>
      </c>
      <c r="F384" s="47" t="s">
        <v>87</v>
      </c>
    </row>
    <row r="385" spans="1:6" x14ac:dyDescent="0.25">
      <c r="A385" s="48" t="s">
        <v>1859</v>
      </c>
      <c r="B385" s="48">
        <v>70010393</v>
      </c>
      <c r="C385" s="47">
        <v>1</v>
      </c>
      <c r="D385" s="48" t="s">
        <v>1359</v>
      </c>
      <c r="E385" s="48" t="s">
        <v>1860</v>
      </c>
      <c r="F385" s="47" t="s">
        <v>131</v>
      </c>
    </row>
    <row r="386" spans="1:6" x14ac:dyDescent="0.25">
      <c r="A386" s="48" t="s">
        <v>1861</v>
      </c>
      <c r="B386" s="48">
        <v>70010395</v>
      </c>
      <c r="C386" s="47">
        <v>3</v>
      </c>
      <c r="D386" s="48" t="s">
        <v>1359</v>
      </c>
      <c r="E386" s="48" t="s">
        <v>1862</v>
      </c>
      <c r="F386" s="47" t="s">
        <v>87</v>
      </c>
    </row>
    <row r="387" spans="1:6" x14ac:dyDescent="0.25">
      <c r="A387" s="48" t="s">
        <v>846</v>
      </c>
      <c r="B387" s="48">
        <v>70010397</v>
      </c>
      <c r="C387" s="47">
        <v>1</v>
      </c>
      <c r="D387" s="48" t="s">
        <v>1359</v>
      </c>
      <c r="E387" s="48" t="s">
        <v>1863</v>
      </c>
      <c r="F387" s="47" t="s">
        <v>87</v>
      </c>
    </row>
    <row r="388" spans="1:6" x14ac:dyDescent="0.25">
      <c r="A388" s="48" t="s">
        <v>792</v>
      </c>
      <c r="B388" s="48">
        <v>70010403</v>
      </c>
      <c r="C388" s="47">
        <v>3</v>
      </c>
      <c r="D388" s="48" t="s">
        <v>1359</v>
      </c>
      <c r="E388" s="48" t="s">
        <v>793</v>
      </c>
      <c r="F388" s="47" t="s">
        <v>87</v>
      </c>
    </row>
    <row r="389" spans="1:6" x14ac:dyDescent="0.25">
      <c r="A389" s="48" t="s">
        <v>1864</v>
      </c>
      <c r="B389" s="48">
        <v>70010405</v>
      </c>
      <c r="C389" s="47">
        <v>3</v>
      </c>
      <c r="D389" s="48" t="s">
        <v>1359</v>
      </c>
      <c r="E389" s="48" t="s">
        <v>1865</v>
      </c>
      <c r="F389" s="47" t="s">
        <v>87</v>
      </c>
    </row>
    <row r="390" spans="1:6" x14ac:dyDescent="0.25">
      <c r="A390" s="48" t="s">
        <v>845</v>
      </c>
      <c r="B390" s="48">
        <v>70010406</v>
      </c>
      <c r="C390" s="47">
        <v>1</v>
      </c>
      <c r="D390" s="48" t="s">
        <v>1359</v>
      </c>
      <c r="E390" s="48" t="s">
        <v>1866</v>
      </c>
      <c r="F390" s="47" t="s">
        <v>87</v>
      </c>
    </row>
    <row r="391" spans="1:6" x14ac:dyDescent="0.25">
      <c r="A391" s="48" t="s">
        <v>1867</v>
      </c>
      <c r="B391" s="48">
        <v>70010410</v>
      </c>
      <c r="C391" s="47">
        <v>3</v>
      </c>
      <c r="D391" s="48" t="s">
        <v>1359</v>
      </c>
      <c r="E391" s="48" t="s">
        <v>1868</v>
      </c>
      <c r="F391" s="47" t="s">
        <v>87</v>
      </c>
    </row>
    <row r="392" spans="1:6" x14ac:dyDescent="0.25">
      <c r="A392" s="48" t="s">
        <v>1869</v>
      </c>
      <c r="B392" s="48">
        <v>70010412</v>
      </c>
      <c r="C392" s="47">
        <v>3</v>
      </c>
      <c r="D392" s="48" t="s">
        <v>1359</v>
      </c>
      <c r="E392" s="48" t="s">
        <v>1870</v>
      </c>
      <c r="F392" s="47" t="s">
        <v>87</v>
      </c>
    </row>
    <row r="393" spans="1:6" x14ac:dyDescent="0.25">
      <c r="A393" s="48" t="s">
        <v>659</v>
      </c>
      <c r="B393" s="48">
        <v>70011210</v>
      </c>
      <c r="C393" s="47">
        <v>1</v>
      </c>
      <c r="D393" s="48" t="s">
        <v>1359</v>
      </c>
      <c r="E393" s="48" t="s">
        <v>660</v>
      </c>
      <c r="F393" s="47" t="s">
        <v>87</v>
      </c>
    </row>
    <row r="394" spans="1:6" x14ac:dyDescent="0.25">
      <c r="A394" s="48" t="s">
        <v>1871</v>
      </c>
      <c r="B394" s="27">
        <v>70010416</v>
      </c>
      <c r="C394" s="47">
        <v>3</v>
      </c>
      <c r="D394" s="48" t="s">
        <v>1359</v>
      </c>
      <c r="E394" s="48" t="s">
        <v>1872</v>
      </c>
      <c r="F394" s="47" t="s">
        <v>229</v>
      </c>
    </row>
    <row r="395" spans="1:6" x14ac:dyDescent="0.25">
      <c r="A395" s="48" t="s">
        <v>841</v>
      </c>
      <c r="B395" s="27">
        <v>70010427</v>
      </c>
      <c r="C395" s="47">
        <v>3</v>
      </c>
      <c r="D395" s="48" t="s">
        <v>1359</v>
      </c>
      <c r="E395" s="48" t="s">
        <v>1873</v>
      </c>
      <c r="F395" s="47" t="s">
        <v>229</v>
      </c>
    </row>
    <row r="396" spans="1:6" x14ac:dyDescent="0.25">
      <c r="A396" s="48" t="s">
        <v>840</v>
      </c>
      <c r="B396" s="27">
        <v>70010429</v>
      </c>
      <c r="C396" s="47">
        <v>3</v>
      </c>
      <c r="D396" s="48" t="s">
        <v>1359</v>
      </c>
      <c r="E396" s="48" t="s">
        <v>1873</v>
      </c>
      <c r="F396" s="47" t="s">
        <v>229</v>
      </c>
    </row>
    <row r="397" spans="1:6" x14ac:dyDescent="0.25">
      <c r="A397" s="48" t="s">
        <v>839</v>
      </c>
      <c r="B397" s="27">
        <v>70010431</v>
      </c>
      <c r="C397" s="47">
        <v>3</v>
      </c>
      <c r="D397" s="48" t="s">
        <v>1359</v>
      </c>
      <c r="E397" s="48" t="s">
        <v>1872</v>
      </c>
      <c r="F397" s="47" t="s">
        <v>229</v>
      </c>
    </row>
    <row r="398" spans="1:6" x14ac:dyDescent="0.25">
      <c r="A398" s="48" t="s">
        <v>838</v>
      </c>
      <c r="B398" s="48">
        <v>70010435</v>
      </c>
      <c r="C398" s="47">
        <v>1</v>
      </c>
      <c r="D398" s="48" t="s">
        <v>1359</v>
      </c>
      <c r="E398" s="48" t="s">
        <v>1874</v>
      </c>
      <c r="F398" s="47" t="s">
        <v>87</v>
      </c>
    </row>
    <row r="399" spans="1:6" x14ac:dyDescent="0.25">
      <c r="A399" s="48" t="s">
        <v>1875</v>
      </c>
      <c r="B399" s="48">
        <v>70010438</v>
      </c>
      <c r="C399" s="47">
        <v>1</v>
      </c>
      <c r="D399" s="48" t="s">
        <v>1359</v>
      </c>
      <c r="E399" s="48" t="s">
        <v>1876</v>
      </c>
      <c r="F399" s="47" t="s">
        <v>41</v>
      </c>
    </row>
    <row r="400" spans="1:6" x14ac:dyDescent="0.25">
      <c r="A400" s="48" t="s">
        <v>1877</v>
      </c>
      <c r="B400" s="48">
        <v>70010441</v>
      </c>
      <c r="C400" s="47">
        <v>1</v>
      </c>
      <c r="D400" s="48" t="s">
        <v>1359</v>
      </c>
      <c r="E400" s="48" t="s">
        <v>1878</v>
      </c>
      <c r="F400" s="47" t="s">
        <v>41</v>
      </c>
    </row>
    <row r="401" spans="1:6" x14ac:dyDescent="0.25">
      <c r="A401" s="48" t="s">
        <v>837</v>
      </c>
      <c r="B401" s="48">
        <v>70010444</v>
      </c>
      <c r="C401" s="47">
        <v>1</v>
      </c>
      <c r="D401" s="48" t="s">
        <v>1359</v>
      </c>
      <c r="E401" s="48" t="s">
        <v>1879</v>
      </c>
      <c r="F401" s="47" t="s">
        <v>41</v>
      </c>
    </row>
    <row r="402" spans="1:6" x14ac:dyDescent="0.25">
      <c r="A402" s="48" t="s">
        <v>836</v>
      </c>
      <c r="B402" s="48">
        <v>70010447</v>
      </c>
      <c r="C402" s="47">
        <v>1</v>
      </c>
      <c r="D402" s="48" t="s">
        <v>1359</v>
      </c>
      <c r="E402" s="48" t="s">
        <v>1880</v>
      </c>
      <c r="F402" s="47" t="s">
        <v>41</v>
      </c>
    </row>
    <row r="403" spans="1:6" x14ac:dyDescent="0.25">
      <c r="A403" s="48" t="s">
        <v>1881</v>
      </c>
      <c r="B403" s="48">
        <v>70010450</v>
      </c>
      <c r="C403" s="47">
        <v>1</v>
      </c>
      <c r="D403" s="48" t="s">
        <v>1359</v>
      </c>
      <c r="E403" s="48" t="s">
        <v>1882</v>
      </c>
      <c r="F403" s="47" t="s">
        <v>41</v>
      </c>
    </row>
    <row r="404" spans="1:6" x14ac:dyDescent="0.25">
      <c r="A404" s="48" t="s">
        <v>835</v>
      </c>
      <c r="B404" s="48">
        <v>70010453</v>
      </c>
      <c r="C404" s="47">
        <v>1</v>
      </c>
      <c r="D404" s="48" t="s">
        <v>1359</v>
      </c>
      <c r="E404" s="48" t="s">
        <v>1883</v>
      </c>
      <c r="F404" s="47" t="s">
        <v>41</v>
      </c>
    </row>
    <row r="405" spans="1:6" x14ac:dyDescent="0.25">
      <c r="A405" s="48" t="s">
        <v>834</v>
      </c>
      <c r="B405" s="48">
        <v>70010455</v>
      </c>
      <c r="C405" s="47">
        <v>3</v>
      </c>
      <c r="D405" s="48" t="s">
        <v>1359</v>
      </c>
      <c r="E405" s="48" t="s">
        <v>1884</v>
      </c>
      <c r="F405" s="47" t="s">
        <v>87</v>
      </c>
    </row>
    <row r="406" spans="1:6" x14ac:dyDescent="0.25">
      <c r="A406" s="48" t="s">
        <v>833</v>
      </c>
      <c r="B406" s="48">
        <v>70010456</v>
      </c>
      <c r="C406" s="47">
        <v>3</v>
      </c>
      <c r="D406" s="48" t="s">
        <v>1359</v>
      </c>
      <c r="E406" s="48" t="s">
        <v>1885</v>
      </c>
      <c r="F406" s="47" t="s">
        <v>87</v>
      </c>
    </row>
    <row r="407" spans="1:6" x14ac:dyDescent="0.25">
      <c r="A407" s="48" t="s">
        <v>832</v>
      </c>
      <c r="B407" s="48">
        <v>70010506</v>
      </c>
      <c r="C407" s="47">
        <v>1</v>
      </c>
      <c r="D407" s="48" t="s">
        <v>1359</v>
      </c>
      <c r="E407" s="48" t="s">
        <v>1886</v>
      </c>
      <c r="F407" s="47" t="s">
        <v>46</v>
      </c>
    </row>
    <row r="408" spans="1:6" x14ac:dyDescent="0.25">
      <c r="A408" s="48" t="s">
        <v>831</v>
      </c>
      <c r="B408" s="48">
        <v>70010541</v>
      </c>
      <c r="C408" s="47">
        <v>1</v>
      </c>
      <c r="D408" s="48" t="s">
        <v>1359</v>
      </c>
      <c r="E408" s="48" t="s">
        <v>1887</v>
      </c>
      <c r="F408" s="47" t="s">
        <v>131</v>
      </c>
    </row>
    <row r="409" spans="1:6" x14ac:dyDescent="0.25">
      <c r="A409" s="48" t="s">
        <v>1888</v>
      </c>
      <c r="B409" s="48">
        <v>70010546</v>
      </c>
      <c r="C409" s="47">
        <v>3</v>
      </c>
      <c r="D409" s="48" t="s">
        <v>1359</v>
      </c>
      <c r="E409" s="48" t="s">
        <v>1889</v>
      </c>
      <c r="F409" s="47" t="s">
        <v>46</v>
      </c>
    </row>
    <row r="410" spans="1:6" x14ac:dyDescent="0.25">
      <c r="A410" s="48" t="s">
        <v>830</v>
      </c>
      <c r="B410" s="48">
        <v>70010596</v>
      </c>
      <c r="C410" s="47">
        <v>3</v>
      </c>
      <c r="D410" s="48" t="s">
        <v>1359</v>
      </c>
      <c r="E410" s="48" t="s">
        <v>1890</v>
      </c>
      <c r="F410" s="47" t="s">
        <v>46</v>
      </c>
    </row>
    <row r="411" spans="1:6" x14ac:dyDescent="0.25">
      <c r="A411" s="48" t="s">
        <v>757</v>
      </c>
      <c r="B411" s="48">
        <v>70010639</v>
      </c>
      <c r="C411" s="47">
        <v>3</v>
      </c>
      <c r="D411" s="48" t="s">
        <v>1359</v>
      </c>
      <c r="E411" s="48" t="s">
        <v>1891</v>
      </c>
      <c r="F411" s="47" t="s">
        <v>131</v>
      </c>
    </row>
    <row r="412" spans="1:6" x14ac:dyDescent="0.25">
      <c r="A412" s="48" t="s">
        <v>1892</v>
      </c>
      <c r="B412" s="48">
        <v>70010641</v>
      </c>
      <c r="C412" s="47">
        <v>3</v>
      </c>
      <c r="D412" s="48" t="s">
        <v>1359</v>
      </c>
      <c r="E412" s="48" t="s">
        <v>1893</v>
      </c>
      <c r="F412" s="47" t="s">
        <v>131</v>
      </c>
    </row>
    <row r="413" spans="1:6" x14ac:dyDescent="0.25">
      <c r="A413" s="48" t="s">
        <v>676</v>
      </c>
      <c r="B413" s="48">
        <v>70010643</v>
      </c>
      <c r="C413" s="47">
        <v>1</v>
      </c>
      <c r="D413" s="48" t="s">
        <v>1359</v>
      </c>
      <c r="E413" s="48" t="s">
        <v>677</v>
      </c>
      <c r="F413" s="47" t="s">
        <v>171</v>
      </c>
    </row>
    <row r="414" spans="1:6" x14ac:dyDescent="0.25">
      <c r="A414" s="48" t="s">
        <v>1894</v>
      </c>
      <c r="B414" s="48">
        <v>70010659</v>
      </c>
      <c r="C414" s="47">
        <v>3</v>
      </c>
      <c r="D414" s="48" t="s">
        <v>1359</v>
      </c>
      <c r="E414" s="48" t="s">
        <v>1895</v>
      </c>
      <c r="F414" s="47" t="s">
        <v>46</v>
      </c>
    </row>
    <row r="415" spans="1:6" x14ac:dyDescent="0.25">
      <c r="A415" s="48" t="s">
        <v>829</v>
      </c>
      <c r="B415" s="48">
        <v>70010662</v>
      </c>
      <c r="C415" s="47">
        <v>3</v>
      </c>
      <c r="D415" s="48" t="s">
        <v>1359</v>
      </c>
      <c r="E415" s="48" t="s">
        <v>1896</v>
      </c>
      <c r="F415" s="47" t="s">
        <v>46</v>
      </c>
    </row>
    <row r="416" spans="1:6" x14ac:dyDescent="0.25">
      <c r="A416" s="48" t="s">
        <v>827</v>
      </c>
      <c r="B416" s="48">
        <v>70010666</v>
      </c>
      <c r="C416" s="47">
        <v>1</v>
      </c>
      <c r="D416" s="48" t="s">
        <v>1359</v>
      </c>
      <c r="E416" s="48" t="s">
        <v>1897</v>
      </c>
      <c r="F416" s="47" t="s">
        <v>87</v>
      </c>
    </row>
    <row r="417" spans="1:6" x14ac:dyDescent="0.25">
      <c r="A417" s="48" t="s">
        <v>809</v>
      </c>
      <c r="B417" s="48">
        <v>70010800</v>
      </c>
      <c r="C417" s="47">
        <v>1</v>
      </c>
      <c r="D417" s="48" t="s">
        <v>1359</v>
      </c>
      <c r="E417" s="48" t="s">
        <v>1898</v>
      </c>
      <c r="F417" s="47" t="s">
        <v>41</v>
      </c>
    </row>
    <row r="418" spans="1:6" x14ac:dyDescent="0.25">
      <c r="A418" s="48" t="s">
        <v>762</v>
      </c>
      <c r="B418" s="48">
        <v>70010804</v>
      </c>
      <c r="C418" s="47">
        <v>1</v>
      </c>
      <c r="D418" s="48" t="s">
        <v>1359</v>
      </c>
      <c r="E418" s="48" t="s">
        <v>763</v>
      </c>
      <c r="F418" s="47" t="s">
        <v>131</v>
      </c>
    </row>
    <row r="419" spans="1:6" x14ac:dyDescent="0.25">
      <c r="A419" s="48" t="s">
        <v>1899</v>
      </c>
      <c r="B419" s="48">
        <v>70010807</v>
      </c>
      <c r="C419" s="47">
        <v>1</v>
      </c>
      <c r="D419" s="48" t="s">
        <v>1359</v>
      </c>
      <c r="E419" s="48" t="s">
        <v>1900</v>
      </c>
      <c r="F419" s="47" t="s">
        <v>131</v>
      </c>
    </row>
    <row r="420" spans="1:6" x14ac:dyDescent="0.25">
      <c r="A420" s="48" t="s">
        <v>826</v>
      </c>
      <c r="B420" s="48">
        <v>70010836</v>
      </c>
      <c r="C420" s="47">
        <v>2</v>
      </c>
      <c r="D420" s="48" t="s">
        <v>1359</v>
      </c>
      <c r="E420" s="48" t="s">
        <v>1901</v>
      </c>
      <c r="F420" s="47" t="s">
        <v>63</v>
      </c>
    </row>
    <row r="421" spans="1:6" x14ac:dyDescent="0.25">
      <c r="A421" s="48" t="s">
        <v>825</v>
      </c>
      <c r="B421" s="48">
        <v>70010858</v>
      </c>
      <c r="C421" s="47">
        <v>2</v>
      </c>
      <c r="D421" s="48" t="s">
        <v>1359</v>
      </c>
      <c r="E421" s="48" t="s">
        <v>1902</v>
      </c>
      <c r="F421" s="47" t="s">
        <v>63</v>
      </c>
    </row>
    <row r="422" spans="1:6" x14ac:dyDescent="0.25">
      <c r="A422" s="48" t="s">
        <v>824</v>
      </c>
      <c r="B422" s="48">
        <v>70010860</v>
      </c>
      <c r="C422" s="47">
        <v>2</v>
      </c>
      <c r="D422" s="48" t="s">
        <v>1359</v>
      </c>
      <c r="E422" s="48" t="s">
        <v>1903</v>
      </c>
      <c r="F422" s="47" t="s">
        <v>63</v>
      </c>
    </row>
    <row r="423" spans="1:6" x14ac:dyDescent="0.25">
      <c r="A423" s="48" t="s">
        <v>823</v>
      </c>
      <c r="B423" s="48">
        <v>70010862</v>
      </c>
      <c r="C423" s="47">
        <v>2</v>
      </c>
      <c r="D423" s="48" t="s">
        <v>1359</v>
      </c>
      <c r="E423" s="48" t="s">
        <v>1904</v>
      </c>
      <c r="F423" s="47" t="s">
        <v>63</v>
      </c>
    </row>
    <row r="424" spans="1:6" x14ac:dyDescent="0.25">
      <c r="A424" s="48" t="s">
        <v>822</v>
      </c>
      <c r="B424" s="48">
        <v>70010864</v>
      </c>
      <c r="C424" s="47">
        <v>2</v>
      </c>
      <c r="D424" s="48" t="s">
        <v>1359</v>
      </c>
      <c r="E424" s="48" t="s">
        <v>1905</v>
      </c>
      <c r="F424" s="47" t="s">
        <v>63</v>
      </c>
    </row>
    <row r="425" spans="1:6" x14ac:dyDescent="0.25">
      <c r="A425" s="48" t="s">
        <v>821</v>
      </c>
      <c r="B425" s="48">
        <v>70010866</v>
      </c>
      <c r="C425" s="47">
        <v>2</v>
      </c>
      <c r="D425" s="48" t="s">
        <v>1359</v>
      </c>
      <c r="E425" s="48" t="s">
        <v>1906</v>
      </c>
      <c r="F425" s="47" t="s">
        <v>63</v>
      </c>
    </row>
    <row r="426" spans="1:6" x14ac:dyDescent="0.25">
      <c r="A426" s="48" t="s">
        <v>820</v>
      </c>
      <c r="B426" s="48">
        <v>70010868</v>
      </c>
      <c r="C426" s="47">
        <v>2</v>
      </c>
      <c r="D426" s="48" t="s">
        <v>1359</v>
      </c>
      <c r="E426" s="48" t="s">
        <v>1907</v>
      </c>
      <c r="F426" s="47" t="s">
        <v>63</v>
      </c>
    </row>
    <row r="427" spans="1:6" x14ac:dyDescent="0.25">
      <c r="A427" s="48" t="s">
        <v>819</v>
      </c>
      <c r="B427" s="48">
        <v>70010870</v>
      </c>
      <c r="C427" s="47">
        <v>2</v>
      </c>
      <c r="D427" s="48" t="s">
        <v>1359</v>
      </c>
      <c r="E427" s="48" t="s">
        <v>1908</v>
      </c>
      <c r="F427" s="47" t="s">
        <v>63</v>
      </c>
    </row>
    <row r="428" spans="1:6" x14ac:dyDescent="0.25">
      <c r="A428" s="48" t="s">
        <v>818</v>
      </c>
      <c r="B428" s="48">
        <v>70010872</v>
      </c>
      <c r="C428" s="47">
        <v>2</v>
      </c>
      <c r="D428" s="48" t="s">
        <v>1359</v>
      </c>
      <c r="E428" s="48" t="s">
        <v>1909</v>
      </c>
      <c r="F428" s="47" t="s">
        <v>63</v>
      </c>
    </row>
    <row r="429" spans="1:6" x14ac:dyDescent="0.25">
      <c r="A429" s="48" t="s">
        <v>817</v>
      </c>
      <c r="B429" s="48">
        <v>70010874</v>
      </c>
      <c r="C429" s="47">
        <v>2</v>
      </c>
      <c r="D429" s="48" t="s">
        <v>1359</v>
      </c>
      <c r="E429" s="48" t="s">
        <v>1910</v>
      </c>
      <c r="F429" s="47" t="s">
        <v>63</v>
      </c>
    </row>
    <row r="430" spans="1:6" x14ac:dyDescent="0.25">
      <c r="A430" s="48" t="s">
        <v>816</v>
      </c>
      <c r="B430" s="48">
        <v>70010876</v>
      </c>
      <c r="C430" s="47">
        <v>2</v>
      </c>
      <c r="D430" s="48" t="s">
        <v>1359</v>
      </c>
      <c r="E430" s="48" t="s">
        <v>1911</v>
      </c>
      <c r="F430" s="47" t="s">
        <v>63</v>
      </c>
    </row>
    <row r="431" spans="1:6" x14ac:dyDescent="0.25">
      <c r="A431" s="48" t="s">
        <v>815</v>
      </c>
      <c r="B431" s="48">
        <v>70010878</v>
      </c>
      <c r="C431" s="47">
        <v>2</v>
      </c>
      <c r="D431" s="48" t="s">
        <v>1359</v>
      </c>
      <c r="E431" s="48" t="s">
        <v>1912</v>
      </c>
      <c r="F431" s="47" t="s">
        <v>63</v>
      </c>
    </row>
    <row r="432" spans="1:6" x14ac:dyDescent="0.25">
      <c r="A432" s="48" t="s">
        <v>814</v>
      </c>
      <c r="B432" s="48">
        <v>70010880</v>
      </c>
      <c r="C432" s="47">
        <v>2</v>
      </c>
      <c r="D432" s="48" t="s">
        <v>1359</v>
      </c>
      <c r="E432" s="48" t="s">
        <v>1913</v>
      </c>
      <c r="F432" s="47" t="s">
        <v>63</v>
      </c>
    </row>
    <row r="433" spans="1:6" x14ac:dyDescent="0.25">
      <c r="A433" s="48" t="s">
        <v>813</v>
      </c>
      <c r="B433" s="48">
        <v>70010882</v>
      </c>
      <c r="C433" s="47">
        <v>2</v>
      </c>
      <c r="D433" s="48" t="s">
        <v>1359</v>
      </c>
      <c r="E433" s="48" t="s">
        <v>1914</v>
      </c>
      <c r="F433" s="47" t="s">
        <v>63</v>
      </c>
    </row>
    <row r="434" spans="1:6" x14ac:dyDescent="0.25">
      <c r="A434" s="48" t="s">
        <v>812</v>
      </c>
      <c r="B434" s="48">
        <v>70010884</v>
      </c>
      <c r="C434" s="47">
        <v>2</v>
      </c>
      <c r="D434" s="48" t="s">
        <v>1359</v>
      </c>
      <c r="E434" s="48" t="s">
        <v>1915</v>
      </c>
      <c r="F434" s="47" t="s">
        <v>63</v>
      </c>
    </row>
    <row r="435" spans="1:6" x14ac:dyDescent="0.25">
      <c r="A435" s="48" t="s">
        <v>810</v>
      </c>
      <c r="B435" s="48">
        <v>70010886</v>
      </c>
      <c r="C435" s="47">
        <v>2</v>
      </c>
      <c r="D435" s="48" t="s">
        <v>1359</v>
      </c>
      <c r="E435" s="48" t="s">
        <v>1916</v>
      </c>
      <c r="F435" s="47" t="s">
        <v>63</v>
      </c>
    </row>
    <row r="436" spans="1:6" x14ac:dyDescent="0.25">
      <c r="A436" s="48" t="s">
        <v>1917</v>
      </c>
      <c r="B436" s="48">
        <v>70010888</v>
      </c>
      <c r="C436" s="47">
        <v>2</v>
      </c>
      <c r="D436" s="48" t="s">
        <v>1359</v>
      </c>
      <c r="E436" s="48" t="s">
        <v>1918</v>
      </c>
      <c r="F436" s="47" t="s">
        <v>63</v>
      </c>
    </row>
    <row r="437" spans="1:6" x14ac:dyDescent="0.25">
      <c r="A437" s="48" t="s">
        <v>798</v>
      </c>
      <c r="B437" s="48">
        <v>70010909</v>
      </c>
      <c r="C437" s="47">
        <v>1</v>
      </c>
      <c r="D437" s="48" t="s">
        <v>1359</v>
      </c>
      <c r="E437" s="48" t="s">
        <v>799</v>
      </c>
      <c r="F437" s="47" t="s">
        <v>46</v>
      </c>
    </row>
    <row r="438" spans="1:6" x14ac:dyDescent="0.25">
      <c r="A438" s="48" t="s">
        <v>803</v>
      </c>
      <c r="B438" s="48">
        <v>70010911</v>
      </c>
      <c r="C438" s="47">
        <v>1</v>
      </c>
      <c r="D438" s="48" t="s">
        <v>1359</v>
      </c>
      <c r="E438" s="48" t="s">
        <v>804</v>
      </c>
      <c r="F438" s="47" t="s">
        <v>46</v>
      </c>
    </row>
    <row r="439" spans="1:6" x14ac:dyDescent="0.25">
      <c r="A439" s="48" t="s">
        <v>805</v>
      </c>
      <c r="B439" s="48">
        <v>70010913</v>
      </c>
      <c r="C439" s="47">
        <v>1</v>
      </c>
      <c r="D439" s="48" t="s">
        <v>1359</v>
      </c>
      <c r="E439" s="48" t="s">
        <v>806</v>
      </c>
      <c r="F439" s="47" t="s">
        <v>46</v>
      </c>
    </row>
    <row r="440" spans="1:6" x14ac:dyDescent="0.25">
      <c r="A440" s="48" t="s">
        <v>1919</v>
      </c>
      <c r="B440" s="48">
        <v>70010915</v>
      </c>
      <c r="C440" s="47">
        <v>1</v>
      </c>
      <c r="D440" s="48" t="s">
        <v>1359</v>
      </c>
      <c r="E440" s="48" t="s">
        <v>1920</v>
      </c>
      <c r="F440" s="47" t="s">
        <v>46</v>
      </c>
    </row>
    <row r="441" spans="1:6" x14ac:dyDescent="0.25">
      <c r="A441" s="48" t="s">
        <v>796</v>
      </c>
      <c r="B441" s="48">
        <v>70010917</v>
      </c>
      <c r="C441" s="47">
        <v>1</v>
      </c>
      <c r="D441" s="48" t="s">
        <v>1359</v>
      </c>
      <c r="E441" s="48" t="s">
        <v>797</v>
      </c>
      <c r="F441" s="47" t="s">
        <v>46</v>
      </c>
    </row>
    <row r="442" spans="1:6" x14ac:dyDescent="0.25">
      <c r="A442" s="48" t="s">
        <v>801</v>
      </c>
      <c r="B442" s="48">
        <v>70010919</v>
      </c>
      <c r="C442" s="47">
        <v>3</v>
      </c>
      <c r="D442" s="48" t="s">
        <v>1359</v>
      </c>
      <c r="E442" s="48" t="s">
        <v>802</v>
      </c>
      <c r="F442" s="47" t="s">
        <v>46</v>
      </c>
    </row>
    <row r="443" spans="1:6" x14ac:dyDescent="0.25">
      <c r="A443" s="48" t="s">
        <v>1921</v>
      </c>
      <c r="B443" s="48">
        <v>70010921</v>
      </c>
      <c r="C443" s="47">
        <v>3</v>
      </c>
      <c r="D443" s="48" t="s">
        <v>1359</v>
      </c>
      <c r="E443" s="48" t="s">
        <v>1922</v>
      </c>
      <c r="F443" s="47" t="s">
        <v>87</v>
      </c>
    </row>
    <row r="444" spans="1:6" x14ac:dyDescent="0.25">
      <c r="A444" s="48" t="s">
        <v>1923</v>
      </c>
      <c r="B444" s="48">
        <v>70010923</v>
      </c>
      <c r="C444" s="47">
        <v>3</v>
      </c>
      <c r="D444" s="48" t="s">
        <v>1359</v>
      </c>
      <c r="E444" s="48" t="s">
        <v>1924</v>
      </c>
      <c r="F444" s="47" t="s">
        <v>87</v>
      </c>
    </row>
    <row r="445" spans="1:6" x14ac:dyDescent="0.25">
      <c r="A445" s="48" t="s">
        <v>1925</v>
      </c>
      <c r="B445" s="48">
        <v>70010925</v>
      </c>
      <c r="C445" s="47">
        <v>3</v>
      </c>
      <c r="D445" s="48" t="s">
        <v>1359</v>
      </c>
      <c r="E445" s="48" t="s">
        <v>1926</v>
      </c>
      <c r="F445" s="47" t="s">
        <v>87</v>
      </c>
    </row>
    <row r="446" spans="1:6" x14ac:dyDescent="0.25">
      <c r="A446" s="48" t="s">
        <v>1927</v>
      </c>
      <c r="B446" s="48">
        <v>70010927</v>
      </c>
      <c r="C446" s="47">
        <v>3</v>
      </c>
      <c r="D446" s="48" t="s">
        <v>1359</v>
      </c>
      <c r="E446" s="48" t="s">
        <v>1928</v>
      </c>
      <c r="F446" s="47" t="s">
        <v>87</v>
      </c>
    </row>
    <row r="447" spans="1:6" x14ac:dyDescent="0.25">
      <c r="A447" s="48" t="s">
        <v>795</v>
      </c>
      <c r="B447" s="48">
        <v>70010929</v>
      </c>
      <c r="C447" s="47">
        <v>3</v>
      </c>
      <c r="D447" s="48" t="s">
        <v>1359</v>
      </c>
      <c r="E447" s="48" t="s">
        <v>785</v>
      </c>
      <c r="F447" s="47" t="s">
        <v>87</v>
      </c>
    </row>
    <row r="448" spans="1:6" x14ac:dyDescent="0.25">
      <c r="A448" s="48" t="s">
        <v>1929</v>
      </c>
      <c r="B448" s="48">
        <v>70010931</v>
      </c>
      <c r="C448" s="47">
        <v>3</v>
      </c>
      <c r="D448" s="48" t="s">
        <v>1359</v>
      </c>
      <c r="E448" s="48" t="s">
        <v>1930</v>
      </c>
      <c r="F448" s="47" t="s">
        <v>87</v>
      </c>
    </row>
    <row r="449" spans="1:6" x14ac:dyDescent="0.25">
      <c r="A449" s="48" t="s">
        <v>1931</v>
      </c>
      <c r="B449" s="48">
        <v>70010933</v>
      </c>
      <c r="C449" s="47">
        <v>3</v>
      </c>
      <c r="D449" s="48" t="s">
        <v>1359</v>
      </c>
      <c r="E449" s="48" t="s">
        <v>1932</v>
      </c>
      <c r="F449" s="47" t="s">
        <v>87</v>
      </c>
    </row>
    <row r="450" spans="1:6" x14ac:dyDescent="0.25">
      <c r="A450" s="48" t="s">
        <v>794</v>
      </c>
      <c r="B450" s="48">
        <v>70010935</v>
      </c>
      <c r="C450" s="47">
        <v>3</v>
      </c>
      <c r="D450" s="48" t="s">
        <v>1359</v>
      </c>
      <c r="E450" s="48" t="s">
        <v>783</v>
      </c>
      <c r="F450" s="47" t="s">
        <v>87</v>
      </c>
    </row>
    <row r="451" spans="1:6" x14ac:dyDescent="0.25">
      <c r="A451" s="48" t="s">
        <v>807</v>
      </c>
      <c r="B451" s="48">
        <v>70010937</v>
      </c>
      <c r="C451" s="47">
        <v>3</v>
      </c>
      <c r="D451" s="48" t="s">
        <v>1359</v>
      </c>
      <c r="E451" s="48" t="s">
        <v>808</v>
      </c>
      <c r="F451" s="47" t="s">
        <v>41</v>
      </c>
    </row>
    <row r="452" spans="1:6" x14ac:dyDescent="0.25">
      <c r="A452" s="48" t="s">
        <v>1933</v>
      </c>
      <c r="B452" s="48">
        <v>70010939</v>
      </c>
      <c r="C452" s="47">
        <v>3</v>
      </c>
      <c r="D452" s="48" t="s">
        <v>1359</v>
      </c>
      <c r="E452" s="48" t="s">
        <v>1934</v>
      </c>
      <c r="F452" s="47" t="s">
        <v>41</v>
      </c>
    </row>
    <row r="453" spans="1:6" x14ac:dyDescent="0.25">
      <c r="A453" s="48" t="s">
        <v>1935</v>
      </c>
      <c r="B453" s="48">
        <v>70010941</v>
      </c>
      <c r="C453" s="47">
        <v>1</v>
      </c>
      <c r="D453" s="48" t="s">
        <v>1359</v>
      </c>
      <c r="E453" s="48" t="s">
        <v>1936</v>
      </c>
      <c r="F453" s="47" t="s">
        <v>229</v>
      </c>
    </row>
    <row r="454" spans="1:6" x14ac:dyDescent="0.25">
      <c r="A454" s="48" t="s">
        <v>1937</v>
      </c>
      <c r="B454" s="48">
        <v>70010943</v>
      </c>
      <c r="C454" s="47">
        <v>1</v>
      </c>
      <c r="D454" s="48" t="s">
        <v>1359</v>
      </c>
      <c r="E454" s="48" t="s">
        <v>1938</v>
      </c>
      <c r="F454" s="47" t="s">
        <v>229</v>
      </c>
    </row>
    <row r="455" spans="1:6" x14ac:dyDescent="0.25">
      <c r="A455" s="48" t="s">
        <v>786</v>
      </c>
      <c r="B455" s="48">
        <v>70010945</v>
      </c>
      <c r="C455" s="47">
        <v>2</v>
      </c>
      <c r="D455" s="48" t="s">
        <v>1359</v>
      </c>
      <c r="E455" s="48" t="s">
        <v>1939</v>
      </c>
      <c r="F455" s="47" t="s">
        <v>63</v>
      </c>
    </row>
    <row r="456" spans="1:6" x14ac:dyDescent="0.25">
      <c r="A456" s="48" t="s">
        <v>787</v>
      </c>
      <c r="B456" s="48">
        <v>70010947</v>
      </c>
      <c r="C456" s="47">
        <v>2</v>
      </c>
      <c r="D456" s="48" t="s">
        <v>1359</v>
      </c>
      <c r="E456" s="48" t="s">
        <v>1940</v>
      </c>
      <c r="F456" s="47" t="s">
        <v>63</v>
      </c>
    </row>
    <row r="457" spans="1:6" x14ac:dyDescent="0.25">
      <c r="A457" s="48" t="s">
        <v>789</v>
      </c>
      <c r="B457" s="48">
        <v>70010949</v>
      </c>
      <c r="C457" s="47">
        <v>2</v>
      </c>
      <c r="D457" s="48" t="s">
        <v>1359</v>
      </c>
      <c r="E457" s="48" t="s">
        <v>1941</v>
      </c>
      <c r="F457" s="47" t="s">
        <v>63</v>
      </c>
    </row>
    <row r="458" spans="1:6" x14ac:dyDescent="0.25">
      <c r="A458" s="48" t="s">
        <v>788</v>
      </c>
      <c r="B458" s="48">
        <v>70010951</v>
      </c>
      <c r="C458" s="47">
        <v>2</v>
      </c>
      <c r="D458" s="48" t="s">
        <v>1359</v>
      </c>
      <c r="E458" s="48" t="s">
        <v>1942</v>
      </c>
      <c r="F458" s="47" t="s">
        <v>63</v>
      </c>
    </row>
    <row r="459" spans="1:6" x14ac:dyDescent="0.25">
      <c r="A459" s="48" t="s">
        <v>790</v>
      </c>
      <c r="B459" s="48">
        <v>70010953</v>
      </c>
      <c r="C459" s="47">
        <v>2</v>
      </c>
      <c r="D459" s="48" t="s">
        <v>1359</v>
      </c>
      <c r="E459" s="48" t="s">
        <v>1943</v>
      </c>
      <c r="F459" s="47" t="s">
        <v>63</v>
      </c>
    </row>
    <row r="460" spans="1:6" x14ac:dyDescent="0.25">
      <c r="A460" s="48" t="s">
        <v>784</v>
      </c>
      <c r="B460" s="48">
        <v>70010970</v>
      </c>
      <c r="C460" s="47">
        <v>3</v>
      </c>
      <c r="D460" s="48" t="s">
        <v>1359</v>
      </c>
      <c r="E460" s="48" t="s">
        <v>785</v>
      </c>
      <c r="F460" s="47" t="s">
        <v>87</v>
      </c>
    </row>
    <row r="461" spans="1:6" x14ac:dyDescent="0.25">
      <c r="A461" s="48" t="s">
        <v>782</v>
      </c>
      <c r="B461" s="48">
        <v>70010971</v>
      </c>
      <c r="C461" s="47">
        <v>3</v>
      </c>
      <c r="D461" s="48" t="s">
        <v>1359</v>
      </c>
      <c r="E461" s="48" t="s">
        <v>783</v>
      </c>
      <c r="F461" s="47" t="s">
        <v>87</v>
      </c>
    </row>
    <row r="462" spans="1:6" x14ac:dyDescent="0.25">
      <c r="A462" s="48" t="s">
        <v>780</v>
      </c>
      <c r="B462" s="48">
        <v>70010982</v>
      </c>
      <c r="C462" s="47">
        <v>2</v>
      </c>
      <c r="D462" s="48" t="s">
        <v>1359</v>
      </c>
      <c r="E462" s="48" t="s">
        <v>781</v>
      </c>
      <c r="F462" s="47" t="s">
        <v>63</v>
      </c>
    </row>
    <row r="463" spans="1:6" x14ac:dyDescent="0.25">
      <c r="A463" s="48" t="s">
        <v>778</v>
      </c>
      <c r="B463" s="48">
        <v>70010984</v>
      </c>
      <c r="C463" s="47">
        <v>2</v>
      </c>
      <c r="D463" s="48" t="s">
        <v>1359</v>
      </c>
      <c r="E463" s="48" t="s">
        <v>779</v>
      </c>
      <c r="F463" s="47" t="s">
        <v>63</v>
      </c>
    </row>
    <row r="464" spans="1:6" x14ac:dyDescent="0.25">
      <c r="A464" s="48" t="s">
        <v>775</v>
      </c>
      <c r="B464" s="48">
        <v>70011011</v>
      </c>
      <c r="C464" s="47">
        <v>2</v>
      </c>
      <c r="D464" s="48" t="s">
        <v>1359</v>
      </c>
      <c r="E464" s="48" t="s">
        <v>776</v>
      </c>
      <c r="F464" s="47" t="s">
        <v>63</v>
      </c>
    </row>
    <row r="465" spans="1:6" x14ac:dyDescent="0.25">
      <c r="A465" s="48" t="s">
        <v>1944</v>
      </c>
      <c r="B465" s="48">
        <v>70011013</v>
      </c>
      <c r="C465" s="47">
        <v>2</v>
      </c>
      <c r="D465" s="48" t="s">
        <v>1359</v>
      </c>
      <c r="E465" s="48" t="s">
        <v>1945</v>
      </c>
      <c r="F465" s="47" t="s">
        <v>63</v>
      </c>
    </row>
    <row r="466" spans="1:6" x14ac:dyDescent="0.25">
      <c r="A466" s="48" t="s">
        <v>773</v>
      </c>
      <c r="B466" s="48">
        <v>70011015</v>
      </c>
      <c r="C466" s="47">
        <v>2</v>
      </c>
      <c r="D466" s="48" t="s">
        <v>1359</v>
      </c>
      <c r="E466" s="48" t="s">
        <v>774</v>
      </c>
      <c r="F466" s="47" t="s">
        <v>63</v>
      </c>
    </row>
    <row r="467" spans="1:6" x14ac:dyDescent="0.25">
      <c r="A467" s="48" t="s">
        <v>771</v>
      </c>
      <c r="B467" s="48">
        <v>70011017</v>
      </c>
      <c r="C467" s="47">
        <v>2</v>
      </c>
      <c r="D467" s="48" t="s">
        <v>1359</v>
      </c>
      <c r="E467" s="48" t="s">
        <v>772</v>
      </c>
      <c r="F467" s="47" t="s">
        <v>63</v>
      </c>
    </row>
    <row r="468" spans="1:6" x14ac:dyDescent="0.25">
      <c r="A468" s="48" t="s">
        <v>769</v>
      </c>
      <c r="B468" s="48">
        <v>70011019</v>
      </c>
      <c r="C468" s="47">
        <v>2</v>
      </c>
      <c r="D468" s="48" t="s">
        <v>1359</v>
      </c>
      <c r="E468" s="48" t="s">
        <v>770</v>
      </c>
      <c r="F468" s="47" t="s">
        <v>63</v>
      </c>
    </row>
    <row r="469" spans="1:6" x14ac:dyDescent="0.25">
      <c r="A469" s="48" t="s">
        <v>1946</v>
      </c>
      <c r="B469" s="48">
        <v>70011021</v>
      </c>
      <c r="C469" s="47">
        <v>2</v>
      </c>
      <c r="D469" s="48" t="s">
        <v>1359</v>
      </c>
      <c r="E469" s="48" t="s">
        <v>1947</v>
      </c>
      <c r="F469" s="47" t="s">
        <v>63</v>
      </c>
    </row>
    <row r="470" spans="1:6" x14ac:dyDescent="0.25">
      <c r="A470" s="48" t="s">
        <v>1948</v>
      </c>
      <c r="B470" s="48">
        <v>70011023</v>
      </c>
      <c r="C470" s="47">
        <v>2</v>
      </c>
      <c r="D470" s="48" t="s">
        <v>1359</v>
      </c>
      <c r="E470" s="48" t="s">
        <v>1949</v>
      </c>
      <c r="F470" s="47" t="s">
        <v>63</v>
      </c>
    </row>
    <row r="471" spans="1:6" x14ac:dyDescent="0.25">
      <c r="A471" s="48" t="s">
        <v>1950</v>
      </c>
      <c r="B471" s="48">
        <v>70011025</v>
      </c>
      <c r="C471" s="47">
        <v>2</v>
      </c>
      <c r="D471" s="48" t="s">
        <v>1359</v>
      </c>
      <c r="E471" s="48" t="s">
        <v>1951</v>
      </c>
      <c r="F471" s="47" t="s">
        <v>63</v>
      </c>
    </row>
    <row r="472" spans="1:6" x14ac:dyDescent="0.25">
      <c r="A472" s="48" t="s">
        <v>767</v>
      </c>
      <c r="B472" s="48">
        <v>70011027</v>
      </c>
      <c r="C472" s="47">
        <v>2</v>
      </c>
      <c r="D472" s="48" t="s">
        <v>1359</v>
      </c>
      <c r="E472" s="48" t="s">
        <v>768</v>
      </c>
      <c r="F472" s="47" t="s">
        <v>63</v>
      </c>
    </row>
    <row r="473" spans="1:6" x14ac:dyDescent="0.25">
      <c r="A473" s="48" t="s">
        <v>1952</v>
      </c>
      <c r="B473" s="48">
        <v>70011029</v>
      </c>
      <c r="C473" s="47">
        <v>2</v>
      </c>
      <c r="D473" s="48" t="s">
        <v>1359</v>
      </c>
      <c r="E473" s="48" t="s">
        <v>1953</v>
      </c>
      <c r="F473" s="47" t="s">
        <v>63</v>
      </c>
    </row>
    <row r="474" spans="1:6" x14ac:dyDescent="0.25">
      <c r="A474" s="48" t="s">
        <v>1954</v>
      </c>
      <c r="B474" s="48">
        <v>70011031</v>
      </c>
      <c r="C474" s="47">
        <v>2</v>
      </c>
      <c r="D474" s="48" t="s">
        <v>1359</v>
      </c>
      <c r="E474" s="48" t="s">
        <v>1955</v>
      </c>
      <c r="F474" s="47" t="s">
        <v>63</v>
      </c>
    </row>
    <row r="475" spans="1:6" x14ac:dyDescent="0.25">
      <c r="A475" s="48" t="s">
        <v>1956</v>
      </c>
      <c r="B475" s="48">
        <v>70011033</v>
      </c>
      <c r="C475" s="47">
        <v>2</v>
      </c>
      <c r="D475" s="48" t="s">
        <v>1359</v>
      </c>
      <c r="E475" s="48" t="s">
        <v>1957</v>
      </c>
      <c r="F475" s="47" t="s">
        <v>63</v>
      </c>
    </row>
    <row r="476" spans="1:6" x14ac:dyDescent="0.25">
      <c r="A476" s="48" t="s">
        <v>1958</v>
      </c>
      <c r="B476" s="48">
        <v>70011035</v>
      </c>
      <c r="C476" s="47">
        <v>2</v>
      </c>
      <c r="D476" s="48" t="s">
        <v>1359</v>
      </c>
      <c r="E476" s="48" t="s">
        <v>1959</v>
      </c>
      <c r="F476" s="47" t="s">
        <v>63</v>
      </c>
    </row>
    <row r="477" spans="1:6" x14ac:dyDescent="0.25">
      <c r="A477" s="48" t="s">
        <v>1960</v>
      </c>
      <c r="B477" s="48">
        <v>70011037</v>
      </c>
      <c r="C477" s="47">
        <v>2</v>
      </c>
      <c r="D477" s="48" t="s">
        <v>1359</v>
      </c>
      <c r="E477" s="48" t="s">
        <v>1961</v>
      </c>
      <c r="F477" s="47" t="s">
        <v>63</v>
      </c>
    </row>
    <row r="478" spans="1:6" x14ac:dyDescent="0.25">
      <c r="A478" s="48" t="s">
        <v>1962</v>
      </c>
      <c r="B478" s="48">
        <v>70011039</v>
      </c>
      <c r="C478" s="47">
        <v>2</v>
      </c>
      <c r="D478" s="48" t="s">
        <v>1359</v>
      </c>
      <c r="E478" s="48" t="s">
        <v>1963</v>
      </c>
      <c r="F478" s="47" t="s">
        <v>63</v>
      </c>
    </row>
    <row r="479" spans="1:6" x14ac:dyDescent="0.25">
      <c r="A479" s="48" t="s">
        <v>765</v>
      </c>
      <c r="B479" s="48">
        <v>70011041</v>
      </c>
      <c r="C479" s="47">
        <v>1</v>
      </c>
      <c r="D479" s="48" t="s">
        <v>1359</v>
      </c>
      <c r="E479" s="48" t="s">
        <v>766</v>
      </c>
      <c r="F479" s="47" t="s">
        <v>46</v>
      </c>
    </row>
    <row r="480" spans="1:6" x14ac:dyDescent="0.25">
      <c r="A480" s="48" t="s">
        <v>760</v>
      </c>
      <c r="B480" s="48">
        <v>70011059</v>
      </c>
      <c r="C480" s="47">
        <v>2</v>
      </c>
      <c r="D480" s="48" t="s">
        <v>1359</v>
      </c>
      <c r="E480" s="48" t="s">
        <v>761</v>
      </c>
      <c r="F480" s="47" t="s">
        <v>63</v>
      </c>
    </row>
    <row r="481" spans="1:6" x14ac:dyDescent="0.25">
      <c r="A481" s="48" t="s">
        <v>758</v>
      </c>
      <c r="B481" s="48">
        <v>70011061</v>
      </c>
      <c r="C481" s="47">
        <v>2</v>
      </c>
      <c r="D481" s="48" t="s">
        <v>1359</v>
      </c>
      <c r="E481" s="48" t="s">
        <v>759</v>
      </c>
      <c r="F481" s="47" t="s">
        <v>63</v>
      </c>
    </row>
    <row r="482" spans="1:6" x14ac:dyDescent="0.25">
      <c r="A482" s="48" t="s">
        <v>1964</v>
      </c>
      <c r="B482" s="48">
        <v>70011112</v>
      </c>
      <c r="C482" s="47">
        <v>3</v>
      </c>
      <c r="D482" s="48" t="s">
        <v>1359</v>
      </c>
      <c r="E482" s="48" t="s">
        <v>1965</v>
      </c>
      <c r="F482" s="47" t="s">
        <v>46</v>
      </c>
    </row>
    <row r="483" spans="1:6" x14ac:dyDescent="0.25">
      <c r="A483" s="48" t="s">
        <v>717</v>
      </c>
      <c r="B483" s="48">
        <v>70011114</v>
      </c>
      <c r="C483" s="47">
        <v>3</v>
      </c>
      <c r="D483" s="48" t="s">
        <v>1359</v>
      </c>
      <c r="E483" s="48" t="s">
        <v>718</v>
      </c>
      <c r="F483" s="47" t="s">
        <v>46</v>
      </c>
    </row>
    <row r="484" spans="1:6" x14ac:dyDescent="0.25">
      <c r="A484" s="48" t="s">
        <v>752</v>
      </c>
      <c r="B484" s="48">
        <v>70011119</v>
      </c>
      <c r="C484" s="47">
        <v>1</v>
      </c>
      <c r="D484" s="48" t="s">
        <v>1359</v>
      </c>
      <c r="E484" s="48" t="s">
        <v>753</v>
      </c>
      <c r="F484" s="47" t="s">
        <v>41</v>
      </c>
    </row>
    <row r="485" spans="1:6" x14ac:dyDescent="0.25">
      <c r="A485" s="48" t="s">
        <v>702</v>
      </c>
      <c r="B485" s="48">
        <v>70011122</v>
      </c>
      <c r="C485" s="47">
        <v>3</v>
      </c>
      <c r="D485" s="48" t="s">
        <v>1359</v>
      </c>
      <c r="E485" s="48" t="s">
        <v>703</v>
      </c>
      <c r="F485" s="47" t="s">
        <v>41</v>
      </c>
    </row>
    <row r="486" spans="1:6" x14ac:dyDescent="0.25">
      <c r="A486" s="48" t="s">
        <v>706</v>
      </c>
      <c r="B486" s="48">
        <v>70011172</v>
      </c>
      <c r="C486" s="47">
        <v>1</v>
      </c>
      <c r="D486" s="48" t="s">
        <v>1359</v>
      </c>
      <c r="E486" s="48" t="s">
        <v>707</v>
      </c>
      <c r="F486" s="47" t="s">
        <v>229</v>
      </c>
    </row>
    <row r="487" spans="1:6" x14ac:dyDescent="0.25">
      <c r="A487" s="48" t="s">
        <v>704</v>
      </c>
      <c r="B487" s="48">
        <v>70011174</v>
      </c>
      <c r="C487" s="47">
        <v>1</v>
      </c>
      <c r="D487" s="48" t="s">
        <v>1359</v>
      </c>
      <c r="E487" s="48" t="s">
        <v>705</v>
      </c>
      <c r="F487" s="47" t="s">
        <v>229</v>
      </c>
    </row>
    <row r="488" spans="1:6" x14ac:dyDescent="0.25">
      <c r="A488" s="48" t="s">
        <v>690</v>
      </c>
      <c r="B488" s="48">
        <v>70011176</v>
      </c>
      <c r="C488" s="47">
        <v>3</v>
      </c>
      <c r="D488" s="48" t="s">
        <v>1359</v>
      </c>
      <c r="E488" s="48" t="s">
        <v>691</v>
      </c>
      <c r="F488" s="47" t="s">
        <v>229</v>
      </c>
    </row>
    <row r="489" spans="1:6" x14ac:dyDescent="0.25">
      <c r="A489" s="48" t="s">
        <v>688</v>
      </c>
      <c r="B489" s="48">
        <v>70011189</v>
      </c>
      <c r="C489" s="47">
        <v>3</v>
      </c>
      <c r="D489" s="48" t="s">
        <v>1359</v>
      </c>
      <c r="E489" s="48" t="s">
        <v>689</v>
      </c>
      <c r="F489" s="47" t="s">
        <v>229</v>
      </c>
    </row>
    <row r="490" spans="1:6" x14ac:dyDescent="0.25">
      <c r="A490" s="48" t="s">
        <v>1966</v>
      </c>
      <c r="B490" s="48">
        <v>70011190</v>
      </c>
      <c r="C490" s="47">
        <v>3</v>
      </c>
      <c r="D490" s="48" t="s">
        <v>1359</v>
      </c>
      <c r="E490" s="48" t="s">
        <v>1967</v>
      </c>
      <c r="F490" s="47" t="s">
        <v>229</v>
      </c>
    </row>
    <row r="491" spans="1:6" x14ac:dyDescent="0.25">
      <c r="A491" s="48" t="s">
        <v>693</v>
      </c>
      <c r="B491" s="48">
        <v>70011192</v>
      </c>
      <c r="C491" s="47">
        <v>1</v>
      </c>
      <c r="D491" s="48" t="s">
        <v>1359</v>
      </c>
      <c r="E491" s="48" t="s">
        <v>694</v>
      </c>
      <c r="F491" s="47" t="s">
        <v>87</v>
      </c>
    </row>
    <row r="492" spans="1:6" x14ac:dyDescent="0.25">
      <c r="A492" s="48" t="s">
        <v>1968</v>
      </c>
      <c r="B492" s="48">
        <v>70011194</v>
      </c>
      <c r="C492" s="47">
        <v>1</v>
      </c>
      <c r="D492" s="48" t="s">
        <v>1359</v>
      </c>
      <c r="E492" s="48" t="s">
        <v>1969</v>
      </c>
      <c r="F492" s="47" t="s">
        <v>87</v>
      </c>
    </row>
    <row r="493" spans="1:6" x14ac:dyDescent="0.25">
      <c r="A493" s="48" t="s">
        <v>1970</v>
      </c>
      <c r="B493" s="48">
        <v>70011196</v>
      </c>
      <c r="C493" s="47">
        <v>1</v>
      </c>
      <c r="D493" s="48" t="s">
        <v>1359</v>
      </c>
      <c r="E493" s="48" t="s">
        <v>1971</v>
      </c>
      <c r="F493" s="47" t="s">
        <v>87</v>
      </c>
    </row>
    <row r="494" spans="1:6" x14ac:dyDescent="0.25">
      <c r="A494" s="48" t="s">
        <v>696</v>
      </c>
      <c r="B494" s="48">
        <v>70011198</v>
      </c>
      <c r="C494" s="47">
        <v>1</v>
      </c>
      <c r="D494" s="48" t="s">
        <v>1359</v>
      </c>
      <c r="E494" s="48" t="s">
        <v>697</v>
      </c>
      <c r="F494" s="47" t="s">
        <v>87</v>
      </c>
    </row>
    <row r="495" spans="1:6" x14ac:dyDescent="0.25">
      <c r="A495" s="48" t="s">
        <v>1972</v>
      </c>
      <c r="B495" s="48">
        <v>70011200</v>
      </c>
      <c r="C495" s="47">
        <v>1</v>
      </c>
      <c r="D495" s="48" t="s">
        <v>1359</v>
      </c>
      <c r="E495" s="48" t="s">
        <v>1973</v>
      </c>
      <c r="F495" s="47" t="s">
        <v>87</v>
      </c>
    </row>
    <row r="496" spans="1:6" x14ac:dyDescent="0.25">
      <c r="A496" s="48" t="s">
        <v>1974</v>
      </c>
      <c r="B496" s="48">
        <v>70011202</v>
      </c>
      <c r="C496" s="47">
        <v>1</v>
      </c>
      <c r="D496" s="48" t="s">
        <v>1359</v>
      </c>
      <c r="E496" s="48" t="s">
        <v>1975</v>
      </c>
      <c r="F496" s="47" t="s">
        <v>87</v>
      </c>
    </row>
    <row r="497" spans="1:6" x14ac:dyDescent="0.25">
      <c r="A497" s="48" t="s">
        <v>1976</v>
      </c>
      <c r="B497" s="48">
        <v>70011204</v>
      </c>
      <c r="C497" s="47">
        <v>1</v>
      </c>
      <c r="D497" s="48" t="s">
        <v>1359</v>
      </c>
      <c r="E497" s="48" t="s">
        <v>1977</v>
      </c>
      <c r="F497" s="47" t="s">
        <v>87</v>
      </c>
    </row>
    <row r="498" spans="1:6" x14ac:dyDescent="0.25">
      <c r="A498" s="48" t="s">
        <v>663</v>
      </c>
      <c r="B498" s="48">
        <v>70011206</v>
      </c>
      <c r="C498" s="47">
        <v>1</v>
      </c>
      <c r="D498" s="48" t="s">
        <v>1359</v>
      </c>
      <c r="E498" s="48" t="s">
        <v>664</v>
      </c>
      <c r="F498" s="47" t="s">
        <v>87</v>
      </c>
    </row>
    <row r="499" spans="1:6" x14ac:dyDescent="0.25">
      <c r="A499" s="48" t="s">
        <v>972</v>
      </c>
      <c r="B499" s="48">
        <v>70008672</v>
      </c>
      <c r="C499" s="47">
        <v>2</v>
      </c>
      <c r="D499" s="48" t="s">
        <v>1359</v>
      </c>
      <c r="E499" s="48" t="s">
        <v>1465</v>
      </c>
      <c r="F499" s="47" t="s">
        <v>63</v>
      </c>
    </row>
    <row r="500" spans="1:6" x14ac:dyDescent="0.25">
      <c r="A500" s="48" t="s">
        <v>544</v>
      </c>
      <c r="B500" s="48">
        <v>70011943</v>
      </c>
      <c r="C500" s="47">
        <v>2</v>
      </c>
      <c r="D500" s="48" t="s">
        <v>1359</v>
      </c>
      <c r="E500" s="48" t="s">
        <v>545</v>
      </c>
      <c r="F500" s="47" t="s">
        <v>63</v>
      </c>
    </row>
    <row r="501" spans="1:6" x14ac:dyDescent="0.25">
      <c r="A501" s="48" t="s">
        <v>651</v>
      </c>
      <c r="B501" s="48">
        <v>70011212</v>
      </c>
      <c r="C501" s="47">
        <v>3</v>
      </c>
      <c r="D501" s="48" t="s">
        <v>1359</v>
      </c>
      <c r="E501" s="48" t="s">
        <v>652</v>
      </c>
      <c r="F501" s="47" t="s">
        <v>87</v>
      </c>
    </row>
    <row r="502" spans="1:6" x14ac:dyDescent="0.25">
      <c r="A502" s="48" t="s">
        <v>649</v>
      </c>
      <c r="B502" s="48">
        <v>70011214</v>
      </c>
      <c r="C502" s="47">
        <v>3</v>
      </c>
      <c r="D502" s="48" t="s">
        <v>1359</v>
      </c>
      <c r="E502" s="48" t="s">
        <v>650</v>
      </c>
      <c r="F502" s="47" t="s">
        <v>87</v>
      </c>
    </row>
    <row r="503" spans="1:6" x14ac:dyDescent="0.25">
      <c r="A503" s="48" t="s">
        <v>647</v>
      </c>
      <c r="B503" s="48">
        <v>70011216</v>
      </c>
      <c r="C503" s="47">
        <v>3</v>
      </c>
      <c r="D503" s="48" t="s">
        <v>1359</v>
      </c>
      <c r="E503" s="48" t="s">
        <v>648</v>
      </c>
      <c r="F503" s="47" t="s">
        <v>87</v>
      </c>
    </row>
    <row r="504" spans="1:6" x14ac:dyDescent="0.25">
      <c r="A504" s="48" t="s">
        <v>755</v>
      </c>
      <c r="B504" s="48">
        <v>70011232</v>
      </c>
      <c r="C504" s="47">
        <v>2</v>
      </c>
      <c r="D504" s="48" t="s">
        <v>1359</v>
      </c>
      <c r="E504" s="48" t="s">
        <v>756</v>
      </c>
      <c r="F504" s="47" t="s">
        <v>63</v>
      </c>
    </row>
    <row r="505" spans="1:6" x14ac:dyDescent="0.25">
      <c r="A505" s="48" t="s">
        <v>645</v>
      </c>
      <c r="B505" s="48">
        <v>70011234</v>
      </c>
      <c r="C505" s="47">
        <v>1</v>
      </c>
      <c r="D505" s="48" t="s">
        <v>1359</v>
      </c>
      <c r="E505" s="48" t="s">
        <v>646</v>
      </c>
      <c r="F505" s="47" t="s">
        <v>229</v>
      </c>
    </row>
    <row r="506" spans="1:6" x14ac:dyDescent="0.25">
      <c r="A506" s="48" t="s">
        <v>643</v>
      </c>
      <c r="B506" s="48">
        <v>70011236</v>
      </c>
      <c r="C506" s="47">
        <v>1</v>
      </c>
      <c r="D506" s="48" t="s">
        <v>1359</v>
      </c>
      <c r="E506" s="48" t="s">
        <v>644</v>
      </c>
      <c r="F506" s="47" t="s">
        <v>229</v>
      </c>
    </row>
    <row r="507" spans="1:6" x14ac:dyDescent="0.25">
      <c r="A507" s="48" t="s">
        <v>713</v>
      </c>
      <c r="B507" s="48">
        <v>70011240</v>
      </c>
      <c r="C507" s="47">
        <v>1</v>
      </c>
      <c r="D507" s="48" t="s">
        <v>1359</v>
      </c>
      <c r="E507" s="48" t="s">
        <v>714</v>
      </c>
      <c r="F507" s="47" t="s">
        <v>229</v>
      </c>
    </row>
    <row r="508" spans="1:6" x14ac:dyDescent="0.25">
      <c r="A508" s="48" t="s">
        <v>711</v>
      </c>
      <c r="B508" s="48">
        <v>70011242</v>
      </c>
      <c r="C508" s="47">
        <v>1</v>
      </c>
      <c r="D508" s="48" t="s">
        <v>1359</v>
      </c>
      <c r="E508" s="48" t="s">
        <v>712</v>
      </c>
      <c r="F508" s="47" t="s">
        <v>229</v>
      </c>
    </row>
    <row r="509" spans="1:6" x14ac:dyDescent="0.25">
      <c r="A509" s="48" t="s">
        <v>708</v>
      </c>
      <c r="B509" s="48">
        <v>70011273</v>
      </c>
      <c r="C509" s="47">
        <v>1</v>
      </c>
      <c r="D509" s="48" t="s">
        <v>1359</v>
      </c>
      <c r="E509" s="48" t="s">
        <v>709</v>
      </c>
      <c r="F509" s="47" t="s">
        <v>46</v>
      </c>
    </row>
    <row r="510" spans="1:6" x14ac:dyDescent="0.25">
      <c r="A510" s="48" t="s">
        <v>715</v>
      </c>
      <c r="B510" s="48">
        <v>70011277</v>
      </c>
      <c r="C510" s="47">
        <v>3</v>
      </c>
      <c r="D510" s="48" t="s">
        <v>1359</v>
      </c>
      <c r="E510" s="48" t="s">
        <v>716</v>
      </c>
      <c r="F510" s="47" t="s">
        <v>46</v>
      </c>
    </row>
    <row r="511" spans="1:6" x14ac:dyDescent="0.25">
      <c r="A511" s="48" t="s">
        <v>748</v>
      </c>
      <c r="B511" s="48">
        <v>70011279</v>
      </c>
      <c r="C511" s="47">
        <v>3</v>
      </c>
      <c r="D511" s="48" t="s">
        <v>1359</v>
      </c>
      <c r="E511" s="48" t="s">
        <v>749</v>
      </c>
      <c r="F511" s="47" t="s">
        <v>46</v>
      </c>
    </row>
    <row r="512" spans="1:6" x14ac:dyDescent="0.25">
      <c r="A512" s="48" t="s">
        <v>750</v>
      </c>
      <c r="B512" s="48">
        <v>70011281</v>
      </c>
      <c r="C512" s="47">
        <v>3</v>
      </c>
      <c r="D512" s="48" t="s">
        <v>1359</v>
      </c>
      <c r="E512" s="48" t="s">
        <v>751</v>
      </c>
      <c r="F512" s="47" t="s">
        <v>46</v>
      </c>
    </row>
    <row r="513" spans="1:6" x14ac:dyDescent="0.25">
      <c r="A513" s="48" t="s">
        <v>1978</v>
      </c>
      <c r="B513" s="48">
        <v>70011283</v>
      </c>
      <c r="C513" s="47">
        <v>3</v>
      </c>
      <c r="D513" s="48" t="s">
        <v>1359</v>
      </c>
      <c r="E513" s="48" t="s">
        <v>1979</v>
      </c>
      <c r="F513" s="47" t="s">
        <v>46</v>
      </c>
    </row>
    <row r="514" spans="1:6" x14ac:dyDescent="0.25">
      <c r="A514" s="48" t="s">
        <v>1980</v>
      </c>
      <c r="B514" s="48">
        <v>70011285</v>
      </c>
      <c r="C514" s="47">
        <v>3</v>
      </c>
      <c r="D514" s="48" t="s">
        <v>1359</v>
      </c>
      <c r="E514" s="48" t="s">
        <v>1981</v>
      </c>
      <c r="F514" s="47" t="s">
        <v>46</v>
      </c>
    </row>
    <row r="515" spans="1:6" x14ac:dyDescent="0.25">
      <c r="A515" s="48" t="s">
        <v>1982</v>
      </c>
      <c r="B515" s="48">
        <v>70011287</v>
      </c>
      <c r="C515" s="47">
        <v>3</v>
      </c>
      <c r="D515" s="48" t="s">
        <v>1359</v>
      </c>
      <c r="E515" s="48" t="s">
        <v>1983</v>
      </c>
      <c r="F515" s="47" t="s">
        <v>46</v>
      </c>
    </row>
    <row r="516" spans="1:6" x14ac:dyDescent="0.25">
      <c r="A516" s="48" t="s">
        <v>746</v>
      </c>
      <c r="B516" s="48">
        <v>70011289</v>
      </c>
      <c r="C516" s="47">
        <v>3</v>
      </c>
      <c r="D516" s="48" t="s">
        <v>1359</v>
      </c>
      <c r="E516" s="48" t="s">
        <v>747</v>
      </c>
      <c r="F516" s="47" t="s">
        <v>46</v>
      </c>
    </row>
    <row r="517" spans="1:6" x14ac:dyDescent="0.25">
      <c r="A517" s="48" t="s">
        <v>1984</v>
      </c>
      <c r="B517" s="48">
        <v>70011291</v>
      </c>
      <c r="C517" s="47">
        <v>3</v>
      </c>
      <c r="D517" s="48" t="s">
        <v>1359</v>
      </c>
      <c r="E517" s="48" t="s">
        <v>1985</v>
      </c>
      <c r="F517" s="47" t="s">
        <v>46</v>
      </c>
    </row>
    <row r="518" spans="1:6" x14ac:dyDescent="0.25">
      <c r="A518" s="48" t="s">
        <v>744</v>
      </c>
      <c r="B518" s="48">
        <v>70011293</v>
      </c>
      <c r="C518" s="47">
        <v>3</v>
      </c>
      <c r="D518" s="48" t="s">
        <v>1359</v>
      </c>
      <c r="E518" s="48" t="s">
        <v>745</v>
      </c>
      <c r="F518" s="47" t="s">
        <v>46</v>
      </c>
    </row>
    <row r="519" spans="1:6" x14ac:dyDescent="0.25">
      <c r="A519" s="48" t="s">
        <v>738</v>
      </c>
      <c r="B519" s="48">
        <v>70011295</v>
      </c>
      <c r="C519" s="47">
        <v>3</v>
      </c>
      <c r="D519" s="48" t="s">
        <v>1359</v>
      </c>
      <c r="E519" s="48" t="s">
        <v>739</v>
      </c>
      <c r="F519" s="47" t="s">
        <v>46</v>
      </c>
    </row>
    <row r="520" spans="1:6" x14ac:dyDescent="0.25">
      <c r="A520" s="48" t="s">
        <v>742</v>
      </c>
      <c r="B520" s="48">
        <v>70011297</v>
      </c>
      <c r="C520" s="47">
        <v>3</v>
      </c>
      <c r="D520" s="48" t="s">
        <v>1359</v>
      </c>
      <c r="E520" s="48" t="s">
        <v>743</v>
      </c>
      <c r="F520" s="47" t="s">
        <v>46</v>
      </c>
    </row>
    <row r="521" spans="1:6" x14ac:dyDescent="0.25">
      <c r="A521" s="48" t="s">
        <v>736</v>
      </c>
      <c r="B521" s="48">
        <v>70011299</v>
      </c>
      <c r="C521" s="47">
        <v>3</v>
      </c>
      <c r="D521" s="48" t="s">
        <v>1359</v>
      </c>
      <c r="E521" s="48" t="s">
        <v>737</v>
      </c>
      <c r="F521" s="47" t="s">
        <v>46</v>
      </c>
    </row>
    <row r="522" spans="1:6" x14ac:dyDescent="0.25">
      <c r="A522" s="48" t="s">
        <v>740</v>
      </c>
      <c r="B522" s="48">
        <v>70011301</v>
      </c>
      <c r="C522" s="47">
        <v>3</v>
      </c>
      <c r="D522" s="48" t="s">
        <v>1359</v>
      </c>
      <c r="E522" s="48" t="s">
        <v>741</v>
      </c>
      <c r="F522" s="47" t="s">
        <v>46</v>
      </c>
    </row>
    <row r="523" spans="1:6" x14ac:dyDescent="0.25">
      <c r="A523" s="48" t="s">
        <v>733</v>
      </c>
      <c r="B523" s="48">
        <v>70011303</v>
      </c>
      <c r="C523" s="47">
        <v>3</v>
      </c>
      <c r="D523" s="48" t="s">
        <v>1359</v>
      </c>
      <c r="E523" s="48" t="s">
        <v>734</v>
      </c>
      <c r="F523" s="47" t="s">
        <v>46</v>
      </c>
    </row>
    <row r="524" spans="1:6" x14ac:dyDescent="0.25">
      <c r="A524" s="48" t="s">
        <v>727</v>
      </c>
      <c r="B524" s="48">
        <v>70011305</v>
      </c>
      <c r="C524" s="47">
        <v>3</v>
      </c>
      <c r="D524" s="48" t="s">
        <v>1359</v>
      </c>
      <c r="E524" s="48" t="s">
        <v>728</v>
      </c>
      <c r="F524" s="47" t="s">
        <v>46</v>
      </c>
    </row>
    <row r="525" spans="1:6" x14ac:dyDescent="0.25">
      <c r="A525" s="48" t="s">
        <v>731</v>
      </c>
      <c r="B525" s="48">
        <v>70011307</v>
      </c>
      <c r="C525" s="47">
        <v>3</v>
      </c>
      <c r="D525" s="48" t="s">
        <v>1359</v>
      </c>
      <c r="E525" s="48" t="s">
        <v>732</v>
      </c>
      <c r="F525" s="47" t="s">
        <v>46</v>
      </c>
    </row>
    <row r="526" spans="1:6" x14ac:dyDescent="0.25">
      <c r="A526" s="48" t="s">
        <v>723</v>
      </c>
      <c r="B526" s="48">
        <v>70011309</v>
      </c>
      <c r="C526" s="47">
        <v>3</v>
      </c>
      <c r="D526" s="48" t="s">
        <v>1359</v>
      </c>
      <c r="E526" s="48" t="s">
        <v>724</v>
      </c>
      <c r="F526" s="47" t="s">
        <v>46</v>
      </c>
    </row>
    <row r="527" spans="1:6" x14ac:dyDescent="0.25">
      <c r="A527" s="48" t="s">
        <v>725</v>
      </c>
      <c r="B527" s="48">
        <v>70011311</v>
      </c>
      <c r="C527" s="47">
        <v>3</v>
      </c>
      <c r="D527" s="48" t="s">
        <v>1359</v>
      </c>
      <c r="E527" s="48" t="s">
        <v>726</v>
      </c>
      <c r="F527" s="47" t="s">
        <v>46</v>
      </c>
    </row>
    <row r="528" spans="1:6" x14ac:dyDescent="0.25">
      <c r="A528" s="48" t="s">
        <v>1986</v>
      </c>
      <c r="B528" s="48">
        <v>70011313</v>
      </c>
      <c r="C528" s="47">
        <v>3</v>
      </c>
      <c r="D528" s="48" t="s">
        <v>1359</v>
      </c>
      <c r="E528" s="48" t="s">
        <v>1987</v>
      </c>
      <c r="F528" s="47" t="s">
        <v>46</v>
      </c>
    </row>
    <row r="529" spans="1:6" x14ac:dyDescent="0.25">
      <c r="A529" s="48" t="s">
        <v>1988</v>
      </c>
      <c r="B529" s="48">
        <v>70011315</v>
      </c>
      <c r="C529" s="47">
        <v>3</v>
      </c>
      <c r="D529" s="48" t="s">
        <v>1359</v>
      </c>
      <c r="E529" s="48" t="s">
        <v>1989</v>
      </c>
      <c r="F529" s="47" t="s">
        <v>46</v>
      </c>
    </row>
    <row r="530" spans="1:6" x14ac:dyDescent="0.25">
      <c r="A530" s="48" t="s">
        <v>721</v>
      </c>
      <c r="B530" s="48">
        <v>70011317</v>
      </c>
      <c r="C530" s="47">
        <v>3</v>
      </c>
      <c r="D530" s="48" t="s">
        <v>1359</v>
      </c>
      <c r="E530" s="48" t="s">
        <v>722</v>
      </c>
      <c r="F530" s="47" t="s">
        <v>46</v>
      </c>
    </row>
    <row r="531" spans="1:6" x14ac:dyDescent="0.25">
      <c r="A531" s="48" t="s">
        <v>729</v>
      </c>
      <c r="B531" s="48">
        <v>70011319</v>
      </c>
      <c r="C531" s="47">
        <v>3</v>
      </c>
      <c r="D531" s="48" t="s">
        <v>1359</v>
      </c>
      <c r="E531" s="48" t="s">
        <v>730</v>
      </c>
      <c r="F531" s="47" t="s">
        <v>46</v>
      </c>
    </row>
    <row r="532" spans="1:6" x14ac:dyDescent="0.25">
      <c r="A532" s="48" t="s">
        <v>719</v>
      </c>
      <c r="B532" s="48">
        <v>70011321</v>
      </c>
      <c r="C532" s="47">
        <v>3</v>
      </c>
      <c r="D532" s="48" t="s">
        <v>1359</v>
      </c>
      <c r="E532" s="48" t="s">
        <v>720</v>
      </c>
      <c r="F532" s="47" t="s">
        <v>46</v>
      </c>
    </row>
    <row r="533" spans="1:6" x14ac:dyDescent="0.25">
      <c r="A533" s="48" t="s">
        <v>686</v>
      </c>
      <c r="B533" s="48">
        <v>70011334</v>
      </c>
      <c r="C533" s="47">
        <v>1</v>
      </c>
      <c r="D533" s="48" t="s">
        <v>1359</v>
      </c>
      <c r="E533" s="48" t="s">
        <v>687</v>
      </c>
      <c r="F533" s="47" t="s">
        <v>171</v>
      </c>
    </row>
    <row r="534" spans="1:6" x14ac:dyDescent="0.25">
      <c r="A534" s="48" t="s">
        <v>684</v>
      </c>
      <c r="B534" s="48">
        <v>70011336</v>
      </c>
      <c r="C534" s="47">
        <v>1</v>
      </c>
      <c r="D534" s="48" t="s">
        <v>1359</v>
      </c>
      <c r="E534" s="48" t="s">
        <v>685</v>
      </c>
      <c r="F534" s="47" t="s">
        <v>171</v>
      </c>
    </row>
    <row r="535" spans="1:6" x14ac:dyDescent="0.25">
      <c r="A535" s="48" t="s">
        <v>1990</v>
      </c>
      <c r="B535" s="48">
        <v>70011414</v>
      </c>
      <c r="C535" s="47">
        <v>3</v>
      </c>
      <c r="D535" s="48" t="s">
        <v>1359</v>
      </c>
      <c r="E535" s="48" t="s">
        <v>1991</v>
      </c>
      <c r="F535" s="47" t="s">
        <v>46</v>
      </c>
    </row>
    <row r="536" spans="1:6" x14ac:dyDescent="0.25">
      <c r="A536" s="48" t="s">
        <v>701</v>
      </c>
      <c r="B536" s="48">
        <v>70011418</v>
      </c>
      <c r="C536" s="47">
        <v>3</v>
      </c>
      <c r="D536" s="48" t="s">
        <v>1359</v>
      </c>
      <c r="E536" s="48" t="s">
        <v>1992</v>
      </c>
      <c r="F536" s="47" t="s">
        <v>171</v>
      </c>
    </row>
    <row r="537" spans="1:6" x14ac:dyDescent="0.25">
      <c r="A537" s="48" t="s">
        <v>700</v>
      </c>
      <c r="B537" s="48">
        <v>70011420</v>
      </c>
      <c r="C537" s="47">
        <v>3</v>
      </c>
      <c r="D537" s="48" t="s">
        <v>1359</v>
      </c>
      <c r="E537" s="48" t="s">
        <v>1993</v>
      </c>
      <c r="F537" s="47" t="s">
        <v>171</v>
      </c>
    </row>
    <row r="538" spans="1:6" x14ac:dyDescent="0.25">
      <c r="A538" s="48" t="s">
        <v>628</v>
      </c>
      <c r="B538" s="48">
        <v>70011443</v>
      </c>
      <c r="C538" s="47">
        <v>3</v>
      </c>
      <c r="D538" s="48" t="s">
        <v>1359</v>
      </c>
      <c r="E538" s="48" t="s">
        <v>629</v>
      </c>
      <c r="F538" s="47" t="s">
        <v>41</v>
      </c>
    </row>
    <row r="539" spans="1:6" x14ac:dyDescent="0.25">
      <c r="A539" s="48" t="s">
        <v>1994</v>
      </c>
      <c r="B539" s="48">
        <v>70011445</v>
      </c>
      <c r="C539" s="47">
        <v>3</v>
      </c>
      <c r="D539" s="48" t="s">
        <v>1359</v>
      </c>
      <c r="E539" s="48" t="s">
        <v>1995</v>
      </c>
      <c r="F539" s="47" t="s">
        <v>46</v>
      </c>
    </row>
    <row r="540" spans="1:6" x14ac:dyDescent="0.25">
      <c r="A540" s="48" t="s">
        <v>1996</v>
      </c>
      <c r="B540" s="48">
        <v>70011447</v>
      </c>
      <c r="C540" s="47">
        <v>3</v>
      </c>
      <c r="D540" s="48" t="s">
        <v>1359</v>
      </c>
      <c r="E540" s="48" t="s">
        <v>1997</v>
      </c>
      <c r="F540" s="47" t="s">
        <v>46</v>
      </c>
    </row>
    <row r="541" spans="1:6" x14ac:dyDescent="0.25">
      <c r="A541" s="48" t="s">
        <v>699</v>
      </c>
      <c r="B541" s="48">
        <v>70011449</v>
      </c>
      <c r="C541" s="47">
        <v>3</v>
      </c>
      <c r="D541" s="48" t="s">
        <v>1359</v>
      </c>
      <c r="E541" s="48" t="s">
        <v>1998</v>
      </c>
      <c r="F541" s="47" t="s">
        <v>46</v>
      </c>
    </row>
    <row r="542" spans="1:6" x14ac:dyDescent="0.25">
      <c r="A542" s="48" t="s">
        <v>698</v>
      </c>
      <c r="B542" s="48">
        <v>70011451</v>
      </c>
      <c r="C542" s="47">
        <v>3</v>
      </c>
      <c r="D542" s="48" t="s">
        <v>1359</v>
      </c>
      <c r="E542" s="48" t="s">
        <v>1999</v>
      </c>
      <c r="F542" s="47" t="s">
        <v>46</v>
      </c>
    </row>
    <row r="543" spans="1:6" x14ac:dyDescent="0.25">
      <c r="A543" s="48" t="s">
        <v>2000</v>
      </c>
      <c r="B543" s="48">
        <v>70011453</v>
      </c>
      <c r="C543" s="47">
        <v>3</v>
      </c>
      <c r="D543" s="48" t="s">
        <v>1359</v>
      </c>
      <c r="E543" s="48" t="s">
        <v>2001</v>
      </c>
      <c r="F543" s="47" t="s">
        <v>46</v>
      </c>
    </row>
    <row r="544" spans="1:6" x14ac:dyDescent="0.25">
      <c r="A544" s="48" t="s">
        <v>542</v>
      </c>
      <c r="B544" s="48">
        <v>70011920</v>
      </c>
      <c r="C544" s="47">
        <v>2</v>
      </c>
      <c r="D544" s="48" t="s">
        <v>1359</v>
      </c>
      <c r="E544" s="48" t="s">
        <v>543</v>
      </c>
      <c r="F544" s="47" t="s">
        <v>63</v>
      </c>
    </row>
    <row r="545" spans="1:6" x14ac:dyDescent="0.25">
      <c r="A545" s="48" t="s">
        <v>2002</v>
      </c>
      <c r="B545" s="48">
        <v>70011457</v>
      </c>
      <c r="C545" s="47">
        <v>3</v>
      </c>
      <c r="D545" s="48" t="s">
        <v>1359</v>
      </c>
      <c r="E545" s="48" t="s">
        <v>2003</v>
      </c>
      <c r="F545" s="47" t="s">
        <v>46</v>
      </c>
    </row>
    <row r="546" spans="1:6" x14ac:dyDescent="0.25">
      <c r="A546" s="28" t="s">
        <v>491</v>
      </c>
      <c r="B546" s="33">
        <v>70011923</v>
      </c>
      <c r="C546" s="47">
        <v>2</v>
      </c>
      <c r="D546" s="48" t="s">
        <v>1359</v>
      </c>
      <c r="E546" s="28" t="s">
        <v>492</v>
      </c>
      <c r="F546" s="47" t="s">
        <v>63</v>
      </c>
    </row>
    <row r="547" spans="1:6" x14ac:dyDescent="0.25">
      <c r="A547" s="48" t="s">
        <v>2004</v>
      </c>
      <c r="B547" s="48">
        <v>70011461</v>
      </c>
      <c r="C547" s="47">
        <v>3</v>
      </c>
      <c r="D547" s="48" t="s">
        <v>1359</v>
      </c>
      <c r="E547" s="48" t="s">
        <v>2005</v>
      </c>
      <c r="F547" s="47" t="s">
        <v>46</v>
      </c>
    </row>
    <row r="548" spans="1:6" x14ac:dyDescent="0.25">
      <c r="A548" s="48" t="s">
        <v>2006</v>
      </c>
      <c r="B548" s="48">
        <v>70011463</v>
      </c>
      <c r="C548" s="47">
        <v>3</v>
      </c>
      <c r="D548" s="48" t="s">
        <v>1359</v>
      </c>
      <c r="E548" s="48" t="s">
        <v>2007</v>
      </c>
      <c r="F548" s="47" t="s">
        <v>46</v>
      </c>
    </row>
    <row r="549" spans="1:6" x14ac:dyDescent="0.25">
      <c r="A549" s="48" t="s">
        <v>2008</v>
      </c>
      <c r="B549" s="48">
        <v>70011465</v>
      </c>
      <c r="C549" s="47">
        <v>3</v>
      </c>
      <c r="D549" s="48" t="s">
        <v>1359</v>
      </c>
      <c r="E549" s="48" t="s">
        <v>2009</v>
      </c>
      <c r="F549" s="47" t="s">
        <v>46</v>
      </c>
    </row>
    <row r="550" spans="1:6" x14ac:dyDescent="0.25">
      <c r="A550" s="48" t="s">
        <v>678</v>
      </c>
      <c r="B550" s="48">
        <v>70011467</v>
      </c>
      <c r="C550" s="47">
        <v>3</v>
      </c>
      <c r="D550" s="48" t="s">
        <v>1359</v>
      </c>
      <c r="E550" s="48" t="s">
        <v>679</v>
      </c>
      <c r="F550" s="47" t="s">
        <v>46</v>
      </c>
    </row>
    <row r="551" spans="1:6" x14ac:dyDescent="0.25">
      <c r="A551" s="48" t="s">
        <v>656</v>
      </c>
      <c r="B551" s="48">
        <v>70011469</v>
      </c>
      <c r="C551" s="47">
        <v>3</v>
      </c>
      <c r="D551" s="48" t="s">
        <v>1359</v>
      </c>
      <c r="E551" s="48" t="s">
        <v>657</v>
      </c>
      <c r="F551" s="47" t="s">
        <v>87</v>
      </c>
    </row>
    <row r="552" spans="1:6" x14ac:dyDescent="0.25">
      <c r="A552" s="48" t="s">
        <v>641</v>
      </c>
      <c r="B552" s="48">
        <v>70011471</v>
      </c>
      <c r="C552" s="47">
        <v>1</v>
      </c>
      <c r="D552" s="48" t="s">
        <v>1359</v>
      </c>
      <c r="E552" s="48" t="s">
        <v>642</v>
      </c>
      <c r="F552" s="47" t="s">
        <v>171</v>
      </c>
    </row>
    <row r="553" spans="1:6" x14ac:dyDescent="0.25">
      <c r="A553" s="48" t="s">
        <v>2010</v>
      </c>
      <c r="B553" s="48">
        <v>70011473</v>
      </c>
      <c r="C553" s="47">
        <v>1</v>
      </c>
      <c r="D553" s="48" t="s">
        <v>1359</v>
      </c>
      <c r="E553" s="48" t="s">
        <v>2011</v>
      </c>
      <c r="F553" s="47" t="s">
        <v>171</v>
      </c>
    </row>
    <row r="554" spans="1:6" x14ac:dyDescent="0.25">
      <c r="A554" s="48" t="s">
        <v>445</v>
      </c>
      <c r="B554" s="48">
        <v>70011482</v>
      </c>
      <c r="C554" s="47">
        <v>3</v>
      </c>
      <c r="D554" s="48" t="s">
        <v>1359</v>
      </c>
      <c r="E554" s="48" t="s">
        <v>446</v>
      </c>
      <c r="F554" s="47" t="s">
        <v>131</v>
      </c>
    </row>
    <row r="555" spans="1:6" x14ac:dyDescent="0.25">
      <c r="A555" s="48" t="s">
        <v>569</v>
      </c>
      <c r="B555" s="48">
        <v>70011484</v>
      </c>
      <c r="C555" s="47">
        <v>1</v>
      </c>
      <c r="D555" s="48" t="s">
        <v>1359</v>
      </c>
      <c r="E555" s="48" t="s">
        <v>570</v>
      </c>
      <c r="F555" s="47" t="s">
        <v>112</v>
      </c>
    </row>
    <row r="556" spans="1:6" x14ac:dyDescent="0.25">
      <c r="A556" s="48" t="s">
        <v>2012</v>
      </c>
      <c r="B556" s="48">
        <v>70011486</v>
      </c>
      <c r="C556" s="47">
        <v>1</v>
      </c>
      <c r="D556" s="48" t="s">
        <v>1359</v>
      </c>
      <c r="E556" s="48" t="s">
        <v>2013</v>
      </c>
      <c r="F556" s="47" t="s">
        <v>112</v>
      </c>
    </row>
    <row r="557" spans="1:6" x14ac:dyDescent="0.25">
      <c r="A557" s="48" t="s">
        <v>639</v>
      </c>
      <c r="B557" s="48">
        <v>70011507</v>
      </c>
      <c r="C557" s="47">
        <v>1</v>
      </c>
      <c r="D557" s="48" t="s">
        <v>1359</v>
      </c>
      <c r="E557" s="48" t="s">
        <v>640</v>
      </c>
      <c r="F557" s="47" t="s">
        <v>41</v>
      </c>
    </row>
    <row r="558" spans="1:6" x14ac:dyDescent="0.25">
      <c r="A558" s="48" t="s">
        <v>636</v>
      </c>
      <c r="B558" s="48">
        <v>70011549</v>
      </c>
      <c r="C558" s="47">
        <v>3</v>
      </c>
      <c r="D558" s="48" t="s">
        <v>1359</v>
      </c>
      <c r="E558" s="48" t="s">
        <v>637</v>
      </c>
      <c r="F558" s="47" t="s">
        <v>87</v>
      </c>
    </row>
    <row r="559" spans="1:6" x14ac:dyDescent="0.25">
      <c r="A559" s="48" t="s">
        <v>670</v>
      </c>
      <c r="B559" s="25">
        <v>70011556</v>
      </c>
      <c r="C559" s="47">
        <v>3</v>
      </c>
      <c r="D559" s="48" t="s">
        <v>1359</v>
      </c>
      <c r="E559" s="48" t="s">
        <v>2014</v>
      </c>
      <c r="F559" s="47" t="s">
        <v>46</v>
      </c>
    </row>
    <row r="560" spans="1:6" x14ac:dyDescent="0.25">
      <c r="A560" s="48" t="s">
        <v>540</v>
      </c>
      <c r="B560" s="48">
        <v>70011926</v>
      </c>
      <c r="C560" s="47">
        <v>2</v>
      </c>
      <c r="D560" s="48" t="s">
        <v>1359</v>
      </c>
      <c r="E560" s="48" t="s">
        <v>541</v>
      </c>
      <c r="F560" s="47" t="s">
        <v>63</v>
      </c>
    </row>
    <row r="561" spans="1:6" x14ac:dyDescent="0.25">
      <c r="A561" s="48" t="s">
        <v>672</v>
      </c>
      <c r="B561" s="25">
        <v>70011561</v>
      </c>
      <c r="C561" s="47">
        <v>3</v>
      </c>
      <c r="D561" s="48" t="s">
        <v>1359</v>
      </c>
      <c r="E561" s="48" t="s">
        <v>673</v>
      </c>
      <c r="F561" s="47" t="s">
        <v>46</v>
      </c>
    </row>
    <row r="562" spans="1:6" x14ac:dyDescent="0.25">
      <c r="A562" s="48" t="s">
        <v>626</v>
      </c>
      <c r="B562" s="48">
        <v>70011572</v>
      </c>
      <c r="C562" s="47">
        <v>1</v>
      </c>
      <c r="D562" s="48" t="s">
        <v>1359</v>
      </c>
      <c r="E562" s="48" t="s">
        <v>627</v>
      </c>
      <c r="F562" s="47" t="s">
        <v>46</v>
      </c>
    </row>
    <row r="563" spans="1:6" x14ac:dyDescent="0.25">
      <c r="A563" s="48" t="s">
        <v>621</v>
      </c>
      <c r="B563" s="48">
        <v>70011574</v>
      </c>
      <c r="C563" s="47">
        <v>1</v>
      </c>
      <c r="D563" s="48" t="s">
        <v>1359</v>
      </c>
      <c r="E563" s="48" t="s">
        <v>622</v>
      </c>
      <c r="F563" s="47" t="s">
        <v>46</v>
      </c>
    </row>
    <row r="564" spans="1:6" x14ac:dyDescent="0.25">
      <c r="A564" s="48" t="s">
        <v>654</v>
      </c>
      <c r="B564" s="48">
        <v>70011577</v>
      </c>
      <c r="C564" s="47">
        <v>3</v>
      </c>
      <c r="D564" s="48" t="s">
        <v>1359</v>
      </c>
      <c r="E564" s="48" t="s">
        <v>655</v>
      </c>
      <c r="F564" s="47" t="s">
        <v>87</v>
      </c>
    </row>
    <row r="565" spans="1:6" x14ac:dyDescent="0.25">
      <c r="A565" s="48" t="s">
        <v>2015</v>
      </c>
      <c r="B565" s="48">
        <v>70011594</v>
      </c>
      <c r="C565" s="47">
        <v>3</v>
      </c>
      <c r="D565" s="48" t="s">
        <v>1359</v>
      </c>
      <c r="E565" s="48" t="s">
        <v>2016</v>
      </c>
      <c r="F565" s="47" t="s">
        <v>46</v>
      </c>
    </row>
    <row r="566" spans="1:6" x14ac:dyDescent="0.25">
      <c r="A566" s="48" t="s">
        <v>668</v>
      </c>
      <c r="B566" s="48">
        <v>70011595</v>
      </c>
      <c r="C566" s="47">
        <v>3</v>
      </c>
      <c r="D566" s="48" t="s">
        <v>1359</v>
      </c>
      <c r="E566" s="48" t="s">
        <v>2017</v>
      </c>
      <c r="F566" s="47" t="s">
        <v>46</v>
      </c>
    </row>
    <row r="567" spans="1:6" x14ac:dyDescent="0.25">
      <c r="A567" s="48" t="s">
        <v>667</v>
      </c>
      <c r="B567" s="48">
        <v>70011596</v>
      </c>
      <c r="C567" s="47">
        <v>3</v>
      </c>
      <c r="D567" s="48" t="s">
        <v>1359</v>
      </c>
      <c r="E567" s="48" t="s">
        <v>2018</v>
      </c>
      <c r="F567" s="47" t="s">
        <v>46</v>
      </c>
    </row>
    <row r="568" spans="1:6" x14ac:dyDescent="0.25">
      <c r="A568" s="48" t="s">
        <v>666</v>
      </c>
      <c r="B568" s="48">
        <v>70011597</v>
      </c>
      <c r="C568" s="47">
        <v>3</v>
      </c>
      <c r="D568" s="48" t="s">
        <v>1359</v>
      </c>
      <c r="E568" s="48" t="s">
        <v>2019</v>
      </c>
      <c r="F568" s="47" t="s">
        <v>41</v>
      </c>
    </row>
    <row r="569" spans="1:6" x14ac:dyDescent="0.25">
      <c r="A569" s="48" t="s">
        <v>665</v>
      </c>
      <c r="B569" s="48">
        <v>70011598</v>
      </c>
      <c r="C569" s="47">
        <v>3</v>
      </c>
      <c r="D569" s="48" t="s">
        <v>1359</v>
      </c>
      <c r="E569" s="48" t="s">
        <v>2020</v>
      </c>
      <c r="F569" s="47" t="s">
        <v>41</v>
      </c>
    </row>
    <row r="570" spans="1:6" x14ac:dyDescent="0.25">
      <c r="A570" s="48" t="s">
        <v>616</v>
      </c>
      <c r="B570" s="11">
        <v>70011613</v>
      </c>
      <c r="C570" s="47">
        <v>1</v>
      </c>
      <c r="D570" s="48" t="s">
        <v>1359</v>
      </c>
      <c r="E570" s="48" t="s">
        <v>617</v>
      </c>
      <c r="F570" s="47" t="s">
        <v>46</v>
      </c>
    </row>
    <row r="571" spans="1:6" x14ac:dyDescent="0.25">
      <c r="A571" s="48" t="s">
        <v>595</v>
      </c>
      <c r="B571" s="48">
        <v>70011614</v>
      </c>
      <c r="C571" s="47">
        <v>1</v>
      </c>
      <c r="D571" s="48" t="s">
        <v>1359</v>
      </c>
      <c r="E571" s="48" t="s">
        <v>596</v>
      </c>
      <c r="F571" s="47" t="s">
        <v>46</v>
      </c>
    </row>
    <row r="572" spans="1:6" x14ac:dyDescent="0.25">
      <c r="A572" s="48" t="s">
        <v>593</v>
      </c>
      <c r="B572" s="48">
        <v>70011617</v>
      </c>
      <c r="C572" s="47">
        <v>1</v>
      </c>
      <c r="D572" s="48" t="s">
        <v>1359</v>
      </c>
      <c r="E572" s="48" t="s">
        <v>594</v>
      </c>
      <c r="F572" s="47" t="s">
        <v>46</v>
      </c>
    </row>
    <row r="573" spans="1:6" x14ac:dyDescent="0.25">
      <c r="A573" s="48" t="s">
        <v>632</v>
      </c>
      <c r="B573" s="48">
        <v>70011618</v>
      </c>
      <c r="C573" s="47">
        <v>3</v>
      </c>
      <c r="D573" s="48" t="s">
        <v>1359</v>
      </c>
      <c r="E573" s="48" t="s">
        <v>633</v>
      </c>
      <c r="F573" s="47" t="s">
        <v>87</v>
      </c>
    </row>
    <row r="574" spans="1:6" x14ac:dyDescent="0.25">
      <c r="A574" s="48" t="s">
        <v>634</v>
      </c>
      <c r="B574" s="48">
        <v>70011619</v>
      </c>
      <c r="C574" s="47">
        <v>3</v>
      </c>
      <c r="D574" s="48" t="s">
        <v>1359</v>
      </c>
      <c r="E574" s="48" t="s">
        <v>635</v>
      </c>
      <c r="F574" s="47" t="s">
        <v>46</v>
      </c>
    </row>
    <row r="575" spans="1:6" x14ac:dyDescent="0.25">
      <c r="A575" s="48" t="s">
        <v>630</v>
      </c>
      <c r="B575" s="48">
        <v>70011620</v>
      </c>
      <c r="C575" s="47">
        <v>1</v>
      </c>
      <c r="D575" s="48" t="s">
        <v>1359</v>
      </c>
      <c r="E575" s="48" t="s">
        <v>631</v>
      </c>
      <c r="F575" s="47" t="s">
        <v>87</v>
      </c>
    </row>
    <row r="576" spans="1:6" x14ac:dyDescent="0.25">
      <c r="A576" s="48" t="s">
        <v>2021</v>
      </c>
      <c r="B576" s="2">
        <v>70011628</v>
      </c>
      <c r="C576" s="47">
        <v>3</v>
      </c>
      <c r="D576" s="48" t="s">
        <v>1359</v>
      </c>
      <c r="E576" s="48" t="s">
        <v>2022</v>
      </c>
      <c r="F576" s="47" t="s">
        <v>46</v>
      </c>
    </row>
    <row r="577" spans="1:6" x14ac:dyDescent="0.25">
      <c r="A577" s="48" t="s">
        <v>624</v>
      </c>
      <c r="B577" s="2">
        <v>70011638</v>
      </c>
      <c r="C577" s="47">
        <v>1</v>
      </c>
      <c r="D577" s="48" t="s">
        <v>1359</v>
      </c>
      <c r="E577" s="48" t="s">
        <v>625</v>
      </c>
      <c r="F577" s="47" t="s">
        <v>112</v>
      </c>
    </row>
    <row r="578" spans="1:6" x14ac:dyDescent="0.25">
      <c r="A578" s="48" t="s">
        <v>2023</v>
      </c>
      <c r="B578" s="48">
        <v>70011641</v>
      </c>
      <c r="C578" s="47">
        <v>1</v>
      </c>
      <c r="D578" s="48" t="s">
        <v>1359</v>
      </c>
      <c r="E578" s="48" t="s">
        <v>2024</v>
      </c>
      <c r="F578" s="47" t="s">
        <v>112</v>
      </c>
    </row>
    <row r="579" spans="1:6" x14ac:dyDescent="0.25">
      <c r="A579" s="48" t="s">
        <v>2025</v>
      </c>
      <c r="B579" s="48">
        <v>70011644</v>
      </c>
      <c r="C579" s="47">
        <v>1</v>
      </c>
      <c r="D579" s="48" t="s">
        <v>1359</v>
      </c>
      <c r="E579" s="48" t="s">
        <v>619</v>
      </c>
      <c r="F579" s="47" t="s">
        <v>112</v>
      </c>
    </row>
    <row r="580" spans="1:6" x14ac:dyDescent="0.25">
      <c r="A580" s="48" t="s">
        <v>2026</v>
      </c>
      <c r="B580" s="48">
        <v>70011647</v>
      </c>
      <c r="C580" s="47">
        <v>1</v>
      </c>
      <c r="D580" s="48" t="s">
        <v>1359</v>
      </c>
      <c r="E580" s="48" t="s">
        <v>2027</v>
      </c>
      <c r="F580" s="47" t="s">
        <v>112</v>
      </c>
    </row>
    <row r="581" spans="1:6" x14ac:dyDescent="0.25">
      <c r="A581" s="48" t="s">
        <v>591</v>
      </c>
      <c r="B581" s="48">
        <v>70011664</v>
      </c>
      <c r="C581" s="47">
        <v>1</v>
      </c>
      <c r="D581" s="48" t="s">
        <v>1359</v>
      </c>
      <c r="E581" s="48" t="s">
        <v>592</v>
      </c>
      <c r="F581" s="47" t="s">
        <v>46</v>
      </c>
    </row>
    <row r="582" spans="1:6" x14ac:dyDescent="0.25">
      <c r="A582" s="48" t="s">
        <v>450</v>
      </c>
      <c r="B582" s="48">
        <v>70011673</v>
      </c>
      <c r="C582" s="47">
        <v>3</v>
      </c>
      <c r="D582" s="48" t="s">
        <v>1359</v>
      </c>
      <c r="E582" s="48" t="s">
        <v>451</v>
      </c>
      <c r="F582" s="47" t="s">
        <v>41</v>
      </c>
    </row>
    <row r="583" spans="1:6" x14ac:dyDescent="0.25">
      <c r="A583" s="48" t="s">
        <v>567</v>
      </c>
      <c r="B583" s="48">
        <v>70011676</v>
      </c>
      <c r="C583" s="47">
        <v>3</v>
      </c>
      <c r="D583" s="48" t="s">
        <v>1359</v>
      </c>
      <c r="E583" s="48" t="s">
        <v>568</v>
      </c>
      <c r="F583" s="47" t="s">
        <v>41</v>
      </c>
    </row>
    <row r="584" spans="1:6" x14ac:dyDescent="0.25">
      <c r="A584" s="48" t="s">
        <v>613</v>
      </c>
      <c r="B584" s="48">
        <v>70011689</v>
      </c>
      <c r="C584" s="47">
        <v>1</v>
      </c>
      <c r="D584" s="48" t="s">
        <v>1359</v>
      </c>
      <c r="E584" s="48" t="s">
        <v>614</v>
      </c>
      <c r="F584" s="47" t="s">
        <v>46</v>
      </c>
    </row>
    <row r="585" spans="1:6" x14ac:dyDescent="0.25">
      <c r="A585" s="48" t="s">
        <v>534</v>
      </c>
      <c r="B585" s="48">
        <v>70011692</v>
      </c>
      <c r="C585" s="47">
        <v>3</v>
      </c>
      <c r="D585" s="48" t="s">
        <v>1359</v>
      </c>
      <c r="E585" s="48" t="s">
        <v>535</v>
      </c>
      <c r="F585" s="48" t="s">
        <v>46</v>
      </c>
    </row>
    <row r="586" spans="1:6" x14ac:dyDescent="0.25">
      <c r="A586" s="28" t="s">
        <v>2028</v>
      </c>
      <c r="B586" s="33">
        <v>70011695</v>
      </c>
      <c r="C586" s="47">
        <v>3</v>
      </c>
      <c r="D586" s="48" t="s">
        <v>1359</v>
      </c>
      <c r="E586" s="28" t="s">
        <v>2029</v>
      </c>
      <c r="F586" s="47" t="s">
        <v>112</v>
      </c>
    </row>
    <row r="587" spans="1:6" x14ac:dyDescent="0.25">
      <c r="A587" s="48" t="s">
        <v>2030</v>
      </c>
      <c r="B587" s="48">
        <v>70011703</v>
      </c>
      <c r="C587" s="47">
        <v>3</v>
      </c>
      <c r="D587" s="48" t="s">
        <v>1359</v>
      </c>
      <c r="E587" s="48" t="s">
        <v>2031</v>
      </c>
      <c r="F587" s="47" t="s">
        <v>87</v>
      </c>
    </row>
    <row r="588" spans="1:6" x14ac:dyDescent="0.25">
      <c r="A588" s="48" t="s">
        <v>588</v>
      </c>
      <c r="B588" s="34">
        <v>70011704</v>
      </c>
      <c r="C588" s="47">
        <v>1</v>
      </c>
      <c r="D588" s="48" t="s">
        <v>1359</v>
      </c>
      <c r="E588" s="48" t="s">
        <v>589</v>
      </c>
      <c r="F588" s="47" t="s">
        <v>46</v>
      </c>
    </row>
    <row r="589" spans="1:6" x14ac:dyDescent="0.25">
      <c r="A589" s="48" t="s">
        <v>586</v>
      </c>
      <c r="B589" s="11">
        <v>70011705</v>
      </c>
      <c r="C589" s="47">
        <v>1</v>
      </c>
      <c r="D589" s="48" t="s">
        <v>1359</v>
      </c>
      <c r="E589" s="48" t="s">
        <v>587</v>
      </c>
      <c r="F589" s="47" t="s">
        <v>87</v>
      </c>
    </row>
    <row r="590" spans="1:6" x14ac:dyDescent="0.25">
      <c r="A590" s="48" t="s">
        <v>584</v>
      </c>
      <c r="B590" s="34">
        <v>70011706</v>
      </c>
      <c r="C590" s="47">
        <v>1</v>
      </c>
      <c r="D590" s="48" t="s">
        <v>1359</v>
      </c>
      <c r="E590" s="48" t="s">
        <v>585</v>
      </c>
      <c r="F590" s="47" t="s">
        <v>46</v>
      </c>
    </row>
    <row r="591" spans="1:6" x14ac:dyDescent="0.25">
      <c r="A591" s="48" t="s">
        <v>582</v>
      </c>
      <c r="B591" s="11">
        <v>70011707</v>
      </c>
      <c r="C591" s="47">
        <v>3</v>
      </c>
      <c r="D591" s="48" t="s">
        <v>1359</v>
      </c>
      <c r="E591" s="48" t="s">
        <v>583</v>
      </c>
      <c r="F591" s="47" t="s">
        <v>87</v>
      </c>
    </row>
    <row r="592" spans="1:6" x14ac:dyDescent="0.25">
      <c r="A592" s="28" t="s">
        <v>2032</v>
      </c>
      <c r="B592" s="33">
        <v>70011709</v>
      </c>
      <c r="C592" s="47">
        <v>1</v>
      </c>
      <c r="D592" s="48" t="s">
        <v>1359</v>
      </c>
      <c r="E592" s="28" t="s">
        <v>2033</v>
      </c>
      <c r="F592" s="47" t="s">
        <v>112</v>
      </c>
    </row>
    <row r="593" spans="1:6" x14ac:dyDescent="0.25">
      <c r="A593" s="48" t="s">
        <v>565</v>
      </c>
      <c r="B593" s="48">
        <v>70011712</v>
      </c>
      <c r="C593" s="47">
        <v>3</v>
      </c>
      <c r="D593" s="48" t="s">
        <v>1359</v>
      </c>
      <c r="E593" s="48" t="s">
        <v>566</v>
      </c>
      <c r="F593" s="47" t="s">
        <v>41</v>
      </c>
    </row>
    <row r="594" spans="1:6" x14ac:dyDescent="0.25">
      <c r="A594" s="48" t="s">
        <v>438</v>
      </c>
      <c r="B594" s="48">
        <v>70011715</v>
      </c>
      <c r="C594" s="47">
        <v>1</v>
      </c>
      <c r="D594" s="48" t="s">
        <v>1359</v>
      </c>
      <c r="E594" s="48" t="s">
        <v>439</v>
      </c>
      <c r="F594" s="47" t="s">
        <v>131</v>
      </c>
    </row>
    <row r="595" spans="1:6" x14ac:dyDescent="0.25">
      <c r="A595" s="31" t="s">
        <v>436</v>
      </c>
      <c r="B595" s="31">
        <v>70011718</v>
      </c>
      <c r="C595" s="32">
        <v>1</v>
      </c>
      <c r="D595" s="31" t="s">
        <v>1359</v>
      </c>
      <c r="E595" s="31" t="s">
        <v>437</v>
      </c>
      <c r="F595" s="32" t="s">
        <v>131</v>
      </c>
    </row>
    <row r="596" spans="1:6" x14ac:dyDescent="0.25">
      <c r="A596" s="48" t="s">
        <v>434</v>
      </c>
      <c r="B596" s="48">
        <v>70011721</v>
      </c>
      <c r="C596" s="47">
        <v>1</v>
      </c>
      <c r="D596" s="48" t="s">
        <v>1359</v>
      </c>
      <c r="E596" s="48" t="s">
        <v>435</v>
      </c>
      <c r="F596" s="47" t="s">
        <v>131</v>
      </c>
    </row>
    <row r="597" spans="1:6" x14ac:dyDescent="0.25">
      <c r="A597" s="48" t="s">
        <v>413</v>
      </c>
      <c r="B597" s="48">
        <v>70011730</v>
      </c>
      <c r="C597" s="47">
        <v>3</v>
      </c>
      <c r="D597" s="48" t="s">
        <v>1359</v>
      </c>
      <c r="E597" s="48" t="s">
        <v>414</v>
      </c>
      <c r="F597" s="47" t="s">
        <v>46</v>
      </c>
    </row>
    <row r="598" spans="1:6" x14ac:dyDescent="0.25">
      <c r="A598" s="48" t="s">
        <v>409</v>
      </c>
      <c r="B598" s="48">
        <v>70011733</v>
      </c>
      <c r="C598" s="47">
        <v>3</v>
      </c>
      <c r="D598" s="48" t="s">
        <v>1359</v>
      </c>
      <c r="E598" s="48" t="s">
        <v>410</v>
      </c>
      <c r="F598" s="47" t="s">
        <v>46</v>
      </c>
    </row>
    <row r="599" spans="1:6" x14ac:dyDescent="0.25">
      <c r="A599" s="48" t="s">
        <v>607</v>
      </c>
      <c r="B599" s="48">
        <v>70011736</v>
      </c>
      <c r="C599" s="47">
        <v>3</v>
      </c>
      <c r="D599" s="48" t="s">
        <v>1359</v>
      </c>
      <c r="E599" s="48" t="s">
        <v>608</v>
      </c>
      <c r="F599" s="47" t="s">
        <v>46</v>
      </c>
    </row>
    <row r="600" spans="1:6" x14ac:dyDescent="0.25">
      <c r="A600" s="48" t="s">
        <v>605</v>
      </c>
      <c r="B600" s="48">
        <v>70011739</v>
      </c>
      <c r="C600" s="47">
        <v>3</v>
      </c>
      <c r="D600" s="48" t="s">
        <v>1359</v>
      </c>
      <c r="E600" s="48" t="s">
        <v>606</v>
      </c>
      <c r="F600" s="47" t="s">
        <v>46</v>
      </c>
    </row>
    <row r="601" spans="1:6" x14ac:dyDescent="0.25">
      <c r="A601" s="48" t="s">
        <v>603</v>
      </c>
      <c r="B601" s="48">
        <v>70011742</v>
      </c>
      <c r="C601" s="47">
        <v>3</v>
      </c>
      <c r="D601" s="48" t="s">
        <v>1359</v>
      </c>
      <c r="E601" s="48" t="s">
        <v>604</v>
      </c>
      <c r="F601" s="47" t="s">
        <v>46</v>
      </c>
    </row>
    <row r="602" spans="1:6" x14ac:dyDescent="0.25">
      <c r="A602" s="48" t="s">
        <v>406</v>
      </c>
      <c r="B602" s="48">
        <v>70011745</v>
      </c>
      <c r="C602" s="47">
        <v>3</v>
      </c>
      <c r="D602" s="48" t="s">
        <v>1359</v>
      </c>
      <c r="E602" s="48" t="s">
        <v>407</v>
      </c>
      <c r="F602" s="47" t="s">
        <v>46</v>
      </c>
    </row>
    <row r="603" spans="1:6" x14ac:dyDescent="0.25">
      <c r="A603" s="48" t="s">
        <v>601</v>
      </c>
      <c r="B603" s="48">
        <v>70011748</v>
      </c>
      <c r="C603" s="47">
        <v>3</v>
      </c>
      <c r="D603" s="48" t="s">
        <v>1359</v>
      </c>
      <c r="E603" s="48" t="s">
        <v>602</v>
      </c>
      <c r="F603" s="47" t="s">
        <v>46</v>
      </c>
    </row>
    <row r="604" spans="1:6" x14ac:dyDescent="0.25">
      <c r="A604" s="48" t="s">
        <v>404</v>
      </c>
      <c r="B604" s="48">
        <v>70011750</v>
      </c>
      <c r="C604" s="47">
        <v>3</v>
      </c>
      <c r="D604" s="48" t="s">
        <v>1359</v>
      </c>
      <c r="E604" s="48" t="s">
        <v>405</v>
      </c>
      <c r="F604" s="47" t="s">
        <v>46</v>
      </c>
    </row>
    <row r="605" spans="1:6" x14ac:dyDescent="0.25">
      <c r="A605" s="48" t="s">
        <v>599</v>
      </c>
      <c r="B605" s="48">
        <v>70011753</v>
      </c>
      <c r="C605" s="47">
        <v>3</v>
      </c>
      <c r="D605" s="48" t="s">
        <v>1359</v>
      </c>
      <c r="E605" s="48" t="s">
        <v>600</v>
      </c>
      <c r="F605" s="47" t="s">
        <v>46</v>
      </c>
    </row>
    <row r="606" spans="1:6" x14ac:dyDescent="0.25">
      <c r="A606" s="48" t="s">
        <v>597</v>
      </c>
      <c r="B606" s="48">
        <v>70011756</v>
      </c>
      <c r="C606" s="47">
        <v>3</v>
      </c>
      <c r="D606" s="48" t="s">
        <v>1359</v>
      </c>
      <c r="E606" s="48" t="s">
        <v>598</v>
      </c>
      <c r="F606" s="47" t="s">
        <v>46</v>
      </c>
    </row>
    <row r="607" spans="1:6" x14ac:dyDescent="0.25">
      <c r="A607" s="48" t="s">
        <v>402</v>
      </c>
      <c r="B607" s="48">
        <v>70011759</v>
      </c>
      <c r="C607" s="47">
        <v>3</v>
      </c>
      <c r="D607" s="48" t="s">
        <v>1359</v>
      </c>
      <c r="E607" s="48" t="s">
        <v>403</v>
      </c>
      <c r="F607" s="47" t="s">
        <v>46</v>
      </c>
    </row>
    <row r="608" spans="1:6" x14ac:dyDescent="0.25">
      <c r="A608" s="48" t="s">
        <v>609</v>
      </c>
      <c r="B608" s="48">
        <v>70011762</v>
      </c>
      <c r="C608" s="47">
        <v>3</v>
      </c>
      <c r="D608" s="48" t="s">
        <v>1359</v>
      </c>
      <c r="E608" s="48" t="s">
        <v>610</v>
      </c>
      <c r="F608" s="47" t="s">
        <v>46</v>
      </c>
    </row>
    <row r="609" spans="1:6" x14ac:dyDescent="0.25">
      <c r="A609" s="48" t="s">
        <v>611</v>
      </c>
      <c r="B609" s="48">
        <v>70011765</v>
      </c>
      <c r="C609" s="47">
        <v>3</v>
      </c>
      <c r="D609" s="48" t="s">
        <v>1359</v>
      </c>
      <c r="E609" s="48" t="s">
        <v>612</v>
      </c>
      <c r="F609" s="47" t="s">
        <v>46</v>
      </c>
    </row>
    <row r="610" spans="1:6" x14ac:dyDescent="0.25">
      <c r="A610" s="48" t="s">
        <v>399</v>
      </c>
      <c r="B610" s="48">
        <v>70011768</v>
      </c>
      <c r="C610" s="47">
        <v>3</v>
      </c>
      <c r="D610" s="48" t="s">
        <v>1359</v>
      </c>
      <c r="E610" s="48" t="s">
        <v>400</v>
      </c>
      <c r="F610" s="47" t="s">
        <v>46</v>
      </c>
    </row>
    <row r="611" spans="1:6" x14ac:dyDescent="0.25">
      <c r="A611" s="48" t="s">
        <v>574</v>
      </c>
      <c r="B611" s="25">
        <v>70011771</v>
      </c>
      <c r="C611" s="47">
        <v>3</v>
      </c>
      <c r="D611" s="48" t="s">
        <v>1359</v>
      </c>
      <c r="E611" s="48" t="s">
        <v>575</v>
      </c>
      <c r="F611" s="47" t="s">
        <v>171</v>
      </c>
    </row>
    <row r="612" spans="1:6" x14ac:dyDescent="0.25">
      <c r="A612" s="48" t="s">
        <v>572</v>
      </c>
      <c r="B612" s="25">
        <v>70011774</v>
      </c>
      <c r="C612" s="47">
        <v>3</v>
      </c>
      <c r="D612" s="48" t="s">
        <v>1359</v>
      </c>
      <c r="E612" s="48" t="s">
        <v>573</v>
      </c>
      <c r="F612" s="47" t="s">
        <v>171</v>
      </c>
    </row>
    <row r="613" spans="1:6" x14ac:dyDescent="0.25">
      <c r="A613" s="48" t="s">
        <v>577</v>
      </c>
      <c r="B613" s="48">
        <v>70011783</v>
      </c>
      <c r="C613" s="47">
        <v>1</v>
      </c>
      <c r="D613" s="48" t="s">
        <v>1359</v>
      </c>
      <c r="E613" s="48" t="s">
        <v>329</v>
      </c>
      <c r="F613" s="47" t="s">
        <v>171</v>
      </c>
    </row>
    <row r="614" spans="1:6" x14ac:dyDescent="0.25">
      <c r="A614" s="48" t="s">
        <v>576</v>
      </c>
      <c r="B614" s="48">
        <v>70011786</v>
      </c>
      <c r="C614" s="47">
        <v>1</v>
      </c>
      <c r="D614" s="48" t="s">
        <v>1359</v>
      </c>
      <c r="E614" s="48" t="s">
        <v>327</v>
      </c>
      <c r="F614" s="47" t="s">
        <v>171</v>
      </c>
    </row>
    <row r="615" spans="1:6" x14ac:dyDescent="0.25">
      <c r="A615" s="48" t="s">
        <v>2034</v>
      </c>
      <c r="B615" s="48">
        <v>70011789</v>
      </c>
      <c r="C615" s="47">
        <v>3</v>
      </c>
      <c r="D615" s="48" t="s">
        <v>1359</v>
      </c>
      <c r="E615" s="48" t="s">
        <v>2035</v>
      </c>
      <c r="F615" s="47" t="s">
        <v>87</v>
      </c>
    </row>
    <row r="616" spans="1:6" x14ac:dyDescent="0.25">
      <c r="A616" s="48" t="s">
        <v>2036</v>
      </c>
      <c r="B616" s="48">
        <v>70011792</v>
      </c>
      <c r="C616" s="47">
        <v>3</v>
      </c>
      <c r="D616" s="48" t="s">
        <v>1359</v>
      </c>
      <c r="E616" s="48" t="s">
        <v>2037</v>
      </c>
      <c r="F616" s="47" t="s">
        <v>87</v>
      </c>
    </row>
    <row r="617" spans="1:6" x14ac:dyDescent="0.25">
      <c r="A617" s="48" t="s">
        <v>2038</v>
      </c>
      <c r="B617" s="48">
        <v>70011795</v>
      </c>
      <c r="C617" s="47">
        <v>3</v>
      </c>
      <c r="D617" s="48" t="s">
        <v>1359</v>
      </c>
      <c r="E617" s="48" t="s">
        <v>2039</v>
      </c>
      <c r="F617" s="47" t="s">
        <v>87</v>
      </c>
    </row>
    <row r="618" spans="1:6" x14ac:dyDescent="0.25">
      <c r="A618" s="48" t="s">
        <v>2040</v>
      </c>
      <c r="B618" s="48">
        <v>70011800</v>
      </c>
      <c r="C618" s="47">
        <v>3</v>
      </c>
      <c r="D618" s="48" t="s">
        <v>1359</v>
      </c>
      <c r="E618" s="48" t="s">
        <v>2041</v>
      </c>
      <c r="F618" s="47" t="s">
        <v>87</v>
      </c>
    </row>
    <row r="619" spans="1:6" x14ac:dyDescent="0.25">
      <c r="A619" s="48" t="s">
        <v>2042</v>
      </c>
      <c r="B619" s="48">
        <v>70011803</v>
      </c>
      <c r="C619" s="47">
        <v>3</v>
      </c>
      <c r="D619" s="48" t="s">
        <v>1359</v>
      </c>
      <c r="E619" s="48" t="s">
        <v>2043</v>
      </c>
      <c r="F619" s="47" t="s">
        <v>87</v>
      </c>
    </row>
    <row r="620" spans="1:6" x14ac:dyDescent="0.25">
      <c r="A620" s="48" t="s">
        <v>578</v>
      </c>
      <c r="B620" s="48">
        <v>70011811</v>
      </c>
      <c r="C620" s="47">
        <v>1</v>
      </c>
      <c r="D620" s="48" t="s">
        <v>1359</v>
      </c>
      <c r="E620" s="48" t="s">
        <v>579</v>
      </c>
      <c r="F620" s="47" t="s">
        <v>112</v>
      </c>
    </row>
    <row r="621" spans="1:6" x14ac:dyDescent="0.25">
      <c r="A621" s="48" t="s">
        <v>580</v>
      </c>
      <c r="B621" s="48">
        <v>70011812</v>
      </c>
      <c r="C621" s="47">
        <v>1</v>
      </c>
      <c r="D621" s="48" t="s">
        <v>1359</v>
      </c>
      <c r="E621" s="48" t="s">
        <v>581</v>
      </c>
      <c r="F621" s="47" t="s">
        <v>112</v>
      </c>
    </row>
    <row r="622" spans="1:6" x14ac:dyDescent="0.25">
      <c r="A622" s="48" t="s">
        <v>2044</v>
      </c>
      <c r="B622" s="48">
        <v>70011830</v>
      </c>
      <c r="C622" s="47">
        <v>3</v>
      </c>
      <c r="D622" s="48" t="s">
        <v>1359</v>
      </c>
      <c r="E622" s="48" t="s">
        <v>2045</v>
      </c>
      <c r="F622" s="47" t="s">
        <v>229</v>
      </c>
    </row>
    <row r="623" spans="1:6" x14ac:dyDescent="0.25">
      <c r="A623" s="48" t="s">
        <v>2046</v>
      </c>
      <c r="B623" s="48">
        <v>70011831</v>
      </c>
      <c r="C623" s="47">
        <v>1</v>
      </c>
      <c r="D623" s="48" t="s">
        <v>1359</v>
      </c>
      <c r="E623" s="48" t="s">
        <v>2047</v>
      </c>
      <c r="F623" s="47" t="s">
        <v>171</v>
      </c>
    </row>
    <row r="624" spans="1:6" x14ac:dyDescent="0.25">
      <c r="A624" s="48" t="s">
        <v>2048</v>
      </c>
      <c r="B624" s="48">
        <v>70011832</v>
      </c>
      <c r="C624" s="47">
        <v>3</v>
      </c>
      <c r="D624" s="48" t="s">
        <v>1359</v>
      </c>
      <c r="E624" s="48" t="s">
        <v>2049</v>
      </c>
      <c r="F624" s="47" t="s">
        <v>46</v>
      </c>
    </row>
    <row r="625" spans="1:6" x14ac:dyDescent="0.25">
      <c r="A625" s="48" t="s">
        <v>560</v>
      </c>
      <c r="B625" s="48">
        <v>70011841</v>
      </c>
      <c r="C625" s="47">
        <v>2</v>
      </c>
      <c r="D625" s="48" t="s">
        <v>1359</v>
      </c>
      <c r="E625" s="48" t="s">
        <v>561</v>
      </c>
      <c r="F625" s="47" t="s">
        <v>63</v>
      </c>
    </row>
    <row r="626" spans="1:6" x14ac:dyDescent="0.25">
      <c r="A626" s="48" t="s">
        <v>560</v>
      </c>
      <c r="B626" s="48">
        <v>70011841</v>
      </c>
      <c r="C626" s="47">
        <v>2</v>
      </c>
      <c r="D626" s="48" t="s">
        <v>1359</v>
      </c>
      <c r="E626" s="48" t="s">
        <v>561</v>
      </c>
      <c r="F626" s="47" t="s">
        <v>63</v>
      </c>
    </row>
    <row r="627" spans="1:6" x14ac:dyDescent="0.25">
      <c r="A627" s="48" t="s">
        <v>550</v>
      </c>
      <c r="B627" s="48">
        <v>70011844</v>
      </c>
      <c r="C627" s="47">
        <v>2</v>
      </c>
      <c r="D627" s="48" t="s">
        <v>1359</v>
      </c>
      <c r="E627" s="48" t="s">
        <v>551</v>
      </c>
      <c r="F627" s="47" t="s">
        <v>63</v>
      </c>
    </row>
    <row r="628" spans="1:6" x14ac:dyDescent="0.25">
      <c r="A628" s="48" t="s">
        <v>550</v>
      </c>
      <c r="B628" s="48">
        <v>70011844</v>
      </c>
      <c r="C628" s="47">
        <v>2</v>
      </c>
      <c r="D628" s="48" t="s">
        <v>1359</v>
      </c>
      <c r="E628" s="48" t="s">
        <v>551</v>
      </c>
      <c r="F628" s="47" t="s">
        <v>63</v>
      </c>
    </row>
    <row r="629" spans="1:6" x14ac:dyDescent="0.25">
      <c r="A629" s="48" t="s">
        <v>468</v>
      </c>
      <c r="B629" s="48">
        <v>70011847</v>
      </c>
      <c r="C629" s="47">
        <v>2</v>
      </c>
      <c r="D629" s="48" t="s">
        <v>1359</v>
      </c>
      <c r="E629" s="48" t="s">
        <v>469</v>
      </c>
      <c r="F629" s="47" t="s">
        <v>63</v>
      </c>
    </row>
    <row r="630" spans="1:6" x14ac:dyDescent="0.25">
      <c r="A630" s="48" t="s">
        <v>509</v>
      </c>
      <c r="B630" s="48">
        <v>70011850</v>
      </c>
      <c r="C630" s="47">
        <v>2</v>
      </c>
      <c r="D630" s="48" t="s">
        <v>1359</v>
      </c>
      <c r="E630" s="48" t="s">
        <v>510</v>
      </c>
      <c r="F630" s="47" t="s">
        <v>63</v>
      </c>
    </row>
    <row r="631" spans="1:6" x14ac:dyDescent="0.25">
      <c r="A631" s="48" t="s">
        <v>2050</v>
      </c>
      <c r="B631" s="48">
        <v>70011853</v>
      </c>
      <c r="C631" s="47">
        <v>2</v>
      </c>
      <c r="D631" s="48" t="s">
        <v>1359</v>
      </c>
      <c r="E631" s="48" t="s">
        <v>467</v>
      </c>
      <c r="F631" s="47" t="s">
        <v>63</v>
      </c>
    </row>
    <row r="632" spans="1:6" x14ac:dyDescent="0.25">
      <c r="A632" s="48" t="s">
        <v>557</v>
      </c>
      <c r="B632" s="48">
        <v>70011856</v>
      </c>
      <c r="C632" s="47">
        <v>2</v>
      </c>
      <c r="D632" s="48" t="s">
        <v>1359</v>
      </c>
      <c r="E632" s="48" t="s">
        <v>558</v>
      </c>
      <c r="F632" s="47" t="s">
        <v>63</v>
      </c>
    </row>
    <row r="633" spans="1:6" x14ac:dyDescent="0.25">
      <c r="A633" s="48" t="s">
        <v>557</v>
      </c>
      <c r="B633" s="48">
        <v>70011856</v>
      </c>
      <c r="C633" s="47">
        <v>2</v>
      </c>
      <c r="D633" s="48" t="s">
        <v>1359</v>
      </c>
      <c r="E633" s="48" t="s">
        <v>558</v>
      </c>
      <c r="F633" s="47" t="s">
        <v>63</v>
      </c>
    </row>
    <row r="634" spans="1:6" x14ac:dyDescent="0.25">
      <c r="A634" s="28" t="s">
        <v>495</v>
      </c>
      <c r="B634" s="33">
        <v>70011859</v>
      </c>
      <c r="C634" s="47">
        <v>2</v>
      </c>
      <c r="D634" s="48" t="s">
        <v>1359</v>
      </c>
      <c r="E634" s="28" t="s">
        <v>496</v>
      </c>
      <c r="F634" s="47" t="s">
        <v>63</v>
      </c>
    </row>
    <row r="635" spans="1:6" x14ac:dyDescent="0.25">
      <c r="A635" s="48" t="s">
        <v>465</v>
      </c>
      <c r="B635" s="48">
        <v>70011862</v>
      </c>
      <c r="C635" s="47">
        <v>2</v>
      </c>
      <c r="D635" s="48" t="s">
        <v>1359</v>
      </c>
      <c r="E635" s="48" t="s">
        <v>466</v>
      </c>
      <c r="F635" s="47" t="s">
        <v>63</v>
      </c>
    </row>
    <row r="636" spans="1:6" x14ac:dyDescent="0.25">
      <c r="A636" s="28" t="s">
        <v>497</v>
      </c>
      <c r="B636" s="33">
        <v>70011865</v>
      </c>
      <c r="C636" s="47">
        <v>2</v>
      </c>
      <c r="D636" s="48" t="s">
        <v>1359</v>
      </c>
      <c r="E636" s="28" t="s">
        <v>498</v>
      </c>
      <c r="F636" s="47" t="s">
        <v>63</v>
      </c>
    </row>
    <row r="637" spans="1:6" x14ac:dyDescent="0.25">
      <c r="A637" s="48" t="s">
        <v>463</v>
      </c>
      <c r="B637" s="48">
        <v>70011868</v>
      </c>
      <c r="C637" s="47">
        <v>2</v>
      </c>
      <c r="D637" s="48" t="s">
        <v>1359</v>
      </c>
      <c r="E637" s="48" t="s">
        <v>464</v>
      </c>
      <c r="F637" s="47" t="s">
        <v>63</v>
      </c>
    </row>
    <row r="638" spans="1:6" x14ac:dyDescent="0.25">
      <c r="A638" s="48" t="s">
        <v>546</v>
      </c>
      <c r="B638" s="48">
        <v>70011871</v>
      </c>
      <c r="C638" s="47">
        <v>2</v>
      </c>
      <c r="D638" s="48" t="s">
        <v>1359</v>
      </c>
      <c r="E638" s="48" t="s">
        <v>547</v>
      </c>
      <c r="F638" s="47" t="s">
        <v>63</v>
      </c>
    </row>
    <row r="639" spans="1:6" x14ac:dyDescent="0.25">
      <c r="A639" s="48" t="s">
        <v>2051</v>
      </c>
      <c r="B639" s="48">
        <v>70011874</v>
      </c>
      <c r="C639" s="47">
        <v>2</v>
      </c>
      <c r="D639" s="48" t="s">
        <v>1359</v>
      </c>
      <c r="E639" s="48" t="s">
        <v>462</v>
      </c>
      <c r="F639" s="47" t="s">
        <v>63</v>
      </c>
    </row>
    <row r="640" spans="1:6" x14ac:dyDescent="0.25">
      <c r="A640" s="48" t="s">
        <v>548</v>
      </c>
      <c r="B640" s="48">
        <v>70011893</v>
      </c>
      <c r="C640" s="47">
        <v>2</v>
      </c>
      <c r="D640" s="48" t="s">
        <v>1359</v>
      </c>
      <c r="E640" s="48" t="s">
        <v>549</v>
      </c>
      <c r="F640" s="47" t="s">
        <v>63</v>
      </c>
    </row>
    <row r="641" spans="1:6" x14ac:dyDescent="0.25">
      <c r="A641" s="48" t="s">
        <v>548</v>
      </c>
      <c r="B641" s="48">
        <v>70011893</v>
      </c>
      <c r="C641" s="47">
        <v>2</v>
      </c>
      <c r="D641" s="48" t="s">
        <v>1359</v>
      </c>
      <c r="E641" s="48" t="s">
        <v>549</v>
      </c>
      <c r="F641" s="47" t="s">
        <v>63</v>
      </c>
    </row>
    <row r="642" spans="1:6" x14ac:dyDescent="0.25">
      <c r="A642" s="48" t="s">
        <v>507</v>
      </c>
      <c r="B642" s="48">
        <v>70011896</v>
      </c>
      <c r="C642" s="47">
        <v>2</v>
      </c>
      <c r="D642" s="48" t="s">
        <v>1359</v>
      </c>
      <c r="E642" s="48" t="s">
        <v>508</v>
      </c>
      <c r="F642" s="47" t="s">
        <v>63</v>
      </c>
    </row>
    <row r="643" spans="1:6" x14ac:dyDescent="0.25">
      <c r="A643" s="48" t="s">
        <v>2052</v>
      </c>
      <c r="B643" s="48">
        <v>70011899</v>
      </c>
      <c r="C643" s="47">
        <v>2</v>
      </c>
      <c r="D643" s="48" t="s">
        <v>1359</v>
      </c>
      <c r="E643" s="48" t="s">
        <v>461</v>
      </c>
      <c r="F643" s="47" t="s">
        <v>63</v>
      </c>
    </row>
    <row r="644" spans="1:6" x14ac:dyDescent="0.25">
      <c r="A644" s="48" t="s">
        <v>843</v>
      </c>
      <c r="B644" s="48">
        <v>70010414</v>
      </c>
      <c r="C644" s="47">
        <v>3</v>
      </c>
      <c r="D644" s="48" t="s">
        <v>1359</v>
      </c>
      <c r="E644" s="48" t="s">
        <v>2053</v>
      </c>
      <c r="F644" s="47" t="s">
        <v>87</v>
      </c>
    </row>
    <row r="645" spans="1:6" x14ac:dyDescent="0.25">
      <c r="A645" s="48" t="s">
        <v>674</v>
      </c>
      <c r="B645" s="25">
        <v>70011559</v>
      </c>
      <c r="C645" s="47">
        <v>3</v>
      </c>
      <c r="D645" s="48" t="s">
        <v>1359</v>
      </c>
      <c r="E645" s="48" t="s">
        <v>675</v>
      </c>
      <c r="F645" s="47" t="s">
        <v>46</v>
      </c>
    </row>
    <row r="646" spans="1:6" x14ac:dyDescent="0.25">
      <c r="A646" s="48" t="s">
        <v>680</v>
      </c>
      <c r="B646" s="48">
        <v>70011459</v>
      </c>
      <c r="C646" s="47">
        <v>3</v>
      </c>
      <c r="D646" s="48" t="s">
        <v>1359</v>
      </c>
      <c r="E646" s="48" t="s">
        <v>681</v>
      </c>
      <c r="F646" s="47" t="s">
        <v>46</v>
      </c>
    </row>
    <row r="647" spans="1:6" x14ac:dyDescent="0.25">
      <c r="A647" s="48" t="s">
        <v>2054</v>
      </c>
      <c r="B647" s="48">
        <v>70011933</v>
      </c>
      <c r="C647" s="47">
        <v>2</v>
      </c>
      <c r="D647" s="48" t="s">
        <v>1359</v>
      </c>
      <c r="E647" s="48" t="s">
        <v>2055</v>
      </c>
      <c r="F647" s="47" t="s">
        <v>63</v>
      </c>
    </row>
    <row r="648" spans="1:6" x14ac:dyDescent="0.25">
      <c r="A648" s="48" t="s">
        <v>2056</v>
      </c>
      <c r="B648" s="48">
        <v>70011936</v>
      </c>
      <c r="C648" s="47">
        <v>2</v>
      </c>
      <c r="D648" s="48" t="s">
        <v>1359</v>
      </c>
      <c r="E648" s="48" t="s">
        <v>2057</v>
      </c>
      <c r="F648" s="47" t="s">
        <v>63</v>
      </c>
    </row>
    <row r="649" spans="1:6" x14ac:dyDescent="0.25">
      <c r="A649" s="48" t="s">
        <v>682</v>
      </c>
      <c r="B649" s="48">
        <v>70011455</v>
      </c>
      <c r="C649" s="47">
        <v>3</v>
      </c>
      <c r="D649" s="48" t="s">
        <v>1359</v>
      </c>
      <c r="E649" s="48" t="s">
        <v>683</v>
      </c>
      <c r="F649" s="47" t="s">
        <v>46</v>
      </c>
    </row>
    <row r="650" spans="1:6" x14ac:dyDescent="0.25">
      <c r="A650" s="48" t="s">
        <v>2058</v>
      </c>
      <c r="B650" s="48">
        <v>70011949</v>
      </c>
      <c r="C650" s="47">
        <v>2</v>
      </c>
      <c r="D650" s="48" t="s">
        <v>1359</v>
      </c>
      <c r="E650" s="48" t="s">
        <v>460</v>
      </c>
      <c r="F650" s="47" t="s">
        <v>63</v>
      </c>
    </row>
    <row r="651" spans="1:6" x14ac:dyDescent="0.25">
      <c r="A651" s="28" t="s">
        <v>493</v>
      </c>
      <c r="B651" s="33">
        <v>70011952</v>
      </c>
      <c r="C651" s="47">
        <v>2</v>
      </c>
      <c r="D651" s="48" t="s">
        <v>1359</v>
      </c>
      <c r="E651" s="28" t="s">
        <v>494</v>
      </c>
      <c r="F651" s="47" t="s">
        <v>63</v>
      </c>
    </row>
    <row r="652" spans="1:6" x14ac:dyDescent="0.25">
      <c r="A652" s="48" t="s">
        <v>2059</v>
      </c>
      <c r="B652" s="48">
        <v>70011955</v>
      </c>
      <c r="C652" s="47">
        <v>2</v>
      </c>
      <c r="D652" s="48" t="s">
        <v>1359</v>
      </c>
      <c r="E652" s="48" t="s">
        <v>459</v>
      </c>
      <c r="F652" s="47" t="s">
        <v>63</v>
      </c>
    </row>
    <row r="653" spans="1:6" x14ac:dyDescent="0.25">
      <c r="A653" s="48" t="s">
        <v>2060</v>
      </c>
      <c r="B653" s="48">
        <v>70011958</v>
      </c>
      <c r="C653" s="47">
        <v>2</v>
      </c>
      <c r="D653" s="48" t="s">
        <v>1359</v>
      </c>
      <c r="E653" s="48" t="s">
        <v>458</v>
      </c>
      <c r="F653" s="47" t="s">
        <v>63</v>
      </c>
    </row>
    <row r="654" spans="1:6" x14ac:dyDescent="0.25">
      <c r="A654" s="48" t="s">
        <v>2061</v>
      </c>
      <c r="B654" s="48">
        <v>70011961</v>
      </c>
      <c r="C654" s="47">
        <v>2</v>
      </c>
      <c r="D654" s="48" t="s">
        <v>1359</v>
      </c>
      <c r="E654" s="48" t="s">
        <v>2062</v>
      </c>
      <c r="F654" s="47" t="s">
        <v>63</v>
      </c>
    </row>
    <row r="655" spans="1:6" x14ac:dyDescent="0.25">
      <c r="A655" s="48" t="s">
        <v>2063</v>
      </c>
      <c r="B655" s="48">
        <v>70011964</v>
      </c>
      <c r="C655" s="47">
        <v>2</v>
      </c>
      <c r="D655" s="48" t="s">
        <v>1359</v>
      </c>
      <c r="E655" s="48" t="s">
        <v>2064</v>
      </c>
      <c r="F655" s="47" t="s">
        <v>63</v>
      </c>
    </row>
    <row r="656" spans="1:6" x14ac:dyDescent="0.25">
      <c r="A656" s="48" t="s">
        <v>2065</v>
      </c>
      <c r="B656" s="48">
        <v>70011981</v>
      </c>
      <c r="C656" s="47">
        <v>2</v>
      </c>
      <c r="D656" s="48" t="s">
        <v>1359</v>
      </c>
      <c r="E656" s="48" t="s">
        <v>2066</v>
      </c>
      <c r="F656" s="47" t="s">
        <v>63</v>
      </c>
    </row>
    <row r="657" spans="1:6" x14ac:dyDescent="0.25">
      <c r="A657" s="48" t="s">
        <v>555</v>
      </c>
      <c r="B657" s="48">
        <v>70011984</v>
      </c>
      <c r="C657" s="47">
        <v>2</v>
      </c>
      <c r="D657" s="48" t="s">
        <v>1359</v>
      </c>
      <c r="E657" s="48" t="s">
        <v>556</v>
      </c>
      <c r="F657" s="47" t="s">
        <v>63</v>
      </c>
    </row>
    <row r="658" spans="1:6" x14ac:dyDescent="0.25">
      <c r="A658" s="48" t="s">
        <v>538</v>
      </c>
      <c r="B658" s="48">
        <v>70011987</v>
      </c>
      <c r="C658" s="47">
        <v>2</v>
      </c>
      <c r="D658" s="48" t="s">
        <v>1359</v>
      </c>
      <c r="E658" s="48" t="s">
        <v>539</v>
      </c>
      <c r="F658" s="47" t="s">
        <v>63</v>
      </c>
    </row>
    <row r="659" spans="1:6" x14ac:dyDescent="0.25">
      <c r="A659" s="48" t="s">
        <v>553</v>
      </c>
      <c r="B659" s="48">
        <v>70011990</v>
      </c>
      <c r="C659" s="47">
        <v>2</v>
      </c>
      <c r="D659" s="48" t="s">
        <v>1359</v>
      </c>
      <c r="E659" s="48" t="s">
        <v>554</v>
      </c>
      <c r="F659" s="47" t="s">
        <v>63</v>
      </c>
    </row>
    <row r="660" spans="1:6" x14ac:dyDescent="0.25">
      <c r="A660" s="48" t="s">
        <v>536</v>
      </c>
      <c r="B660" s="48">
        <v>70011993</v>
      </c>
      <c r="C660" s="47">
        <v>2</v>
      </c>
      <c r="D660" s="48" t="s">
        <v>1359</v>
      </c>
      <c r="E660" s="48" t="s">
        <v>537</v>
      </c>
      <c r="F660" s="47" t="s">
        <v>63</v>
      </c>
    </row>
    <row r="661" spans="1:6" x14ac:dyDescent="0.25">
      <c r="A661" s="48" t="s">
        <v>2067</v>
      </c>
      <c r="B661" s="48">
        <v>70011996</v>
      </c>
      <c r="C661" s="47">
        <v>2</v>
      </c>
      <c r="D661" s="48" t="s">
        <v>1359</v>
      </c>
      <c r="E661" s="48" t="s">
        <v>430</v>
      </c>
      <c r="F661" s="47" t="s">
        <v>63</v>
      </c>
    </row>
    <row r="662" spans="1:6" x14ac:dyDescent="0.25">
      <c r="A662" s="48" t="s">
        <v>2068</v>
      </c>
      <c r="B662" s="48">
        <v>70011999</v>
      </c>
      <c r="C662" s="47">
        <v>2</v>
      </c>
      <c r="D662" s="48" t="s">
        <v>1359</v>
      </c>
      <c r="E662" s="48" t="s">
        <v>429</v>
      </c>
      <c r="F662" s="47" t="s">
        <v>63</v>
      </c>
    </row>
    <row r="663" spans="1:6" x14ac:dyDescent="0.25">
      <c r="A663" s="48" t="s">
        <v>2069</v>
      </c>
      <c r="B663" s="48">
        <v>70012002</v>
      </c>
      <c r="C663" s="47">
        <v>2</v>
      </c>
      <c r="D663" s="48" t="s">
        <v>1359</v>
      </c>
      <c r="E663" s="48" t="s">
        <v>426</v>
      </c>
      <c r="F663" s="47" t="s">
        <v>63</v>
      </c>
    </row>
    <row r="664" spans="1:6" x14ac:dyDescent="0.25">
      <c r="A664" s="48" t="s">
        <v>2070</v>
      </c>
      <c r="B664" s="48">
        <v>70012005</v>
      </c>
      <c r="C664" s="47">
        <v>2</v>
      </c>
      <c r="D664" s="48" t="s">
        <v>1359</v>
      </c>
      <c r="E664" s="48" t="s">
        <v>421</v>
      </c>
      <c r="F664" s="47" t="s">
        <v>63</v>
      </c>
    </row>
    <row r="665" spans="1:6" x14ac:dyDescent="0.25">
      <c r="A665" s="48" t="s">
        <v>2071</v>
      </c>
      <c r="B665" s="48">
        <v>70012008</v>
      </c>
      <c r="C665" s="47">
        <v>2</v>
      </c>
      <c r="D665" s="48" t="s">
        <v>1359</v>
      </c>
      <c r="E665" s="48" t="s">
        <v>2072</v>
      </c>
      <c r="F665" s="47" t="s">
        <v>63</v>
      </c>
    </row>
    <row r="666" spans="1:6" x14ac:dyDescent="0.25">
      <c r="A666" s="48" t="s">
        <v>2073</v>
      </c>
      <c r="B666" s="48">
        <v>70012011</v>
      </c>
      <c r="C666" s="47">
        <v>2</v>
      </c>
      <c r="D666" s="48" t="s">
        <v>1359</v>
      </c>
      <c r="E666" s="48" t="s">
        <v>2074</v>
      </c>
      <c r="F666" s="47" t="s">
        <v>63</v>
      </c>
    </row>
    <row r="667" spans="1:6" x14ac:dyDescent="0.25">
      <c r="A667" s="48" t="s">
        <v>2075</v>
      </c>
      <c r="B667" s="48">
        <v>70012014</v>
      </c>
      <c r="C667" s="47">
        <v>2</v>
      </c>
      <c r="D667" s="48" t="s">
        <v>1359</v>
      </c>
      <c r="E667" s="48" t="s">
        <v>2076</v>
      </c>
      <c r="F667" s="47" t="s">
        <v>63</v>
      </c>
    </row>
    <row r="668" spans="1:6" x14ac:dyDescent="0.25">
      <c r="A668" s="48" t="s">
        <v>563</v>
      </c>
      <c r="B668" s="48">
        <v>70012017</v>
      </c>
      <c r="C668" s="47">
        <v>3</v>
      </c>
      <c r="D668" s="48" t="s">
        <v>1359</v>
      </c>
      <c r="E668" s="48" t="s">
        <v>564</v>
      </c>
      <c r="F668" s="47" t="s">
        <v>41</v>
      </c>
    </row>
    <row r="669" spans="1:6" x14ac:dyDescent="0.25">
      <c r="A669" s="48" t="s">
        <v>2077</v>
      </c>
      <c r="B669" s="48">
        <v>70012024</v>
      </c>
      <c r="C669" s="47">
        <v>3</v>
      </c>
      <c r="D669" s="48" t="s">
        <v>1359</v>
      </c>
      <c r="E669" s="48" t="s">
        <v>2078</v>
      </c>
      <c r="F669" s="47" t="s">
        <v>87</v>
      </c>
    </row>
    <row r="670" spans="1:6" x14ac:dyDescent="0.25">
      <c r="A670" s="48" t="s">
        <v>2079</v>
      </c>
      <c r="B670" s="48">
        <v>70012038</v>
      </c>
      <c r="C670" s="47">
        <v>3</v>
      </c>
      <c r="D670" s="48" t="s">
        <v>1359</v>
      </c>
      <c r="E670" s="48" t="s">
        <v>2080</v>
      </c>
      <c r="F670" s="47" t="s">
        <v>87</v>
      </c>
    </row>
    <row r="671" spans="1:6" x14ac:dyDescent="0.25">
      <c r="A671" s="48" t="s">
        <v>2081</v>
      </c>
      <c r="B671" s="48">
        <v>70012041</v>
      </c>
      <c r="C671" s="47">
        <v>3</v>
      </c>
      <c r="D671" s="48" t="s">
        <v>1359</v>
      </c>
      <c r="E671" s="48" t="s">
        <v>2082</v>
      </c>
      <c r="F671" s="47" t="s">
        <v>87</v>
      </c>
    </row>
    <row r="672" spans="1:6" x14ac:dyDescent="0.25">
      <c r="A672" s="28" t="s">
        <v>503</v>
      </c>
      <c r="B672" s="33">
        <v>70012057</v>
      </c>
      <c r="C672" s="47">
        <v>1</v>
      </c>
      <c r="D672" s="48" t="s">
        <v>1359</v>
      </c>
      <c r="E672" s="28" t="s">
        <v>504</v>
      </c>
      <c r="F672" s="47" t="s">
        <v>131</v>
      </c>
    </row>
    <row r="673" spans="1:6" x14ac:dyDescent="0.25">
      <c r="A673" s="48" t="s">
        <v>397</v>
      </c>
      <c r="B673" s="48">
        <v>70012060</v>
      </c>
      <c r="C673" s="47">
        <v>3</v>
      </c>
      <c r="D673" s="48" t="s">
        <v>1359</v>
      </c>
      <c r="E673" s="48" t="s">
        <v>398</v>
      </c>
      <c r="F673" s="47" t="s">
        <v>46</v>
      </c>
    </row>
    <row r="674" spans="1:6" x14ac:dyDescent="0.25">
      <c r="A674" s="48" t="s">
        <v>442</v>
      </c>
      <c r="B674" s="48">
        <v>70012063</v>
      </c>
      <c r="C674" s="47">
        <v>3</v>
      </c>
      <c r="D674" s="48" t="s">
        <v>1359</v>
      </c>
      <c r="E674" s="48" t="s">
        <v>443</v>
      </c>
      <c r="F674" s="47" t="s">
        <v>131</v>
      </c>
    </row>
    <row r="675" spans="1:6" x14ac:dyDescent="0.25">
      <c r="A675" s="48" t="s">
        <v>440</v>
      </c>
      <c r="B675" s="48">
        <v>70012066</v>
      </c>
      <c r="C675" s="47">
        <v>3</v>
      </c>
      <c r="D675" s="48" t="s">
        <v>1359</v>
      </c>
      <c r="E675" s="48" t="s">
        <v>441</v>
      </c>
      <c r="F675" s="47" t="s">
        <v>131</v>
      </c>
    </row>
    <row r="676" spans="1:6" x14ac:dyDescent="0.25">
      <c r="A676" s="28" t="s">
        <v>499</v>
      </c>
      <c r="B676" s="33">
        <v>70012071</v>
      </c>
      <c r="C676" s="47">
        <v>1</v>
      </c>
      <c r="D676" s="48" t="s">
        <v>1359</v>
      </c>
      <c r="E676" s="28" t="s">
        <v>500</v>
      </c>
      <c r="F676" s="47" t="s">
        <v>131</v>
      </c>
    </row>
    <row r="677" spans="1:6" x14ac:dyDescent="0.25">
      <c r="A677" s="48" t="s">
        <v>529</v>
      </c>
      <c r="B677" s="48">
        <v>70012074</v>
      </c>
      <c r="C677" s="47">
        <v>3</v>
      </c>
      <c r="D677" s="48" t="s">
        <v>1359</v>
      </c>
      <c r="E677" s="48" t="s">
        <v>530</v>
      </c>
      <c r="F677" s="48" t="s">
        <v>46</v>
      </c>
    </row>
    <row r="678" spans="1:6" x14ac:dyDescent="0.25">
      <c r="A678" s="48" t="s">
        <v>2083</v>
      </c>
      <c r="B678" s="48">
        <v>70012077</v>
      </c>
      <c r="C678" s="47">
        <v>3</v>
      </c>
      <c r="D678" s="48" t="s">
        <v>1359</v>
      </c>
      <c r="E678" s="48" t="s">
        <v>2084</v>
      </c>
      <c r="F678" s="48" t="s">
        <v>46</v>
      </c>
    </row>
    <row r="679" spans="1:6" x14ac:dyDescent="0.25">
      <c r="A679" s="48" t="s">
        <v>516</v>
      </c>
      <c r="B679" s="48">
        <v>70012078</v>
      </c>
      <c r="C679" s="47">
        <v>1</v>
      </c>
      <c r="D679" s="48" t="s">
        <v>1359</v>
      </c>
      <c r="E679" s="48" t="s">
        <v>517</v>
      </c>
      <c r="F679" s="47" t="s">
        <v>131</v>
      </c>
    </row>
    <row r="680" spans="1:6" x14ac:dyDescent="0.25">
      <c r="A680" s="48" t="s">
        <v>514</v>
      </c>
      <c r="B680" s="48">
        <v>70012081</v>
      </c>
      <c r="C680" s="47">
        <v>1</v>
      </c>
      <c r="D680" s="48" t="s">
        <v>1359</v>
      </c>
      <c r="E680" s="48" t="s">
        <v>515</v>
      </c>
      <c r="F680" s="47" t="s">
        <v>131</v>
      </c>
    </row>
    <row r="681" spans="1:6" x14ac:dyDescent="0.25">
      <c r="A681" s="48" t="s">
        <v>512</v>
      </c>
      <c r="B681" s="48">
        <v>70012084</v>
      </c>
      <c r="C681" s="47">
        <v>1</v>
      </c>
      <c r="D681" s="48" t="s">
        <v>1359</v>
      </c>
      <c r="E681" s="48" t="s">
        <v>513</v>
      </c>
      <c r="F681" s="47" t="s">
        <v>131</v>
      </c>
    </row>
    <row r="682" spans="1:6" x14ac:dyDescent="0.25">
      <c r="A682" s="28" t="s">
        <v>505</v>
      </c>
      <c r="B682" s="25">
        <v>70012087</v>
      </c>
      <c r="C682" s="47">
        <v>1</v>
      </c>
      <c r="D682" s="48" t="s">
        <v>1359</v>
      </c>
      <c r="E682" s="28" t="s">
        <v>506</v>
      </c>
      <c r="F682" s="47" t="s">
        <v>131</v>
      </c>
    </row>
    <row r="683" spans="1:6" x14ac:dyDescent="0.25">
      <c r="A683" s="28" t="s">
        <v>501</v>
      </c>
      <c r="B683" s="33">
        <v>70012100</v>
      </c>
      <c r="C683" s="47">
        <v>1</v>
      </c>
      <c r="D683" s="48" t="s">
        <v>1359</v>
      </c>
      <c r="E683" s="28" t="s">
        <v>502</v>
      </c>
      <c r="F683" s="47" t="s">
        <v>131</v>
      </c>
    </row>
    <row r="684" spans="1:6" x14ac:dyDescent="0.25">
      <c r="A684" s="48" t="s">
        <v>2085</v>
      </c>
      <c r="B684" s="48">
        <v>70012111</v>
      </c>
      <c r="C684" s="47">
        <v>3</v>
      </c>
      <c r="D684" s="48" t="s">
        <v>1359</v>
      </c>
      <c r="E684" s="48" t="s">
        <v>2086</v>
      </c>
      <c r="F684" s="47" t="s">
        <v>46</v>
      </c>
    </row>
    <row r="685" spans="1:6" x14ac:dyDescent="0.25">
      <c r="A685" s="48" t="s">
        <v>2087</v>
      </c>
      <c r="B685" s="48">
        <v>70012114</v>
      </c>
      <c r="C685" s="47">
        <v>3</v>
      </c>
      <c r="D685" s="48" t="s">
        <v>1359</v>
      </c>
      <c r="E685" s="48" t="s">
        <v>2088</v>
      </c>
      <c r="F685" s="47" t="s">
        <v>46</v>
      </c>
    </row>
    <row r="686" spans="1:6" x14ac:dyDescent="0.25">
      <c r="A686" s="48" t="s">
        <v>2089</v>
      </c>
      <c r="B686" s="48">
        <v>70012117</v>
      </c>
      <c r="C686" s="47">
        <v>3</v>
      </c>
      <c r="D686" s="48" t="s">
        <v>1359</v>
      </c>
      <c r="E686" s="48" t="s">
        <v>2090</v>
      </c>
      <c r="F686" s="47" t="s">
        <v>46</v>
      </c>
    </row>
    <row r="687" spans="1:6" x14ac:dyDescent="0.25">
      <c r="A687" s="48" t="s">
        <v>395</v>
      </c>
      <c r="B687" s="48">
        <v>70012120</v>
      </c>
      <c r="C687" s="47">
        <v>3</v>
      </c>
      <c r="D687" s="48" t="s">
        <v>1359</v>
      </c>
      <c r="E687" s="48" t="s">
        <v>396</v>
      </c>
      <c r="F687" s="47" t="s">
        <v>46</v>
      </c>
    </row>
    <row r="688" spans="1:6" x14ac:dyDescent="0.25">
      <c r="A688" s="48" t="s">
        <v>393</v>
      </c>
      <c r="B688" s="48">
        <v>70012123</v>
      </c>
      <c r="C688" s="47">
        <v>3</v>
      </c>
      <c r="D688" s="48" t="s">
        <v>1359</v>
      </c>
      <c r="E688" s="48" t="s">
        <v>394</v>
      </c>
      <c r="F688" s="47" t="s">
        <v>46</v>
      </c>
    </row>
    <row r="689" spans="1:6" x14ac:dyDescent="0.25">
      <c r="A689" s="48" t="s">
        <v>2091</v>
      </c>
      <c r="B689" s="48">
        <v>70012129</v>
      </c>
      <c r="C689" s="47">
        <v>3</v>
      </c>
      <c r="D689" s="48" t="s">
        <v>1359</v>
      </c>
      <c r="E689" s="48" t="s">
        <v>2092</v>
      </c>
      <c r="F689" s="47" t="s">
        <v>46</v>
      </c>
    </row>
    <row r="690" spans="1:6" x14ac:dyDescent="0.25">
      <c r="A690" s="48" t="s">
        <v>2093</v>
      </c>
      <c r="B690" s="48">
        <v>70012132</v>
      </c>
      <c r="C690" s="47">
        <v>3</v>
      </c>
      <c r="D690" s="48" t="s">
        <v>1359</v>
      </c>
      <c r="E690" s="48" t="s">
        <v>2094</v>
      </c>
      <c r="F690" s="47" t="s">
        <v>46</v>
      </c>
    </row>
    <row r="691" spans="1:6" x14ac:dyDescent="0.25">
      <c r="A691" s="48" t="s">
        <v>2095</v>
      </c>
      <c r="B691" s="48">
        <v>70012135</v>
      </c>
      <c r="C691" s="47">
        <v>3</v>
      </c>
      <c r="D691" s="48" t="s">
        <v>1359</v>
      </c>
      <c r="E691" s="48" t="s">
        <v>2096</v>
      </c>
      <c r="F691" s="47" t="s">
        <v>46</v>
      </c>
    </row>
    <row r="692" spans="1:6" x14ac:dyDescent="0.25">
      <c r="A692" s="48" t="s">
        <v>2097</v>
      </c>
      <c r="B692" s="48">
        <v>70012138</v>
      </c>
      <c r="C692" s="47">
        <v>3</v>
      </c>
      <c r="D692" s="48" t="s">
        <v>1359</v>
      </c>
      <c r="E692" s="48" t="s">
        <v>2098</v>
      </c>
      <c r="F692" s="47" t="s">
        <v>46</v>
      </c>
    </row>
    <row r="693" spans="1:6" x14ac:dyDescent="0.25">
      <c r="A693" s="48" t="s">
        <v>522</v>
      </c>
      <c r="B693" s="48">
        <v>70012141</v>
      </c>
      <c r="C693" s="47">
        <v>3</v>
      </c>
      <c r="D693" s="48" t="s">
        <v>1359</v>
      </c>
      <c r="E693" s="48" t="s">
        <v>523</v>
      </c>
      <c r="F693" s="48" t="s">
        <v>46</v>
      </c>
    </row>
    <row r="694" spans="1:6" x14ac:dyDescent="0.25">
      <c r="A694" s="48" t="s">
        <v>520</v>
      </c>
      <c r="B694" s="48">
        <v>70012144</v>
      </c>
      <c r="C694" s="47">
        <v>3</v>
      </c>
      <c r="D694" s="48" t="s">
        <v>1359</v>
      </c>
      <c r="E694" s="48" t="s">
        <v>521</v>
      </c>
      <c r="F694" s="48" t="s">
        <v>46</v>
      </c>
    </row>
    <row r="695" spans="1:6" x14ac:dyDescent="0.25">
      <c r="A695" s="48" t="s">
        <v>518</v>
      </c>
      <c r="B695" s="48">
        <v>70012147</v>
      </c>
      <c r="C695" s="47">
        <v>3</v>
      </c>
      <c r="D695" s="48" t="s">
        <v>1359</v>
      </c>
      <c r="E695" s="48" t="s">
        <v>519</v>
      </c>
      <c r="F695" s="48" t="s">
        <v>46</v>
      </c>
    </row>
    <row r="696" spans="1:6" x14ac:dyDescent="0.25">
      <c r="A696" s="48" t="s">
        <v>531</v>
      </c>
      <c r="B696" s="48">
        <v>70012150</v>
      </c>
      <c r="C696" s="47">
        <v>3</v>
      </c>
      <c r="D696" s="48" t="s">
        <v>1359</v>
      </c>
      <c r="E696" s="48" t="s">
        <v>532</v>
      </c>
      <c r="F696" s="48" t="s">
        <v>46</v>
      </c>
    </row>
    <row r="697" spans="1:6" x14ac:dyDescent="0.25">
      <c r="A697" s="48" t="s">
        <v>527</v>
      </c>
      <c r="B697" s="48">
        <v>70012153</v>
      </c>
      <c r="C697" s="47">
        <v>3</v>
      </c>
      <c r="D697" s="48" t="s">
        <v>1359</v>
      </c>
      <c r="E697" s="48" t="s">
        <v>528</v>
      </c>
      <c r="F697" s="48" t="s">
        <v>46</v>
      </c>
    </row>
    <row r="698" spans="1:6" x14ac:dyDescent="0.25">
      <c r="A698" s="48" t="s">
        <v>524</v>
      </c>
      <c r="B698" s="48">
        <v>70012156</v>
      </c>
      <c r="C698" s="47">
        <v>3</v>
      </c>
      <c r="D698" s="48" t="s">
        <v>1359</v>
      </c>
      <c r="E698" s="48" t="s">
        <v>525</v>
      </c>
      <c r="F698" s="48" t="s">
        <v>46</v>
      </c>
    </row>
    <row r="699" spans="1:6" x14ac:dyDescent="0.25">
      <c r="A699" s="28" t="s">
        <v>488</v>
      </c>
      <c r="B699" s="33">
        <v>70012167</v>
      </c>
      <c r="C699" s="47">
        <v>1</v>
      </c>
      <c r="D699" s="48" t="s">
        <v>1359</v>
      </c>
      <c r="E699" s="28" t="s">
        <v>489</v>
      </c>
      <c r="F699" s="47" t="s">
        <v>112</v>
      </c>
    </row>
    <row r="700" spans="1:6" x14ac:dyDescent="0.25">
      <c r="A700" s="48" t="s">
        <v>2099</v>
      </c>
      <c r="B700" s="48">
        <v>70012168</v>
      </c>
      <c r="C700" s="47">
        <v>3</v>
      </c>
      <c r="D700" s="48" t="s">
        <v>1359</v>
      </c>
      <c r="E700" s="48" t="s">
        <v>2100</v>
      </c>
      <c r="F700" s="47" t="s">
        <v>46</v>
      </c>
    </row>
    <row r="701" spans="1:6" x14ac:dyDescent="0.25">
      <c r="A701" s="28" t="s">
        <v>482</v>
      </c>
      <c r="B701" s="33">
        <v>70012171</v>
      </c>
      <c r="C701" s="47">
        <v>3</v>
      </c>
      <c r="D701" s="48" t="s">
        <v>1359</v>
      </c>
      <c r="E701" s="28" t="s">
        <v>483</v>
      </c>
      <c r="F701" s="47" t="s">
        <v>46</v>
      </c>
    </row>
    <row r="702" spans="1:6" x14ac:dyDescent="0.25">
      <c r="A702" s="28" t="s">
        <v>486</v>
      </c>
      <c r="B702" s="33">
        <v>70012175</v>
      </c>
      <c r="C702" s="47">
        <v>3</v>
      </c>
      <c r="D702" s="48" t="s">
        <v>1359</v>
      </c>
      <c r="E702" s="5" t="s">
        <v>487</v>
      </c>
      <c r="F702" s="47" t="s">
        <v>112</v>
      </c>
    </row>
    <row r="703" spans="1:6" x14ac:dyDescent="0.25">
      <c r="A703" s="28" t="s">
        <v>484</v>
      </c>
      <c r="B703" s="33">
        <v>70012177</v>
      </c>
      <c r="C703" s="47">
        <v>3</v>
      </c>
      <c r="D703" s="48" t="s">
        <v>1359</v>
      </c>
      <c r="E703" s="5" t="s">
        <v>485</v>
      </c>
      <c r="F703" s="47" t="s">
        <v>112</v>
      </c>
    </row>
    <row r="704" spans="1:6" x14ac:dyDescent="0.25">
      <c r="A704" s="28" t="s">
        <v>480</v>
      </c>
      <c r="B704" s="33">
        <v>70012189</v>
      </c>
      <c r="C704" s="47">
        <v>1</v>
      </c>
      <c r="D704" s="48" t="s">
        <v>1359</v>
      </c>
      <c r="E704" s="28" t="s">
        <v>479</v>
      </c>
      <c r="F704" s="47" t="s">
        <v>171</v>
      </c>
    </row>
    <row r="705" spans="1:6" x14ac:dyDescent="0.25">
      <c r="A705" s="28" t="s">
        <v>481</v>
      </c>
      <c r="B705" s="33">
        <v>70012192</v>
      </c>
      <c r="C705" s="47">
        <v>1</v>
      </c>
      <c r="D705" s="48" t="s">
        <v>1359</v>
      </c>
      <c r="E705" s="28" t="s">
        <v>479</v>
      </c>
      <c r="F705" s="47" t="s">
        <v>171</v>
      </c>
    </row>
    <row r="706" spans="1:6" x14ac:dyDescent="0.25">
      <c r="A706" s="48" t="s">
        <v>2101</v>
      </c>
      <c r="B706" s="48">
        <v>70012196</v>
      </c>
      <c r="C706" s="47">
        <v>3</v>
      </c>
      <c r="D706" s="48" t="s">
        <v>1359</v>
      </c>
      <c r="E706" s="48" t="s">
        <v>444</v>
      </c>
      <c r="F706" s="47" t="s">
        <v>131</v>
      </c>
    </row>
    <row r="707" spans="1:6" x14ac:dyDescent="0.25">
      <c r="A707" s="48" t="s">
        <v>477</v>
      </c>
      <c r="B707" s="48">
        <v>70012205</v>
      </c>
      <c r="C707" s="47">
        <v>1</v>
      </c>
      <c r="D707" s="48" t="s">
        <v>1359</v>
      </c>
      <c r="E707" s="48" t="s">
        <v>478</v>
      </c>
      <c r="F707" s="47" t="s">
        <v>131</v>
      </c>
    </row>
    <row r="708" spans="1:6" x14ac:dyDescent="0.25">
      <c r="A708" s="48" t="s">
        <v>475</v>
      </c>
      <c r="B708" s="48">
        <v>70012206</v>
      </c>
      <c r="C708" s="47">
        <v>1</v>
      </c>
      <c r="D708" s="48" t="s">
        <v>1359</v>
      </c>
      <c r="E708" s="48" t="s">
        <v>476</v>
      </c>
      <c r="F708" s="47" t="s">
        <v>46</v>
      </c>
    </row>
    <row r="709" spans="1:6" x14ac:dyDescent="0.25">
      <c r="A709" s="48" t="s">
        <v>473</v>
      </c>
      <c r="B709" s="48">
        <v>70012207</v>
      </c>
      <c r="C709" s="47">
        <v>3</v>
      </c>
      <c r="D709" s="48" t="s">
        <v>1359</v>
      </c>
      <c r="E709" s="48" t="s">
        <v>474</v>
      </c>
      <c r="F709" s="47" t="s">
        <v>41</v>
      </c>
    </row>
    <row r="710" spans="1:6" x14ac:dyDescent="0.25">
      <c r="A710" s="48" t="s">
        <v>471</v>
      </c>
      <c r="B710" s="48">
        <v>70012218</v>
      </c>
      <c r="C710" s="47">
        <v>3</v>
      </c>
      <c r="D710" s="48" t="s">
        <v>1359</v>
      </c>
      <c r="E710" s="48" t="s">
        <v>472</v>
      </c>
      <c r="F710" s="47" t="s">
        <v>46</v>
      </c>
    </row>
    <row r="711" spans="1:6" x14ac:dyDescent="0.25">
      <c r="A711" s="48" t="s">
        <v>470</v>
      </c>
      <c r="B711" s="48">
        <v>70012219</v>
      </c>
      <c r="C711" s="47">
        <v>1</v>
      </c>
      <c r="D711" s="48" t="s">
        <v>1359</v>
      </c>
      <c r="E711" s="48" t="s">
        <v>2102</v>
      </c>
      <c r="F711" s="47" t="s">
        <v>46</v>
      </c>
    </row>
    <row r="712" spans="1:6" x14ac:dyDescent="0.25">
      <c r="A712" s="48" t="s">
        <v>455</v>
      </c>
      <c r="B712" s="48">
        <v>70012233</v>
      </c>
      <c r="C712" s="47">
        <v>3</v>
      </c>
      <c r="D712" s="48" t="s">
        <v>1359</v>
      </c>
      <c r="E712" s="48" t="s">
        <v>456</v>
      </c>
      <c r="F712" s="47" t="s">
        <v>41</v>
      </c>
    </row>
    <row r="713" spans="1:6" x14ac:dyDescent="0.25">
      <c r="A713" s="48" t="s">
        <v>453</v>
      </c>
      <c r="B713" s="48">
        <v>70012236</v>
      </c>
      <c r="C713" s="47">
        <v>3</v>
      </c>
      <c r="D713" s="48" t="s">
        <v>1359</v>
      </c>
      <c r="E713" s="48" t="s">
        <v>454</v>
      </c>
      <c r="F713" s="47" t="s">
        <v>41</v>
      </c>
    </row>
    <row r="714" spans="1:6" x14ac:dyDescent="0.25">
      <c r="A714" s="48" t="s">
        <v>419</v>
      </c>
      <c r="B714" s="48">
        <v>70012247</v>
      </c>
      <c r="C714" s="47">
        <v>1</v>
      </c>
      <c r="D714" s="48" t="s">
        <v>1359</v>
      </c>
      <c r="E714" s="48" t="s">
        <v>420</v>
      </c>
      <c r="F714" s="47" t="s">
        <v>46</v>
      </c>
    </row>
    <row r="715" spans="1:6" x14ac:dyDescent="0.25">
      <c r="A715" s="48" t="s">
        <v>448</v>
      </c>
      <c r="B715" s="48">
        <v>70012259</v>
      </c>
      <c r="C715" s="47">
        <v>3</v>
      </c>
      <c r="D715" s="48" t="s">
        <v>1359</v>
      </c>
      <c r="E715" s="48" t="s">
        <v>449</v>
      </c>
      <c r="F715" s="47" t="s">
        <v>41</v>
      </c>
    </row>
    <row r="716" spans="1:6" x14ac:dyDescent="0.25">
      <c r="A716" s="48" t="s">
        <v>364</v>
      </c>
      <c r="B716" s="48">
        <v>70012262</v>
      </c>
      <c r="C716" s="47">
        <v>1</v>
      </c>
      <c r="D716" s="48" t="s">
        <v>1359</v>
      </c>
      <c r="E716" s="48" t="s">
        <v>365</v>
      </c>
      <c r="F716" s="47" t="s">
        <v>46</v>
      </c>
    </row>
    <row r="717" spans="1:6" x14ac:dyDescent="0.25">
      <c r="A717" s="48" t="s">
        <v>362</v>
      </c>
      <c r="B717" s="48">
        <v>70012265</v>
      </c>
      <c r="C717" s="47">
        <v>1</v>
      </c>
      <c r="D717" s="48" t="s">
        <v>1359</v>
      </c>
      <c r="E717" s="48" t="s">
        <v>363</v>
      </c>
      <c r="F717" s="47" t="s">
        <v>46</v>
      </c>
    </row>
    <row r="718" spans="1:6" x14ac:dyDescent="0.25">
      <c r="A718" s="48" t="s">
        <v>360</v>
      </c>
      <c r="B718" s="48">
        <v>70012281</v>
      </c>
      <c r="C718" s="47">
        <v>1</v>
      </c>
      <c r="D718" s="48" t="s">
        <v>1359</v>
      </c>
      <c r="E718" s="48" t="s">
        <v>361</v>
      </c>
      <c r="F718" s="47" t="s">
        <v>46</v>
      </c>
    </row>
    <row r="719" spans="1:6" x14ac:dyDescent="0.25">
      <c r="A719" s="48" t="s">
        <v>358</v>
      </c>
      <c r="B719" s="48">
        <v>70012284</v>
      </c>
      <c r="C719" s="47">
        <v>1</v>
      </c>
      <c r="D719" s="48" t="s">
        <v>1359</v>
      </c>
      <c r="E719" s="48" t="s">
        <v>359</v>
      </c>
      <c r="F719" s="47" t="s">
        <v>46</v>
      </c>
    </row>
    <row r="720" spans="1:6" x14ac:dyDescent="0.25">
      <c r="A720" s="48" t="s">
        <v>355</v>
      </c>
      <c r="B720" s="48">
        <v>70012287</v>
      </c>
      <c r="C720" s="47">
        <v>1</v>
      </c>
      <c r="D720" s="48" t="s">
        <v>1359</v>
      </c>
      <c r="E720" s="48" t="s">
        <v>356</v>
      </c>
      <c r="F720" s="47" t="s">
        <v>46</v>
      </c>
    </row>
    <row r="721" spans="1:6" x14ac:dyDescent="0.25">
      <c r="A721" s="48" t="s">
        <v>353</v>
      </c>
      <c r="B721" s="48">
        <v>70012288</v>
      </c>
      <c r="C721" s="47">
        <v>1</v>
      </c>
      <c r="D721" s="48" t="s">
        <v>1359</v>
      </c>
      <c r="E721" s="48" t="s">
        <v>354</v>
      </c>
      <c r="F721" s="47" t="s">
        <v>46</v>
      </c>
    </row>
    <row r="722" spans="1:6" x14ac:dyDescent="0.25">
      <c r="A722" s="48" t="s">
        <v>351</v>
      </c>
      <c r="B722" s="48">
        <v>70012291</v>
      </c>
      <c r="C722" s="47">
        <v>1</v>
      </c>
      <c r="D722" s="48" t="s">
        <v>1359</v>
      </c>
      <c r="E722" s="48" t="s">
        <v>352</v>
      </c>
      <c r="F722" s="47" t="s">
        <v>46</v>
      </c>
    </row>
    <row r="723" spans="1:6" x14ac:dyDescent="0.25">
      <c r="A723" s="48" t="s">
        <v>349</v>
      </c>
      <c r="B723" s="48">
        <v>70012294</v>
      </c>
      <c r="C723" s="47">
        <v>1</v>
      </c>
      <c r="D723" s="48" t="s">
        <v>1359</v>
      </c>
      <c r="E723" s="48" t="s">
        <v>350</v>
      </c>
      <c r="F723" s="47" t="s">
        <v>46</v>
      </c>
    </row>
    <row r="724" spans="1:6" x14ac:dyDescent="0.25">
      <c r="A724" s="48" t="s">
        <v>346</v>
      </c>
      <c r="B724" s="48">
        <v>70012297</v>
      </c>
      <c r="C724" s="47">
        <v>3</v>
      </c>
      <c r="D724" s="48" t="s">
        <v>1359</v>
      </c>
      <c r="E724" s="48" t="s">
        <v>347</v>
      </c>
      <c r="F724" s="47" t="s">
        <v>46</v>
      </c>
    </row>
    <row r="725" spans="1:6" x14ac:dyDescent="0.25">
      <c r="A725" s="48" t="s">
        <v>344</v>
      </c>
      <c r="B725" s="48">
        <v>70012300</v>
      </c>
      <c r="C725" s="47">
        <v>1</v>
      </c>
      <c r="D725" s="48" t="s">
        <v>1359</v>
      </c>
      <c r="E725" s="48" t="s">
        <v>345</v>
      </c>
      <c r="F725" s="47" t="s">
        <v>46</v>
      </c>
    </row>
    <row r="726" spans="1:6" x14ac:dyDescent="0.25">
      <c r="A726" s="48" t="s">
        <v>342</v>
      </c>
      <c r="B726" s="48">
        <v>70012303</v>
      </c>
      <c r="C726" s="47">
        <v>1</v>
      </c>
      <c r="D726" s="48" t="s">
        <v>1359</v>
      </c>
      <c r="E726" s="48" t="s">
        <v>343</v>
      </c>
      <c r="F726" s="47" t="s">
        <v>46</v>
      </c>
    </row>
    <row r="727" spans="1:6" x14ac:dyDescent="0.25">
      <c r="A727" s="48" t="s">
        <v>340</v>
      </c>
      <c r="B727" s="48">
        <v>70012306</v>
      </c>
      <c r="C727" s="47">
        <v>3</v>
      </c>
      <c r="D727" s="48" t="s">
        <v>1359</v>
      </c>
      <c r="E727" s="48" t="s">
        <v>341</v>
      </c>
      <c r="F727" s="47" t="s">
        <v>46</v>
      </c>
    </row>
    <row r="728" spans="1:6" x14ac:dyDescent="0.25">
      <c r="A728" s="48" t="s">
        <v>338</v>
      </c>
      <c r="B728" s="48">
        <v>70012309</v>
      </c>
      <c r="C728" s="47">
        <v>3</v>
      </c>
      <c r="D728" s="48" t="s">
        <v>1359</v>
      </c>
      <c r="E728" s="48" t="s">
        <v>339</v>
      </c>
      <c r="F728" s="47" t="s">
        <v>46</v>
      </c>
    </row>
    <row r="729" spans="1:6" x14ac:dyDescent="0.25">
      <c r="A729" s="48" t="s">
        <v>2103</v>
      </c>
      <c r="B729" s="48">
        <v>70012312</v>
      </c>
      <c r="C729" s="47">
        <v>3</v>
      </c>
      <c r="D729" s="48" t="s">
        <v>1359</v>
      </c>
      <c r="E729" s="48" t="s">
        <v>392</v>
      </c>
      <c r="F729" s="47" t="s">
        <v>46</v>
      </c>
    </row>
    <row r="730" spans="1:6" x14ac:dyDescent="0.25">
      <c r="A730" s="48" t="s">
        <v>2104</v>
      </c>
      <c r="B730" s="48">
        <v>70012315</v>
      </c>
      <c r="C730" s="47">
        <v>3</v>
      </c>
      <c r="D730" s="48" t="s">
        <v>1359</v>
      </c>
      <c r="E730" s="48" t="s">
        <v>391</v>
      </c>
      <c r="F730" s="47" t="s">
        <v>46</v>
      </c>
    </row>
    <row r="731" spans="1:6" x14ac:dyDescent="0.25">
      <c r="A731" s="48" t="s">
        <v>2105</v>
      </c>
      <c r="B731" s="48">
        <v>70012320</v>
      </c>
      <c r="C731" s="47">
        <v>3</v>
      </c>
      <c r="D731" s="48" t="s">
        <v>1359</v>
      </c>
      <c r="E731" s="48" t="s">
        <v>390</v>
      </c>
      <c r="F731" s="47" t="s">
        <v>46</v>
      </c>
    </row>
    <row r="732" spans="1:6" x14ac:dyDescent="0.25">
      <c r="A732" s="48" t="s">
        <v>2106</v>
      </c>
      <c r="B732" s="48">
        <v>70012323</v>
      </c>
      <c r="C732" s="47">
        <v>3</v>
      </c>
      <c r="D732" s="48" t="s">
        <v>1359</v>
      </c>
      <c r="E732" s="48" t="s">
        <v>389</v>
      </c>
      <c r="F732" s="47" t="s">
        <v>46</v>
      </c>
    </row>
    <row r="733" spans="1:6" x14ac:dyDescent="0.25">
      <c r="A733" s="48" t="s">
        <v>2107</v>
      </c>
      <c r="B733" s="48">
        <v>70012326</v>
      </c>
      <c r="C733" s="47">
        <v>3</v>
      </c>
      <c r="D733" s="48" t="s">
        <v>1359</v>
      </c>
      <c r="E733" s="48" t="s">
        <v>388</v>
      </c>
      <c r="F733" s="47" t="s">
        <v>46</v>
      </c>
    </row>
    <row r="734" spans="1:6" x14ac:dyDescent="0.25">
      <c r="A734" s="48" t="s">
        <v>2108</v>
      </c>
      <c r="B734" s="48">
        <v>70012328</v>
      </c>
      <c r="C734" s="47">
        <v>3</v>
      </c>
      <c r="D734" s="48" t="s">
        <v>1359</v>
      </c>
      <c r="E734" s="48" t="s">
        <v>387</v>
      </c>
      <c r="F734" s="47" t="s">
        <v>46</v>
      </c>
    </row>
    <row r="735" spans="1:6" x14ac:dyDescent="0.25">
      <c r="A735" s="48" t="s">
        <v>2109</v>
      </c>
      <c r="B735" s="48">
        <v>70012331</v>
      </c>
      <c r="C735" s="47">
        <v>3</v>
      </c>
      <c r="D735" s="48" t="s">
        <v>1359</v>
      </c>
      <c r="E735" s="48" t="s">
        <v>386</v>
      </c>
      <c r="F735" s="47" t="s">
        <v>46</v>
      </c>
    </row>
    <row r="736" spans="1:6" x14ac:dyDescent="0.25">
      <c r="A736" s="48" t="s">
        <v>2110</v>
      </c>
      <c r="B736" s="48">
        <v>70012334</v>
      </c>
      <c r="C736" s="47">
        <v>3</v>
      </c>
      <c r="D736" s="48" t="s">
        <v>1359</v>
      </c>
      <c r="E736" s="48" t="s">
        <v>385</v>
      </c>
      <c r="F736" s="47" t="s">
        <v>46</v>
      </c>
    </row>
    <row r="737" spans="1:6" x14ac:dyDescent="0.25">
      <c r="A737" s="48" t="s">
        <v>2111</v>
      </c>
      <c r="B737" s="48">
        <v>70012337</v>
      </c>
      <c r="C737" s="47">
        <v>3</v>
      </c>
      <c r="D737" s="48" t="s">
        <v>1359</v>
      </c>
      <c r="E737" s="48" t="s">
        <v>384</v>
      </c>
      <c r="F737" s="47" t="s">
        <v>46</v>
      </c>
    </row>
    <row r="738" spans="1:6" x14ac:dyDescent="0.25">
      <c r="A738" s="48" t="s">
        <v>2112</v>
      </c>
      <c r="B738" s="48">
        <v>70012339</v>
      </c>
      <c r="C738" s="47">
        <v>3</v>
      </c>
      <c r="D738" s="48" t="s">
        <v>1359</v>
      </c>
      <c r="E738" s="48" t="s">
        <v>383</v>
      </c>
      <c r="F738" s="47" t="s">
        <v>46</v>
      </c>
    </row>
    <row r="739" spans="1:6" x14ac:dyDescent="0.25">
      <c r="A739" s="48" t="s">
        <v>2113</v>
      </c>
      <c r="B739" s="48">
        <v>70012342</v>
      </c>
      <c r="C739" s="47">
        <v>3</v>
      </c>
      <c r="D739" s="48" t="s">
        <v>1359</v>
      </c>
      <c r="E739" s="48" t="s">
        <v>381</v>
      </c>
      <c r="F739" s="47" t="s">
        <v>46</v>
      </c>
    </row>
    <row r="740" spans="1:6" x14ac:dyDescent="0.25">
      <c r="A740" s="48" t="s">
        <v>2114</v>
      </c>
      <c r="B740" s="48">
        <v>70012345</v>
      </c>
      <c r="C740" s="47">
        <v>3</v>
      </c>
      <c r="D740" s="48" t="s">
        <v>1359</v>
      </c>
      <c r="E740" s="48" t="s">
        <v>380</v>
      </c>
      <c r="F740" s="47" t="s">
        <v>46</v>
      </c>
    </row>
    <row r="741" spans="1:6" x14ac:dyDescent="0.25">
      <c r="A741" s="48" t="s">
        <v>2115</v>
      </c>
      <c r="B741" s="48">
        <v>70012348</v>
      </c>
      <c r="C741" s="47">
        <v>3</v>
      </c>
      <c r="D741" s="48" t="s">
        <v>1359</v>
      </c>
      <c r="E741" s="48" t="s">
        <v>379</v>
      </c>
      <c r="F741" s="47" t="s">
        <v>46</v>
      </c>
    </row>
    <row r="742" spans="1:6" x14ac:dyDescent="0.25">
      <c r="A742" s="48" t="s">
        <v>2116</v>
      </c>
      <c r="B742" s="48">
        <v>70012351</v>
      </c>
      <c r="C742" s="47">
        <v>3</v>
      </c>
      <c r="D742" s="48" t="s">
        <v>1359</v>
      </c>
      <c r="E742" s="48" t="s">
        <v>377</v>
      </c>
      <c r="F742" s="47" t="s">
        <v>46</v>
      </c>
    </row>
    <row r="743" spans="1:6" x14ac:dyDescent="0.25">
      <c r="A743" s="48" t="s">
        <v>2117</v>
      </c>
      <c r="B743" s="48">
        <v>70012354</v>
      </c>
      <c r="C743" s="47">
        <v>3</v>
      </c>
      <c r="D743" s="48" t="s">
        <v>1359</v>
      </c>
      <c r="E743" s="48" t="s">
        <v>376</v>
      </c>
      <c r="F743" s="47" t="s">
        <v>46</v>
      </c>
    </row>
    <row r="744" spans="1:6" x14ac:dyDescent="0.25">
      <c r="A744" s="48" t="s">
        <v>2118</v>
      </c>
      <c r="B744" s="48">
        <v>70012357</v>
      </c>
      <c r="C744" s="47">
        <v>3</v>
      </c>
      <c r="D744" s="48" t="s">
        <v>1359</v>
      </c>
      <c r="E744" s="48" t="s">
        <v>375</v>
      </c>
      <c r="F744" s="47" t="s">
        <v>46</v>
      </c>
    </row>
    <row r="745" spans="1:6" x14ac:dyDescent="0.25">
      <c r="A745" s="48" t="s">
        <v>2119</v>
      </c>
      <c r="B745" s="48">
        <v>70012360</v>
      </c>
      <c r="C745" s="47">
        <v>3</v>
      </c>
      <c r="D745" s="48" t="s">
        <v>1359</v>
      </c>
      <c r="E745" s="48" t="s">
        <v>374</v>
      </c>
      <c r="F745" s="47" t="s">
        <v>46</v>
      </c>
    </row>
    <row r="746" spans="1:6" x14ac:dyDescent="0.25">
      <c r="A746" s="48" t="s">
        <v>2120</v>
      </c>
      <c r="B746" s="48">
        <v>70012363</v>
      </c>
      <c r="C746" s="47">
        <v>3</v>
      </c>
      <c r="D746" s="48" t="s">
        <v>1359</v>
      </c>
      <c r="E746" s="48" t="s">
        <v>373</v>
      </c>
      <c r="F746" s="47" t="s">
        <v>46</v>
      </c>
    </row>
    <row r="747" spans="1:6" x14ac:dyDescent="0.25">
      <c r="A747" s="48" t="s">
        <v>2121</v>
      </c>
      <c r="B747" s="48">
        <v>70012366</v>
      </c>
      <c r="C747" s="47">
        <v>3</v>
      </c>
      <c r="D747" s="48" t="s">
        <v>1359</v>
      </c>
      <c r="E747" s="48" t="s">
        <v>372</v>
      </c>
      <c r="F747" s="47" t="s">
        <v>46</v>
      </c>
    </row>
    <row r="748" spans="1:6" x14ac:dyDescent="0.25">
      <c r="A748" s="48" t="s">
        <v>2122</v>
      </c>
      <c r="B748" s="48">
        <v>70012379</v>
      </c>
      <c r="C748" s="47">
        <v>3</v>
      </c>
      <c r="D748" s="48" t="s">
        <v>1359</v>
      </c>
      <c r="E748" s="48" t="s">
        <v>371</v>
      </c>
      <c r="F748" s="47" t="s">
        <v>46</v>
      </c>
    </row>
    <row r="749" spans="1:6" x14ac:dyDescent="0.25">
      <c r="A749" s="48" t="s">
        <v>2123</v>
      </c>
      <c r="B749" s="48">
        <v>70012382</v>
      </c>
      <c r="C749" s="47">
        <v>3</v>
      </c>
      <c r="D749" s="48" t="s">
        <v>1359</v>
      </c>
      <c r="E749" s="48" t="s">
        <v>369</v>
      </c>
      <c r="F749" s="47" t="s">
        <v>46</v>
      </c>
    </row>
    <row r="750" spans="1:6" x14ac:dyDescent="0.25">
      <c r="A750" s="48" t="s">
        <v>2124</v>
      </c>
      <c r="B750" s="48">
        <v>70012385</v>
      </c>
      <c r="C750" s="47">
        <v>3</v>
      </c>
      <c r="D750" s="48" t="s">
        <v>1359</v>
      </c>
      <c r="E750" s="48" t="s">
        <v>368</v>
      </c>
      <c r="F750" s="47" t="s">
        <v>46</v>
      </c>
    </row>
    <row r="751" spans="1:6" x14ac:dyDescent="0.25">
      <c r="A751" s="48" t="s">
        <v>2125</v>
      </c>
      <c r="B751" s="48">
        <v>70012388</v>
      </c>
      <c r="C751" s="47">
        <v>3</v>
      </c>
      <c r="D751" s="48" t="s">
        <v>1359</v>
      </c>
      <c r="E751" s="48" t="s">
        <v>367</v>
      </c>
      <c r="F751" s="47" t="s">
        <v>46</v>
      </c>
    </row>
    <row r="752" spans="1:6" x14ac:dyDescent="0.25">
      <c r="A752" s="48" t="s">
        <v>2126</v>
      </c>
      <c r="B752" s="48">
        <v>70012391</v>
      </c>
      <c r="C752" s="47">
        <v>3</v>
      </c>
      <c r="D752" s="48" t="s">
        <v>1359</v>
      </c>
      <c r="E752" s="48" t="s">
        <v>366</v>
      </c>
      <c r="F752" s="47" t="s">
        <v>46</v>
      </c>
    </row>
    <row r="753" spans="1:6" x14ac:dyDescent="0.25">
      <c r="A753" s="48" t="s">
        <v>2127</v>
      </c>
      <c r="B753" s="48">
        <v>70012403</v>
      </c>
      <c r="C753" s="47">
        <v>3</v>
      </c>
      <c r="D753" s="48" t="s">
        <v>1359</v>
      </c>
      <c r="E753" s="48" t="s">
        <v>2128</v>
      </c>
      <c r="F753" s="47" t="s">
        <v>229</v>
      </c>
    </row>
    <row r="754" spans="1:6" x14ac:dyDescent="0.25">
      <c r="A754" s="48" t="s">
        <v>336</v>
      </c>
      <c r="B754" s="48">
        <v>70012428</v>
      </c>
      <c r="C754" s="47">
        <v>3</v>
      </c>
      <c r="D754" s="48" t="s">
        <v>1359</v>
      </c>
      <c r="E754" s="48" t="s">
        <v>337</v>
      </c>
      <c r="F754" s="47" t="s">
        <v>171</v>
      </c>
    </row>
    <row r="755" spans="1:6" x14ac:dyDescent="0.25">
      <c r="A755" s="48" t="s">
        <v>334</v>
      </c>
      <c r="B755" s="48">
        <v>70012439</v>
      </c>
      <c r="C755" s="47">
        <v>3</v>
      </c>
      <c r="D755" s="48" t="s">
        <v>1359</v>
      </c>
      <c r="E755" s="48" t="s">
        <v>335</v>
      </c>
      <c r="F755" s="47" t="s">
        <v>171</v>
      </c>
    </row>
    <row r="756" spans="1:6" x14ac:dyDescent="0.25">
      <c r="A756" s="48" t="s">
        <v>332</v>
      </c>
      <c r="B756" s="48">
        <v>70012442</v>
      </c>
      <c r="C756" s="47">
        <v>3</v>
      </c>
      <c r="D756" s="48" t="s">
        <v>1359</v>
      </c>
      <c r="E756" s="48" t="s">
        <v>333</v>
      </c>
      <c r="F756" s="47" t="s">
        <v>171</v>
      </c>
    </row>
    <row r="757" spans="1:6" x14ac:dyDescent="0.25">
      <c r="A757" s="48" t="s">
        <v>330</v>
      </c>
      <c r="B757" s="48">
        <v>70012445</v>
      </c>
      <c r="C757" s="47">
        <v>3</v>
      </c>
      <c r="D757" s="48" t="s">
        <v>1359</v>
      </c>
      <c r="E757" s="48" t="s">
        <v>331</v>
      </c>
      <c r="F757" s="47" t="s">
        <v>171</v>
      </c>
    </row>
    <row r="758" spans="1:6" x14ac:dyDescent="0.25">
      <c r="A758" s="48" t="s">
        <v>328</v>
      </c>
      <c r="B758" s="48">
        <v>70012448</v>
      </c>
      <c r="C758" s="47">
        <v>1</v>
      </c>
      <c r="D758" s="48" t="s">
        <v>1359</v>
      </c>
      <c r="E758" s="48" t="s">
        <v>329</v>
      </c>
      <c r="F758" s="47" t="s">
        <v>171</v>
      </c>
    </row>
    <row r="759" spans="1:6" x14ac:dyDescent="0.25">
      <c r="A759" s="48" t="s">
        <v>326</v>
      </c>
      <c r="B759" s="48">
        <v>70012451</v>
      </c>
      <c r="C759" s="47">
        <v>1</v>
      </c>
      <c r="D759" s="48" t="s">
        <v>1359</v>
      </c>
      <c r="E759" s="48" t="s">
        <v>327</v>
      </c>
      <c r="F759" s="47" t="s">
        <v>171</v>
      </c>
    </row>
    <row r="760" spans="1:6" x14ac:dyDescent="0.25">
      <c r="A760" s="48" t="s">
        <v>324</v>
      </c>
      <c r="B760" s="48">
        <v>70012460</v>
      </c>
      <c r="C760" s="47">
        <v>1</v>
      </c>
      <c r="D760" s="48" t="s">
        <v>1359</v>
      </c>
      <c r="E760" s="48" t="s">
        <v>325</v>
      </c>
      <c r="F760" s="47" t="s">
        <v>112</v>
      </c>
    </row>
    <row r="761" spans="1:6" x14ac:dyDescent="0.25">
      <c r="A761" s="28" t="s">
        <v>322</v>
      </c>
      <c r="B761" s="33">
        <v>70012432</v>
      </c>
      <c r="C761" s="47">
        <v>3</v>
      </c>
      <c r="D761" s="48" t="s">
        <v>1359</v>
      </c>
      <c r="E761" s="28" t="s">
        <v>323</v>
      </c>
      <c r="F761" s="47" t="s">
        <v>87</v>
      </c>
    </row>
    <row r="762" spans="1:6" x14ac:dyDescent="0.25">
      <c r="A762" s="28" t="s">
        <v>319</v>
      </c>
      <c r="B762" s="33">
        <v>70012435</v>
      </c>
      <c r="C762" s="47">
        <v>1</v>
      </c>
      <c r="D762" s="48" t="s">
        <v>1359</v>
      </c>
      <c r="E762" s="28" t="s">
        <v>320</v>
      </c>
      <c r="F762" s="47" t="s">
        <v>87</v>
      </c>
    </row>
    <row r="763" spans="1:6" x14ac:dyDescent="0.25">
      <c r="A763" s="28" t="s">
        <v>317</v>
      </c>
      <c r="B763" s="33">
        <v>70012454</v>
      </c>
      <c r="C763" s="47">
        <v>3</v>
      </c>
      <c r="D763" s="48" t="s">
        <v>1359</v>
      </c>
      <c r="E763" s="28" t="s">
        <v>318</v>
      </c>
      <c r="F763" s="47" t="s">
        <v>87</v>
      </c>
    </row>
    <row r="764" spans="1:6" x14ac:dyDescent="0.25">
      <c r="A764" s="28" t="s">
        <v>315</v>
      </c>
      <c r="B764" s="33">
        <v>70012457</v>
      </c>
      <c r="C764" s="47">
        <v>3</v>
      </c>
      <c r="D764" s="48" t="s">
        <v>1359</v>
      </c>
      <c r="E764" s="28" t="s">
        <v>316</v>
      </c>
      <c r="F764" s="47" t="s">
        <v>87</v>
      </c>
    </row>
    <row r="765" spans="1:6" x14ac:dyDescent="0.25">
      <c r="A765" s="28" t="s">
        <v>313</v>
      </c>
      <c r="B765" s="33">
        <v>70012466</v>
      </c>
      <c r="C765" s="47">
        <v>3</v>
      </c>
      <c r="D765" s="48" t="s">
        <v>1359</v>
      </c>
      <c r="E765" s="28" t="s">
        <v>314</v>
      </c>
      <c r="F765" s="47" t="s">
        <v>131</v>
      </c>
    </row>
    <row r="766" spans="1:6" x14ac:dyDescent="0.25">
      <c r="A766" s="28" t="s">
        <v>311</v>
      </c>
      <c r="B766" s="33">
        <v>70012502</v>
      </c>
      <c r="C766" s="47">
        <v>1</v>
      </c>
      <c r="D766" s="48" t="s">
        <v>1359</v>
      </c>
      <c r="E766" s="28" t="s">
        <v>312</v>
      </c>
      <c r="F766" s="47" t="s">
        <v>46</v>
      </c>
    </row>
    <row r="767" spans="1:6" x14ac:dyDescent="0.25">
      <c r="A767" s="28" t="s">
        <v>309</v>
      </c>
      <c r="B767" s="33">
        <v>70012477</v>
      </c>
      <c r="C767" s="47">
        <v>3</v>
      </c>
      <c r="D767" s="48" t="s">
        <v>1359</v>
      </c>
      <c r="E767" s="28" t="s">
        <v>310</v>
      </c>
      <c r="F767" s="47" t="s">
        <v>229</v>
      </c>
    </row>
    <row r="768" spans="1:6" x14ac:dyDescent="0.25">
      <c r="A768" s="48" t="s">
        <v>428</v>
      </c>
      <c r="B768" s="48">
        <v>70012515</v>
      </c>
      <c r="C768" s="47">
        <v>3</v>
      </c>
      <c r="D768" s="48" t="s">
        <v>1359</v>
      </c>
      <c r="E768" s="48" t="s">
        <v>427</v>
      </c>
      <c r="F768" s="47" t="s">
        <v>171</v>
      </c>
    </row>
    <row r="769" spans="1:6" x14ac:dyDescent="0.25">
      <c r="A769" s="48" t="s">
        <v>425</v>
      </c>
      <c r="B769" s="48">
        <v>70012516</v>
      </c>
      <c r="C769" s="47">
        <v>3</v>
      </c>
      <c r="D769" s="48" t="s">
        <v>1359</v>
      </c>
      <c r="E769" s="48" t="s">
        <v>424</v>
      </c>
      <c r="F769" s="47" t="s">
        <v>171</v>
      </c>
    </row>
    <row r="770" spans="1:6" x14ac:dyDescent="0.25">
      <c r="A770" s="48" t="s">
        <v>418</v>
      </c>
      <c r="B770" s="48">
        <v>70012474</v>
      </c>
      <c r="C770" s="47">
        <v>1</v>
      </c>
      <c r="D770" s="48" t="s">
        <v>1359</v>
      </c>
      <c r="E770" s="48" t="s">
        <v>417</v>
      </c>
      <c r="F770" s="47" t="s">
        <v>112</v>
      </c>
    </row>
    <row r="771" spans="1:6" x14ac:dyDescent="0.25">
      <c r="A771" s="48" t="s">
        <v>412</v>
      </c>
      <c r="B771" s="48">
        <v>70012475</v>
      </c>
      <c r="C771" s="47">
        <v>3</v>
      </c>
      <c r="D771" s="48" t="s">
        <v>1359</v>
      </c>
      <c r="E771" s="48" t="s">
        <v>411</v>
      </c>
      <c r="F771" s="47" t="s">
        <v>41</v>
      </c>
    </row>
    <row r="772" spans="1:6" x14ac:dyDescent="0.25">
      <c r="A772" s="48" t="s">
        <v>432</v>
      </c>
      <c r="B772" s="48">
        <v>70012518</v>
      </c>
      <c r="C772" s="47">
        <v>1</v>
      </c>
      <c r="D772" s="48" t="s">
        <v>1359</v>
      </c>
      <c r="E772" s="48" t="s">
        <v>431</v>
      </c>
      <c r="F772" s="47" t="s">
        <v>131</v>
      </c>
    </row>
    <row r="773" spans="1:6" x14ac:dyDescent="0.25">
      <c r="A773" s="48" t="s">
        <v>423</v>
      </c>
      <c r="B773" s="48">
        <v>70012517</v>
      </c>
      <c r="C773" s="47">
        <v>1</v>
      </c>
      <c r="D773" s="48" t="s">
        <v>1359</v>
      </c>
      <c r="E773" s="48" t="s">
        <v>422</v>
      </c>
      <c r="F773" s="47" t="s">
        <v>112</v>
      </c>
    </row>
    <row r="774" spans="1:6" x14ac:dyDescent="0.25">
      <c r="A774" s="48" t="s">
        <v>415</v>
      </c>
      <c r="B774" s="48">
        <v>70012500</v>
      </c>
      <c r="C774" s="47">
        <v>1</v>
      </c>
      <c r="D774" s="48" t="s">
        <v>1359</v>
      </c>
      <c r="E774" s="48" t="s">
        <v>416</v>
      </c>
      <c r="F774" s="47" t="s">
        <v>112</v>
      </c>
    </row>
    <row r="775" spans="1:6" x14ac:dyDescent="0.25">
      <c r="A775" s="28" t="s">
        <v>307</v>
      </c>
      <c r="B775" s="48">
        <v>70012376</v>
      </c>
      <c r="C775" s="47">
        <v>1</v>
      </c>
      <c r="D775" s="48" t="s">
        <v>1359</v>
      </c>
      <c r="E775" s="28" t="s">
        <v>308</v>
      </c>
      <c r="F775" s="47" t="s">
        <v>131</v>
      </c>
    </row>
    <row r="776" spans="1:6" x14ac:dyDescent="0.25">
      <c r="A776" s="48" t="s">
        <v>305</v>
      </c>
      <c r="B776" s="33">
        <v>70012547</v>
      </c>
      <c r="C776" s="47">
        <v>1</v>
      </c>
      <c r="D776" s="48" t="s">
        <v>1359</v>
      </c>
      <c r="E776" s="28" t="s">
        <v>306</v>
      </c>
      <c r="F776" s="47" t="s">
        <v>87</v>
      </c>
    </row>
    <row r="777" spans="1:6" x14ac:dyDescent="0.25">
      <c r="A777" s="48" t="s">
        <v>302</v>
      </c>
      <c r="B777" s="48">
        <v>70012373</v>
      </c>
      <c r="C777" s="47">
        <v>1</v>
      </c>
      <c r="D777" s="48" t="s">
        <v>1359</v>
      </c>
      <c r="E777" s="48" t="s">
        <v>303</v>
      </c>
      <c r="F777" s="47" t="s">
        <v>131</v>
      </c>
    </row>
    <row r="778" spans="1:6" x14ac:dyDescent="0.25">
      <c r="A778" s="48" t="s">
        <v>300</v>
      </c>
      <c r="B778" s="48">
        <v>70012619</v>
      </c>
      <c r="C778" s="47">
        <v>3</v>
      </c>
      <c r="D778" s="48" t="s">
        <v>1359</v>
      </c>
      <c r="E778" s="48" t="s">
        <v>301</v>
      </c>
      <c r="F778" s="47" t="s">
        <v>46</v>
      </c>
    </row>
    <row r="779" spans="1:6" x14ac:dyDescent="0.25">
      <c r="A779" s="48" t="s">
        <v>297</v>
      </c>
      <c r="B779" s="48">
        <v>70012620</v>
      </c>
      <c r="C779" s="47">
        <v>3</v>
      </c>
      <c r="D779" s="48" t="s">
        <v>1359</v>
      </c>
      <c r="E779" s="48" t="s">
        <v>298</v>
      </c>
      <c r="F779" s="47" t="s">
        <v>46</v>
      </c>
    </row>
    <row r="780" spans="1:6" x14ac:dyDescent="0.25">
      <c r="A780" s="48" t="s">
        <v>295</v>
      </c>
      <c r="B780" s="48">
        <v>70012621</v>
      </c>
      <c r="C780" s="47">
        <v>3</v>
      </c>
      <c r="D780" s="48" t="s">
        <v>1359</v>
      </c>
      <c r="E780" s="48" t="s">
        <v>296</v>
      </c>
      <c r="F780" s="47" t="s">
        <v>46</v>
      </c>
    </row>
    <row r="781" spans="1:6" x14ac:dyDescent="0.25">
      <c r="A781" s="48" t="s">
        <v>293</v>
      </c>
      <c r="B781" s="48">
        <v>70012622</v>
      </c>
      <c r="C781" s="47">
        <v>3</v>
      </c>
      <c r="D781" s="48" t="s">
        <v>1359</v>
      </c>
      <c r="E781" s="48" t="s">
        <v>294</v>
      </c>
      <c r="F781" s="47" t="s">
        <v>46</v>
      </c>
    </row>
    <row r="782" spans="1:6" x14ac:dyDescent="0.25">
      <c r="A782" s="48" t="s">
        <v>291</v>
      </c>
      <c r="B782" s="48">
        <v>70012623</v>
      </c>
      <c r="C782" s="47">
        <v>3</v>
      </c>
      <c r="D782" s="48" t="s">
        <v>1359</v>
      </c>
      <c r="E782" s="48" t="s">
        <v>292</v>
      </c>
      <c r="F782" s="47" t="s">
        <v>46</v>
      </c>
    </row>
    <row r="783" spans="1:6" x14ac:dyDescent="0.25">
      <c r="A783" s="28" t="s">
        <v>289</v>
      </c>
      <c r="B783" s="48">
        <v>70012564</v>
      </c>
      <c r="C783" s="47">
        <v>3</v>
      </c>
      <c r="D783" s="48" t="s">
        <v>1359</v>
      </c>
      <c r="E783" s="28" t="s">
        <v>290</v>
      </c>
      <c r="F783" s="47" t="s">
        <v>46</v>
      </c>
    </row>
    <row r="784" spans="1:6" x14ac:dyDescent="0.25">
      <c r="A784" s="28" t="s">
        <v>287</v>
      </c>
      <c r="B784" s="48">
        <v>70012618</v>
      </c>
      <c r="C784" s="47">
        <v>3</v>
      </c>
      <c r="D784" s="48" t="s">
        <v>1359</v>
      </c>
      <c r="E784" s="28" t="s">
        <v>288</v>
      </c>
      <c r="F784" s="47" t="s">
        <v>46</v>
      </c>
    </row>
    <row r="785" spans="1:6" x14ac:dyDescent="0.25">
      <c r="A785" s="48" t="s">
        <v>285</v>
      </c>
      <c r="B785" s="48">
        <v>70012558</v>
      </c>
      <c r="C785" s="47">
        <v>3</v>
      </c>
      <c r="D785" s="48" t="s">
        <v>1359</v>
      </c>
      <c r="E785" s="48" t="s">
        <v>286</v>
      </c>
      <c r="F785" s="47" t="s">
        <v>46</v>
      </c>
    </row>
    <row r="786" spans="1:6" x14ac:dyDescent="0.25">
      <c r="A786" s="48" t="s">
        <v>282</v>
      </c>
      <c r="B786" s="48">
        <v>70012570</v>
      </c>
      <c r="C786" s="47">
        <v>3</v>
      </c>
      <c r="D786" s="48" t="s">
        <v>1359</v>
      </c>
      <c r="E786" s="48" t="s">
        <v>283</v>
      </c>
      <c r="F786" s="47" t="s">
        <v>46</v>
      </c>
    </row>
    <row r="787" spans="1:6" x14ac:dyDescent="0.25">
      <c r="A787" s="48" t="s">
        <v>280</v>
      </c>
      <c r="B787" s="48">
        <v>70012582</v>
      </c>
      <c r="C787" s="47">
        <v>3</v>
      </c>
      <c r="D787" s="48" t="s">
        <v>1359</v>
      </c>
      <c r="E787" s="48" t="s">
        <v>281</v>
      </c>
      <c r="F787" s="47" t="s">
        <v>46</v>
      </c>
    </row>
    <row r="788" spans="1:6" x14ac:dyDescent="0.25">
      <c r="A788" s="48" t="s">
        <v>278</v>
      </c>
      <c r="B788" s="48">
        <v>70012594</v>
      </c>
      <c r="C788" s="47">
        <v>3</v>
      </c>
      <c r="D788" s="48" t="s">
        <v>1359</v>
      </c>
      <c r="E788" s="48" t="s">
        <v>279</v>
      </c>
      <c r="F788" s="47" t="s">
        <v>46</v>
      </c>
    </row>
    <row r="789" spans="1:6" x14ac:dyDescent="0.25">
      <c r="A789" s="48" t="s">
        <v>276</v>
      </c>
      <c r="B789" s="48">
        <v>70012576</v>
      </c>
      <c r="C789" s="47">
        <v>3</v>
      </c>
      <c r="D789" s="48" t="s">
        <v>1359</v>
      </c>
      <c r="E789" s="48" t="s">
        <v>277</v>
      </c>
      <c r="F789" s="47" t="s">
        <v>46</v>
      </c>
    </row>
    <row r="790" spans="1:6" x14ac:dyDescent="0.25">
      <c r="A790" s="48" t="s">
        <v>273</v>
      </c>
      <c r="B790" s="48">
        <v>70012588</v>
      </c>
      <c r="C790" s="47">
        <v>3</v>
      </c>
      <c r="D790" s="48" t="s">
        <v>1359</v>
      </c>
      <c r="E790" s="48" t="s">
        <v>274</v>
      </c>
      <c r="F790" s="47" t="s">
        <v>46</v>
      </c>
    </row>
    <row r="791" spans="1:6" x14ac:dyDescent="0.25">
      <c r="A791" s="48" t="s">
        <v>270</v>
      </c>
      <c r="B791" s="48">
        <v>70012600</v>
      </c>
      <c r="C791" s="47">
        <v>3</v>
      </c>
      <c r="D791" s="48" t="s">
        <v>1359</v>
      </c>
      <c r="E791" s="48" t="s">
        <v>271</v>
      </c>
      <c r="F791" s="47" t="s">
        <v>46</v>
      </c>
    </row>
    <row r="792" spans="1:6" x14ac:dyDescent="0.25">
      <c r="A792" s="48" t="s">
        <v>267</v>
      </c>
      <c r="B792" s="48">
        <v>70012614</v>
      </c>
      <c r="C792" s="47">
        <v>1</v>
      </c>
      <c r="D792" s="48" t="s">
        <v>1359</v>
      </c>
      <c r="E792" s="48" t="s">
        <v>268</v>
      </c>
      <c r="F792" s="47" t="s">
        <v>41</v>
      </c>
    </row>
    <row r="793" spans="1:6" x14ac:dyDescent="0.25">
      <c r="A793" s="48" t="s">
        <v>265</v>
      </c>
      <c r="B793" s="48">
        <v>70012664</v>
      </c>
      <c r="C793" s="47">
        <v>1</v>
      </c>
      <c r="D793" s="48" t="s">
        <v>1359</v>
      </c>
      <c r="E793" s="48" t="s">
        <v>266</v>
      </c>
      <c r="F793" s="47" t="s">
        <v>87</v>
      </c>
    </row>
    <row r="794" spans="1:6" x14ac:dyDescent="0.25">
      <c r="A794" s="48" t="s">
        <v>262</v>
      </c>
      <c r="B794" s="48">
        <v>70012551</v>
      </c>
      <c r="C794" s="47">
        <v>1</v>
      </c>
      <c r="D794" s="48" t="s">
        <v>1359</v>
      </c>
      <c r="E794" s="48" t="s">
        <v>263</v>
      </c>
      <c r="F794" s="47" t="s">
        <v>112</v>
      </c>
    </row>
    <row r="795" spans="1:6" x14ac:dyDescent="0.25">
      <c r="A795" s="48" t="s">
        <v>260</v>
      </c>
      <c r="B795" s="48">
        <v>70012050</v>
      </c>
      <c r="C795" s="47">
        <v>1</v>
      </c>
      <c r="D795" s="48" t="s">
        <v>1359</v>
      </c>
      <c r="E795" s="48" t="s">
        <v>261</v>
      </c>
      <c r="F795" s="47" t="s">
        <v>229</v>
      </c>
    </row>
    <row r="796" spans="1:6" x14ac:dyDescent="0.25">
      <c r="A796" s="48" t="s">
        <v>258</v>
      </c>
      <c r="B796" s="48">
        <v>70012679</v>
      </c>
      <c r="C796" s="47">
        <v>3</v>
      </c>
      <c r="D796" s="48" t="s">
        <v>1359</v>
      </c>
      <c r="E796" s="48" t="s">
        <v>259</v>
      </c>
      <c r="F796" s="47" t="s">
        <v>46</v>
      </c>
    </row>
    <row r="797" spans="1:6" x14ac:dyDescent="0.25">
      <c r="A797" s="48" t="s">
        <v>256</v>
      </c>
      <c r="B797" s="48">
        <v>70012680</v>
      </c>
      <c r="C797" s="47">
        <v>1</v>
      </c>
      <c r="D797" s="48" t="s">
        <v>1359</v>
      </c>
      <c r="E797" s="48" t="s">
        <v>257</v>
      </c>
      <c r="F797" s="47" t="s">
        <v>46</v>
      </c>
    </row>
    <row r="798" spans="1:6" x14ac:dyDescent="0.25">
      <c r="A798" s="48" t="s">
        <v>254</v>
      </c>
      <c r="B798" s="48">
        <v>70012681</v>
      </c>
      <c r="C798" s="47">
        <v>3</v>
      </c>
      <c r="D798" s="48" t="s">
        <v>1359</v>
      </c>
      <c r="E798" s="48" t="s">
        <v>255</v>
      </c>
      <c r="F798" s="47" t="s">
        <v>46</v>
      </c>
    </row>
    <row r="799" spans="1:6" x14ac:dyDescent="0.25">
      <c r="A799" s="48" t="s">
        <v>252</v>
      </c>
      <c r="B799" s="48">
        <v>70012684</v>
      </c>
      <c r="C799" s="47">
        <v>1</v>
      </c>
      <c r="D799" s="48" t="s">
        <v>1359</v>
      </c>
      <c r="E799" s="48" t="s">
        <v>253</v>
      </c>
      <c r="F799" s="47" t="s">
        <v>112</v>
      </c>
    </row>
    <row r="800" spans="1:6" x14ac:dyDescent="0.25">
      <c r="A800" s="48" t="s">
        <v>250</v>
      </c>
      <c r="B800" s="48">
        <v>70012760</v>
      </c>
      <c r="C800" s="47">
        <v>1</v>
      </c>
      <c r="D800" s="48" t="s">
        <v>1359</v>
      </c>
      <c r="E800" s="48" t="s">
        <v>251</v>
      </c>
      <c r="F800" s="47" t="s">
        <v>131</v>
      </c>
    </row>
    <row r="801" spans="1:6" x14ac:dyDescent="0.25">
      <c r="A801" s="48" t="s">
        <v>89</v>
      </c>
      <c r="B801" s="33">
        <v>70012755</v>
      </c>
      <c r="C801" s="47">
        <v>1</v>
      </c>
      <c r="D801" s="48" t="s">
        <v>1359</v>
      </c>
      <c r="E801" s="48" t="s">
        <v>90</v>
      </c>
      <c r="F801" s="48" t="s">
        <v>87</v>
      </c>
    </row>
    <row r="802" spans="1:6" x14ac:dyDescent="0.25">
      <c r="A802" s="28" t="s">
        <v>248</v>
      </c>
      <c r="B802" s="33">
        <v>70012525</v>
      </c>
      <c r="C802" s="47">
        <v>1</v>
      </c>
      <c r="D802" s="48" t="s">
        <v>1359</v>
      </c>
      <c r="E802" s="28" t="s">
        <v>249</v>
      </c>
      <c r="F802" s="47" t="s">
        <v>112</v>
      </c>
    </row>
    <row r="803" spans="1:6" x14ac:dyDescent="0.25">
      <c r="A803" s="28" t="s">
        <v>114</v>
      </c>
      <c r="B803" s="33">
        <v>70012617</v>
      </c>
      <c r="C803" s="47">
        <v>1</v>
      </c>
      <c r="D803" s="48" t="s">
        <v>1359</v>
      </c>
      <c r="E803" s="28" t="s">
        <v>2129</v>
      </c>
      <c r="F803" s="47" t="s">
        <v>112</v>
      </c>
    </row>
    <row r="804" spans="1:6" x14ac:dyDescent="0.25">
      <c r="A804" s="28" t="s">
        <v>246</v>
      </c>
      <c r="B804" s="33">
        <v>70012625</v>
      </c>
      <c r="C804" s="47">
        <v>3</v>
      </c>
      <c r="D804" s="48" t="s">
        <v>1359</v>
      </c>
      <c r="E804" s="28" t="s">
        <v>247</v>
      </c>
      <c r="F804" s="47" t="s">
        <v>112</v>
      </c>
    </row>
    <row r="805" spans="1:6" x14ac:dyDescent="0.25">
      <c r="A805" s="28" t="s">
        <v>230</v>
      </c>
      <c r="B805" s="33">
        <v>70012793</v>
      </c>
      <c r="C805" s="47">
        <v>1</v>
      </c>
      <c r="D805" s="48" t="s">
        <v>1359</v>
      </c>
      <c r="E805" s="28" t="s">
        <v>231</v>
      </c>
      <c r="F805" s="47" t="s">
        <v>229</v>
      </c>
    </row>
    <row r="806" spans="1:6" x14ac:dyDescent="0.25">
      <c r="A806" s="28" t="s">
        <v>235</v>
      </c>
      <c r="B806" s="33">
        <v>70012609</v>
      </c>
      <c r="C806" s="47">
        <v>3</v>
      </c>
      <c r="D806" s="48" t="s">
        <v>1359</v>
      </c>
      <c r="E806" s="28" t="s">
        <v>236</v>
      </c>
      <c r="F806" s="47" t="s">
        <v>131</v>
      </c>
    </row>
    <row r="807" spans="1:6" x14ac:dyDescent="0.25">
      <c r="A807" s="28" t="s">
        <v>227</v>
      </c>
      <c r="B807" s="33">
        <v>70012027</v>
      </c>
      <c r="C807" s="47">
        <v>1</v>
      </c>
      <c r="D807" s="48" t="s">
        <v>1359</v>
      </c>
      <c r="E807" s="28" t="s">
        <v>228</v>
      </c>
      <c r="F807" s="47" t="s">
        <v>112</v>
      </c>
    </row>
    <row r="808" spans="1:6" x14ac:dyDescent="0.25">
      <c r="A808" s="28" t="s">
        <v>237</v>
      </c>
      <c r="B808" s="33">
        <v>70012606</v>
      </c>
      <c r="C808" s="47">
        <v>3</v>
      </c>
      <c r="D808" s="48" t="s">
        <v>1359</v>
      </c>
      <c r="E808" s="28" t="s">
        <v>238</v>
      </c>
      <c r="F808" s="47" t="s">
        <v>131</v>
      </c>
    </row>
    <row r="809" spans="1:6" x14ac:dyDescent="0.25">
      <c r="A809" s="28" t="s">
        <v>244</v>
      </c>
      <c r="B809" s="33">
        <v>70012704</v>
      </c>
      <c r="C809" s="47">
        <v>1</v>
      </c>
      <c r="D809" s="48" t="s">
        <v>1359</v>
      </c>
      <c r="E809" s="28" t="s">
        <v>245</v>
      </c>
      <c r="F809" s="47" t="s">
        <v>131</v>
      </c>
    </row>
    <row r="810" spans="1:6" x14ac:dyDescent="0.25">
      <c r="A810" s="28" t="s">
        <v>240</v>
      </c>
      <c r="B810" s="33">
        <v>70012701</v>
      </c>
      <c r="C810" s="47">
        <v>3</v>
      </c>
      <c r="D810" s="48" t="s">
        <v>1359</v>
      </c>
      <c r="E810" s="28" t="s">
        <v>241</v>
      </c>
      <c r="F810" s="47" t="s">
        <v>41</v>
      </c>
    </row>
    <row r="811" spans="1:6" x14ac:dyDescent="0.25">
      <c r="A811" s="28" t="s">
        <v>242</v>
      </c>
      <c r="B811" s="33">
        <v>70012752</v>
      </c>
      <c r="C811" s="47">
        <v>3</v>
      </c>
      <c r="D811" s="48" t="s">
        <v>1359</v>
      </c>
      <c r="E811" s="28" t="s">
        <v>243</v>
      </c>
      <c r="F811" s="47" t="s">
        <v>171</v>
      </c>
    </row>
    <row r="812" spans="1:6" x14ac:dyDescent="0.25">
      <c r="A812" s="28" t="s">
        <v>232</v>
      </c>
      <c r="B812" s="33">
        <v>70012790</v>
      </c>
      <c r="C812" s="47">
        <v>3</v>
      </c>
      <c r="D812" s="48" t="s">
        <v>1359</v>
      </c>
      <c r="E812" s="48" t="s">
        <v>233</v>
      </c>
      <c r="F812" s="47" t="s">
        <v>171</v>
      </c>
    </row>
    <row r="813" spans="1:6" x14ac:dyDescent="0.25">
      <c r="A813" s="48" t="s">
        <v>225</v>
      </c>
      <c r="B813" s="48">
        <v>70012797</v>
      </c>
      <c r="C813" s="47">
        <v>1</v>
      </c>
      <c r="D813" s="48" t="s">
        <v>1359</v>
      </c>
      <c r="E813" s="48" t="s">
        <v>226</v>
      </c>
      <c r="F813" s="47" t="s">
        <v>112</v>
      </c>
    </row>
    <row r="814" spans="1:6" x14ac:dyDescent="0.25">
      <c r="A814" s="28" t="s">
        <v>969</v>
      </c>
      <c r="B814" s="48">
        <v>70012808</v>
      </c>
      <c r="C814" s="47">
        <v>2</v>
      </c>
      <c r="D814" s="48" t="s">
        <v>1359</v>
      </c>
      <c r="E814" s="48" t="s">
        <v>970</v>
      </c>
      <c r="F814" s="47" t="s">
        <v>63</v>
      </c>
    </row>
    <row r="815" spans="1:6" x14ac:dyDescent="0.25">
      <c r="A815" s="48" t="s">
        <v>209</v>
      </c>
      <c r="B815" s="48">
        <v>70012853</v>
      </c>
      <c r="C815" s="47">
        <v>3</v>
      </c>
      <c r="D815" s="48" t="s">
        <v>1359</v>
      </c>
      <c r="E815" s="48" t="s">
        <v>210</v>
      </c>
      <c r="F815" s="47" t="s">
        <v>41</v>
      </c>
    </row>
    <row r="816" spans="1:6" x14ac:dyDescent="0.25">
      <c r="A816" s="48" t="s">
        <v>104</v>
      </c>
      <c r="B816" s="48">
        <v>70012823</v>
      </c>
      <c r="C816" s="47">
        <v>1</v>
      </c>
      <c r="D816" s="48" t="s">
        <v>1359</v>
      </c>
      <c r="E816" s="48" t="s">
        <v>105</v>
      </c>
      <c r="F816" s="47" t="s">
        <v>46</v>
      </c>
    </row>
    <row r="817" spans="1:6" x14ac:dyDescent="0.25">
      <c r="A817" s="48" t="s">
        <v>106</v>
      </c>
      <c r="B817" s="48">
        <v>70012826</v>
      </c>
      <c r="C817" s="47">
        <v>1</v>
      </c>
      <c r="D817" s="48" t="s">
        <v>1359</v>
      </c>
      <c r="E817" s="48" t="s">
        <v>107</v>
      </c>
      <c r="F817" s="47" t="s">
        <v>46</v>
      </c>
    </row>
    <row r="818" spans="1:6" x14ac:dyDescent="0.25">
      <c r="A818" s="48" t="s">
        <v>108</v>
      </c>
      <c r="B818" s="48">
        <v>70012865</v>
      </c>
      <c r="C818" s="47">
        <v>1</v>
      </c>
      <c r="D818" s="48" t="s">
        <v>1359</v>
      </c>
      <c r="E818" s="48" t="s">
        <v>109</v>
      </c>
      <c r="F818" s="47" t="s">
        <v>46</v>
      </c>
    </row>
    <row r="819" spans="1:6" x14ac:dyDescent="0.25">
      <c r="A819" s="48" t="s">
        <v>110</v>
      </c>
      <c r="B819" s="48">
        <v>70012868</v>
      </c>
      <c r="C819" s="47">
        <v>1</v>
      </c>
      <c r="D819" s="48" t="s">
        <v>1359</v>
      </c>
      <c r="E819" s="48" t="s">
        <v>111</v>
      </c>
      <c r="F819" s="47" t="s">
        <v>46</v>
      </c>
    </row>
    <row r="820" spans="1:6" x14ac:dyDescent="0.25">
      <c r="A820" s="48" t="s">
        <v>212</v>
      </c>
      <c r="B820" s="48">
        <v>70012707</v>
      </c>
      <c r="C820" s="47">
        <v>3</v>
      </c>
      <c r="D820" s="48" t="s">
        <v>1359</v>
      </c>
      <c r="E820" s="48" t="s">
        <v>213</v>
      </c>
      <c r="F820" s="47" t="s">
        <v>46</v>
      </c>
    </row>
    <row r="821" spans="1:6" x14ac:dyDescent="0.25">
      <c r="A821" s="48" t="s">
        <v>214</v>
      </c>
      <c r="B821" s="48">
        <v>70012749</v>
      </c>
      <c r="C821" s="47">
        <v>1</v>
      </c>
      <c r="D821" s="48" t="s">
        <v>1359</v>
      </c>
      <c r="E821" s="48" t="s">
        <v>215</v>
      </c>
      <c r="F821" s="47" t="s">
        <v>171</v>
      </c>
    </row>
    <row r="822" spans="1:6" x14ac:dyDescent="0.25">
      <c r="A822" s="48" t="s">
        <v>216</v>
      </c>
      <c r="B822" s="48">
        <v>70012926</v>
      </c>
      <c r="C822" s="47">
        <v>1</v>
      </c>
      <c r="D822" s="48" t="s">
        <v>1359</v>
      </c>
      <c r="E822" s="48" t="s">
        <v>217</v>
      </c>
      <c r="F822" s="47" t="s">
        <v>171</v>
      </c>
    </row>
    <row r="823" spans="1:6" x14ac:dyDescent="0.25">
      <c r="A823" s="48" t="s">
        <v>219</v>
      </c>
      <c r="B823" s="48">
        <v>70012758</v>
      </c>
      <c r="C823" s="47">
        <v>3</v>
      </c>
      <c r="D823" s="48" t="s">
        <v>1359</v>
      </c>
      <c r="E823" s="48" t="s">
        <v>220</v>
      </c>
      <c r="F823" s="47" t="s">
        <v>87</v>
      </c>
    </row>
    <row r="824" spans="1:6" x14ac:dyDescent="0.25">
      <c r="A824" s="48" t="s">
        <v>221</v>
      </c>
      <c r="B824" s="48">
        <v>70012948</v>
      </c>
      <c r="C824" s="47">
        <v>3</v>
      </c>
      <c r="D824" s="48" t="s">
        <v>1359</v>
      </c>
      <c r="E824" s="48" t="s">
        <v>222</v>
      </c>
      <c r="F824" s="47" t="s">
        <v>87</v>
      </c>
    </row>
    <row r="825" spans="1:6" x14ac:dyDescent="0.25">
      <c r="A825" s="48" t="s">
        <v>116</v>
      </c>
      <c r="B825" s="48">
        <v>70012814</v>
      </c>
      <c r="C825" s="47">
        <v>1</v>
      </c>
      <c r="D825" s="48" t="s">
        <v>1359</v>
      </c>
      <c r="E825" s="48" t="s">
        <v>117</v>
      </c>
      <c r="F825" s="47" t="s">
        <v>112</v>
      </c>
    </row>
    <row r="826" spans="1:6" x14ac:dyDescent="0.25">
      <c r="A826" s="48" t="s">
        <v>118</v>
      </c>
      <c r="B826" s="48">
        <v>70012817</v>
      </c>
      <c r="C826" s="47">
        <v>1</v>
      </c>
      <c r="D826" s="48" t="s">
        <v>1359</v>
      </c>
      <c r="E826" s="48" t="s">
        <v>119</v>
      </c>
      <c r="F826" s="47" t="s">
        <v>112</v>
      </c>
    </row>
    <row r="827" spans="1:6" x14ac:dyDescent="0.25">
      <c r="A827" s="48" t="s">
        <v>223</v>
      </c>
      <c r="B827" s="48">
        <v>70012777</v>
      </c>
      <c r="C827" s="47">
        <v>3</v>
      </c>
      <c r="D827" s="48" t="s">
        <v>1359</v>
      </c>
      <c r="E827" s="48" t="s">
        <v>224</v>
      </c>
      <c r="F827" s="47" t="s">
        <v>112</v>
      </c>
    </row>
    <row r="828" spans="1:6" x14ac:dyDescent="0.25">
      <c r="A828" s="28" t="s">
        <v>206</v>
      </c>
      <c r="B828" s="33">
        <v>70012400</v>
      </c>
      <c r="C828" s="47">
        <v>1</v>
      </c>
      <c r="D828" s="48" t="s">
        <v>1359</v>
      </c>
      <c r="E828" s="11" t="s">
        <v>207</v>
      </c>
      <c r="F828" s="47" t="s">
        <v>63</v>
      </c>
    </row>
    <row r="829" spans="1:6" x14ac:dyDescent="0.25">
      <c r="A829" s="28" t="s">
        <v>204</v>
      </c>
      <c r="B829" s="33">
        <v>70013107</v>
      </c>
      <c r="C829" s="47">
        <v>2</v>
      </c>
      <c r="D829" s="48" t="s">
        <v>1359</v>
      </c>
      <c r="E829" s="11" t="s">
        <v>2130</v>
      </c>
      <c r="F829" s="47" t="s">
        <v>63</v>
      </c>
    </row>
    <row r="830" spans="1:6" x14ac:dyDescent="0.25">
      <c r="A830" s="28" t="s">
        <v>203</v>
      </c>
      <c r="B830" s="33">
        <v>70013104</v>
      </c>
      <c r="C830" s="47">
        <v>2</v>
      </c>
      <c r="D830" s="48" t="s">
        <v>1359</v>
      </c>
      <c r="E830" s="11" t="s">
        <v>2131</v>
      </c>
      <c r="F830" s="47" t="s">
        <v>63</v>
      </c>
    </row>
    <row r="831" spans="1:6" x14ac:dyDescent="0.25">
      <c r="A831" s="28" t="s">
        <v>202</v>
      </c>
      <c r="B831" s="33">
        <v>70013004</v>
      </c>
      <c r="C831" s="47">
        <v>2</v>
      </c>
      <c r="D831" s="48" t="s">
        <v>1359</v>
      </c>
      <c r="E831" s="11" t="s">
        <v>2132</v>
      </c>
      <c r="F831" s="47" t="s">
        <v>63</v>
      </c>
    </row>
    <row r="832" spans="1:6" x14ac:dyDescent="0.25">
      <c r="A832" s="28" t="s">
        <v>201</v>
      </c>
      <c r="B832" s="33">
        <v>70013058</v>
      </c>
      <c r="C832" s="47">
        <v>2</v>
      </c>
      <c r="D832" s="48" t="s">
        <v>1359</v>
      </c>
      <c r="E832" s="11" t="s">
        <v>2133</v>
      </c>
      <c r="F832" s="47" t="s">
        <v>63</v>
      </c>
    </row>
    <row r="833" spans="1:6" x14ac:dyDescent="0.25">
      <c r="A833" s="28" t="s">
        <v>200</v>
      </c>
      <c r="B833" s="33">
        <v>70013050</v>
      </c>
      <c r="C833" s="47">
        <v>2</v>
      </c>
      <c r="D833" s="48" t="s">
        <v>1359</v>
      </c>
      <c r="E833" s="11" t="s">
        <v>2134</v>
      </c>
      <c r="F833" s="47" t="s">
        <v>63</v>
      </c>
    </row>
    <row r="834" spans="1:6" x14ac:dyDescent="0.25">
      <c r="A834" s="28" t="s">
        <v>198</v>
      </c>
      <c r="B834" s="33">
        <v>70013061</v>
      </c>
      <c r="C834" s="47">
        <v>2</v>
      </c>
      <c r="D834" s="48" t="s">
        <v>1359</v>
      </c>
      <c r="E834" s="11" t="s">
        <v>2135</v>
      </c>
      <c r="F834" s="47" t="s">
        <v>63</v>
      </c>
    </row>
    <row r="835" spans="1:6" x14ac:dyDescent="0.25">
      <c r="A835" s="28" t="s">
        <v>195</v>
      </c>
      <c r="B835" s="33">
        <v>70012935</v>
      </c>
      <c r="C835" s="47">
        <v>2</v>
      </c>
      <c r="D835" s="48" t="s">
        <v>1359</v>
      </c>
      <c r="E835" s="11" t="s">
        <v>196</v>
      </c>
      <c r="F835" s="47" t="s">
        <v>63</v>
      </c>
    </row>
    <row r="836" spans="1:6" x14ac:dyDescent="0.25">
      <c r="A836" s="28" t="s">
        <v>194</v>
      </c>
      <c r="B836" s="33">
        <v>70012969</v>
      </c>
      <c r="C836" s="47">
        <v>2</v>
      </c>
      <c r="D836" s="48" t="s">
        <v>1359</v>
      </c>
      <c r="E836" s="11" t="s">
        <v>2136</v>
      </c>
      <c r="F836" s="47" t="s">
        <v>63</v>
      </c>
    </row>
    <row r="837" spans="1:6" x14ac:dyDescent="0.25">
      <c r="A837" s="48" t="s">
        <v>59</v>
      </c>
      <c r="B837" s="48">
        <v>70012908</v>
      </c>
      <c r="C837" s="47">
        <v>3</v>
      </c>
      <c r="D837" s="48" t="s">
        <v>1359</v>
      </c>
      <c r="E837" s="48" t="s">
        <v>60</v>
      </c>
      <c r="F837" s="47" t="s">
        <v>46</v>
      </c>
    </row>
    <row r="838" spans="1:6" x14ac:dyDescent="0.25">
      <c r="A838" s="48" t="s">
        <v>61</v>
      </c>
      <c r="B838" s="48">
        <v>70012905</v>
      </c>
      <c r="C838" s="47">
        <v>3</v>
      </c>
      <c r="D838" s="48" t="s">
        <v>1359</v>
      </c>
      <c r="E838" s="48" t="s">
        <v>62</v>
      </c>
      <c r="F838" s="47" t="s">
        <v>46</v>
      </c>
    </row>
    <row r="839" spans="1:6" x14ac:dyDescent="0.25">
      <c r="A839" s="48" t="s">
        <v>83</v>
      </c>
      <c r="B839" s="48">
        <v>70012873</v>
      </c>
      <c r="C839" s="47">
        <v>3</v>
      </c>
      <c r="D839" s="48" t="s">
        <v>1359</v>
      </c>
      <c r="E839" s="48" t="s">
        <v>84</v>
      </c>
      <c r="F839" s="47" t="s">
        <v>46</v>
      </c>
    </row>
    <row r="840" spans="1:6" x14ac:dyDescent="0.25">
      <c r="A840" s="48" t="s">
        <v>85</v>
      </c>
      <c r="B840" s="48">
        <v>70012870</v>
      </c>
      <c r="C840" s="47">
        <v>3</v>
      </c>
      <c r="D840" s="48" t="s">
        <v>1359</v>
      </c>
      <c r="E840" s="48" t="s">
        <v>86</v>
      </c>
      <c r="F840" s="47" t="s">
        <v>46</v>
      </c>
    </row>
    <row r="841" spans="1:6" x14ac:dyDescent="0.25">
      <c r="A841" s="48" t="s">
        <v>97</v>
      </c>
      <c r="B841" s="48">
        <v>70013178</v>
      </c>
      <c r="C841" s="47">
        <v>1</v>
      </c>
      <c r="D841" s="48" t="s">
        <v>1359</v>
      </c>
      <c r="E841" s="48" t="s">
        <v>98</v>
      </c>
      <c r="F841" s="47" t="s">
        <v>41</v>
      </c>
    </row>
    <row r="842" spans="1:6" x14ac:dyDescent="0.25">
      <c r="A842" s="48" t="s">
        <v>121</v>
      </c>
      <c r="B842" s="48">
        <v>70012820</v>
      </c>
      <c r="C842" s="47">
        <v>1</v>
      </c>
      <c r="D842" s="48" t="s">
        <v>1359</v>
      </c>
      <c r="E842" s="48" t="s">
        <v>2137</v>
      </c>
      <c r="F842" s="47" t="s">
        <v>112</v>
      </c>
    </row>
    <row r="843" spans="1:6" x14ac:dyDescent="0.25">
      <c r="A843" s="48" t="s">
        <v>122</v>
      </c>
      <c r="B843" s="48">
        <v>70012811</v>
      </c>
      <c r="C843" s="47">
        <v>1</v>
      </c>
      <c r="D843" s="48" t="s">
        <v>1359</v>
      </c>
      <c r="E843" s="48" t="s">
        <v>2138</v>
      </c>
      <c r="F843" s="47" t="s">
        <v>112</v>
      </c>
    </row>
    <row r="844" spans="1:6" x14ac:dyDescent="0.25">
      <c r="A844" s="48" t="s">
        <v>190</v>
      </c>
      <c r="B844" s="48">
        <v>70013166</v>
      </c>
      <c r="C844" s="47">
        <v>3</v>
      </c>
      <c r="D844" s="48" t="s">
        <v>1359</v>
      </c>
      <c r="E844" s="48" t="s">
        <v>191</v>
      </c>
      <c r="F844" s="47" t="s">
        <v>171</v>
      </c>
    </row>
    <row r="845" spans="1:6" x14ac:dyDescent="0.25">
      <c r="A845" s="48" t="s">
        <v>192</v>
      </c>
      <c r="B845" s="48">
        <v>70013163</v>
      </c>
      <c r="C845" s="47">
        <v>3</v>
      </c>
      <c r="D845" s="48" t="s">
        <v>1359</v>
      </c>
      <c r="E845" s="48" t="s">
        <v>193</v>
      </c>
      <c r="F845" s="47" t="s">
        <v>171</v>
      </c>
    </row>
    <row r="846" spans="1:6" x14ac:dyDescent="0.25">
      <c r="A846" s="28" t="s">
        <v>81</v>
      </c>
      <c r="B846" s="25">
        <v>70013210</v>
      </c>
      <c r="C846" s="47">
        <v>3</v>
      </c>
      <c r="D846" s="48" t="s">
        <v>1359</v>
      </c>
      <c r="E846" s="28" t="s">
        <v>82</v>
      </c>
      <c r="F846" s="47" t="s">
        <v>46</v>
      </c>
    </row>
    <row r="847" spans="1:6" x14ac:dyDescent="0.25">
      <c r="A847" s="28" t="s">
        <v>188</v>
      </c>
      <c r="B847" s="33">
        <v>70012938</v>
      </c>
      <c r="C847" s="47">
        <v>1</v>
      </c>
      <c r="D847" s="48" t="s">
        <v>1359</v>
      </c>
      <c r="E847" s="28" t="s">
        <v>189</v>
      </c>
      <c r="F847" s="47" t="s">
        <v>41</v>
      </c>
    </row>
    <row r="848" spans="1:6" x14ac:dyDescent="0.25">
      <c r="A848" s="5" t="s">
        <v>185</v>
      </c>
      <c r="B848" s="11">
        <v>70013001</v>
      </c>
      <c r="C848" s="47">
        <v>2</v>
      </c>
      <c r="D848" s="48" t="s">
        <v>1359</v>
      </c>
      <c r="E848" s="48" t="s">
        <v>186</v>
      </c>
      <c r="F848" s="47" t="s">
        <v>63</v>
      </c>
    </row>
    <row r="849" spans="1:6" x14ac:dyDescent="0.25">
      <c r="A849" s="48" t="s">
        <v>180</v>
      </c>
      <c r="B849" s="11">
        <v>70012972</v>
      </c>
      <c r="C849" s="47">
        <v>2</v>
      </c>
      <c r="D849" s="48" t="s">
        <v>1359</v>
      </c>
      <c r="E849" s="5" t="s">
        <v>181</v>
      </c>
      <c r="F849" s="47" t="s">
        <v>63</v>
      </c>
    </row>
    <row r="850" spans="1:6" x14ac:dyDescent="0.25">
      <c r="A850" s="48" t="s">
        <v>183</v>
      </c>
      <c r="B850" s="48">
        <v>70013098</v>
      </c>
      <c r="C850" s="47">
        <v>2</v>
      </c>
      <c r="D850" s="48" t="s">
        <v>1359</v>
      </c>
      <c r="E850" s="48" t="s">
        <v>184</v>
      </c>
      <c r="F850" s="47" t="s">
        <v>63</v>
      </c>
    </row>
    <row r="851" spans="1:6" x14ac:dyDescent="0.25">
      <c r="A851" s="48" t="s">
        <v>100</v>
      </c>
      <c r="B851" s="48">
        <v>70012879</v>
      </c>
      <c r="C851" s="47">
        <v>1</v>
      </c>
      <c r="D851" s="48" t="s">
        <v>1359</v>
      </c>
      <c r="E851" s="48" t="s">
        <v>101</v>
      </c>
      <c r="F851" s="47" t="s">
        <v>46</v>
      </c>
    </row>
    <row r="852" spans="1:6" x14ac:dyDescent="0.25">
      <c r="A852" s="48" t="s">
        <v>2025</v>
      </c>
      <c r="B852" s="48">
        <v>50009313</v>
      </c>
      <c r="C852" s="47">
        <v>1</v>
      </c>
      <c r="D852" s="48" t="s">
        <v>1359</v>
      </c>
      <c r="E852" s="48" t="s">
        <v>619</v>
      </c>
      <c r="F852" s="47" t="s">
        <v>112</v>
      </c>
    </row>
    <row r="853" spans="1:6" x14ac:dyDescent="0.25">
      <c r="A853" s="48" t="s">
        <v>803</v>
      </c>
      <c r="B853" s="48">
        <v>50007249</v>
      </c>
      <c r="C853" s="47">
        <v>1</v>
      </c>
      <c r="D853" s="48" t="s">
        <v>1359</v>
      </c>
      <c r="E853" s="48" t="s">
        <v>804</v>
      </c>
      <c r="F853" s="47" t="s">
        <v>46</v>
      </c>
    </row>
    <row r="854" spans="1:6" x14ac:dyDescent="0.25">
      <c r="A854" s="48" t="s">
        <v>172</v>
      </c>
      <c r="B854" s="48">
        <v>70012923</v>
      </c>
      <c r="C854" s="47">
        <v>3</v>
      </c>
      <c r="D854" s="48" t="s">
        <v>1359</v>
      </c>
      <c r="E854" s="48" t="s">
        <v>173</v>
      </c>
      <c r="F854" s="47" t="s">
        <v>171</v>
      </c>
    </row>
    <row r="855" spans="1:6" x14ac:dyDescent="0.25">
      <c r="A855" s="48" t="s">
        <v>57</v>
      </c>
      <c r="B855" s="48">
        <v>70013202</v>
      </c>
      <c r="C855" s="47">
        <v>3</v>
      </c>
      <c r="D855" s="48" t="s">
        <v>1359</v>
      </c>
      <c r="E855" s="48" t="s">
        <v>58</v>
      </c>
      <c r="F855" s="47" t="s">
        <v>46</v>
      </c>
    </row>
    <row r="856" spans="1:6" x14ac:dyDescent="0.25">
      <c r="A856" s="48" t="s">
        <v>175</v>
      </c>
      <c r="B856" s="48">
        <v>70013252</v>
      </c>
      <c r="C856" s="47">
        <v>1</v>
      </c>
      <c r="D856" s="48" t="s">
        <v>1359</v>
      </c>
      <c r="E856" s="48" t="s">
        <v>174</v>
      </c>
      <c r="F856" s="47" t="s">
        <v>112</v>
      </c>
    </row>
    <row r="857" spans="1:6" x14ac:dyDescent="0.25">
      <c r="A857" s="48" t="s">
        <v>176</v>
      </c>
      <c r="B857" s="48">
        <v>70013241</v>
      </c>
      <c r="C857" s="47">
        <v>3</v>
      </c>
      <c r="D857" s="48" t="s">
        <v>1359</v>
      </c>
      <c r="E857" s="48" t="s">
        <v>177</v>
      </c>
      <c r="F857" s="47" t="s">
        <v>87</v>
      </c>
    </row>
    <row r="858" spans="1:6" x14ac:dyDescent="0.25">
      <c r="A858" s="48" t="s">
        <v>178</v>
      </c>
      <c r="B858" s="48">
        <v>70012920</v>
      </c>
      <c r="C858" s="47">
        <v>3</v>
      </c>
      <c r="D858" s="48" t="s">
        <v>1359</v>
      </c>
      <c r="E858" s="48" t="s">
        <v>179</v>
      </c>
      <c r="F858" s="47" t="s">
        <v>171</v>
      </c>
    </row>
    <row r="859" spans="1:6" x14ac:dyDescent="0.25">
      <c r="A859" s="48" t="s">
        <v>143</v>
      </c>
      <c r="B859" s="48">
        <v>70013316</v>
      </c>
      <c r="C859" s="47">
        <v>1</v>
      </c>
      <c r="D859" s="48" t="s">
        <v>1359</v>
      </c>
      <c r="E859" s="48" t="s">
        <v>144</v>
      </c>
      <c r="F859" s="48" t="s">
        <v>41</v>
      </c>
    </row>
    <row r="860" spans="1:6" x14ac:dyDescent="0.25">
      <c r="A860" s="48" t="s">
        <v>48</v>
      </c>
      <c r="B860" s="48">
        <v>70013325</v>
      </c>
      <c r="C860" s="47">
        <v>3</v>
      </c>
      <c r="D860" s="48" t="s">
        <v>1359</v>
      </c>
      <c r="E860" s="48" t="s">
        <v>49</v>
      </c>
      <c r="F860" s="48" t="s">
        <v>46</v>
      </c>
    </row>
    <row r="861" spans="1:6" x14ac:dyDescent="0.25">
      <c r="A861" s="48" t="s">
        <v>50</v>
      </c>
      <c r="B861" s="48">
        <v>70013339</v>
      </c>
      <c r="C861" s="47">
        <v>3</v>
      </c>
      <c r="D861" s="48" t="s">
        <v>1359</v>
      </c>
      <c r="E861" s="48" t="s">
        <v>51</v>
      </c>
      <c r="F861" s="48" t="s">
        <v>46</v>
      </c>
    </row>
    <row r="862" spans="1:6" x14ac:dyDescent="0.25">
      <c r="A862" s="48" t="s">
        <v>52</v>
      </c>
      <c r="B862" s="48">
        <v>70013343</v>
      </c>
      <c r="C862" s="47">
        <v>3</v>
      </c>
      <c r="D862" s="48" t="s">
        <v>1359</v>
      </c>
      <c r="E862" s="48" t="s">
        <v>53</v>
      </c>
      <c r="F862" s="48" t="s">
        <v>46</v>
      </c>
    </row>
    <row r="863" spans="1:6" x14ac:dyDescent="0.25">
      <c r="A863" s="48" t="s">
        <v>145</v>
      </c>
      <c r="B863" s="48">
        <v>70013347</v>
      </c>
      <c r="C863" s="47">
        <v>3</v>
      </c>
      <c r="D863" s="48" t="s">
        <v>1359</v>
      </c>
      <c r="E863" s="48" t="s">
        <v>146</v>
      </c>
      <c r="F863" s="48" t="s">
        <v>46</v>
      </c>
    </row>
    <row r="864" spans="1:6" x14ac:dyDescent="0.25">
      <c r="A864" s="48" t="s">
        <v>147</v>
      </c>
      <c r="B864" s="48">
        <v>70013351</v>
      </c>
      <c r="C864" s="47">
        <v>3</v>
      </c>
      <c r="D864" s="48" t="s">
        <v>1359</v>
      </c>
      <c r="E864" s="48" t="s">
        <v>148</v>
      </c>
      <c r="F864" s="48" t="s">
        <v>46</v>
      </c>
    </row>
    <row r="865" spans="1:6" x14ac:dyDescent="0.25">
      <c r="A865" s="48" t="s">
        <v>149</v>
      </c>
      <c r="B865" s="48">
        <v>70013355</v>
      </c>
      <c r="C865" s="47">
        <v>3</v>
      </c>
      <c r="D865" s="48" t="s">
        <v>1359</v>
      </c>
      <c r="E865" s="48" t="s">
        <v>150</v>
      </c>
      <c r="F865" s="48" t="s">
        <v>46</v>
      </c>
    </row>
    <row r="866" spans="1:6" x14ac:dyDescent="0.25">
      <c r="A866" s="48" t="s">
        <v>70</v>
      </c>
      <c r="B866" s="48">
        <v>70013359</v>
      </c>
      <c r="C866" s="47">
        <v>3</v>
      </c>
      <c r="D866" s="48" t="s">
        <v>1359</v>
      </c>
      <c r="E866" s="48" t="s">
        <v>71</v>
      </c>
      <c r="F866" s="48" t="s">
        <v>46</v>
      </c>
    </row>
    <row r="867" spans="1:6" x14ac:dyDescent="0.25">
      <c r="A867" s="48" t="s">
        <v>72</v>
      </c>
      <c r="B867" s="48">
        <v>70013363</v>
      </c>
      <c r="C867" s="47">
        <v>3</v>
      </c>
      <c r="D867" s="48" t="s">
        <v>1359</v>
      </c>
      <c r="E867" s="48" t="s">
        <v>73</v>
      </c>
      <c r="F867" s="48" t="s">
        <v>46</v>
      </c>
    </row>
    <row r="868" spans="1:6" x14ac:dyDescent="0.25">
      <c r="A868" s="48" t="s">
        <v>74</v>
      </c>
      <c r="B868" s="48">
        <v>70013367</v>
      </c>
      <c r="C868" s="47">
        <v>3</v>
      </c>
      <c r="D868" s="48" t="s">
        <v>1359</v>
      </c>
      <c r="E868" s="48" t="s">
        <v>75</v>
      </c>
      <c r="F868" s="48" t="s">
        <v>46</v>
      </c>
    </row>
    <row r="869" spans="1:6" x14ac:dyDescent="0.25">
      <c r="A869" s="48" t="s">
        <v>76</v>
      </c>
      <c r="B869" s="48">
        <v>70013371</v>
      </c>
      <c r="C869" s="47">
        <v>3</v>
      </c>
      <c r="D869" s="48" t="s">
        <v>1359</v>
      </c>
      <c r="E869" s="48" t="s">
        <v>77</v>
      </c>
      <c r="F869" s="48" t="s">
        <v>46</v>
      </c>
    </row>
    <row r="870" spans="1:6" x14ac:dyDescent="0.25">
      <c r="A870" s="48" t="s">
        <v>152</v>
      </c>
      <c r="B870" s="48">
        <v>70013375</v>
      </c>
      <c r="C870" s="47">
        <v>3</v>
      </c>
      <c r="D870" s="48" t="s">
        <v>1359</v>
      </c>
      <c r="E870" s="48" t="s">
        <v>153</v>
      </c>
      <c r="F870" s="48" t="s">
        <v>46</v>
      </c>
    </row>
    <row r="871" spans="1:6" x14ac:dyDescent="0.25">
      <c r="A871" s="48" t="s">
        <v>154</v>
      </c>
      <c r="B871" s="48">
        <v>70013379</v>
      </c>
      <c r="C871" s="47">
        <v>3</v>
      </c>
      <c r="D871" s="48" t="s">
        <v>1359</v>
      </c>
      <c r="E871" s="48" t="s">
        <v>155</v>
      </c>
      <c r="F871" s="48" t="s">
        <v>46</v>
      </c>
    </row>
    <row r="872" spans="1:6" x14ac:dyDescent="0.25">
      <c r="A872" s="48" t="s">
        <v>156</v>
      </c>
      <c r="B872" s="48">
        <v>70013383</v>
      </c>
      <c r="C872" s="47">
        <v>3</v>
      </c>
      <c r="D872" s="48" t="s">
        <v>1359</v>
      </c>
      <c r="E872" s="48" t="s">
        <v>157</v>
      </c>
      <c r="F872" s="48" t="s">
        <v>46</v>
      </c>
    </row>
    <row r="873" spans="1:6" x14ac:dyDescent="0.25">
      <c r="A873" s="48" t="s">
        <v>159</v>
      </c>
      <c r="B873" s="48">
        <v>70013415</v>
      </c>
      <c r="C873" s="47">
        <v>3</v>
      </c>
      <c r="D873" s="48" t="s">
        <v>1359</v>
      </c>
      <c r="E873" s="48" t="s">
        <v>160</v>
      </c>
      <c r="F873" s="48" t="s">
        <v>87</v>
      </c>
    </row>
    <row r="874" spans="1:6" x14ac:dyDescent="0.25">
      <c r="A874" s="48" t="s">
        <v>161</v>
      </c>
      <c r="B874" s="48">
        <v>70013459</v>
      </c>
      <c r="C874" s="47">
        <v>3</v>
      </c>
      <c r="D874" s="48" t="s">
        <v>1359</v>
      </c>
      <c r="E874" s="48" t="s">
        <v>162</v>
      </c>
      <c r="F874" s="48" t="s">
        <v>87</v>
      </c>
    </row>
    <row r="875" spans="1:6" x14ac:dyDescent="0.25">
      <c r="A875" s="48" t="s">
        <v>163</v>
      </c>
      <c r="B875" s="48">
        <v>70013463</v>
      </c>
      <c r="C875" s="47">
        <v>3</v>
      </c>
      <c r="D875" s="48" t="s">
        <v>1359</v>
      </c>
      <c r="E875" s="48" t="s">
        <v>164</v>
      </c>
      <c r="F875" s="48" t="s">
        <v>87</v>
      </c>
    </row>
    <row r="876" spans="1:6" x14ac:dyDescent="0.25">
      <c r="A876" s="48" t="s">
        <v>54</v>
      </c>
      <c r="B876" s="48">
        <v>70013491</v>
      </c>
      <c r="C876" s="47">
        <v>3</v>
      </c>
      <c r="D876" s="48" t="s">
        <v>1359</v>
      </c>
      <c r="E876" s="48" t="s">
        <v>55</v>
      </c>
      <c r="F876" s="48" t="s">
        <v>46</v>
      </c>
    </row>
    <row r="877" spans="1:6" x14ac:dyDescent="0.25">
      <c r="A877" s="48" t="s">
        <v>78</v>
      </c>
      <c r="B877" s="48">
        <v>70013495</v>
      </c>
      <c r="C877" s="47">
        <v>3</v>
      </c>
      <c r="D877" s="48" t="s">
        <v>1359</v>
      </c>
      <c r="E877" s="48" t="s">
        <v>79</v>
      </c>
      <c r="F877" s="48" t="s">
        <v>46</v>
      </c>
    </row>
    <row r="878" spans="1:6" x14ac:dyDescent="0.25">
      <c r="A878" s="48" t="s">
        <v>165</v>
      </c>
      <c r="B878" s="48">
        <v>70013509</v>
      </c>
      <c r="C878" s="47">
        <v>3</v>
      </c>
      <c r="D878" s="48" t="s">
        <v>1359</v>
      </c>
      <c r="E878" s="48" t="s">
        <v>166</v>
      </c>
      <c r="F878" s="48" t="s">
        <v>46</v>
      </c>
    </row>
    <row r="879" spans="1:6" x14ac:dyDescent="0.25">
      <c r="A879" s="48" t="s">
        <v>167</v>
      </c>
      <c r="B879" s="48">
        <v>70013451</v>
      </c>
      <c r="C879" s="47">
        <v>3</v>
      </c>
      <c r="D879" s="48" t="s">
        <v>1359</v>
      </c>
      <c r="E879" s="48" t="s">
        <v>168</v>
      </c>
      <c r="F879" s="48" t="s">
        <v>87</v>
      </c>
    </row>
    <row r="880" spans="1:6" x14ac:dyDescent="0.25">
      <c r="A880" s="48" t="s">
        <v>169</v>
      </c>
      <c r="B880" s="48">
        <v>70013452</v>
      </c>
      <c r="C880" s="47">
        <v>3</v>
      </c>
      <c r="D880" s="48" t="s">
        <v>1359</v>
      </c>
      <c r="E880" s="48" t="s">
        <v>170</v>
      </c>
      <c r="F880" s="48" t="s">
        <v>87</v>
      </c>
    </row>
    <row r="881" spans="1:7" x14ac:dyDescent="0.25">
      <c r="A881" s="48" t="s">
        <v>140</v>
      </c>
      <c r="B881" s="48">
        <v>70012943</v>
      </c>
      <c r="C881" s="47">
        <v>2</v>
      </c>
      <c r="D881" s="48" t="s">
        <v>1359</v>
      </c>
      <c r="E881" s="48" t="s">
        <v>141</v>
      </c>
      <c r="F881" s="48" t="s">
        <v>63</v>
      </c>
    </row>
    <row r="882" spans="1:7" x14ac:dyDescent="0.25">
      <c r="A882" s="48" t="s">
        <v>42</v>
      </c>
      <c r="B882" s="48">
        <v>70013542</v>
      </c>
      <c r="C882" s="47">
        <v>3</v>
      </c>
      <c r="D882" s="48" t="s">
        <v>1359</v>
      </c>
      <c r="E882" s="48" t="s">
        <v>138</v>
      </c>
      <c r="F882" s="48" t="s">
        <v>41</v>
      </c>
    </row>
    <row r="883" spans="1:7" x14ac:dyDescent="0.25">
      <c r="A883" s="48" t="s">
        <v>136</v>
      </c>
      <c r="B883" s="48">
        <v>70013110</v>
      </c>
      <c r="C883" s="47">
        <v>2</v>
      </c>
      <c r="D883" s="48" t="s">
        <v>1359</v>
      </c>
      <c r="E883" s="48" t="s">
        <v>137</v>
      </c>
      <c r="F883" s="48" t="s">
        <v>63</v>
      </c>
    </row>
    <row r="884" spans="1:7" x14ac:dyDescent="0.25">
      <c r="A884" s="48" t="s">
        <v>124</v>
      </c>
      <c r="B884" s="48">
        <v>70013532</v>
      </c>
      <c r="C884" s="47">
        <v>3</v>
      </c>
      <c r="D884" s="48" t="s">
        <v>1359</v>
      </c>
      <c r="E884" s="48" t="s">
        <v>125</v>
      </c>
      <c r="F884" s="47" t="s">
        <v>46</v>
      </c>
    </row>
    <row r="885" spans="1:7" x14ac:dyDescent="0.25">
      <c r="A885" s="48" t="s">
        <v>126</v>
      </c>
      <c r="B885" s="48">
        <v>70013479</v>
      </c>
      <c r="C885" s="47">
        <v>3</v>
      </c>
      <c r="D885" s="48" t="s">
        <v>1359</v>
      </c>
      <c r="E885" s="48" t="s">
        <v>127</v>
      </c>
      <c r="F885" s="47" t="s">
        <v>87</v>
      </c>
    </row>
    <row r="886" spans="1:7" x14ac:dyDescent="0.25">
      <c r="A886" s="48" t="s">
        <v>129</v>
      </c>
      <c r="B886" s="48">
        <v>70013467</v>
      </c>
      <c r="C886" s="47">
        <v>3</v>
      </c>
      <c r="D886" s="48" t="s">
        <v>1359</v>
      </c>
      <c r="E886" s="48" t="s">
        <v>130</v>
      </c>
      <c r="F886" s="47" t="s">
        <v>87</v>
      </c>
    </row>
    <row r="887" spans="1:7" x14ac:dyDescent="0.25">
      <c r="A887" s="48" t="s">
        <v>133</v>
      </c>
      <c r="B887" s="48">
        <v>70013602</v>
      </c>
      <c r="C887" s="47">
        <v>1</v>
      </c>
      <c r="D887" s="48" t="s">
        <v>1359</v>
      </c>
      <c r="E887" s="48" t="s">
        <v>134</v>
      </c>
      <c r="F887" s="47" t="s">
        <v>131</v>
      </c>
    </row>
    <row r="888" spans="1:7" x14ac:dyDescent="0.25">
      <c r="A888" s="48" t="s">
        <v>65</v>
      </c>
      <c r="B888" s="48">
        <v>70013650</v>
      </c>
      <c r="C888" s="47">
        <v>2</v>
      </c>
      <c r="D888" s="48" t="s">
        <v>1359</v>
      </c>
      <c r="E888" s="48" t="s">
        <v>66</v>
      </c>
      <c r="F888" s="47" t="s">
        <v>63</v>
      </c>
    </row>
    <row r="889" spans="1:7" x14ac:dyDescent="0.25">
      <c r="A889" s="48" t="s">
        <v>67</v>
      </c>
      <c r="B889" s="48">
        <v>70013616</v>
      </c>
      <c r="C889" s="47">
        <v>2</v>
      </c>
      <c r="D889" s="48" t="s">
        <v>1359</v>
      </c>
      <c r="E889" s="48" t="s">
        <v>68</v>
      </c>
      <c r="F889" s="47" t="s">
        <v>63</v>
      </c>
    </row>
    <row r="890" spans="1:7" x14ac:dyDescent="0.25">
      <c r="A890" s="5" t="s">
        <v>2139</v>
      </c>
      <c r="B890" s="63">
        <v>70013798</v>
      </c>
      <c r="C890" s="64">
        <v>3</v>
      </c>
      <c r="D890" s="48" t="s">
        <v>1359</v>
      </c>
      <c r="E890" s="65" t="s">
        <v>44</v>
      </c>
      <c r="F890" s="63" t="s">
        <v>41</v>
      </c>
    </row>
    <row r="891" spans="1:7" x14ac:dyDescent="0.25">
      <c r="A891" s="5" t="s">
        <v>2140</v>
      </c>
      <c r="B891" s="63">
        <v>70013395</v>
      </c>
      <c r="C891" s="64">
        <v>3</v>
      </c>
      <c r="D891" s="48" t="s">
        <v>1359</v>
      </c>
      <c r="E891" s="65" t="s">
        <v>45</v>
      </c>
      <c r="F891" s="63" t="s">
        <v>41</v>
      </c>
    </row>
    <row r="892" spans="1:7" x14ac:dyDescent="0.25">
      <c r="A892" s="48" t="s">
        <v>2791</v>
      </c>
      <c r="B892" s="48">
        <v>70013607</v>
      </c>
      <c r="C892" s="47">
        <v>3</v>
      </c>
      <c r="D892" s="48" t="s">
        <v>1359</v>
      </c>
      <c r="E892" s="48" t="s">
        <v>2789</v>
      </c>
      <c r="F892" s="47" t="s">
        <v>87</v>
      </c>
      <c r="G892" s="1"/>
    </row>
    <row r="893" spans="1:7" x14ac:dyDescent="0.25">
      <c r="A893" s="48" t="s">
        <v>2792</v>
      </c>
      <c r="B893" s="48">
        <v>70013695</v>
      </c>
      <c r="C893" s="47">
        <v>3</v>
      </c>
      <c r="D893" s="48" t="s">
        <v>1359</v>
      </c>
      <c r="E893" s="48" t="s">
        <v>2790</v>
      </c>
      <c r="F893" s="47" t="s">
        <v>87</v>
      </c>
      <c r="G893" s="1"/>
    </row>
    <row r="894" spans="1:7" x14ac:dyDescent="0.25">
      <c r="A894" s="48" t="s">
        <v>2779</v>
      </c>
      <c r="B894" s="48">
        <v>70013681</v>
      </c>
      <c r="C894" s="47">
        <v>3</v>
      </c>
      <c r="D894" s="48" t="s">
        <v>1359</v>
      </c>
      <c r="E894" s="48" t="s">
        <v>2785</v>
      </c>
      <c r="F894" s="47" t="s">
        <v>87</v>
      </c>
      <c r="G894" s="1"/>
    </row>
    <row r="895" spans="1:7" x14ac:dyDescent="0.25">
      <c r="A895" s="48" t="s">
        <v>2780</v>
      </c>
      <c r="B895" s="48">
        <v>70013689</v>
      </c>
      <c r="C895" s="47">
        <v>3</v>
      </c>
      <c r="D895" s="48" t="s">
        <v>1359</v>
      </c>
      <c r="E895" s="48" t="s">
        <v>2786</v>
      </c>
      <c r="F895" s="47" t="s">
        <v>87</v>
      </c>
      <c r="G895" s="1"/>
    </row>
    <row r="896" spans="1:7" x14ac:dyDescent="0.25">
      <c r="A896" s="5" t="s">
        <v>2781</v>
      </c>
      <c r="B896" s="63">
        <v>70013193</v>
      </c>
      <c r="C896" s="64">
        <v>1</v>
      </c>
      <c r="D896" s="48" t="s">
        <v>1359</v>
      </c>
      <c r="E896" s="65" t="s">
        <v>2787</v>
      </c>
      <c r="F896" s="63" t="s">
        <v>87</v>
      </c>
      <c r="G896" s="1"/>
    </row>
    <row r="897" spans="1:7" x14ac:dyDescent="0.25">
      <c r="A897" s="5" t="s">
        <v>2782</v>
      </c>
      <c r="B897" s="63">
        <v>70013844</v>
      </c>
      <c r="C897" s="64">
        <v>1</v>
      </c>
      <c r="D897" s="48" t="s">
        <v>1359</v>
      </c>
      <c r="E897" s="65" t="s">
        <v>2788</v>
      </c>
      <c r="F897" s="63" t="s">
        <v>87</v>
      </c>
      <c r="G897" s="1"/>
    </row>
    <row r="898" spans="1:7" x14ac:dyDescent="0.25">
      <c r="A898" s="5" t="s">
        <v>2794</v>
      </c>
      <c r="B898" s="63">
        <v>70013169</v>
      </c>
      <c r="C898" s="64">
        <v>1</v>
      </c>
      <c r="D898" s="48" t="s">
        <v>1359</v>
      </c>
      <c r="E898" s="65" t="s">
        <v>2796</v>
      </c>
      <c r="F898" s="63" t="s">
        <v>41</v>
      </c>
    </row>
    <row r="899" spans="1:7" x14ac:dyDescent="0.25">
      <c r="A899" s="5" t="s">
        <v>2793</v>
      </c>
      <c r="B899" s="63">
        <v>70013487</v>
      </c>
      <c r="C899" s="64">
        <v>1</v>
      </c>
      <c r="D899" s="48" t="s">
        <v>1359</v>
      </c>
      <c r="E899" s="65" t="s">
        <v>2797</v>
      </c>
      <c r="F899" s="63" t="s">
        <v>41</v>
      </c>
    </row>
    <row r="900" spans="1:7" x14ac:dyDescent="0.25">
      <c r="A900" s="5" t="s">
        <v>2798</v>
      </c>
      <c r="B900" s="63">
        <v>70013672</v>
      </c>
      <c r="C900" s="64">
        <v>1</v>
      </c>
      <c r="D900" s="48" t="s">
        <v>1359</v>
      </c>
      <c r="E900" s="65" t="s">
        <v>2802</v>
      </c>
      <c r="F900" s="63" t="s">
        <v>46</v>
      </c>
    </row>
    <row r="901" spans="1:7" x14ac:dyDescent="0.25">
      <c r="A901" s="5" t="s">
        <v>2799</v>
      </c>
      <c r="B901" s="63">
        <v>70013676</v>
      </c>
      <c r="C901" s="64">
        <v>1</v>
      </c>
      <c r="D901" s="48" t="s">
        <v>1359</v>
      </c>
      <c r="E901" s="65" t="s">
        <v>2803</v>
      </c>
      <c r="F901" s="63" t="s">
        <v>46</v>
      </c>
    </row>
    <row r="902" spans="1:7" x14ac:dyDescent="0.25">
      <c r="A902" s="5" t="s">
        <v>2800</v>
      </c>
      <c r="B902" s="63">
        <v>70013678</v>
      </c>
      <c r="C902" s="64">
        <v>1</v>
      </c>
      <c r="D902" s="48" t="s">
        <v>1359</v>
      </c>
      <c r="E902" s="48" t="s">
        <v>2804</v>
      </c>
      <c r="F902" s="63" t="s">
        <v>46</v>
      </c>
    </row>
    <row r="903" spans="1:7" x14ac:dyDescent="0.25">
      <c r="A903" s="72" t="s">
        <v>2806</v>
      </c>
      <c r="B903" s="5">
        <v>70013762</v>
      </c>
      <c r="C903" s="71">
        <v>3</v>
      </c>
      <c r="D903" s="48" t="s">
        <v>1359</v>
      </c>
      <c r="E903" s="73" t="s">
        <v>2807</v>
      </c>
      <c r="F903" s="5" t="s">
        <v>46</v>
      </c>
    </row>
    <row r="904" spans="1:7" x14ac:dyDescent="0.25">
      <c r="A904" s="72" t="s">
        <v>2828</v>
      </c>
      <c r="B904" s="5">
        <v>70013763</v>
      </c>
      <c r="C904" s="71">
        <v>3</v>
      </c>
      <c r="D904" s="48" t="s">
        <v>1359</v>
      </c>
      <c r="E904" s="72" t="s">
        <v>2829</v>
      </c>
      <c r="F904" s="5" t="s">
        <v>46</v>
      </c>
    </row>
    <row r="905" spans="1:7" x14ac:dyDescent="0.25">
      <c r="A905" s="72" t="s">
        <v>2830</v>
      </c>
      <c r="B905" s="5">
        <v>70013829</v>
      </c>
      <c r="C905" s="71">
        <v>3</v>
      </c>
      <c r="D905" s="48" t="s">
        <v>1359</v>
      </c>
      <c r="E905" s="72" t="s">
        <v>2831</v>
      </c>
      <c r="F905" s="5" t="s">
        <v>46</v>
      </c>
    </row>
    <row r="906" spans="1:7" x14ac:dyDescent="0.25">
      <c r="A906" s="72" t="s">
        <v>2832</v>
      </c>
      <c r="B906" s="5">
        <v>70013833</v>
      </c>
      <c r="C906" s="71">
        <v>3</v>
      </c>
      <c r="D906" s="48" t="s">
        <v>1359</v>
      </c>
      <c r="E906" s="73" t="s">
        <v>2833</v>
      </c>
      <c r="F906" s="5" t="s">
        <v>46</v>
      </c>
    </row>
    <row r="907" spans="1:7" x14ac:dyDescent="0.25">
      <c r="A907" s="72" t="s">
        <v>2834</v>
      </c>
      <c r="B907" s="5">
        <v>70013837</v>
      </c>
      <c r="C907" s="71">
        <v>3</v>
      </c>
      <c r="D907" s="48" t="s">
        <v>1359</v>
      </c>
      <c r="E907" s="72" t="s">
        <v>2835</v>
      </c>
      <c r="F907" s="5" t="s">
        <v>46</v>
      </c>
    </row>
    <row r="908" spans="1:7" x14ac:dyDescent="0.25">
      <c r="A908" s="72" t="s">
        <v>2857</v>
      </c>
      <c r="B908" s="5">
        <v>70013751</v>
      </c>
      <c r="C908" s="71">
        <v>3</v>
      </c>
      <c r="D908" s="48" t="s">
        <v>1359</v>
      </c>
      <c r="E908" s="72" t="s">
        <v>2861</v>
      </c>
      <c r="F908" s="5" t="s">
        <v>171</v>
      </c>
    </row>
    <row r="909" spans="1:7" x14ac:dyDescent="0.25">
      <c r="A909" s="72" t="s">
        <v>2858</v>
      </c>
      <c r="B909" s="5">
        <v>70013755</v>
      </c>
      <c r="C909" s="71">
        <v>3</v>
      </c>
      <c r="D909" s="48" t="s">
        <v>1359</v>
      </c>
      <c r="E909" s="72" t="s">
        <v>2862</v>
      </c>
      <c r="F909" s="5" t="s">
        <v>171</v>
      </c>
    </row>
    <row r="910" spans="1:7" x14ac:dyDescent="0.25">
      <c r="A910" s="72" t="s">
        <v>2859</v>
      </c>
      <c r="B910" s="5">
        <v>70013387</v>
      </c>
      <c r="C910" s="71">
        <v>3</v>
      </c>
      <c r="D910" s="48" t="s">
        <v>1359</v>
      </c>
      <c r="E910" s="72" t="s">
        <v>2867</v>
      </c>
      <c r="F910" s="5" t="s">
        <v>171</v>
      </c>
    </row>
    <row r="911" spans="1:7" x14ac:dyDescent="0.25">
      <c r="A911" s="72" t="s">
        <v>2860</v>
      </c>
      <c r="B911" s="5">
        <v>70013391</v>
      </c>
      <c r="C911" s="71">
        <v>3</v>
      </c>
      <c r="D911" s="48" t="s">
        <v>1359</v>
      </c>
      <c r="E911" s="72" t="s">
        <v>2863</v>
      </c>
      <c r="F911" s="5" t="s">
        <v>171</v>
      </c>
    </row>
    <row r="912" spans="1:7" x14ac:dyDescent="0.25">
      <c r="A912" s="72" t="s">
        <v>2837</v>
      </c>
      <c r="B912" s="5">
        <v>70013646</v>
      </c>
      <c r="C912" s="71">
        <v>3</v>
      </c>
      <c r="D912" s="48" t="s">
        <v>1359</v>
      </c>
      <c r="E912" s="72" t="s">
        <v>2836</v>
      </c>
      <c r="F912" s="5" t="s">
        <v>41</v>
      </c>
    </row>
    <row r="913" spans="1:6" x14ac:dyDescent="0.25">
      <c r="A913" s="72" t="s">
        <v>2850</v>
      </c>
      <c r="B913" s="5">
        <v>70013196</v>
      </c>
      <c r="C913" s="71">
        <v>1</v>
      </c>
      <c r="D913" s="48" t="s">
        <v>1359</v>
      </c>
      <c r="E913" s="72" t="s">
        <v>2851</v>
      </c>
      <c r="F913" s="5" t="s">
        <v>131</v>
      </c>
    </row>
    <row r="914" spans="1:6" x14ac:dyDescent="0.25">
      <c r="A914" s="72" t="s">
        <v>2853</v>
      </c>
      <c r="B914" s="5">
        <v>70013812</v>
      </c>
      <c r="C914" s="71">
        <v>1</v>
      </c>
      <c r="D914" s="48" t="s">
        <v>1359</v>
      </c>
      <c r="E914" s="72" t="s">
        <v>2864</v>
      </c>
      <c r="F914" s="5" t="s">
        <v>131</v>
      </c>
    </row>
    <row r="915" spans="1:6" x14ac:dyDescent="0.25">
      <c r="A915" s="72" t="s">
        <v>2854</v>
      </c>
      <c r="B915" s="5">
        <v>70013816</v>
      </c>
      <c r="C915" s="71">
        <v>1</v>
      </c>
      <c r="D915" s="48" t="s">
        <v>1359</v>
      </c>
      <c r="E915" s="72" t="s">
        <v>2865</v>
      </c>
      <c r="F915" s="5" t="s">
        <v>131</v>
      </c>
    </row>
    <row r="916" spans="1:6" x14ac:dyDescent="0.25">
      <c r="A916" s="72" t="s">
        <v>2855</v>
      </c>
      <c r="B916" s="5">
        <v>70013603</v>
      </c>
      <c r="C916" s="71">
        <v>1</v>
      </c>
      <c r="D916" s="48" t="s">
        <v>1359</v>
      </c>
      <c r="E916" s="72" t="s">
        <v>2866</v>
      </c>
      <c r="F916" s="5" t="s">
        <v>131</v>
      </c>
    </row>
    <row r="917" spans="1:6" x14ac:dyDescent="0.25">
      <c r="A917" s="72" t="s">
        <v>2808</v>
      </c>
      <c r="B917" s="5">
        <v>70012885</v>
      </c>
      <c r="C917" s="71">
        <v>1</v>
      </c>
      <c r="D917" s="48" t="s">
        <v>1359</v>
      </c>
      <c r="E917" s="73" t="s">
        <v>2809</v>
      </c>
      <c r="F917" s="5" t="s">
        <v>46</v>
      </c>
    </row>
    <row r="918" spans="1:6" x14ac:dyDescent="0.25">
      <c r="A918" s="72" t="s">
        <v>2810</v>
      </c>
      <c r="B918" s="5">
        <v>70012888</v>
      </c>
      <c r="C918" s="71">
        <v>1</v>
      </c>
      <c r="D918" s="48" t="s">
        <v>1359</v>
      </c>
      <c r="E918" s="73" t="s">
        <v>2811</v>
      </c>
      <c r="F918" s="5" t="s">
        <v>46</v>
      </c>
    </row>
    <row r="919" spans="1:6" x14ac:dyDescent="0.25">
      <c r="A919" s="72" t="s">
        <v>2820</v>
      </c>
      <c r="B919" s="5">
        <v>70013767</v>
      </c>
      <c r="C919" s="71">
        <v>3</v>
      </c>
      <c r="D919" s="48" t="s">
        <v>1359</v>
      </c>
      <c r="E919" s="73" t="s">
        <v>2821</v>
      </c>
      <c r="F919" s="5" t="s">
        <v>46</v>
      </c>
    </row>
    <row r="920" spans="1:6" x14ac:dyDescent="0.25">
      <c r="A920" s="72" t="s">
        <v>2822</v>
      </c>
      <c r="B920" s="5">
        <v>70013840</v>
      </c>
      <c r="C920" s="71">
        <v>3</v>
      </c>
      <c r="D920" s="48" t="s">
        <v>1359</v>
      </c>
      <c r="E920" s="72" t="s">
        <v>2823</v>
      </c>
      <c r="F920" s="5" t="s">
        <v>46</v>
      </c>
    </row>
    <row r="921" spans="1:6" x14ac:dyDescent="0.25">
      <c r="A921" s="72" t="s">
        <v>2824</v>
      </c>
      <c r="B921" s="5">
        <v>70013851</v>
      </c>
      <c r="C921" s="71">
        <v>3</v>
      </c>
      <c r="D921" s="48" t="s">
        <v>1359</v>
      </c>
      <c r="E921" s="72" t="s">
        <v>2825</v>
      </c>
      <c r="F921" s="5" t="s">
        <v>46</v>
      </c>
    </row>
    <row r="922" spans="1:6" x14ac:dyDescent="0.25">
      <c r="A922" s="72" t="s">
        <v>2826</v>
      </c>
      <c r="B922" s="5">
        <v>70013732</v>
      </c>
      <c r="C922" s="71">
        <v>3</v>
      </c>
      <c r="D922" s="48" t="s">
        <v>1359</v>
      </c>
      <c r="E922" s="72" t="s">
        <v>2827</v>
      </c>
      <c r="F922" s="5" t="s">
        <v>46</v>
      </c>
    </row>
    <row r="923" spans="1:6" x14ac:dyDescent="0.25">
      <c r="A923" s="72" t="s">
        <v>2813</v>
      </c>
      <c r="B923" s="5">
        <v>70013805</v>
      </c>
      <c r="C923" s="71">
        <v>1</v>
      </c>
      <c r="D923" s="48" t="s">
        <v>1359</v>
      </c>
      <c r="E923" s="73" t="s">
        <v>2814</v>
      </c>
      <c r="F923" s="5" t="s">
        <v>46</v>
      </c>
    </row>
    <row r="924" spans="1:6" x14ac:dyDescent="0.25">
      <c r="A924" s="72" t="s">
        <v>2815</v>
      </c>
      <c r="B924" s="5">
        <v>70013820</v>
      </c>
      <c r="C924" s="71">
        <v>1</v>
      </c>
      <c r="D924" s="48" t="s">
        <v>1359</v>
      </c>
      <c r="E924" s="73" t="s">
        <v>2816</v>
      </c>
      <c r="F924" s="5" t="s">
        <v>46</v>
      </c>
    </row>
    <row r="925" spans="1:6" x14ac:dyDescent="0.25">
      <c r="A925" s="72" t="s">
        <v>2817</v>
      </c>
      <c r="B925" s="5">
        <v>70013824</v>
      </c>
      <c r="C925" s="71">
        <v>1</v>
      </c>
      <c r="D925" s="48" t="s">
        <v>1359</v>
      </c>
      <c r="E925" s="73" t="s">
        <v>2818</v>
      </c>
      <c r="F925" s="5" t="s">
        <v>46</v>
      </c>
    </row>
    <row r="926" spans="1:6" x14ac:dyDescent="0.25">
      <c r="A926" s="72" t="s">
        <v>2840</v>
      </c>
      <c r="B926" s="5">
        <v>70013662</v>
      </c>
      <c r="C926" s="71">
        <v>3</v>
      </c>
      <c r="D926" s="48" t="s">
        <v>1359</v>
      </c>
      <c r="E926" s="72" t="s">
        <v>2841</v>
      </c>
      <c r="F926" s="5" t="s">
        <v>41</v>
      </c>
    </row>
    <row r="927" spans="1:6" x14ac:dyDescent="0.25">
      <c r="A927" s="72" t="s">
        <v>2842</v>
      </c>
      <c r="B927" s="5">
        <v>70013311</v>
      </c>
      <c r="C927" s="71">
        <v>3</v>
      </c>
      <c r="D927" s="48" t="s">
        <v>1359</v>
      </c>
      <c r="E927" s="72" t="s">
        <v>2843</v>
      </c>
      <c r="F927" s="5" t="s">
        <v>41</v>
      </c>
    </row>
    <row r="928" spans="1:6" x14ac:dyDescent="0.25">
      <c r="A928" s="72" t="s">
        <v>2844</v>
      </c>
      <c r="B928" s="5">
        <v>70012856</v>
      </c>
      <c r="C928" s="71">
        <v>1</v>
      </c>
      <c r="D928" s="48" t="s">
        <v>1359</v>
      </c>
      <c r="E928" s="72" t="s">
        <v>2845</v>
      </c>
      <c r="F928" s="5" t="s">
        <v>131</v>
      </c>
    </row>
    <row r="929" spans="1:6" x14ac:dyDescent="0.25">
      <c r="A929" s="72" t="s">
        <v>2846</v>
      </c>
      <c r="B929" s="5">
        <v>70012859</v>
      </c>
      <c r="C929" s="71">
        <v>1</v>
      </c>
      <c r="D929" s="48" t="s">
        <v>1359</v>
      </c>
      <c r="E929" s="72" t="s">
        <v>2847</v>
      </c>
      <c r="F929" s="5" t="s">
        <v>131</v>
      </c>
    </row>
    <row r="930" spans="1:6" x14ac:dyDescent="0.25">
      <c r="A930" s="72" t="s">
        <v>2848</v>
      </c>
      <c r="B930" s="5">
        <v>70012862</v>
      </c>
      <c r="C930" s="71">
        <v>1</v>
      </c>
      <c r="D930" s="48" t="s">
        <v>1359</v>
      </c>
      <c r="E930" s="72" t="s">
        <v>2849</v>
      </c>
      <c r="F930" s="5" t="s">
        <v>131</v>
      </c>
    </row>
    <row r="931" spans="1:6" x14ac:dyDescent="0.25">
      <c r="A931" s="72" t="s">
        <v>2868</v>
      </c>
      <c r="B931" s="5">
        <v>70013799</v>
      </c>
      <c r="C931" s="71">
        <v>3</v>
      </c>
      <c r="D931" s="48" t="s">
        <v>1359</v>
      </c>
      <c r="E931" s="72" t="s">
        <v>2869</v>
      </c>
      <c r="F931" s="5" t="s">
        <v>41</v>
      </c>
    </row>
    <row r="932" spans="1:6" x14ac:dyDescent="0.25">
      <c r="A932" s="72" t="s">
        <v>2927</v>
      </c>
      <c r="B932" s="5">
        <v>70013890</v>
      </c>
      <c r="C932" s="71">
        <v>1</v>
      </c>
      <c r="D932" s="48" t="s">
        <v>1359</v>
      </c>
      <c r="E932" s="72" t="s">
        <v>2928</v>
      </c>
      <c r="F932" s="5" t="s">
        <v>112</v>
      </c>
    </row>
    <row r="933" spans="1:6" x14ac:dyDescent="0.25">
      <c r="A933" s="72" t="s">
        <v>2931</v>
      </c>
      <c r="B933" s="5">
        <v>70013949</v>
      </c>
      <c r="C933" s="71">
        <v>3</v>
      </c>
      <c r="D933" s="48" t="s">
        <v>1359</v>
      </c>
      <c r="E933" s="72" t="s">
        <v>2941</v>
      </c>
      <c r="F933" s="5" t="s">
        <v>41</v>
      </c>
    </row>
    <row r="934" spans="1:6" x14ac:dyDescent="0.25">
      <c r="A934" s="72" t="s">
        <v>2932</v>
      </c>
      <c r="B934" s="5">
        <v>70013953</v>
      </c>
      <c r="C934" s="71">
        <v>3</v>
      </c>
      <c r="D934" s="48" t="s">
        <v>1359</v>
      </c>
      <c r="E934" s="72" t="s">
        <v>2942</v>
      </c>
      <c r="F934" s="5" t="s">
        <v>41</v>
      </c>
    </row>
    <row r="935" spans="1:6" x14ac:dyDescent="0.25">
      <c r="A935" s="72" t="s">
        <v>2933</v>
      </c>
      <c r="B935" s="5">
        <v>70013957</v>
      </c>
      <c r="C935" s="71">
        <v>3</v>
      </c>
      <c r="D935" s="48" t="s">
        <v>1359</v>
      </c>
      <c r="E935" s="72" t="s">
        <v>2943</v>
      </c>
      <c r="F935" s="5" t="s">
        <v>41</v>
      </c>
    </row>
    <row r="936" spans="1:6" x14ac:dyDescent="0.25">
      <c r="A936" s="72" t="s">
        <v>2934</v>
      </c>
      <c r="B936" s="5">
        <v>70013926</v>
      </c>
      <c r="C936" s="71">
        <v>3</v>
      </c>
      <c r="D936" s="48" t="s">
        <v>1359</v>
      </c>
      <c r="E936" s="72" t="s">
        <v>2944</v>
      </c>
      <c r="F936" s="5" t="s">
        <v>41</v>
      </c>
    </row>
    <row r="937" spans="1:6" x14ac:dyDescent="0.25">
      <c r="A937" s="72" t="s">
        <v>2935</v>
      </c>
      <c r="B937" s="5">
        <v>70013928</v>
      </c>
      <c r="C937" s="71">
        <v>3</v>
      </c>
      <c r="D937" s="48" t="s">
        <v>1359</v>
      </c>
      <c r="E937" s="72" t="s">
        <v>2945</v>
      </c>
      <c r="F937" s="5" t="s">
        <v>41</v>
      </c>
    </row>
    <row r="938" spans="1:6" x14ac:dyDescent="0.25">
      <c r="A938" s="72" t="s">
        <v>2936</v>
      </c>
      <c r="B938" s="5">
        <v>70013933</v>
      </c>
      <c r="C938" s="71">
        <v>3</v>
      </c>
      <c r="D938" s="48" t="s">
        <v>1359</v>
      </c>
      <c r="E938" s="72" t="s">
        <v>2946</v>
      </c>
      <c r="F938" s="5" t="s">
        <v>41</v>
      </c>
    </row>
    <row r="939" spans="1:6" x14ac:dyDescent="0.25">
      <c r="A939" s="72" t="s">
        <v>2937</v>
      </c>
      <c r="B939" s="5">
        <v>70013896</v>
      </c>
      <c r="C939" s="71">
        <v>3</v>
      </c>
      <c r="D939" s="48" t="s">
        <v>1359</v>
      </c>
      <c r="E939" s="72" t="s">
        <v>2947</v>
      </c>
      <c r="F939" s="5" t="s">
        <v>41</v>
      </c>
    </row>
    <row r="940" spans="1:6" x14ac:dyDescent="0.25">
      <c r="A940" s="72" t="s">
        <v>2938</v>
      </c>
      <c r="B940" s="5">
        <v>70013784</v>
      </c>
      <c r="C940" s="71">
        <v>3</v>
      </c>
      <c r="D940" s="48" t="s">
        <v>1359</v>
      </c>
      <c r="E940" s="72" t="s">
        <v>2948</v>
      </c>
      <c r="F940" s="5" t="s">
        <v>41</v>
      </c>
    </row>
    <row r="941" spans="1:6" x14ac:dyDescent="0.25">
      <c r="A941" s="72" t="s">
        <v>2939</v>
      </c>
      <c r="B941" s="5">
        <v>70013808</v>
      </c>
      <c r="C941" s="71">
        <v>3</v>
      </c>
      <c r="D941" s="48" t="s">
        <v>1359</v>
      </c>
      <c r="E941" s="72" t="s">
        <v>2949</v>
      </c>
      <c r="F941" s="5" t="s">
        <v>41</v>
      </c>
    </row>
    <row r="942" spans="1:6" x14ac:dyDescent="0.25">
      <c r="A942" s="72" t="s">
        <v>2930</v>
      </c>
      <c r="B942" s="5">
        <v>70013916</v>
      </c>
      <c r="C942" s="71">
        <v>1</v>
      </c>
      <c r="D942" s="48" t="s">
        <v>1359</v>
      </c>
      <c r="E942" s="72" t="s">
        <v>2950</v>
      </c>
      <c r="F942" s="5" t="s">
        <v>131</v>
      </c>
    </row>
    <row r="943" spans="1:6" x14ac:dyDescent="0.25">
      <c r="A943" s="72" t="s">
        <v>2951</v>
      </c>
      <c r="B943" s="5">
        <v>70013858</v>
      </c>
      <c r="C943" s="71">
        <v>1</v>
      </c>
      <c r="D943" s="48" t="s">
        <v>1359</v>
      </c>
      <c r="E943" s="72" t="s">
        <v>2953</v>
      </c>
      <c r="F943" s="5" t="s">
        <v>112</v>
      </c>
    </row>
    <row r="944" spans="1:6" x14ac:dyDescent="0.25">
      <c r="A944" s="72" t="s">
        <v>2952</v>
      </c>
      <c r="B944" s="5">
        <v>70013862</v>
      </c>
      <c r="C944" s="71">
        <v>1</v>
      </c>
      <c r="D944" s="48" t="s">
        <v>1359</v>
      </c>
      <c r="E944" s="72" t="s">
        <v>2954</v>
      </c>
      <c r="F944" s="5" t="s">
        <v>112</v>
      </c>
    </row>
    <row r="945" spans="1:6" x14ac:dyDescent="0.25">
      <c r="A945" s="72" t="s">
        <v>2968</v>
      </c>
      <c r="B945" s="5">
        <v>70013483</v>
      </c>
      <c r="C945" s="71">
        <v>3</v>
      </c>
      <c r="D945" s="48" t="s">
        <v>1359</v>
      </c>
      <c r="E945" s="72" t="s">
        <v>2972</v>
      </c>
      <c r="F945" s="5" t="s">
        <v>87</v>
      </c>
    </row>
    <row r="946" spans="1:6" x14ac:dyDescent="0.25">
      <c r="A946" s="72" t="s">
        <v>2958</v>
      </c>
      <c r="B946" s="5">
        <v>70013904</v>
      </c>
      <c r="C946" s="71">
        <v>3</v>
      </c>
      <c r="D946" s="48" t="s">
        <v>1359</v>
      </c>
      <c r="E946" s="72" t="s">
        <v>2970</v>
      </c>
      <c r="F946" s="5" t="s">
        <v>171</v>
      </c>
    </row>
    <row r="947" spans="1:6" x14ac:dyDescent="0.25">
      <c r="A947" s="72" t="s">
        <v>2959</v>
      </c>
      <c r="B947" s="5">
        <v>70013900</v>
      </c>
      <c r="C947" s="71">
        <v>3</v>
      </c>
      <c r="D947" s="48" t="s">
        <v>1359</v>
      </c>
      <c r="E947" s="72" t="s">
        <v>2971</v>
      </c>
      <c r="F947" s="5" t="s">
        <v>171</v>
      </c>
    </row>
    <row r="948" spans="1:6" x14ac:dyDescent="0.25">
      <c r="A948" s="72" t="s">
        <v>2962</v>
      </c>
      <c r="B948" s="5">
        <v>70013697</v>
      </c>
      <c r="C948" s="71">
        <v>1</v>
      </c>
      <c r="D948" s="48" t="s">
        <v>1359</v>
      </c>
      <c r="E948" s="72" t="s">
        <v>2973</v>
      </c>
      <c r="F948" s="5" t="s">
        <v>171</v>
      </c>
    </row>
    <row r="949" spans="1:6" x14ac:dyDescent="0.25">
      <c r="A949" s="72" t="s">
        <v>2963</v>
      </c>
      <c r="B949" s="5">
        <v>70013908</v>
      </c>
      <c r="C949" s="71">
        <v>1</v>
      </c>
      <c r="D949" s="48" t="s">
        <v>1359</v>
      </c>
      <c r="E949" s="72" t="s">
        <v>2974</v>
      </c>
      <c r="F949" s="5" t="s">
        <v>171</v>
      </c>
    </row>
    <row r="950" spans="1:6" x14ac:dyDescent="0.25">
      <c r="A950" s="72" t="s">
        <v>2964</v>
      </c>
      <c r="B950" s="5">
        <v>70013744</v>
      </c>
      <c r="C950" s="71">
        <v>1</v>
      </c>
      <c r="D950" s="48" t="s">
        <v>1359</v>
      </c>
      <c r="E950" s="72" t="s">
        <v>2975</v>
      </c>
      <c r="F950" s="5" t="s">
        <v>171</v>
      </c>
    </row>
    <row r="951" spans="1:6" x14ac:dyDescent="0.25">
      <c r="A951" s="72" t="s">
        <v>2965</v>
      </c>
      <c r="B951" s="5">
        <v>70013912</v>
      </c>
      <c r="C951" s="71">
        <v>1</v>
      </c>
      <c r="D951" s="48" t="s">
        <v>1359</v>
      </c>
      <c r="E951" s="72" t="s">
        <v>2976</v>
      </c>
      <c r="F951" s="5" t="s">
        <v>171</v>
      </c>
    </row>
    <row r="952" spans="1:6" x14ac:dyDescent="0.25">
      <c r="A952" s="72" t="s">
        <v>2960</v>
      </c>
      <c r="B952" s="5">
        <v>70013740</v>
      </c>
      <c r="C952" s="71">
        <v>1</v>
      </c>
      <c r="D952" s="48" t="s">
        <v>1359</v>
      </c>
      <c r="E952" s="72" t="s">
        <v>2977</v>
      </c>
      <c r="F952" s="5" t="s">
        <v>171</v>
      </c>
    </row>
    <row r="953" spans="1:6" x14ac:dyDescent="0.25">
      <c r="A953" s="72" t="s">
        <v>2961</v>
      </c>
      <c r="B953" s="5">
        <v>70013736</v>
      </c>
      <c r="C953" s="71">
        <v>1</v>
      </c>
      <c r="D953" s="48" t="s">
        <v>1359</v>
      </c>
      <c r="E953" s="72" t="s">
        <v>2978</v>
      </c>
      <c r="F953" s="5" t="s">
        <v>171</v>
      </c>
    </row>
    <row r="954" spans="1:6" x14ac:dyDescent="0.25">
      <c r="A954" s="72" t="s">
        <v>2956</v>
      </c>
      <c r="B954" s="5">
        <v>70013700</v>
      </c>
      <c r="C954" s="71">
        <v>1</v>
      </c>
      <c r="D954" s="48" t="s">
        <v>1359</v>
      </c>
      <c r="E954" s="72" t="s">
        <v>2979</v>
      </c>
      <c r="F954" s="5" t="s">
        <v>131</v>
      </c>
    </row>
    <row r="955" spans="1:6" x14ac:dyDescent="0.25">
      <c r="A955" s="72" t="s">
        <v>2957</v>
      </c>
      <c r="B955" s="5">
        <v>70013704</v>
      </c>
      <c r="C955" s="71">
        <v>1</v>
      </c>
      <c r="D955" s="48" t="s">
        <v>1359</v>
      </c>
      <c r="E955" s="72" t="s">
        <v>2980</v>
      </c>
      <c r="F955" s="5" t="s">
        <v>131</v>
      </c>
    </row>
    <row r="956" spans="1:6" x14ac:dyDescent="0.25">
      <c r="A956" s="72" t="s">
        <v>2966</v>
      </c>
      <c r="B956" s="5">
        <v>70013471</v>
      </c>
      <c r="C956" s="71">
        <v>3</v>
      </c>
      <c r="D956" s="48" t="s">
        <v>1359</v>
      </c>
      <c r="E956" s="72" t="s">
        <v>2981</v>
      </c>
      <c r="F956" s="5" t="s">
        <v>87</v>
      </c>
    </row>
    <row r="957" spans="1:6" x14ac:dyDescent="0.25">
      <c r="A957" s="72" t="s">
        <v>2967</v>
      </c>
      <c r="B957" s="5">
        <v>70013475</v>
      </c>
      <c r="C957" s="71">
        <v>3</v>
      </c>
      <c r="D957" s="48" t="s">
        <v>1359</v>
      </c>
      <c r="E957" s="72" t="s">
        <v>2982</v>
      </c>
      <c r="F957" s="5" t="s">
        <v>87</v>
      </c>
    </row>
    <row r="958" spans="1:6" x14ac:dyDescent="0.25">
      <c r="A958" s="72" t="s">
        <v>2986</v>
      </c>
      <c r="B958" s="5">
        <v>70014003</v>
      </c>
      <c r="C958" s="71">
        <v>1</v>
      </c>
      <c r="D958" s="48" t="s">
        <v>1359</v>
      </c>
      <c r="E958" s="72" t="s">
        <v>2987</v>
      </c>
      <c r="F958" s="5" t="s">
        <v>46</v>
      </c>
    </row>
    <row r="959" spans="1:6" x14ac:dyDescent="0.25">
      <c r="A959" s="72" t="s">
        <v>2985</v>
      </c>
      <c r="B959" s="5">
        <v>70013996</v>
      </c>
      <c r="C959" s="71">
        <v>3</v>
      </c>
      <c r="D959" s="48" t="s">
        <v>1359</v>
      </c>
      <c r="E959" s="72" t="s">
        <v>2988</v>
      </c>
      <c r="F959" s="5" t="s">
        <v>46</v>
      </c>
    </row>
    <row r="960" spans="1:6" x14ac:dyDescent="0.25">
      <c r="A960" s="72" t="s">
        <v>2984</v>
      </c>
      <c r="B960" s="5">
        <v>70013981</v>
      </c>
      <c r="C960" s="71">
        <v>1</v>
      </c>
      <c r="D960" s="48" t="s">
        <v>1359</v>
      </c>
      <c r="E960" s="72" t="s">
        <v>2989</v>
      </c>
      <c r="F960" s="5" t="s">
        <v>41</v>
      </c>
    </row>
    <row r="961" spans="1:6" x14ac:dyDescent="0.25">
      <c r="A961" s="72" t="s">
        <v>2983</v>
      </c>
      <c r="B961" s="5">
        <v>70013961</v>
      </c>
      <c r="C961" s="71">
        <v>2</v>
      </c>
      <c r="D961" s="48" t="s">
        <v>1359</v>
      </c>
      <c r="E961" s="72" t="s">
        <v>2990</v>
      </c>
      <c r="F961" s="5" t="s">
        <v>63</v>
      </c>
    </row>
    <row r="962" spans="1:6" x14ac:dyDescent="0.25">
      <c r="A962" s="28" t="s">
        <v>3012</v>
      </c>
      <c r="B962" s="48">
        <v>70014004</v>
      </c>
      <c r="C962" s="47">
        <v>1</v>
      </c>
      <c r="D962" s="48" t="s">
        <v>1359</v>
      </c>
      <c r="E962" s="48" t="s">
        <v>3159</v>
      </c>
      <c r="F962" s="47" t="s">
        <v>46</v>
      </c>
    </row>
    <row r="963" spans="1:6" x14ac:dyDescent="0.25">
      <c r="A963" s="48" t="s">
        <v>3085</v>
      </c>
      <c r="B963" s="48">
        <v>70014025</v>
      </c>
      <c r="C963" s="47">
        <v>3</v>
      </c>
      <c r="D963" s="48" t="s">
        <v>1359</v>
      </c>
      <c r="E963" s="48" t="s">
        <v>3232</v>
      </c>
      <c r="F963" s="47" t="s">
        <v>87</v>
      </c>
    </row>
    <row r="964" spans="1:6" x14ac:dyDescent="0.25">
      <c r="A964" s="48" t="s">
        <v>2991</v>
      </c>
      <c r="B964" s="48">
        <v>70014134</v>
      </c>
      <c r="C964" s="47">
        <v>1</v>
      </c>
      <c r="D964" s="48" t="s">
        <v>1359</v>
      </c>
      <c r="E964" s="48" t="s">
        <v>3138</v>
      </c>
      <c r="F964" s="47" t="s">
        <v>229</v>
      </c>
    </row>
    <row r="965" spans="1:6" x14ac:dyDescent="0.25">
      <c r="A965" s="48" t="s">
        <v>2992</v>
      </c>
      <c r="B965" s="48">
        <v>70014137</v>
      </c>
      <c r="C965" s="47">
        <v>1</v>
      </c>
      <c r="D965" s="48" t="s">
        <v>1359</v>
      </c>
      <c r="E965" s="48" t="s">
        <v>3139</v>
      </c>
      <c r="F965" s="47" t="s">
        <v>46</v>
      </c>
    </row>
    <row r="966" spans="1:6" x14ac:dyDescent="0.25">
      <c r="A966" s="48" t="s">
        <v>2993</v>
      </c>
      <c r="B966" s="48">
        <v>70014195</v>
      </c>
      <c r="C966" s="47">
        <v>1</v>
      </c>
      <c r="D966" s="48" t="s">
        <v>1359</v>
      </c>
      <c r="E966" s="48" t="s">
        <v>3140</v>
      </c>
      <c r="F966" s="47" t="s">
        <v>87</v>
      </c>
    </row>
    <row r="967" spans="1:6" x14ac:dyDescent="0.25">
      <c r="A967" s="48" t="s">
        <v>2994</v>
      </c>
      <c r="B967" s="48">
        <v>70014049</v>
      </c>
      <c r="C967" s="47">
        <v>1</v>
      </c>
      <c r="D967" s="48" t="s">
        <v>1359</v>
      </c>
      <c r="E967" s="48" t="s">
        <v>3141</v>
      </c>
      <c r="F967" s="47" t="s">
        <v>87</v>
      </c>
    </row>
    <row r="968" spans="1:6" x14ac:dyDescent="0.25">
      <c r="A968" s="48" t="s">
        <v>2995</v>
      </c>
      <c r="B968" s="48">
        <v>70014027</v>
      </c>
      <c r="C968" s="47">
        <v>1</v>
      </c>
      <c r="D968" s="48" t="s">
        <v>1359</v>
      </c>
      <c r="E968" s="48" t="s">
        <v>3142</v>
      </c>
      <c r="F968" s="47" t="s">
        <v>112</v>
      </c>
    </row>
    <row r="969" spans="1:6" x14ac:dyDescent="0.25">
      <c r="A969" s="48" t="s">
        <v>2996</v>
      </c>
      <c r="B969" s="48">
        <v>70014048</v>
      </c>
      <c r="C969" s="47">
        <v>1</v>
      </c>
      <c r="D969" s="48" t="s">
        <v>1359</v>
      </c>
      <c r="E969" s="48" t="s">
        <v>3143</v>
      </c>
      <c r="F969" s="47" t="s">
        <v>87</v>
      </c>
    </row>
    <row r="970" spans="1:6" x14ac:dyDescent="0.25">
      <c r="A970" s="48" t="s">
        <v>2997</v>
      </c>
      <c r="B970" s="48">
        <v>70014138</v>
      </c>
      <c r="C970" s="47">
        <v>1</v>
      </c>
      <c r="D970" s="48" t="s">
        <v>1359</v>
      </c>
      <c r="E970" s="48" t="s">
        <v>3144</v>
      </c>
      <c r="F970" s="47" t="s">
        <v>87</v>
      </c>
    </row>
    <row r="971" spans="1:6" x14ac:dyDescent="0.25">
      <c r="A971" s="48" t="s">
        <v>2998</v>
      </c>
      <c r="B971" s="48">
        <v>70013987</v>
      </c>
      <c r="C971" s="47">
        <v>1</v>
      </c>
      <c r="D971" s="48" t="s">
        <v>1359</v>
      </c>
      <c r="E971" s="48" t="s">
        <v>3145</v>
      </c>
      <c r="F971" s="47" t="s">
        <v>41</v>
      </c>
    </row>
    <row r="972" spans="1:6" x14ac:dyDescent="0.25">
      <c r="A972" s="48" t="s">
        <v>2999</v>
      </c>
      <c r="B972" s="48">
        <v>70013947</v>
      </c>
      <c r="C972" s="47">
        <v>1</v>
      </c>
      <c r="D972" s="48" t="s">
        <v>1359</v>
      </c>
      <c r="E972" s="48" t="s">
        <v>3146</v>
      </c>
      <c r="F972" s="47" t="s">
        <v>229</v>
      </c>
    </row>
    <row r="973" spans="1:6" x14ac:dyDescent="0.25">
      <c r="A973" s="48" t="s">
        <v>3000</v>
      </c>
      <c r="B973" s="48">
        <v>70014167</v>
      </c>
      <c r="C973" s="47">
        <v>1</v>
      </c>
      <c r="D973" s="48" t="s">
        <v>1359</v>
      </c>
      <c r="E973" s="48" t="s">
        <v>3147</v>
      </c>
      <c r="F973" s="47" t="s">
        <v>87</v>
      </c>
    </row>
    <row r="974" spans="1:6" x14ac:dyDescent="0.25">
      <c r="A974" s="48" t="s">
        <v>3001</v>
      </c>
      <c r="B974" s="48">
        <v>70014059</v>
      </c>
      <c r="C974" s="47">
        <v>1</v>
      </c>
      <c r="D974" s="48" t="s">
        <v>1359</v>
      </c>
      <c r="E974" s="48" t="s">
        <v>3148</v>
      </c>
      <c r="F974" s="47" t="s">
        <v>112</v>
      </c>
    </row>
    <row r="975" spans="1:6" x14ac:dyDescent="0.25">
      <c r="A975" s="48" t="s">
        <v>3002</v>
      </c>
      <c r="B975" s="48">
        <v>70014058</v>
      </c>
      <c r="C975" s="47">
        <v>1</v>
      </c>
      <c r="D975" s="48" t="s">
        <v>1359</v>
      </c>
      <c r="E975" s="48" t="s">
        <v>3149</v>
      </c>
      <c r="F975" s="47" t="s">
        <v>112</v>
      </c>
    </row>
    <row r="976" spans="1:6" x14ac:dyDescent="0.25">
      <c r="A976" s="48" t="s">
        <v>3003</v>
      </c>
      <c r="B976" s="48">
        <v>70014001</v>
      </c>
      <c r="C976" s="47">
        <v>1</v>
      </c>
      <c r="D976" s="48" t="s">
        <v>1359</v>
      </c>
      <c r="E976" s="48" t="s">
        <v>3150</v>
      </c>
      <c r="F976" s="47" t="s">
        <v>46</v>
      </c>
    </row>
    <row r="977" spans="1:6" x14ac:dyDescent="0.25">
      <c r="A977" s="48" t="s">
        <v>3004</v>
      </c>
      <c r="B977" s="48">
        <v>70014064</v>
      </c>
      <c r="C977" s="47">
        <v>1</v>
      </c>
      <c r="D977" s="48" t="s">
        <v>1359</v>
      </c>
      <c r="E977" s="48" t="s">
        <v>3151</v>
      </c>
      <c r="F977" s="47" t="s">
        <v>87</v>
      </c>
    </row>
    <row r="978" spans="1:6" x14ac:dyDescent="0.25">
      <c r="A978" s="48" t="s">
        <v>3005</v>
      </c>
      <c r="B978" s="48">
        <v>70014180</v>
      </c>
      <c r="C978" s="47">
        <v>1</v>
      </c>
      <c r="D978" s="48" t="s">
        <v>1359</v>
      </c>
      <c r="E978" s="48" t="s">
        <v>3152</v>
      </c>
      <c r="F978" s="47" t="s">
        <v>46</v>
      </c>
    </row>
    <row r="979" spans="1:6" x14ac:dyDescent="0.25">
      <c r="A979" s="48" t="s">
        <v>3006</v>
      </c>
      <c r="B979" s="48">
        <v>70014197</v>
      </c>
      <c r="C979" s="47">
        <v>1</v>
      </c>
      <c r="D979" s="48" t="s">
        <v>1359</v>
      </c>
      <c r="E979" s="48" t="s">
        <v>3153</v>
      </c>
      <c r="F979" s="47" t="s">
        <v>46</v>
      </c>
    </row>
    <row r="980" spans="1:6" x14ac:dyDescent="0.25">
      <c r="A980" s="48" t="s">
        <v>2986</v>
      </c>
      <c r="B980" s="48">
        <v>70014003</v>
      </c>
      <c r="C980" s="47">
        <v>1</v>
      </c>
      <c r="D980" s="48" t="s">
        <v>1359</v>
      </c>
      <c r="E980" s="48" t="s">
        <v>2987</v>
      </c>
      <c r="F980" s="47" t="s">
        <v>46</v>
      </c>
    </row>
    <row r="981" spans="1:6" x14ac:dyDescent="0.25">
      <c r="A981" s="48" t="s">
        <v>3007</v>
      </c>
      <c r="B981" s="48">
        <v>70014037</v>
      </c>
      <c r="C981" s="47">
        <v>1</v>
      </c>
      <c r="D981" s="48" t="s">
        <v>1359</v>
      </c>
      <c r="E981" s="48" t="s">
        <v>3154</v>
      </c>
      <c r="F981" s="47" t="s">
        <v>46</v>
      </c>
    </row>
    <row r="982" spans="1:6" x14ac:dyDescent="0.25">
      <c r="A982" s="48" t="s">
        <v>3008</v>
      </c>
      <c r="B982" s="48">
        <v>70014068</v>
      </c>
      <c r="C982" s="47">
        <v>1</v>
      </c>
      <c r="D982" s="48" t="s">
        <v>1359</v>
      </c>
      <c r="E982" s="48" t="s">
        <v>3155</v>
      </c>
      <c r="F982" s="47" t="s">
        <v>46</v>
      </c>
    </row>
    <row r="983" spans="1:6" x14ac:dyDescent="0.25">
      <c r="A983" s="48" t="s">
        <v>3009</v>
      </c>
      <c r="B983" s="48">
        <v>70014069</v>
      </c>
      <c r="C983" s="47">
        <v>1</v>
      </c>
      <c r="D983" s="48" t="s">
        <v>1359</v>
      </c>
      <c r="E983" s="48" t="s">
        <v>3156</v>
      </c>
      <c r="F983" s="47" t="s">
        <v>46</v>
      </c>
    </row>
    <row r="984" spans="1:6" x14ac:dyDescent="0.25">
      <c r="A984" s="48" t="s">
        <v>3010</v>
      </c>
      <c r="B984" s="48">
        <v>70014133</v>
      </c>
      <c r="C984" s="47">
        <v>1</v>
      </c>
      <c r="D984" s="48" t="s">
        <v>1359</v>
      </c>
      <c r="E984" s="48" t="s">
        <v>3157</v>
      </c>
      <c r="F984" s="47" t="s">
        <v>46</v>
      </c>
    </row>
    <row r="985" spans="1:6" x14ac:dyDescent="0.25">
      <c r="A985" s="48" t="s">
        <v>3011</v>
      </c>
      <c r="B985" s="48">
        <v>70014002</v>
      </c>
      <c r="C985" s="47">
        <v>1</v>
      </c>
      <c r="D985" s="48" t="s">
        <v>1359</v>
      </c>
      <c r="E985" s="48" t="s">
        <v>3158</v>
      </c>
      <c r="F985" s="47" t="s">
        <v>46</v>
      </c>
    </row>
    <row r="986" spans="1:6" x14ac:dyDescent="0.25">
      <c r="A986" s="48" t="s">
        <v>3013</v>
      </c>
      <c r="B986" s="48">
        <v>70013945</v>
      </c>
      <c r="C986" s="47">
        <v>1</v>
      </c>
      <c r="D986" s="48" t="s">
        <v>1359</v>
      </c>
      <c r="E986" s="48" t="s">
        <v>3160</v>
      </c>
      <c r="F986" s="47" t="s">
        <v>131</v>
      </c>
    </row>
    <row r="987" spans="1:6" x14ac:dyDescent="0.25">
      <c r="A987" s="48" t="s">
        <v>3014</v>
      </c>
      <c r="B987" s="48">
        <v>70013998</v>
      </c>
      <c r="C987" s="47">
        <v>1</v>
      </c>
      <c r="D987" s="48" t="s">
        <v>1359</v>
      </c>
      <c r="E987" s="48" t="s">
        <v>3161</v>
      </c>
      <c r="F987" s="47" t="s">
        <v>46</v>
      </c>
    </row>
    <row r="988" spans="1:6" x14ac:dyDescent="0.25">
      <c r="A988" s="48" t="s">
        <v>3015</v>
      </c>
      <c r="B988" s="48">
        <v>70014006</v>
      </c>
      <c r="C988" s="47">
        <v>1</v>
      </c>
      <c r="D988" s="48" t="s">
        <v>1359</v>
      </c>
      <c r="E988" s="48" t="s">
        <v>3162</v>
      </c>
      <c r="F988" s="47" t="s">
        <v>46</v>
      </c>
    </row>
    <row r="989" spans="1:6" x14ac:dyDescent="0.25">
      <c r="A989" s="48" t="s">
        <v>3016</v>
      </c>
      <c r="B989" s="48">
        <v>70014184</v>
      </c>
      <c r="C989" s="47">
        <v>1</v>
      </c>
      <c r="D989" s="48" t="s">
        <v>1359</v>
      </c>
      <c r="E989" s="48" t="s">
        <v>3163</v>
      </c>
      <c r="F989" s="47" t="s">
        <v>46</v>
      </c>
    </row>
    <row r="990" spans="1:6" x14ac:dyDescent="0.25">
      <c r="A990" s="48" t="s">
        <v>3017</v>
      </c>
      <c r="B990" s="48">
        <v>70013986</v>
      </c>
      <c r="C990" s="47">
        <v>1</v>
      </c>
      <c r="D990" s="48" t="s">
        <v>1359</v>
      </c>
      <c r="E990" s="48" t="s">
        <v>3164</v>
      </c>
      <c r="F990" s="47" t="s">
        <v>41</v>
      </c>
    </row>
    <row r="991" spans="1:6" x14ac:dyDescent="0.25">
      <c r="A991" s="48" t="s">
        <v>3018</v>
      </c>
      <c r="B991" s="48">
        <v>70014045</v>
      </c>
      <c r="C991" s="47">
        <v>1</v>
      </c>
      <c r="D991" s="48" t="s">
        <v>1359</v>
      </c>
      <c r="E991" s="48" t="s">
        <v>3165</v>
      </c>
      <c r="F991" s="47" t="s">
        <v>87</v>
      </c>
    </row>
    <row r="992" spans="1:6" x14ac:dyDescent="0.25">
      <c r="A992" s="48" t="s">
        <v>3019</v>
      </c>
      <c r="B992" s="48">
        <v>70013943</v>
      </c>
      <c r="C992" s="47">
        <v>1</v>
      </c>
      <c r="D992" s="48" t="s">
        <v>1359</v>
      </c>
      <c r="E992" s="48" t="s">
        <v>3166</v>
      </c>
      <c r="F992" s="47" t="s">
        <v>131</v>
      </c>
    </row>
    <row r="993" spans="1:6" x14ac:dyDescent="0.25">
      <c r="A993" s="48" t="s">
        <v>3020</v>
      </c>
      <c r="B993" s="48">
        <v>70014065</v>
      </c>
      <c r="C993" s="47">
        <v>1</v>
      </c>
      <c r="D993" s="48" t="s">
        <v>1359</v>
      </c>
      <c r="E993" s="48" t="s">
        <v>3167</v>
      </c>
      <c r="F993" s="47" t="s">
        <v>112</v>
      </c>
    </row>
    <row r="994" spans="1:6" x14ac:dyDescent="0.25">
      <c r="A994" s="48" t="s">
        <v>3021</v>
      </c>
      <c r="B994" s="48">
        <v>70014066</v>
      </c>
      <c r="C994" s="47">
        <v>1</v>
      </c>
      <c r="D994" s="48" t="s">
        <v>1359</v>
      </c>
      <c r="E994" s="48" t="s">
        <v>3168</v>
      </c>
      <c r="F994" s="47" t="s">
        <v>112</v>
      </c>
    </row>
    <row r="995" spans="1:6" x14ac:dyDescent="0.25">
      <c r="A995" s="48" t="s">
        <v>3022</v>
      </c>
      <c r="B995" s="48">
        <v>70014047</v>
      </c>
      <c r="C995" s="47">
        <v>1</v>
      </c>
      <c r="D995" s="48" t="s">
        <v>1359</v>
      </c>
      <c r="E995" s="48" t="s">
        <v>3169</v>
      </c>
      <c r="F995" s="47" t="s">
        <v>87</v>
      </c>
    </row>
    <row r="996" spans="1:6" x14ac:dyDescent="0.25">
      <c r="A996" s="48" t="s">
        <v>3023</v>
      </c>
      <c r="B996" s="48">
        <v>70014055</v>
      </c>
      <c r="C996" s="47">
        <v>1</v>
      </c>
      <c r="D996" s="48" t="s">
        <v>1359</v>
      </c>
      <c r="E996" s="48" t="s">
        <v>3170</v>
      </c>
      <c r="F996" s="47" t="s">
        <v>46</v>
      </c>
    </row>
    <row r="997" spans="1:6" x14ac:dyDescent="0.25">
      <c r="A997" s="48" t="s">
        <v>3024</v>
      </c>
      <c r="B997" s="48">
        <v>70014157</v>
      </c>
      <c r="C997" s="47">
        <v>1</v>
      </c>
      <c r="D997" s="48" t="s">
        <v>1359</v>
      </c>
      <c r="E997" s="48" t="s">
        <v>3171</v>
      </c>
      <c r="F997" s="47" t="s">
        <v>87</v>
      </c>
    </row>
    <row r="998" spans="1:6" x14ac:dyDescent="0.25">
      <c r="A998" s="48" t="s">
        <v>3025</v>
      </c>
      <c r="B998" s="48">
        <v>70013944</v>
      </c>
      <c r="C998" s="47">
        <v>1</v>
      </c>
      <c r="D998" s="48" t="s">
        <v>1359</v>
      </c>
      <c r="E998" s="48" t="s">
        <v>3172</v>
      </c>
      <c r="F998" s="47" t="s">
        <v>131</v>
      </c>
    </row>
    <row r="999" spans="1:6" x14ac:dyDescent="0.25">
      <c r="A999" s="48" t="s">
        <v>3026</v>
      </c>
      <c r="B999" s="48">
        <v>70014196</v>
      </c>
      <c r="C999" s="47">
        <v>1</v>
      </c>
      <c r="D999" s="48" t="s">
        <v>1359</v>
      </c>
      <c r="E999" s="48" t="s">
        <v>3173</v>
      </c>
      <c r="F999" s="47" t="s">
        <v>87</v>
      </c>
    </row>
    <row r="1000" spans="1:6" x14ac:dyDescent="0.25">
      <c r="A1000" s="48" t="s">
        <v>2984</v>
      </c>
      <c r="B1000" s="48">
        <v>70013981</v>
      </c>
      <c r="C1000" s="47">
        <v>1</v>
      </c>
      <c r="D1000" s="48" t="s">
        <v>1359</v>
      </c>
      <c r="E1000" s="48" t="s">
        <v>2989</v>
      </c>
      <c r="F1000" s="47" t="s">
        <v>41</v>
      </c>
    </row>
    <row r="1001" spans="1:6" x14ac:dyDescent="0.25">
      <c r="A1001" s="48" t="s">
        <v>3027</v>
      </c>
      <c r="B1001" s="48">
        <v>70013982</v>
      </c>
      <c r="C1001" s="47">
        <v>1</v>
      </c>
      <c r="D1001" s="48" t="s">
        <v>1359</v>
      </c>
      <c r="E1001" s="48" t="s">
        <v>3174</v>
      </c>
      <c r="F1001" s="47" t="s">
        <v>41</v>
      </c>
    </row>
    <row r="1002" spans="1:6" x14ac:dyDescent="0.25">
      <c r="A1002" s="48" t="s">
        <v>3028</v>
      </c>
      <c r="B1002" s="48">
        <v>70013985</v>
      </c>
      <c r="C1002" s="47">
        <v>1</v>
      </c>
      <c r="D1002" s="48" t="s">
        <v>1359</v>
      </c>
      <c r="E1002" s="48" t="s">
        <v>3175</v>
      </c>
      <c r="F1002" s="47" t="s">
        <v>41</v>
      </c>
    </row>
    <row r="1003" spans="1:6" x14ac:dyDescent="0.25">
      <c r="A1003" s="48" t="s">
        <v>3029</v>
      </c>
      <c r="B1003" s="48">
        <v>70014041</v>
      </c>
      <c r="C1003" s="47">
        <v>1</v>
      </c>
      <c r="D1003" s="48" t="s">
        <v>1359</v>
      </c>
      <c r="E1003" s="48" t="s">
        <v>3176</v>
      </c>
      <c r="F1003" s="47" t="s">
        <v>171</v>
      </c>
    </row>
    <row r="1004" spans="1:6" x14ac:dyDescent="0.25">
      <c r="A1004" s="48" t="s">
        <v>3030</v>
      </c>
      <c r="B1004" s="48">
        <v>70014050</v>
      </c>
      <c r="C1004" s="47">
        <v>1</v>
      </c>
      <c r="D1004" s="48" t="s">
        <v>1359</v>
      </c>
      <c r="E1004" s="48" t="s">
        <v>3177</v>
      </c>
      <c r="F1004" s="47" t="s">
        <v>87</v>
      </c>
    </row>
    <row r="1005" spans="1:6" x14ac:dyDescent="0.25">
      <c r="A1005" s="48" t="s">
        <v>3031</v>
      </c>
      <c r="B1005" s="48">
        <v>70014036</v>
      </c>
      <c r="C1005" s="47">
        <v>1</v>
      </c>
      <c r="D1005" s="48" t="s">
        <v>1359</v>
      </c>
      <c r="E1005" s="48" t="s">
        <v>3178</v>
      </c>
      <c r="F1005" s="47" t="s">
        <v>112</v>
      </c>
    </row>
    <row r="1006" spans="1:6" x14ac:dyDescent="0.25">
      <c r="A1006" s="48" t="s">
        <v>3032</v>
      </c>
      <c r="B1006" s="48">
        <v>70014188</v>
      </c>
      <c r="C1006" s="47">
        <v>1</v>
      </c>
      <c r="D1006" s="48" t="s">
        <v>1359</v>
      </c>
      <c r="E1006" s="48" t="s">
        <v>3179</v>
      </c>
      <c r="F1006" s="47" t="s">
        <v>46</v>
      </c>
    </row>
    <row r="1007" spans="1:6" x14ac:dyDescent="0.25">
      <c r="A1007" s="48" t="s">
        <v>3033</v>
      </c>
      <c r="B1007" s="48">
        <v>70014046</v>
      </c>
      <c r="C1007" s="47">
        <v>1</v>
      </c>
      <c r="D1007" s="48" t="s">
        <v>1359</v>
      </c>
      <c r="E1007" s="48" t="s">
        <v>3180</v>
      </c>
      <c r="F1007" s="47" t="s">
        <v>87</v>
      </c>
    </row>
    <row r="1008" spans="1:6" x14ac:dyDescent="0.25">
      <c r="A1008" s="48" t="s">
        <v>3034</v>
      </c>
      <c r="B1008" s="48">
        <v>70014118</v>
      </c>
      <c r="C1008" s="47">
        <v>1</v>
      </c>
      <c r="D1008" s="48" t="s">
        <v>1359</v>
      </c>
      <c r="E1008" s="48" t="s">
        <v>3181</v>
      </c>
      <c r="F1008" s="47" t="s">
        <v>131</v>
      </c>
    </row>
    <row r="1009" spans="1:6" x14ac:dyDescent="0.25">
      <c r="A1009" s="48" t="s">
        <v>3035</v>
      </c>
      <c r="B1009" s="48">
        <v>70014053</v>
      </c>
      <c r="C1009" s="47">
        <v>1</v>
      </c>
      <c r="D1009" s="48" t="s">
        <v>1359</v>
      </c>
      <c r="E1009" s="48" t="s">
        <v>3182</v>
      </c>
      <c r="F1009" s="47" t="s">
        <v>87</v>
      </c>
    </row>
    <row r="1010" spans="1:6" x14ac:dyDescent="0.25">
      <c r="A1010" s="48" t="s">
        <v>3034</v>
      </c>
      <c r="B1010" s="48">
        <v>70014155</v>
      </c>
      <c r="C1010" s="47">
        <v>1</v>
      </c>
      <c r="D1010" s="48" t="s">
        <v>1359</v>
      </c>
      <c r="E1010" s="48" t="s">
        <v>3181</v>
      </c>
      <c r="F1010" s="47" t="s">
        <v>131</v>
      </c>
    </row>
    <row r="1011" spans="1:6" x14ac:dyDescent="0.25">
      <c r="A1011" s="48" t="s">
        <v>3036</v>
      </c>
      <c r="B1011" s="48">
        <v>70013946</v>
      </c>
      <c r="C1011" s="47">
        <v>1</v>
      </c>
      <c r="D1011" s="48" t="s">
        <v>1359</v>
      </c>
      <c r="E1011" s="48" t="s">
        <v>3183</v>
      </c>
      <c r="F1011" s="47" t="s">
        <v>131</v>
      </c>
    </row>
    <row r="1012" spans="1:6" x14ac:dyDescent="0.25">
      <c r="A1012" s="48" t="s">
        <v>3037</v>
      </c>
      <c r="B1012" s="48">
        <v>70013979</v>
      </c>
      <c r="C1012" s="47">
        <v>1</v>
      </c>
      <c r="D1012" s="48" t="s">
        <v>1359</v>
      </c>
      <c r="E1012" s="48" t="s">
        <v>3184</v>
      </c>
      <c r="F1012" s="47" t="s">
        <v>41</v>
      </c>
    </row>
    <row r="1013" spans="1:6" x14ac:dyDescent="0.25">
      <c r="A1013" s="48" t="s">
        <v>3038</v>
      </c>
      <c r="B1013" s="48">
        <v>70014005</v>
      </c>
      <c r="C1013" s="47">
        <v>1</v>
      </c>
      <c r="D1013" s="48" t="s">
        <v>1359</v>
      </c>
      <c r="E1013" s="48" t="s">
        <v>3185</v>
      </c>
      <c r="F1013" s="47" t="s">
        <v>46</v>
      </c>
    </row>
    <row r="1014" spans="1:6" x14ac:dyDescent="0.25">
      <c r="A1014" s="48" t="s">
        <v>3039</v>
      </c>
      <c r="B1014" s="48">
        <v>70014193</v>
      </c>
      <c r="C1014" s="47">
        <v>1</v>
      </c>
      <c r="D1014" s="48" t="s">
        <v>1359</v>
      </c>
      <c r="E1014" s="48" t="s">
        <v>3186</v>
      </c>
      <c r="F1014" s="47" t="s">
        <v>46</v>
      </c>
    </row>
    <row r="1015" spans="1:6" x14ac:dyDescent="0.25">
      <c r="A1015" s="48" t="s">
        <v>3040</v>
      </c>
      <c r="B1015" s="48">
        <v>70014192</v>
      </c>
      <c r="C1015" s="47">
        <v>1</v>
      </c>
      <c r="D1015" s="48" t="s">
        <v>1359</v>
      </c>
      <c r="E1015" s="48" t="s">
        <v>3187</v>
      </c>
      <c r="F1015" s="47" t="s">
        <v>87</v>
      </c>
    </row>
    <row r="1016" spans="1:6" x14ac:dyDescent="0.25">
      <c r="A1016" s="48" t="s">
        <v>3041</v>
      </c>
      <c r="B1016" s="48">
        <v>70014094</v>
      </c>
      <c r="C1016" s="47">
        <v>1</v>
      </c>
      <c r="D1016" s="48" t="s">
        <v>1359</v>
      </c>
      <c r="E1016" s="48" t="s">
        <v>3188</v>
      </c>
      <c r="F1016" s="47" t="s">
        <v>131</v>
      </c>
    </row>
    <row r="1017" spans="1:6" x14ac:dyDescent="0.25">
      <c r="A1017" s="48" t="s">
        <v>3042</v>
      </c>
      <c r="B1017" s="48">
        <v>70014095</v>
      </c>
      <c r="C1017" s="47">
        <v>1</v>
      </c>
      <c r="D1017" s="48" t="s">
        <v>1359</v>
      </c>
      <c r="E1017" s="48" t="s">
        <v>3189</v>
      </c>
      <c r="F1017" s="47" t="s">
        <v>131</v>
      </c>
    </row>
    <row r="1018" spans="1:6" x14ac:dyDescent="0.25">
      <c r="A1018" s="48" t="s">
        <v>3043</v>
      </c>
      <c r="B1018" s="48">
        <v>70014130</v>
      </c>
      <c r="C1018" s="47">
        <v>1</v>
      </c>
      <c r="D1018" s="48" t="s">
        <v>1359</v>
      </c>
      <c r="E1018" s="48" t="s">
        <v>3190</v>
      </c>
      <c r="F1018" s="47" t="s">
        <v>46</v>
      </c>
    </row>
    <row r="1019" spans="1:6" x14ac:dyDescent="0.25">
      <c r="A1019" s="48" t="s">
        <v>3044</v>
      </c>
      <c r="B1019" s="48">
        <v>70014136</v>
      </c>
      <c r="C1019" s="47">
        <v>1</v>
      </c>
      <c r="D1019" s="48" t="s">
        <v>1359</v>
      </c>
      <c r="E1019" s="48" t="s">
        <v>3191</v>
      </c>
      <c r="F1019" s="47" t="s">
        <v>87</v>
      </c>
    </row>
    <row r="1020" spans="1:6" x14ac:dyDescent="0.25">
      <c r="A1020" s="48" t="s">
        <v>3045</v>
      </c>
      <c r="B1020" s="48">
        <v>70014190</v>
      </c>
      <c r="C1020" s="47">
        <v>1</v>
      </c>
      <c r="D1020" s="48" t="s">
        <v>1359</v>
      </c>
      <c r="E1020" s="48" t="s">
        <v>3192</v>
      </c>
      <c r="F1020" s="47" t="s">
        <v>87</v>
      </c>
    </row>
    <row r="1021" spans="1:6" x14ac:dyDescent="0.25">
      <c r="A1021" s="48" t="s">
        <v>3046</v>
      </c>
      <c r="B1021" s="48">
        <v>70013980</v>
      </c>
      <c r="C1021" s="47">
        <v>1</v>
      </c>
      <c r="D1021" s="48" t="s">
        <v>1359</v>
      </c>
      <c r="E1021" s="48" t="s">
        <v>3193</v>
      </c>
      <c r="F1021" s="47" t="s">
        <v>41</v>
      </c>
    </row>
    <row r="1022" spans="1:6" x14ac:dyDescent="0.25">
      <c r="A1022" s="48" t="s">
        <v>3047</v>
      </c>
      <c r="B1022" s="48">
        <v>70014051</v>
      </c>
      <c r="C1022" s="47">
        <v>1</v>
      </c>
      <c r="D1022" s="48" t="s">
        <v>1359</v>
      </c>
      <c r="E1022" s="48" t="s">
        <v>3194</v>
      </c>
      <c r="F1022" s="47" t="s">
        <v>87</v>
      </c>
    </row>
    <row r="1023" spans="1:6" x14ac:dyDescent="0.25">
      <c r="A1023" s="48" t="s">
        <v>3048</v>
      </c>
      <c r="B1023" s="48">
        <v>70014198</v>
      </c>
      <c r="C1023" s="47">
        <v>1</v>
      </c>
      <c r="D1023" s="48" t="s">
        <v>1359</v>
      </c>
      <c r="E1023" s="48" t="s">
        <v>3195</v>
      </c>
      <c r="F1023" s="47" t="s">
        <v>87</v>
      </c>
    </row>
    <row r="1024" spans="1:6" x14ac:dyDescent="0.25">
      <c r="A1024" s="48" t="s">
        <v>3049</v>
      </c>
      <c r="B1024" s="48">
        <v>70014096</v>
      </c>
      <c r="C1024" s="47">
        <v>1</v>
      </c>
      <c r="D1024" s="48" t="s">
        <v>1359</v>
      </c>
      <c r="E1024" s="48" t="s">
        <v>3196</v>
      </c>
      <c r="F1024" s="47" t="s">
        <v>46</v>
      </c>
    </row>
    <row r="1025" spans="1:6" x14ac:dyDescent="0.25">
      <c r="A1025" s="48" t="s">
        <v>3050</v>
      </c>
      <c r="B1025" s="48">
        <v>70014097</v>
      </c>
      <c r="C1025" s="47">
        <v>1</v>
      </c>
      <c r="D1025" s="48" t="s">
        <v>1359</v>
      </c>
      <c r="E1025" s="48" t="s">
        <v>3197</v>
      </c>
      <c r="F1025" s="47" t="s">
        <v>46</v>
      </c>
    </row>
    <row r="1026" spans="1:6" x14ac:dyDescent="0.25">
      <c r="A1026" s="48" t="s">
        <v>3051</v>
      </c>
      <c r="B1026" s="48">
        <v>70014098</v>
      </c>
      <c r="C1026" s="47">
        <v>1</v>
      </c>
      <c r="D1026" s="48" t="s">
        <v>1359</v>
      </c>
      <c r="E1026" s="48" t="s">
        <v>3198</v>
      </c>
      <c r="F1026" s="47" t="s">
        <v>46</v>
      </c>
    </row>
    <row r="1027" spans="1:6" x14ac:dyDescent="0.25">
      <c r="A1027" s="48" t="s">
        <v>3052</v>
      </c>
      <c r="B1027" s="48">
        <v>70013978</v>
      </c>
      <c r="C1027" s="47">
        <v>1</v>
      </c>
      <c r="D1027" s="48" t="s">
        <v>1359</v>
      </c>
      <c r="E1027" s="48" t="s">
        <v>3199</v>
      </c>
      <c r="F1027" s="47" t="s">
        <v>41</v>
      </c>
    </row>
    <row r="1028" spans="1:6" x14ac:dyDescent="0.25">
      <c r="A1028" s="48" t="s">
        <v>3053</v>
      </c>
      <c r="B1028" s="48">
        <v>70013937</v>
      </c>
      <c r="C1028" s="47">
        <v>1</v>
      </c>
      <c r="D1028" s="48" t="s">
        <v>1359</v>
      </c>
      <c r="E1028" s="48" t="s">
        <v>3200</v>
      </c>
      <c r="F1028" s="47" t="s">
        <v>41</v>
      </c>
    </row>
    <row r="1029" spans="1:6" x14ac:dyDescent="0.25">
      <c r="A1029" s="48" t="s">
        <v>3054</v>
      </c>
      <c r="B1029" s="48">
        <v>70014115</v>
      </c>
      <c r="C1029" s="47">
        <v>1</v>
      </c>
      <c r="D1029" s="48" t="s">
        <v>1359</v>
      </c>
      <c r="E1029" s="48" t="s">
        <v>3201</v>
      </c>
      <c r="F1029" s="47" t="s">
        <v>171</v>
      </c>
    </row>
    <row r="1030" spans="1:6" x14ac:dyDescent="0.25">
      <c r="A1030" s="48" t="s">
        <v>3055</v>
      </c>
      <c r="B1030" s="48">
        <v>70014117</v>
      </c>
      <c r="C1030" s="47">
        <v>1</v>
      </c>
      <c r="D1030" s="48" t="s">
        <v>1359</v>
      </c>
      <c r="E1030" s="48" t="s">
        <v>3202</v>
      </c>
      <c r="F1030" s="47" t="s">
        <v>171</v>
      </c>
    </row>
    <row r="1031" spans="1:6" x14ac:dyDescent="0.25">
      <c r="A1031" s="48" t="s">
        <v>3056</v>
      </c>
      <c r="B1031" s="48">
        <v>70014000</v>
      </c>
      <c r="C1031" s="47">
        <v>1</v>
      </c>
      <c r="D1031" s="48" t="s">
        <v>1359</v>
      </c>
      <c r="E1031" s="48" t="s">
        <v>3203</v>
      </c>
      <c r="F1031" s="47" t="s">
        <v>46</v>
      </c>
    </row>
    <row r="1032" spans="1:6" x14ac:dyDescent="0.25">
      <c r="A1032" s="48" t="s">
        <v>3057</v>
      </c>
      <c r="B1032" s="48">
        <v>70014139</v>
      </c>
      <c r="C1032" s="47">
        <v>1</v>
      </c>
      <c r="D1032" s="48" t="s">
        <v>1359</v>
      </c>
      <c r="E1032" s="48" t="s">
        <v>3204</v>
      </c>
      <c r="F1032" s="47" t="s">
        <v>46</v>
      </c>
    </row>
    <row r="1033" spans="1:6" x14ac:dyDescent="0.25">
      <c r="A1033" s="48" t="s">
        <v>3058</v>
      </c>
      <c r="B1033" s="48">
        <v>70013983</v>
      </c>
      <c r="C1033" s="47">
        <v>3</v>
      </c>
      <c r="D1033" s="48" t="s">
        <v>1359</v>
      </c>
      <c r="E1033" s="48" t="s">
        <v>3205</v>
      </c>
      <c r="F1033" s="47" t="s">
        <v>41</v>
      </c>
    </row>
    <row r="1034" spans="1:6" x14ac:dyDescent="0.25">
      <c r="A1034" s="48" t="s">
        <v>3059</v>
      </c>
      <c r="B1034" s="48">
        <v>70014007</v>
      </c>
      <c r="C1034" s="47">
        <v>3</v>
      </c>
      <c r="D1034" s="48" t="s">
        <v>1359</v>
      </c>
      <c r="E1034" s="48" t="s">
        <v>3206</v>
      </c>
      <c r="F1034" s="47" t="s">
        <v>46</v>
      </c>
    </row>
    <row r="1035" spans="1:6" x14ac:dyDescent="0.25">
      <c r="A1035" s="48" t="s">
        <v>3060</v>
      </c>
      <c r="B1035" s="48">
        <v>70014122</v>
      </c>
      <c r="C1035" s="47">
        <v>3</v>
      </c>
      <c r="D1035" s="48" t="s">
        <v>1359</v>
      </c>
      <c r="E1035" s="48" t="s">
        <v>3207</v>
      </c>
      <c r="F1035" s="47" t="s">
        <v>41</v>
      </c>
    </row>
    <row r="1036" spans="1:6" x14ac:dyDescent="0.25">
      <c r="A1036" s="48" t="s">
        <v>3061</v>
      </c>
      <c r="B1036" s="48">
        <v>70014104</v>
      </c>
      <c r="C1036" s="47">
        <v>3</v>
      </c>
      <c r="D1036" s="48" t="s">
        <v>1359</v>
      </c>
      <c r="E1036" s="48" t="s">
        <v>3208</v>
      </c>
      <c r="F1036" s="47" t="s">
        <v>41</v>
      </c>
    </row>
    <row r="1037" spans="1:6" x14ac:dyDescent="0.25">
      <c r="A1037" s="48" t="s">
        <v>3062</v>
      </c>
      <c r="B1037" s="48">
        <v>70014124</v>
      </c>
      <c r="C1037" s="47">
        <v>3</v>
      </c>
      <c r="D1037" s="48" t="s">
        <v>1359</v>
      </c>
      <c r="E1037" s="48" t="s">
        <v>3209</v>
      </c>
      <c r="F1037" s="47" t="s">
        <v>41</v>
      </c>
    </row>
    <row r="1038" spans="1:6" x14ac:dyDescent="0.25">
      <c r="A1038" s="48" t="s">
        <v>3063</v>
      </c>
      <c r="B1038" s="48">
        <v>70014105</v>
      </c>
      <c r="C1038" s="47">
        <v>3</v>
      </c>
      <c r="D1038" s="48" t="s">
        <v>1359</v>
      </c>
      <c r="E1038" s="48" t="s">
        <v>3210</v>
      </c>
      <c r="F1038" s="47" t="s">
        <v>41</v>
      </c>
    </row>
    <row r="1039" spans="1:6" x14ac:dyDescent="0.25">
      <c r="A1039" s="48" t="s">
        <v>3064</v>
      </c>
      <c r="B1039" s="48">
        <v>70014120</v>
      </c>
      <c r="C1039" s="47">
        <v>3</v>
      </c>
      <c r="D1039" s="48" t="s">
        <v>1359</v>
      </c>
      <c r="E1039" s="48" t="s">
        <v>3211</v>
      </c>
      <c r="F1039" s="47" t="s">
        <v>41</v>
      </c>
    </row>
    <row r="1040" spans="1:6" x14ac:dyDescent="0.25">
      <c r="A1040" s="48" t="s">
        <v>3065</v>
      </c>
      <c r="B1040" s="48">
        <v>70014103</v>
      </c>
      <c r="C1040" s="47">
        <v>3</v>
      </c>
      <c r="D1040" s="48" t="s">
        <v>1359</v>
      </c>
      <c r="E1040" s="48" t="s">
        <v>3212</v>
      </c>
      <c r="F1040" s="47" t="s">
        <v>41</v>
      </c>
    </row>
    <row r="1041" spans="1:6" x14ac:dyDescent="0.25">
      <c r="A1041" s="48" t="s">
        <v>3066</v>
      </c>
      <c r="B1041" s="48">
        <v>70013992</v>
      </c>
      <c r="C1041" s="47">
        <v>3</v>
      </c>
      <c r="D1041" s="48" t="s">
        <v>1359</v>
      </c>
      <c r="E1041" s="48" t="s">
        <v>3213</v>
      </c>
      <c r="F1041" s="47" t="s">
        <v>131</v>
      </c>
    </row>
    <row r="1042" spans="1:6" x14ac:dyDescent="0.25">
      <c r="A1042" s="48" t="s">
        <v>3067</v>
      </c>
      <c r="B1042" s="48">
        <v>70013994</v>
      </c>
      <c r="C1042" s="47">
        <v>3</v>
      </c>
      <c r="D1042" s="48" t="s">
        <v>1359</v>
      </c>
      <c r="E1042" s="48" t="s">
        <v>3214</v>
      </c>
      <c r="F1042" s="47" t="s">
        <v>46</v>
      </c>
    </row>
    <row r="1043" spans="1:6" x14ac:dyDescent="0.25">
      <c r="A1043" s="48" t="s">
        <v>3068</v>
      </c>
      <c r="B1043" s="48">
        <v>70014008</v>
      </c>
      <c r="C1043" s="47">
        <v>3</v>
      </c>
      <c r="D1043" s="48" t="s">
        <v>1359</v>
      </c>
      <c r="E1043" s="48" t="s">
        <v>3215</v>
      </c>
      <c r="F1043" s="47" t="s">
        <v>46</v>
      </c>
    </row>
    <row r="1044" spans="1:6" x14ac:dyDescent="0.25">
      <c r="A1044" s="48" t="s">
        <v>3069</v>
      </c>
      <c r="B1044" s="48">
        <v>70014023</v>
      </c>
      <c r="C1044" s="47">
        <v>3</v>
      </c>
      <c r="D1044" s="48" t="s">
        <v>1359</v>
      </c>
      <c r="E1044" s="48" t="s">
        <v>3216</v>
      </c>
      <c r="F1044" s="47" t="s">
        <v>87</v>
      </c>
    </row>
    <row r="1045" spans="1:6" x14ac:dyDescent="0.25">
      <c r="A1045" s="48" t="s">
        <v>3070</v>
      </c>
      <c r="B1045" s="48">
        <v>70014024</v>
      </c>
      <c r="C1045" s="47">
        <v>3</v>
      </c>
      <c r="D1045" s="48" t="s">
        <v>1359</v>
      </c>
      <c r="E1045" s="48" t="s">
        <v>3217</v>
      </c>
      <c r="F1045" s="47" t="s">
        <v>87</v>
      </c>
    </row>
    <row r="1046" spans="1:6" x14ac:dyDescent="0.25">
      <c r="A1046" s="48" t="s">
        <v>3071</v>
      </c>
      <c r="B1046" s="48">
        <v>70014132</v>
      </c>
      <c r="C1046" s="47">
        <v>2</v>
      </c>
      <c r="D1046" s="48" t="s">
        <v>1359</v>
      </c>
      <c r="E1046" s="48" t="s">
        <v>3218</v>
      </c>
      <c r="F1046" s="47" t="s">
        <v>63</v>
      </c>
    </row>
    <row r="1047" spans="1:6" x14ac:dyDescent="0.25">
      <c r="A1047" s="48" t="s">
        <v>3072</v>
      </c>
      <c r="B1047" s="48">
        <v>70013993</v>
      </c>
      <c r="C1047" s="47">
        <v>3</v>
      </c>
      <c r="D1047" s="48" t="s">
        <v>1359</v>
      </c>
      <c r="E1047" s="48" t="s">
        <v>3219</v>
      </c>
      <c r="F1047" s="47" t="s">
        <v>46</v>
      </c>
    </row>
    <row r="1048" spans="1:6" x14ac:dyDescent="0.25">
      <c r="A1048" s="48" t="s">
        <v>3073</v>
      </c>
      <c r="B1048" s="48">
        <v>70013942</v>
      </c>
      <c r="C1048" s="47">
        <v>3</v>
      </c>
      <c r="D1048" s="48" t="s">
        <v>1359</v>
      </c>
      <c r="E1048" s="48" t="s">
        <v>3220</v>
      </c>
      <c r="F1048" s="47" t="s">
        <v>41</v>
      </c>
    </row>
    <row r="1049" spans="1:6" x14ac:dyDescent="0.25">
      <c r="A1049" s="48" t="s">
        <v>3074</v>
      </c>
      <c r="B1049" s="48">
        <v>70013984</v>
      </c>
      <c r="C1049" s="47">
        <v>3</v>
      </c>
      <c r="D1049" s="48" t="s">
        <v>1359</v>
      </c>
      <c r="E1049" s="48" t="s">
        <v>3221</v>
      </c>
      <c r="F1049" s="47" t="s">
        <v>41</v>
      </c>
    </row>
    <row r="1050" spans="1:6" x14ac:dyDescent="0.25">
      <c r="A1050" s="48" t="s">
        <v>3075</v>
      </c>
      <c r="B1050" s="48">
        <v>70013997</v>
      </c>
      <c r="C1050" s="47">
        <v>3</v>
      </c>
      <c r="D1050" s="48" t="s">
        <v>1359</v>
      </c>
      <c r="E1050" s="48" t="s">
        <v>3222</v>
      </c>
      <c r="F1050" s="47" t="s">
        <v>46</v>
      </c>
    </row>
    <row r="1051" spans="1:6" x14ac:dyDescent="0.25">
      <c r="A1051" s="48" t="s">
        <v>2985</v>
      </c>
      <c r="B1051" s="48">
        <v>70013996</v>
      </c>
      <c r="C1051" s="47">
        <v>3</v>
      </c>
      <c r="D1051" s="48" t="s">
        <v>1359</v>
      </c>
      <c r="E1051" s="48" t="s">
        <v>2988</v>
      </c>
      <c r="F1051" s="47" t="s">
        <v>46</v>
      </c>
    </row>
    <row r="1052" spans="1:6" x14ac:dyDescent="0.25">
      <c r="A1052" s="48" t="s">
        <v>3076</v>
      </c>
      <c r="B1052" s="48">
        <v>70014113</v>
      </c>
      <c r="C1052" s="47">
        <v>3</v>
      </c>
      <c r="D1052" s="48" t="s">
        <v>1359</v>
      </c>
      <c r="E1052" s="48" t="s">
        <v>3223</v>
      </c>
      <c r="F1052" s="47" t="s">
        <v>171</v>
      </c>
    </row>
    <row r="1053" spans="1:6" x14ac:dyDescent="0.25">
      <c r="A1053" s="48" t="s">
        <v>3077</v>
      </c>
      <c r="B1053" s="48">
        <v>70014111</v>
      </c>
      <c r="C1053" s="47">
        <v>3</v>
      </c>
      <c r="D1053" s="48" t="s">
        <v>1359</v>
      </c>
      <c r="E1053" s="48" t="s">
        <v>3224</v>
      </c>
      <c r="F1053" s="47" t="s">
        <v>171</v>
      </c>
    </row>
    <row r="1054" spans="1:6" x14ac:dyDescent="0.25">
      <c r="A1054" s="48" t="s">
        <v>3078</v>
      </c>
      <c r="B1054" s="48">
        <v>70014140</v>
      </c>
      <c r="C1054" s="47">
        <v>3</v>
      </c>
      <c r="D1054" s="48" t="s">
        <v>1359</v>
      </c>
      <c r="E1054" s="48" t="s">
        <v>3225</v>
      </c>
      <c r="F1054" s="47" t="s">
        <v>46</v>
      </c>
    </row>
    <row r="1055" spans="1:6" x14ac:dyDescent="0.25">
      <c r="A1055" s="48" t="s">
        <v>3079</v>
      </c>
      <c r="B1055" s="48">
        <v>70014099</v>
      </c>
      <c r="C1055" s="47">
        <v>3</v>
      </c>
      <c r="D1055" s="48" t="s">
        <v>1359</v>
      </c>
      <c r="E1055" s="48" t="s">
        <v>3226</v>
      </c>
      <c r="F1055" s="47" t="s">
        <v>46</v>
      </c>
    </row>
    <row r="1056" spans="1:6" x14ac:dyDescent="0.25">
      <c r="A1056" s="48" t="s">
        <v>3080</v>
      </c>
      <c r="B1056" s="48">
        <v>70014100</v>
      </c>
      <c r="C1056" s="47">
        <v>3</v>
      </c>
      <c r="D1056" s="48" t="s">
        <v>1359</v>
      </c>
      <c r="E1056" s="48" t="s">
        <v>3227</v>
      </c>
      <c r="F1056" s="47" t="s">
        <v>46</v>
      </c>
    </row>
    <row r="1057" spans="1:6" x14ac:dyDescent="0.25">
      <c r="A1057" s="48" t="s">
        <v>3081</v>
      </c>
      <c r="B1057" s="48">
        <v>70014101</v>
      </c>
      <c r="C1057" s="47">
        <v>3</v>
      </c>
      <c r="D1057" s="48" t="s">
        <v>1359</v>
      </c>
      <c r="E1057" s="48" t="s">
        <v>3228</v>
      </c>
      <c r="F1057" s="47" t="s">
        <v>46</v>
      </c>
    </row>
    <row r="1058" spans="1:6" x14ac:dyDescent="0.25">
      <c r="A1058" s="48" t="s">
        <v>3082</v>
      </c>
      <c r="B1058" s="48">
        <v>70013936</v>
      </c>
      <c r="C1058" s="47">
        <v>3</v>
      </c>
      <c r="D1058" s="48" t="s">
        <v>1359</v>
      </c>
      <c r="E1058" s="48" t="s">
        <v>3229</v>
      </c>
      <c r="F1058" s="47" t="s">
        <v>41</v>
      </c>
    </row>
    <row r="1059" spans="1:6" x14ac:dyDescent="0.25">
      <c r="A1059" s="48" t="s">
        <v>3083</v>
      </c>
      <c r="B1059" s="48">
        <v>70014018</v>
      </c>
      <c r="C1059" s="47">
        <v>3</v>
      </c>
      <c r="D1059" s="48" t="s">
        <v>1359</v>
      </c>
      <c r="E1059" s="48" t="s">
        <v>3230</v>
      </c>
      <c r="F1059" s="47" t="s">
        <v>46</v>
      </c>
    </row>
    <row r="1060" spans="1:6" x14ac:dyDescent="0.25">
      <c r="A1060" s="48" t="s">
        <v>3084</v>
      </c>
      <c r="B1060" s="48">
        <v>70014052</v>
      </c>
      <c r="C1060" s="47">
        <v>3</v>
      </c>
      <c r="D1060" s="48" t="s">
        <v>1359</v>
      </c>
      <c r="E1060" s="48" t="s">
        <v>3231</v>
      </c>
      <c r="F1060" s="47" t="s">
        <v>87</v>
      </c>
    </row>
    <row r="1061" spans="1:6" x14ac:dyDescent="0.25">
      <c r="A1061" s="48" t="s">
        <v>3086</v>
      </c>
      <c r="B1061" s="48">
        <v>70014026</v>
      </c>
      <c r="C1061" s="47">
        <v>3</v>
      </c>
      <c r="D1061" s="48" t="s">
        <v>1359</v>
      </c>
      <c r="E1061" s="48" t="s">
        <v>3233</v>
      </c>
      <c r="F1061" s="47" t="s">
        <v>87</v>
      </c>
    </row>
    <row r="1062" spans="1:6" x14ac:dyDescent="0.25">
      <c r="A1062" s="48" t="s">
        <v>3087</v>
      </c>
      <c r="B1062" s="48">
        <v>70013964</v>
      </c>
      <c r="C1062" s="47">
        <v>2</v>
      </c>
      <c r="D1062" s="48" t="s">
        <v>1359</v>
      </c>
      <c r="E1062" s="48" t="s">
        <v>3234</v>
      </c>
      <c r="F1062" s="47" t="s">
        <v>63</v>
      </c>
    </row>
    <row r="1063" spans="1:6" x14ac:dyDescent="0.25">
      <c r="A1063" s="48" t="s">
        <v>3087</v>
      </c>
      <c r="B1063" s="48">
        <v>70014131</v>
      </c>
      <c r="C1063" s="47">
        <v>2</v>
      </c>
      <c r="D1063" s="48" t="s">
        <v>1359</v>
      </c>
      <c r="E1063" s="48" t="s">
        <v>3235</v>
      </c>
      <c r="F1063" s="47" t="s">
        <v>63</v>
      </c>
    </row>
    <row r="1064" spans="1:6" x14ac:dyDescent="0.25">
      <c r="A1064" s="48" t="s">
        <v>3088</v>
      </c>
      <c r="B1064" s="48">
        <v>70014156</v>
      </c>
      <c r="C1064" s="47">
        <v>3</v>
      </c>
      <c r="D1064" s="48" t="s">
        <v>1359</v>
      </c>
      <c r="E1064" s="48" t="s">
        <v>3236</v>
      </c>
      <c r="F1064" s="47" t="s">
        <v>41</v>
      </c>
    </row>
    <row r="1065" spans="1:6" x14ac:dyDescent="0.25">
      <c r="A1065" s="48" t="s">
        <v>3089</v>
      </c>
      <c r="B1065" s="48">
        <v>70014042</v>
      </c>
      <c r="C1065" s="47">
        <v>3</v>
      </c>
      <c r="D1065" s="48" t="s">
        <v>1359</v>
      </c>
      <c r="E1065" s="48" t="s">
        <v>3237</v>
      </c>
      <c r="F1065" s="47" t="s">
        <v>87</v>
      </c>
    </row>
    <row r="1066" spans="1:6" x14ac:dyDescent="0.25">
      <c r="A1066" s="48" t="s">
        <v>3090</v>
      </c>
      <c r="B1066" s="48">
        <v>70014102</v>
      </c>
      <c r="C1066" s="47">
        <v>3</v>
      </c>
      <c r="D1066" s="48" t="s">
        <v>1359</v>
      </c>
      <c r="E1066" s="48" t="s">
        <v>3238</v>
      </c>
      <c r="F1066" s="47" t="s">
        <v>46</v>
      </c>
    </row>
    <row r="1067" spans="1:6" x14ac:dyDescent="0.25">
      <c r="A1067" s="48" t="s">
        <v>3091</v>
      </c>
      <c r="B1067" s="48">
        <v>70014061</v>
      </c>
      <c r="C1067" s="47">
        <v>3</v>
      </c>
      <c r="D1067" s="48" t="s">
        <v>1359</v>
      </c>
      <c r="E1067" s="48" t="s">
        <v>3239</v>
      </c>
      <c r="F1067" s="47" t="s">
        <v>46</v>
      </c>
    </row>
    <row r="1068" spans="1:6" x14ac:dyDescent="0.25">
      <c r="A1068" s="48" t="s">
        <v>3092</v>
      </c>
      <c r="B1068" s="48">
        <v>70014062</v>
      </c>
      <c r="C1068" s="47">
        <v>3</v>
      </c>
      <c r="D1068" s="48" t="s">
        <v>1359</v>
      </c>
      <c r="E1068" s="48" t="s">
        <v>3240</v>
      </c>
      <c r="F1068" s="47" t="s">
        <v>46</v>
      </c>
    </row>
    <row r="1069" spans="1:6" x14ac:dyDescent="0.25">
      <c r="A1069" s="48" t="s">
        <v>3093</v>
      </c>
      <c r="B1069" s="48">
        <v>70014063</v>
      </c>
      <c r="C1069" s="47">
        <v>3</v>
      </c>
      <c r="D1069" s="48" t="s">
        <v>1359</v>
      </c>
      <c r="E1069" s="48" t="s">
        <v>3241</v>
      </c>
      <c r="F1069" s="47" t="s">
        <v>46</v>
      </c>
    </row>
    <row r="1070" spans="1:6" x14ac:dyDescent="0.25">
      <c r="A1070" s="48" t="s">
        <v>3094</v>
      </c>
      <c r="B1070" s="48">
        <v>70014043</v>
      </c>
      <c r="C1070" s="47">
        <v>3</v>
      </c>
      <c r="D1070" s="48" t="s">
        <v>1359</v>
      </c>
      <c r="E1070" s="48" t="s">
        <v>3242</v>
      </c>
      <c r="F1070" s="47" t="s">
        <v>87</v>
      </c>
    </row>
    <row r="1071" spans="1:6" x14ac:dyDescent="0.25">
      <c r="A1071" s="48" t="s">
        <v>3095</v>
      </c>
      <c r="B1071" s="48">
        <v>70013995</v>
      </c>
      <c r="C1071" s="47">
        <v>3</v>
      </c>
      <c r="D1071" s="48" t="s">
        <v>1359</v>
      </c>
      <c r="E1071" s="48" t="s">
        <v>3243</v>
      </c>
      <c r="F1071" s="47" t="s">
        <v>46</v>
      </c>
    </row>
    <row r="1072" spans="1:6" x14ac:dyDescent="0.25">
      <c r="A1072" s="48" t="s">
        <v>3096</v>
      </c>
      <c r="B1072" s="48">
        <v>70014010</v>
      </c>
      <c r="C1072" s="47">
        <v>3</v>
      </c>
      <c r="D1072" s="48" t="s">
        <v>1359</v>
      </c>
      <c r="E1072" s="48" t="s">
        <v>3244</v>
      </c>
      <c r="F1072" s="47" t="s">
        <v>46</v>
      </c>
    </row>
    <row r="1073" spans="1:6" x14ac:dyDescent="0.25">
      <c r="A1073" s="48" t="s">
        <v>3097</v>
      </c>
      <c r="B1073" s="48">
        <v>70014044</v>
      </c>
      <c r="C1073" s="47">
        <v>3</v>
      </c>
      <c r="D1073" s="48" t="s">
        <v>1359</v>
      </c>
      <c r="E1073" s="48" t="s">
        <v>3245</v>
      </c>
      <c r="F1073" s="47" t="s">
        <v>87</v>
      </c>
    </row>
    <row r="1074" spans="1:6" x14ac:dyDescent="0.25">
      <c r="A1074" s="48" t="s">
        <v>3098</v>
      </c>
      <c r="B1074" s="48">
        <v>70013960</v>
      </c>
      <c r="C1074" s="47">
        <v>2</v>
      </c>
      <c r="D1074" s="48" t="s">
        <v>1359</v>
      </c>
      <c r="E1074" s="48" t="s">
        <v>3246</v>
      </c>
      <c r="F1074" s="47" t="s">
        <v>63</v>
      </c>
    </row>
    <row r="1075" spans="1:6" x14ac:dyDescent="0.25">
      <c r="A1075" s="48" t="s">
        <v>3099</v>
      </c>
      <c r="B1075" s="48">
        <v>70014191</v>
      </c>
      <c r="C1075" s="47">
        <v>2</v>
      </c>
      <c r="D1075" s="48" t="s">
        <v>1359</v>
      </c>
      <c r="E1075" s="48" t="s">
        <v>3247</v>
      </c>
      <c r="F1075" s="47" t="s">
        <v>63</v>
      </c>
    </row>
    <row r="1076" spans="1:6" x14ac:dyDescent="0.25">
      <c r="A1076" s="48" t="s">
        <v>3100</v>
      </c>
      <c r="B1076" s="48">
        <v>70013965</v>
      </c>
      <c r="C1076" s="47">
        <v>2</v>
      </c>
      <c r="D1076" s="48" t="s">
        <v>1359</v>
      </c>
      <c r="E1076" s="48" t="s">
        <v>3248</v>
      </c>
      <c r="F1076" s="47" t="s">
        <v>63</v>
      </c>
    </row>
    <row r="1077" spans="1:6" x14ac:dyDescent="0.25">
      <c r="A1077" s="48" t="s">
        <v>3101</v>
      </c>
      <c r="B1077" s="48">
        <v>70014165</v>
      </c>
      <c r="C1077" s="47">
        <v>2</v>
      </c>
      <c r="D1077" s="48" t="s">
        <v>1359</v>
      </c>
      <c r="E1077" s="48" t="s">
        <v>3249</v>
      </c>
      <c r="F1077" s="47" t="s">
        <v>63</v>
      </c>
    </row>
    <row r="1078" spans="1:6" x14ac:dyDescent="0.25">
      <c r="A1078" s="48" t="s">
        <v>3102</v>
      </c>
      <c r="B1078" s="48">
        <v>70014020</v>
      </c>
      <c r="C1078" s="47">
        <v>3</v>
      </c>
      <c r="D1078" s="48" t="s">
        <v>1359</v>
      </c>
      <c r="E1078" s="48" t="s">
        <v>3250</v>
      </c>
      <c r="F1078" s="47" t="s">
        <v>46</v>
      </c>
    </row>
    <row r="1079" spans="1:6" x14ac:dyDescent="0.25">
      <c r="A1079" s="48" t="s">
        <v>3103</v>
      </c>
      <c r="B1079" s="48">
        <v>70014011</v>
      </c>
      <c r="C1079" s="47">
        <v>3</v>
      </c>
      <c r="D1079" s="48" t="s">
        <v>1359</v>
      </c>
      <c r="E1079" s="48" t="s">
        <v>3251</v>
      </c>
      <c r="F1079" s="47" t="s">
        <v>46</v>
      </c>
    </row>
    <row r="1080" spans="1:6" x14ac:dyDescent="0.25">
      <c r="A1080" s="48" t="s">
        <v>3104</v>
      </c>
      <c r="B1080" s="48">
        <v>70014019</v>
      </c>
      <c r="C1080" s="47">
        <v>3</v>
      </c>
      <c r="D1080" s="48" t="s">
        <v>1359</v>
      </c>
      <c r="E1080" s="48" t="s">
        <v>3252</v>
      </c>
      <c r="F1080" s="47" t="s">
        <v>46</v>
      </c>
    </row>
    <row r="1081" spans="1:6" x14ac:dyDescent="0.25">
      <c r="A1081" s="48" t="s">
        <v>3105</v>
      </c>
      <c r="B1081" s="48">
        <v>70014009</v>
      </c>
      <c r="C1081" s="47">
        <v>3</v>
      </c>
      <c r="D1081" s="48" t="s">
        <v>1359</v>
      </c>
      <c r="E1081" s="48" t="s">
        <v>3253</v>
      </c>
      <c r="F1081" s="47" t="s">
        <v>46</v>
      </c>
    </row>
    <row r="1082" spans="1:6" x14ac:dyDescent="0.25">
      <c r="A1082" s="48" t="s">
        <v>3106</v>
      </c>
      <c r="B1082" s="48">
        <v>70014022</v>
      </c>
      <c r="C1082" s="47">
        <v>3</v>
      </c>
      <c r="D1082" s="48" t="s">
        <v>1359</v>
      </c>
      <c r="E1082" s="48" t="s">
        <v>3254</v>
      </c>
      <c r="F1082" s="47" t="s">
        <v>46</v>
      </c>
    </row>
    <row r="1083" spans="1:6" x14ac:dyDescent="0.25">
      <c r="A1083" s="48" t="s">
        <v>3107</v>
      </c>
      <c r="B1083" s="48">
        <v>70014021</v>
      </c>
      <c r="C1083" s="47">
        <v>3</v>
      </c>
      <c r="D1083" s="48" t="s">
        <v>1359</v>
      </c>
      <c r="E1083" s="48" t="s">
        <v>3255</v>
      </c>
      <c r="F1083" s="47" t="s">
        <v>46</v>
      </c>
    </row>
    <row r="1084" spans="1:6" x14ac:dyDescent="0.25">
      <c r="A1084" s="48" t="s">
        <v>3108</v>
      </c>
      <c r="B1084" s="48">
        <v>70013966</v>
      </c>
      <c r="C1084" s="47">
        <v>2</v>
      </c>
      <c r="D1084" s="48" t="s">
        <v>1359</v>
      </c>
      <c r="E1084" s="48" t="s">
        <v>3256</v>
      </c>
      <c r="F1084" s="47" t="s">
        <v>63</v>
      </c>
    </row>
    <row r="1085" spans="1:6" x14ac:dyDescent="0.25">
      <c r="A1085" s="48" t="s">
        <v>3109</v>
      </c>
      <c r="B1085" s="48">
        <v>70014015</v>
      </c>
      <c r="C1085" s="47">
        <v>3</v>
      </c>
      <c r="D1085" s="48" t="s">
        <v>1359</v>
      </c>
      <c r="E1085" s="48" t="s">
        <v>3257</v>
      </c>
      <c r="F1085" s="47" t="s">
        <v>46</v>
      </c>
    </row>
    <row r="1086" spans="1:6" x14ac:dyDescent="0.25">
      <c r="A1086" s="48" t="s">
        <v>3110</v>
      </c>
      <c r="B1086" s="48">
        <v>70014016</v>
      </c>
      <c r="C1086" s="47">
        <v>3</v>
      </c>
      <c r="D1086" s="48" t="s">
        <v>1359</v>
      </c>
      <c r="E1086" s="48" t="s">
        <v>3258</v>
      </c>
      <c r="F1086" s="47" t="s">
        <v>46</v>
      </c>
    </row>
    <row r="1087" spans="1:6" x14ac:dyDescent="0.25">
      <c r="A1087" s="48" t="s">
        <v>3111</v>
      </c>
      <c r="B1087" s="48">
        <v>70014012</v>
      </c>
      <c r="C1087" s="47">
        <v>3</v>
      </c>
      <c r="D1087" s="48" t="s">
        <v>1359</v>
      </c>
      <c r="E1087" s="48" t="s">
        <v>3259</v>
      </c>
      <c r="F1087" s="47" t="s">
        <v>46</v>
      </c>
    </row>
    <row r="1088" spans="1:6" x14ac:dyDescent="0.25">
      <c r="A1088" s="48" t="s">
        <v>3112</v>
      </c>
      <c r="B1088" s="48">
        <v>70014013</v>
      </c>
      <c r="C1088" s="47">
        <v>3</v>
      </c>
      <c r="D1088" s="48" t="s">
        <v>1359</v>
      </c>
      <c r="E1088" s="48" t="s">
        <v>3260</v>
      </c>
      <c r="F1088" s="47" t="s">
        <v>46</v>
      </c>
    </row>
    <row r="1089" spans="1:6" x14ac:dyDescent="0.25">
      <c r="A1089" s="48" t="s">
        <v>2983</v>
      </c>
      <c r="B1089" s="48">
        <v>70013961</v>
      </c>
      <c r="C1089" s="47">
        <v>2</v>
      </c>
      <c r="D1089" s="48" t="s">
        <v>1359</v>
      </c>
      <c r="E1089" s="48" t="s">
        <v>2990</v>
      </c>
      <c r="F1089" s="47" t="s">
        <v>63</v>
      </c>
    </row>
    <row r="1090" spans="1:6" x14ac:dyDescent="0.25">
      <c r="A1090" s="48" t="s">
        <v>3113</v>
      </c>
      <c r="B1090" s="48">
        <v>70014028</v>
      </c>
      <c r="C1090" s="47">
        <v>3</v>
      </c>
      <c r="D1090" s="48" t="s">
        <v>1359</v>
      </c>
      <c r="E1090" s="48" t="s">
        <v>3261</v>
      </c>
      <c r="F1090" s="47" t="s">
        <v>46</v>
      </c>
    </row>
    <row r="1091" spans="1:6" x14ac:dyDescent="0.25">
      <c r="A1091" s="48" t="s">
        <v>3114</v>
      </c>
      <c r="B1091" s="48">
        <v>70014017</v>
      </c>
      <c r="C1091" s="47">
        <v>3</v>
      </c>
      <c r="D1091" s="48" t="s">
        <v>1359</v>
      </c>
      <c r="E1091" s="48" t="s">
        <v>3262</v>
      </c>
      <c r="F1091" s="47" t="s">
        <v>46</v>
      </c>
    </row>
    <row r="1092" spans="1:6" x14ac:dyDescent="0.25">
      <c r="A1092" s="48" t="s">
        <v>3115</v>
      </c>
      <c r="B1092" s="48">
        <v>70013967</v>
      </c>
      <c r="C1092" s="47">
        <v>2</v>
      </c>
      <c r="D1092" s="48" t="s">
        <v>1359</v>
      </c>
      <c r="E1092" s="48" t="s">
        <v>3263</v>
      </c>
      <c r="F1092" s="47" t="s">
        <v>63</v>
      </c>
    </row>
    <row r="1093" spans="1:6" x14ac:dyDescent="0.25">
      <c r="A1093" s="48" t="s">
        <v>3116</v>
      </c>
      <c r="B1093" s="48">
        <v>70013977</v>
      </c>
      <c r="C1093" s="47">
        <v>3</v>
      </c>
      <c r="D1093" s="48" t="s">
        <v>1359</v>
      </c>
      <c r="E1093" s="48" t="s">
        <v>3264</v>
      </c>
      <c r="F1093" s="47" t="s">
        <v>46</v>
      </c>
    </row>
    <row r="1094" spans="1:6" x14ac:dyDescent="0.25">
      <c r="A1094" s="48" t="s">
        <v>3117</v>
      </c>
      <c r="B1094" s="48">
        <v>70014070</v>
      </c>
      <c r="C1094" s="47">
        <v>3</v>
      </c>
      <c r="D1094" s="48" t="s">
        <v>1359</v>
      </c>
      <c r="E1094" s="48" t="s">
        <v>3265</v>
      </c>
      <c r="F1094" s="47" t="s">
        <v>87</v>
      </c>
    </row>
    <row r="1095" spans="1:6" x14ac:dyDescent="0.25">
      <c r="A1095" s="48" t="s">
        <v>3118</v>
      </c>
      <c r="B1095" s="48">
        <v>70014072</v>
      </c>
      <c r="C1095" s="47">
        <v>3</v>
      </c>
      <c r="D1095" s="48" t="s">
        <v>1359</v>
      </c>
      <c r="E1095" s="48" t="s">
        <v>3266</v>
      </c>
      <c r="F1095" s="47" t="s">
        <v>87</v>
      </c>
    </row>
    <row r="1096" spans="1:6" x14ac:dyDescent="0.25">
      <c r="A1096" s="48" t="s">
        <v>3119</v>
      </c>
      <c r="B1096" s="48">
        <v>70014029</v>
      </c>
      <c r="C1096" s="47">
        <v>3</v>
      </c>
      <c r="D1096" s="48" t="s">
        <v>1359</v>
      </c>
      <c r="E1096" s="48" t="s">
        <v>3267</v>
      </c>
      <c r="F1096" s="47" t="s">
        <v>46</v>
      </c>
    </row>
    <row r="1097" spans="1:6" x14ac:dyDescent="0.25">
      <c r="A1097" s="48" t="s">
        <v>3120</v>
      </c>
      <c r="B1097" s="48">
        <v>70014014</v>
      </c>
      <c r="C1097" s="47">
        <v>3</v>
      </c>
      <c r="D1097" s="48" t="s">
        <v>1359</v>
      </c>
      <c r="E1097" s="48" t="s">
        <v>3268</v>
      </c>
      <c r="F1097" s="47" t="s">
        <v>46</v>
      </c>
    </row>
    <row r="1098" spans="1:6" x14ac:dyDescent="0.25">
      <c r="A1098" s="48" t="s">
        <v>3121</v>
      </c>
      <c r="B1098" s="48">
        <v>70013962</v>
      </c>
      <c r="C1098" s="47">
        <v>2</v>
      </c>
      <c r="D1098" s="48" t="s">
        <v>1359</v>
      </c>
      <c r="E1098" s="48" t="s">
        <v>3269</v>
      </c>
      <c r="F1098" s="47" t="s">
        <v>63</v>
      </c>
    </row>
    <row r="1099" spans="1:6" x14ac:dyDescent="0.25">
      <c r="A1099" s="48" t="s">
        <v>3122</v>
      </c>
      <c r="B1099" s="48">
        <v>70014189</v>
      </c>
      <c r="C1099" s="47">
        <v>2</v>
      </c>
      <c r="D1099" s="48" t="s">
        <v>1359</v>
      </c>
      <c r="E1099" s="48" t="s">
        <v>3270</v>
      </c>
      <c r="F1099" s="47" t="s">
        <v>63</v>
      </c>
    </row>
    <row r="1100" spans="1:6" x14ac:dyDescent="0.25">
      <c r="A1100" s="48" t="s">
        <v>3123</v>
      </c>
      <c r="B1100" s="48">
        <v>70013976</v>
      </c>
      <c r="C1100" s="47">
        <v>3</v>
      </c>
      <c r="D1100" s="48" t="s">
        <v>1359</v>
      </c>
      <c r="E1100" s="48" t="s">
        <v>3271</v>
      </c>
      <c r="F1100" s="47" t="s">
        <v>46</v>
      </c>
    </row>
    <row r="1101" spans="1:6" x14ac:dyDescent="0.25">
      <c r="A1101" s="48" t="s">
        <v>3124</v>
      </c>
      <c r="B1101" s="48">
        <v>70014030</v>
      </c>
      <c r="C1101" s="47">
        <v>3</v>
      </c>
      <c r="D1101" s="48" t="s">
        <v>1359</v>
      </c>
      <c r="E1101" s="48" t="s">
        <v>3272</v>
      </c>
      <c r="F1101" s="47" t="s">
        <v>46</v>
      </c>
    </row>
    <row r="1102" spans="1:6" x14ac:dyDescent="0.25">
      <c r="A1102" s="48" t="s">
        <v>3125</v>
      </c>
      <c r="B1102" s="48">
        <v>70013968</v>
      </c>
      <c r="C1102" s="47">
        <v>2</v>
      </c>
      <c r="D1102" s="48" t="s">
        <v>1359</v>
      </c>
      <c r="E1102" s="48" t="s">
        <v>3273</v>
      </c>
      <c r="F1102" s="47" t="s">
        <v>63</v>
      </c>
    </row>
    <row r="1103" spans="1:6" x14ac:dyDescent="0.25">
      <c r="A1103" s="48" t="s">
        <v>3126</v>
      </c>
      <c r="B1103" s="48">
        <v>70013970</v>
      </c>
      <c r="C1103" s="47">
        <v>2</v>
      </c>
      <c r="D1103" s="48" t="s">
        <v>1359</v>
      </c>
      <c r="E1103" s="48" t="s">
        <v>3274</v>
      </c>
      <c r="F1103" s="47" t="s">
        <v>63</v>
      </c>
    </row>
    <row r="1104" spans="1:6" x14ac:dyDescent="0.25">
      <c r="A1104" s="48" t="s">
        <v>3127</v>
      </c>
      <c r="B1104" s="48">
        <v>70013969</v>
      </c>
      <c r="C1104" s="47">
        <v>2</v>
      </c>
      <c r="D1104" s="48" t="s">
        <v>1359</v>
      </c>
      <c r="E1104" s="48" t="s">
        <v>3275</v>
      </c>
      <c r="F1104" s="47" t="s">
        <v>63</v>
      </c>
    </row>
    <row r="1105" spans="1:6" x14ac:dyDescent="0.25">
      <c r="A1105" s="48" t="s">
        <v>3128</v>
      </c>
      <c r="B1105" s="48">
        <v>70014071</v>
      </c>
      <c r="C1105" s="47">
        <v>3</v>
      </c>
      <c r="D1105" s="48" t="s">
        <v>1359</v>
      </c>
      <c r="E1105" s="48" t="s">
        <v>3276</v>
      </c>
      <c r="F1105" s="47" t="s">
        <v>87</v>
      </c>
    </row>
    <row r="1106" spans="1:6" x14ac:dyDescent="0.25">
      <c r="A1106" s="48" t="s">
        <v>3129</v>
      </c>
      <c r="B1106" s="48">
        <v>70014073</v>
      </c>
      <c r="C1106" s="47">
        <v>3</v>
      </c>
      <c r="D1106" s="48" t="s">
        <v>1359</v>
      </c>
      <c r="E1106" s="48" t="s">
        <v>3277</v>
      </c>
      <c r="F1106" s="47" t="s">
        <v>87</v>
      </c>
    </row>
    <row r="1107" spans="1:6" x14ac:dyDescent="0.25">
      <c r="A1107" s="48" t="s">
        <v>3130</v>
      </c>
      <c r="B1107" s="48">
        <v>70014039</v>
      </c>
      <c r="C1107" s="47">
        <v>3</v>
      </c>
      <c r="D1107" s="48" t="s">
        <v>1359</v>
      </c>
      <c r="E1107" s="48" t="s">
        <v>3278</v>
      </c>
      <c r="F1107" s="47" t="s">
        <v>46</v>
      </c>
    </row>
    <row r="1108" spans="1:6" x14ac:dyDescent="0.25">
      <c r="A1108" s="48" t="s">
        <v>3131</v>
      </c>
      <c r="B1108" s="48">
        <v>70014038</v>
      </c>
      <c r="C1108" s="47">
        <v>3</v>
      </c>
      <c r="D1108" s="48" t="s">
        <v>1359</v>
      </c>
      <c r="E1108" s="48" t="s">
        <v>3279</v>
      </c>
      <c r="F1108" s="47" t="s">
        <v>46</v>
      </c>
    </row>
    <row r="1109" spans="1:6" x14ac:dyDescent="0.25">
      <c r="A1109" s="48" t="s">
        <v>3132</v>
      </c>
      <c r="B1109" s="48">
        <v>70013963</v>
      </c>
      <c r="C1109" s="47">
        <v>2</v>
      </c>
      <c r="D1109" s="48" t="s">
        <v>1359</v>
      </c>
      <c r="E1109" s="48" t="s">
        <v>3280</v>
      </c>
      <c r="F1109" s="47" t="s">
        <v>63</v>
      </c>
    </row>
    <row r="1110" spans="1:6" x14ac:dyDescent="0.25">
      <c r="A1110" s="48" t="s">
        <v>3133</v>
      </c>
      <c r="B1110" s="48">
        <v>70014199</v>
      </c>
      <c r="C1110" s="47">
        <v>2</v>
      </c>
      <c r="D1110" s="48" t="s">
        <v>1359</v>
      </c>
      <c r="E1110" s="48" t="s">
        <v>3281</v>
      </c>
      <c r="F1110" s="47" t="s">
        <v>63</v>
      </c>
    </row>
    <row r="1111" spans="1:6" x14ac:dyDescent="0.25">
      <c r="A1111" s="48" t="s">
        <v>3134</v>
      </c>
      <c r="B1111" s="48">
        <v>70013971</v>
      </c>
      <c r="C1111" s="47">
        <v>2</v>
      </c>
      <c r="D1111" s="48" t="s">
        <v>1359</v>
      </c>
      <c r="E1111" s="48" t="s">
        <v>3282</v>
      </c>
      <c r="F1111" s="47" t="s">
        <v>63</v>
      </c>
    </row>
    <row r="1112" spans="1:6" x14ac:dyDescent="0.25">
      <c r="A1112" s="48" t="s">
        <v>3135</v>
      </c>
      <c r="B1112" s="48">
        <v>70013972</v>
      </c>
      <c r="C1112" s="47">
        <v>2</v>
      </c>
      <c r="D1112" s="48" t="s">
        <v>1359</v>
      </c>
      <c r="E1112" s="48" t="s">
        <v>3283</v>
      </c>
      <c r="F1112" s="47" t="s">
        <v>63</v>
      </c>
    </row>
    <row r="1113" spans="1:6" x14ac:dyDescent="0.25">
      <c r="A1113" s="48" t="s">
        <v>3136</v>
      </c>
      <c r="B1113" s="48">
        <v>70014166</v>
      </c>
      <c r="C1113" s="47">
        <v>2</v>
      </c>
      <c r="D1113" s="48" t="s">
        <v>1359</v>
      </c>
      <c r="E1113" s="48" t="s">
        <v>3284</v>
      </c>
      <c r="F1113" s="47" t="s">
        <v>63</v>
      </c>
    </row>
    <row r="1114" spans="1:6" x14ac:dyDescent="0.25">
      <c r="A1114" s="48" t="s">
        <v>3137</v>
      </c>
      <c r="B1114" s="48">
        <v>70013973</v>
      </c>
      <c r="C1114" s="47">
        <v>2</v>
      </c>
      <c r="D1114" s="48" t="s">
        <v>1359</v>
      </c>
      <c r="E1114" s="48" t="s">
        <v>3285</v>
      </c>
      <c r="F1114" s="47" t="s">
        <v>63</v>
      </c>
    </row>
    <row r="1115" spans="1:6" x14ac:dyDescent="0.25">
      <c r="A1115" s="48" t="s">
        <v>3286</v>
      </c>
      <c r="B1115" s="48">
        <v>70013870</v>
      </c>
      <c r="C1115" s="47">
        <v>1</v>
      </c>
      <c r="D1115" s="48" t="s">
        <v>1359</v>
      </c>
      <c r="E1115" s="48" t="s">
        <v>3293</v>
      </c>
      <c r="F1115" s="47" t="s">
        <v>112</v>
      </c>
    </row>
    <row r="1116" spans="1:6" x14ac:dyDescent="0.25">
      <c r="A1116" s="48" t="s">
        <v>3287</v>
      </c>
      <c r="B1116" s="48">
        <v>70013866</v>
      </c>
      <c r="C1116" s="47">
        <v>1</v>
      </c>
      <c r="D1116" s="48" t="s">
        <v>1359</v>
      </c>
      <c r="E1116" s="48" t="s">
        <v>3294</v>
      </c>
      <c r="F1116" s="47" t="s">
        <v>112</v>
      </c>
    </row>
    <row r="1117" spans="1:6" x14ac:dyDescent="0.25">
      <c r="A1117" s="48" t="s">
        <v>3288</v>
      </c>
      <c r="B1117" s="48">
        <v>70013874</v>
      </c>
      <c r="C1117" s="47">
        <v>1</v>
      </c>
      <c r="D1117" s="48" t="s">
        <v>1359</v>
      </c>
      <c r="E1117" s="48" t="s">
        <v>3295</v>
      </c>
      <c r="F1117" s="47" t="s">
        <v>112</v>
      </c>
    </row>
    <row r="1118" spans="1:6" x14ac:dyDescent="0.25">
      <c r="A1118" s="48" t="s">
        <v>3289</v>
      </c>
      <c r="B1118" s="48">
        <v>70013778</v>
      </c>
      <c r="C1118" s="47">
        <v>3</v>
      </c>
      <c r="D1118" s="48" t="s">
        <v>1359</v>
      </c>
      <c r="E1118" s="48" t="s">
        <v>3296</v>
      </c>
      <c r="F1118" s="47" t="s">
        <v>112</v>
      </c>
    </row>
    <row r="1119" spans="1:6" x14ac:dyDescent="0.25">
      <c r="A1119" s="48" t="s">
        <v>3290</v>
      </c>
      <c r="B1119" s="48">
        <v>70013774</v>
      </c>
      <c r="C1119" s="47">
        <v>3</v>
      </c>
      <c r="D1119" s="48" t="s">
        <v>1359</v>
      </c>
      <c r="E1119" s="48" t="s">
        <v>3297</v>
      </c>
      <c r="F1119" s="47" t="s">
        <v>112</v>
      </c>
    </row>
    <row r="1120" spans="1:6" x14ac:dyDescent="0.25">
      <c r="A1120" s="48" t="s">
        <v>3298</v>
      </c>
      <c r="B1120" s="48">
        <v>70013920</v>
      </c>
      <c r="C1120" s="47">
        <v>3</v>
      </c>
      <c r="D1120" s="48" t="s">
        <v>1359</v>
      </c>
      <c r="E1120" s="48" t="s">
        <v>3299</v>
      </c>
      <c r="F1120" s="47" t="s">
        <v>46</v>
      </c>
    </row>
    <row r="1121" spans="1:6" x14ac:dyDescent="0.25">
      <c r="A1121" s="48" t="s">
        <v>2093</v>
      </c>
      <c r="B1121" s="48">
        <v>70012132</v>
      </c>
      <c r="C1121" s="47">
        <v>3</v>
      </c>
      <c r="D1121" s="48" t="s">
        <v>1359</v>
      </c>
      <c r="E1121" s="48" t="s">
        <v>2094</v>
      </c>
      <c r="F1121" s="47" t="s">
        <v>46</v>
      </c>
    </row>
    <row r="1122" spans="1:6" x14ac:dyDescent="0.25">
      <c r="A1122" s="48" t="s">
        <v>3310</v>
      </c>
      <c r="B1122" s="48">
        <v>70014330</v>
      </c>
      <c r="C1122" s="47">
        <v>1</v>
      </c>
      <c r="D1122" s="48" t="s">
        <v>1359</v>
      </c>
      <c r="E1122" s="48" t="s">
        <v>842</v>
      </c>
      <c r="F1122" s="47" t="s">
        <v>87</v>
      </c>
    </row>
    <row r="1123" spans="1:6" x14ac:dyDescent="0.25">
      <c r="A1123" s="48" t="s">
        <v>3309</v>
      </c>
      <c r="B1123" s="48">
        <v>70014290</v>
      </c>
      <c r="C1123" s="47">
        <v>3</v>
      </c>
      <c r="D1123" s="48" t="s">
        <v>1359</v>
      </c>
      <c r="E1123" s="48" t="s">
        <v>533</v>
      </c>
      <c r="F1123" s="47" t="s">
        <v>46</v>
      </c>
    </row>
    <row r="1124" spans="1:6" x14ac:dyDescent="0.25">
      <c r="A1124" s="48" t="s">
        <v>3308</v>
      </c>
      <c r="B1124" s="48">
        <v>70014162</v>
      </c>
      <c r="C1124" s="47">
        <v>1</v>
      </c>
      <c r="D1124" s="48" t="s">
        <v>1359</v>
      </c>
      <c r="E1124" s="48" t="s">
        <v>987</v>
      </c>
      <c r="F1124" s="47" t="s">
        <v>46</v>
      </c>
    </row>
    <row r="1125" spans="1:6" x14ac:dyDescent="0.25">
      <c r="A1125" s="48" t="s">
        <v>3307</v>
      </c>
      <c r="B1125" s="48">
        <v>70014040</v>
      </c>
      <c r="C1125" s="47">
        <v>3</v>
      </c>
      <c r="D1125" s="48" t="s">
        <v>1359</v>
      </c>
      <c r="E1125" s="48" t="s">
        <v>3300</v>
      </c>
      <c r="F1125" s="47" t="s">
        <v>46</v>
      </c>
    </row>
    <row r="1126" spans="1:6" x14ac:dyDescent="0.25">
      <c r="A1126" s="48" t="s">
        <v>3306</v>
      </c>
      <c r="B1126" s="48">
        <v>70013999</v>
      </c>
      <c r="C1126" s="47">
        <v>1</v>
      </c>
      <c r="D1126" s="48" t="s">
        <v>1359</v>
      </c>
      <c r="E1126" s="48" t="s">
        <v>590</v>
      </c>
      <c r="F1126" s="47" t="s">
        <v>46</v>
      </c>
    </row>
    <row r="1127" spans="1:6" x14ac:dyDescent="0.25">
      <c r="A1127" s="48" t="s">
        <v>3322</v>
      </c>
      <c r="B1127" s="48">
        <v>70014119</v>
      </c>
      <c r="C1127" s="47">
        <v>3</v>
      </c>
      <c r="D1127" s="48" t="s">
        <v>1359</v>
      </c>
      <c r="E1127" s="48" t="s">
        <v>3323</v>
      </c>
      <c r="F1127" s="47" t="s">
        <v>46</v>
      </c>
    </row>
    <row r="1128" spans="1:6" x14ac:dyDescent="0.25">
      <c r="A1128" s="48" t="s">
        <v>3324</v>
      </c>
      <c r="B1128" s="48">
        <v>70014082</v>
      </c>
      <c r="C1128" s="47">
        <v>3</v>
      </c>
      <c r="D1128" s="48" t="s">
        <v>1359</v>
      </c>
      <c r="E1128" s="48" t="s">
        <v>3321</v>
      </c>
      <c r="F1128" s="47" t="s">
        <v>46</v>
      </c>
    </row>
    <row r="1129" spans="1:6" x14ac:dyDescent="0.25">
      <c r="A1129" s="48" t="s">
        <v>3317</v>
      </c>
      <c r="B1129" s="48">
        <v>70014174</v>
      </c>
      <c r="C1129" s="47">
        <v>2</v>
      </c>
      <c r="D1129" s="48" t="s">
        <v>1359</v>
      </c>
      <c r="E1129" s="48" t="s">
        <v>3319</v>
      </c>
      <c r="F1129" s="47" t="s">
        <v>63</v>
      </c>
    </row>
    <row r="1130" spans="1:6" x14ac:dyDescent="0.25">
      <c r="A1130" s="48" t="s">
        <v>3318</v>
      </c>
      <c r="B1130" s="48">
        <v>70014372</v>
      </c>
      <c r="C1130" s="47">
        <v>2</v>
      </c>
      <c r="D1130" s="48" t="s">
        <v>1359</v>
      </c>
      <c r="E1130" s="48" t="s">
        <v>3320</v>
      </c>
      <c r="F1130" s="47" t="s">
        <v>63</v>
      </c>
    </row>
    <row r="1131" spans="1:6" x14ac:dyDescent="0.25">
      <c r="A1131" s="48" t="s">
        <v>3315</v>
      </c>
      <c r="B1131" s="48">
        <v>70014173</v>
      </c>
      <c r="C1131" s="47">
        <v>1</v>
      </c>
      <c r="D1131" s="48" t="s">
        <v>1359</v>
      </c>
      <c r="E1131" s="48" t="s">
        <v>3316</v>
      </c>
      <c r="F1131" s="47" t="s">
        <v>41</v>
      </c>
    </row>
    <row r="1132" spans="1:6" x14ac:dyDescent="0.25">
      <c r="A1132" s="48" t="s">
        <v>3329</v>
      </c>
      <c r="B1132" s="48">
        <v>70014342</v>
      </c>
      <c r="C1132" s="47">
        <v>3</v>
      </c>
      <c r="D1132" s="48" t="s">
        <v>1359</v>
      </c>
      <c r="E1132" s="48" t="s">
        <v>3351</v>
      </c>
      <c r="F1132" s="47" t="s">
        <v>112</v>
      </c>
    </row>
    <row r="1133" spans="1:6" x14ac:dyDescent="0.25">
      <c r="A1133" s="48" t="s">
        <v>3330</v>
      </c>
      <c r="B1133" s="48">
        <v>70014347</v>
      </c>
      <c r="C1133" s="47">
        <v>3</v>
      </c>
      <c r="D1133" s="48" t="s">
        <v>1359</v>
      </c>
      <c r="E1133" s="48" t="s">
        <v>3352</v>
      </c>
      <c r="F1133" s="47" t="s">
        <v>112</v>
      </c>
    </row>
    <row r="1134" spans="1:6" x14ac:dyDescent="0.25">
      <c r="A1134" s="48" t="s">
        <v>3331</v>
      </c>
      <c r="B1134" s="48">
        <v>70014402</v>
      </c>
      <c r="C1134" s="47">
        <v>3</v>
      </c>
      <c r="D1134" s="48" t="s">
        <v>1359</v>
      </c>
      <c r="E1134" s="48" t="s">
        <v>3353</v>
      </c>
      <c r="F1134" s="47" t="s">
        <v>112</v>
      </c>
    </row>
    <row r="1135" spans="1:6" x14ac:dyDescent="0.25">
      <c r="A1135" s="48" t="s">
        <v>3332</v>
      </c>
      <c r="B1135" s="48">
        <v>70014407</v>
      </c>
      <c r="C1135" s="47">
        <v>3</v>
      </c>
      <c r="D1135" s="48" t="s">
        <v>1359</v>
      </c>
      <c r="E1135" s="48" t="s">
        <v>3354</v>
      </c>
      <c r="F1135" s="47" t="s">
        <v>112</v>
      </c>
    </row>
    <row r="1136" spans="1:6" x14ac:dyDescent="0.25">
      <c r="A1136" s="48" t="s">
        <v>3333</v>
      </c>
      <c r="B1136" s="48">
        <v>70014412</v>
      </c>
      <c r="C1136" s="47">
        <v>3</v>
      </c>
      <c r="D1136" s="48" t="s">
        <v>1359</v>
      </c>
      <c r="E1136" s="48" t="s">
        <v>3355</v>
      </c>
      <c r="F1136" s="47" t="s">
        <v>112</v>
      </c>
    </row>
    <row r="1137" spans="1:6" x14ac:dyDescent="0.25">
      <c r="A1137" s="48" t="s">
        <v>3334</v>
      </c>
      <c r="B1137" s="48">
        <v>70014385</v>
      </c>
      <c r="C1137" s="47">
        <v>3</v>
      </c>
      <c r="D1137" s="48" t="s">
        <v>1359</v>
      </c>
      <c r="E1137" s="48" t="s">
        <v>3339</v>
      </c>
      <c r="F1137" s="47" t="s">
        <v>87</v>
      </c>
    </row>
    <row r="1138" spans="1:6" x14ac:dyDescent="0.25">
      <c r="A1138" s="48" t="s">
        <v>3335</v>
      </c>
      <c r="B1138" s="48">
        <v>70014379</v>
      </c>
      <c r="C1138" s="47">
        <v>3</v>
      </c>
      <c r="D1138" s="48" t="s">
        <v>1359</v>
      </c>
      <c r="E1138" s="48" t="s">
        <v>3339</v>
      </c>
      <c r="F1138" s="47" t="s">
        <v>87</v>
      </c>
    </row>
    <row r="1139" spans="1:6" x14ac:dyDescent="0.25">
      <c r="A1139" s="48" t="s">
        <v>3336</v>
      </c>
      <c r="B1139" s="48">
        <v>70013686</v>
      </c>
      <c r="C1139" s="47">
        <v>1</v>
      </c>
      <c r="D1139" s="48" t="s">
        <v>1359</v>
      </c>
      <c r="E1139" s="48" t="s">
        <v>3340</v>
      </c>
      <c r="F1139" s="47" t="s">
        <v>112</v>
      </c>
    </row>
    <row r="1140" spans="1:6" x14ac:dyDescent="0.25">
      <c r="A1140" s="48" t="s">
        <v>3337</v>
      </c>
      <c r="B1140" s="48">
        <v>70013759</v>
      </c>
      <c r="C1140" s="47">
        <v>1</v>
      </c>
      <c r="D1140" s="48" t="s">
        <v>1359</v>
      </c>
      <c r="E1140" s="48" t="s">
        <v>3341</v>
      </c>
      <c r="F1140" s="47" t="s">
        <v>112</v>
      </c>
    </row>
    <row r="1141" spans="1:6" x14ac:dyDescent="0.25">
      <c r="A1141" s="48" t="s">
        <v>3338</v>
      </c>
      <c r="B1141" s="48">
        <v>70013770</v>
      </c>
      <c r="C1141" s="47">
        <v>1</v>
      </c>
      <c r="D1141" s="48" t="s">
        <v>1359</v>
      </c>
      <c r="E1141" s="48" t="s">
        <v>3342</v>
      </c>
      <c r="F1141" s="47" t="s">
        <v>112</v>
      </c>
    </row>
    <row r="1142" spans="1:6" x14ac:dyDescent="0.25">
      <c r="A1142" s="48" t="s">
        <v>3301</v>
      </c>
      <c r="B1142" s="48">
        <v>70014032</v>
      </c>
      <c r="C1142" s="47">
        <v>1</v>
      </c>
      <c r="D1142" s="48" t="s">
        <v>1359</v>
      </c>
      <c r="E1142" s="48" t="s">
        <v>3345</v>
      </c>
      <c r="F1142" s="47" t="s">
        <v>112</v>
      </c>
    </row>
    <row r="1143" spans="1:6" x14ac:dyDescent="0.25">
      <c r="A1143" s="48" t="s">
        <v>3304</v>
      </c>
      <c r="B1143" s="48">
        <v>70014035</v>
      </c>
      <c r="C1143" s="47">
        <v>1</v>
      </c>
      <c r="D1143" s="48" t="s">
        <v>1359</v>
      </c>
      <c r="E1143" s="48" t="s">
        <v>3346</v>
      </c>
      <c r="F1143" s="47" t="s">
        <v>112</v>
      </c>
    </row>
    <row r="1144" spans="1:6" x14ac:dyDescent="0.25">
      <c r="A1144" s="48" t="s">
        <v>3343</v>
      </c>
      <c r="B1144" s="48">
        <v>70014031</v>
      </c>
      <c r="C1144" s="47">
        <v>1</v>
      </c>
      <c r="D1144" s="48" t="s">
        <v>1359</v>
      </c>
      <c r="E1144" s="48" t="s">
        <v>3347</v>
      </c>
      <c r="F1144" s="47" t="s">
        <v>112</v>
      </c>
    </row>
    <row r="1145" spans="1:6" x14ac:dyDescent="0.25">
      <c r="A1145" s="48" t="s">
        <v>3344</v>
      </c>
      <c r="B1145" s="48">
        <v>70013989</v>
      </c>
      <c r="C1145" s="47">
        <v>1</v>
      </c>
      <c r="D1145" s="48" t="s">
        <v>1359</v>
      </c>
      <c r="E1145" s="48" t="s">
        <v>3348</v>
      </c>
      <c r="F1145" s="47" t="s">
        <v>904</v>
      </c>
    </row>
    <row r="1146" spans="1:6" x14ac:dyDescent="0.25">
      <c r="A1146" s="48" t="s">
        <v>3311</v>
      </c>
      <c r="B1146" s="48">
        <v>70013990</v>
      </c>
      <c r="C1146" s="47">
        <v>1</v>
      </c>
      <c r="D1146" s="48" t="s">
        <v>1359</v>
      </c>
      <c r="E1146" s="48" t="s">
        <v>3348</v>
      </c>
      <c r="F1146" s="47" t="s">
        <v>904</v>
      </c>
    </row>
    <row r="1147" spans="1:6" x14ac:dyDescent="0.25">
      <c r="A1147" s="48" t="s">
        <v>3302</v>
      </c>
      <c r="B1147" s="48">
        <v>70014033</v>
      </c>
      <c r="C1147" s="47">
        <v>1</v>
      </c>
      <c r="D1147" s="48" t="s">
        <v>1359</v>
      </c>
      <c r="E1147" s="48" t="s">
        <v>3349</v>
      </c>
      <c r="F1147" s="47" t="s">
        <v>112</v>
      </c>
    </row>
    <row r="1148" spans="1:6" x14ac:dyDescent="0.25">
      <c r="A1148" s="48" t="s">
        <v>3303</v>
      </c>
      <c r="B1148" s="48">
        <v>70014034</v>
      </c>
      <c r="C1148" s="47">
        <v>1</v>
      </c>
      <c r="D1148" s="48" t="s">
        <v>1359</v>
      </c>
      <c r="E1148" s="48" t="s">
        <v>3350</v>
      </c>
      <c r="F1148" s="47" t="s">
        <v>112</v>
      </c>
    </row>
    <row r="1149" spans="1:6" x14ac:dyDescent="0.25">
      <c r="A1149" s="48" t="s">
        <v>3327</v>
      </c>
      <c r="B1149" s="48">
        <v>70014603</v>
      </c>
      <c r="C1149" s="47">
        <v>3</v>
      </c>
      <c r="D1149" s="48" t="s">
        <v>1359</v>
      </c>
      <c r="E1149" s="48" t="s">
        <v>3328</v>
      </c>
      <c r="F1149" s="47" t="s">
        <v>41</v>
      </c>
    </row>
    <row r="1150" spans="1:6" x14ac:dyDescent="0.25">
      <c r="A1150" s="48" t="s">
        <v>3411</v>
      </c>
      <c r="B1150" s="48">
        <v>70013321</v>
      </c>
      <c r="C1150" s="47">
        <v>1</v>
      </c>
      <c r="D1150" s="48" t="s">
        <v>1359</v>
      </c>
      <c r="E1150" s="48" t="s">
        <v>3426</v>
      </c>
      <c r="F1150" s="47" t="s">
        <v>46</v>
      </c>
    </row>
    <row r="1151" spans="1:6" x14ac:dyDescent="0.25">
      <c r="A1151" s="48" t="s">
        <v>3408</v>
      </c>
      <c r="B1151" s="48">
        <v>70014373</v>
      </c>
      <c r="C1151" s="47">
        <v>2</v>
      </c>
      <c r="D1151" s="48" t="s">
        <v>1359</v>
      </c>
      <c r="E1151" s="48" t="s">
        <v>3409</v>
      </c>
      <c r="F1151" s="47" t="s">
        <v>63</v>
      </c>
    </row>
    <row r="1152" spans="1:6" x14ac:dyDescent="0.25">
      <c r="A1152" s="48" t="s">
        <v>3412</v>
      </c>
      <c r="B1152" s="48">
        <v>70014345</v>
      </c>
      <c r="C1152" s="47">
        <v>1</v>
      </c>
      <c r="D1152" s="48" t="s">
        <v>1359</v>
      </c>
      <c r="E1152" s="48" t="s">
        <v>3418</v>
      </c>
      <c r="F1152" s="47" t="s">
        <v>112</v>
      </c>
    </row>
    <row r="1153" spans="1:6" x14ac:dyDescent="0.25">
      <c r="A1153" s="48" t="s">
        <v>3413</v>
      </c>
      <c r="B1153" s="48">
        <v>70014400</v>
      </c>
      <c r="C1153" s="47">
        <v>1</v>
      </c>
      <c r="D1153" s="48" t="s">
        <v>1359</v>
      </c>
      <c r="E1153" s="48" t="s">
        <v>3419</v>
      </c>
      <c r="F1153" s="47" t="s">
        <v>112</v>
      </c>
    </row>
    <row r="1154" spans="1:6" x14ac:dyDescent="0.25">
      <c r="A1154" s="48" t="s">
        <v>3414</v>
      </c>
      <c r="B1154" s="48">
        <v>70014405</v>
      </c>
      <c r="C1154" s="47">
        <v>1</v>
      </c>
      <c r="D1154" s="48" t="s">
        <v>1359</v>
      </c>
      <c r="E1154" s="48" t="s">
        <v>3420</v>
      </c>
      <c r="F1154" s="47" t="s">
        <v>112</v>
      </c>
    </row>
    <row r="1155" spans="1:6" x14ac:dyDescent="0.25">
      <c r="A1155" s="48" t="s">
        <v>3415</v>
      </c>
      <c r="B1155" s="48">
        <v>70014067</v>
      </c>
      <c r="C1155" s="47">
        <v>1</v>
      </c>
      <c r="D1155" s="48" t="s">
        <v>1359</v>
      </c>
      <c r="E1155" s="48" t="s">
        <v>3421</v>
      </c>
      <c r="F1155" s="47" t="s">
        <v>112</v>
      </c>
    </row>
    <row r="1156" spans="1:6" x14ac:dyDescent="0.25">
      <c r="A1156" s="48" t="s">
        <v>3416</v>
      </c>
      <c r="B1156" s="48">
        <v>70014108</v>
      </c>
      <c r="C1156" s="47">
        <v>1</v>
      </c>
      <c r="D1156" s="48" t="s">
        <v>1359</v>
      </c>
      <c r="E1156" s="48" t="s">
        <v>3422</v>
      </c>
      <c r="F1156" s="47" t="s">
        <v>112</v>
      </c>
    </row>
    <row r="1157" spans="1:6" x14ac:dyDescent="0.25">
      <c r="A1157" s="48" t="s">
        <v>3417</v>
      </c>
      <c r="B1157" s="48">
        <v>70014109</v>
      </c>
      <c r="C1157" s="47">
        <v>1</v>
      </c>
      <c r="D1157" s="48" t="s">
        <v>1359</v>
      </c>
      <c r="E1157" s="48" t="s">
        <v>3423</v>
      </c>
      <c r="F1157" s="47" t="s">
        <v>112</v>
      </c>
    </row>
    <row r="1158" spans="1:6" x14ac:dyDescent="0.25">
      <c r="A1158" s="48" t="s">
        <v>3410</v>
      </c>
      <c r="B1158" s="48">
        <v>70013500</v>
      </c>
      <c r="C1158" s="47">
        <v>1</v>
      </c>
      <c r="D1158" s="48" t="s">
        <v>1359</v>
      </c>
      <c r="E1158" s="48" t="s">
        <v>3425</v>
      </c>
      <c r="F1158" s="47" t="s">
        <v>46</v>
      </c>
    </row>
    <row r="1159" spans="1:6" x14ac:dyDescent="0.25">
      <c r="A1159" s="48" t="s">
        <v>3429</v>
      </c>
      <c r="B1159" s="48">
        <v>70014231</v>
      </c>
      <c r="C1159" s="47">
        <v>3</v>
      </c>
      <c r="D1159" s="48" t="s">
        <v>1359</v>
      </c>
      <c r="E1159" s="48" t="s">
        <v>3430</v>
      </c>
      <c r="F1159" s="47" t="s">
        <v>46</v>
      </c>
    </row>
    <row r="1160" spans="1:6" x14ac:dyDescent="0.25">
      <c r="A1160" s="48" t="s">
        <v>3428</v>
      </c>
      <c r="B1160" s="48">
        <v>70014259</v>
      </c>
      <c r="C1160" s="47">
        <v>1</v>
      </c>
      <c r="D1160" s="48" t="s">
        <v>1359</v>
      </c>
      <c r="E1160" s="48" t="s">
        <v>3427</v>
      </c>
      <c r="F1160" s="47" t="s">
        <v>87</v>
      </c>
    </row>
    <row r="1161" spans="1:6" x14ac:dyDescent="0.25">
      <c r="A1161" s="48" t="s">
        <v>3431</v>
      </c>
      <c r="B1161" s="48">
        <v>70014613</v>
      </c>
      <c r="C1161" s="47">
        <v>3</v>
      </c>
      <c r="D1161" s="48" t="s">
        <v>1359</v>
      </c>
      <c r="E1161" s="48" t="s">
        <v>3443</v>
      </c>
      <c r="F1161" s="47" t="s">
        <v>41</v>
      </c>
    </row>
    <row r="1162" spans="1:6" x14ac:dyDescent="0.25">
      <c r="A1162" s="48" t="s">
        <v>3432</v>
      </c>
      <c r="B1162" s="48">
        <v>70014619</v>
      </c>
      <c r="C1162" s="47">
        <v>3</v>
      </c>
      <c r="D1162" s="48" t="s">
        <v>1359</v>
      </c>
      <c r="E1162" s="48" t="s">
        <v>3444</v>
      </c>
      <c r="F1162" s="47" t="s">
        <v>41</v>
      </c>
    </row>
    <row r="1163" spans="1:6" x14ac:dyDescent="0.25">
      <c r="A1163" s="48" t="s">
        <v>3433</v>
      </c>
      <c r="B1163" s="48">
        <v>70014624</v>
      </c>
      <c r="C1163" s="47">
        <v>3</v>
      </c>
      <c r="D1163" s="48" t="s">
        <v>1359</v>
      </c>
      <c r="E1163" s="48" t="s">
        <v>3445</v>
      </c>
      <c r="F1163" s="47" t="s">
        <v>41</v>
      </c>
    </row>
    <row r="1164" spans="1:6" x14ac:dyDescent="0.25">
      <c r="A1164" s="48" t="s">
        <v>3434</v>
      </c>
      <c r="B1164" s="48">
        <v>70014630</v>
      </c>
      <c r="C1164" s="47">
        <v>3</v>
      </c>
      <c r="D1164" s="48" t="s">
        <v>1359</v>
      </c>
      <c r="E1164" s="48" t="s">
        <v>3446</v>
      </c>
      <c r="F1164" s="47" t="s">
        <v>41</v>
      </c>
    </row>
    <row r="1165" spans="1:6" x14ac:dyDescent="0.25">
      <c r="A1165" s="48" t="s">
        <v>3435</v>
      </c>
      <c r="B1165" s="48">
        <v>70014616</v>
      </c>
      <c r="C1165" s="47">
        <v>3</v>
      </c>
      <c r="D1165" s="48" t="s">
        <v>1359</v>
      </c>
      <c r="E1165" s="48" t="s">
        <v>3447</v>
      </c>
      <c r="F1165" s="47" t="s">
        <v>41</v>
      </c>
    </row>
    <row r="1166" spans="1:6" x14ac:dyDescent="0.25">
      <c r="A1166" s="48" t="s">
        <v>3436</v>
      </c>
      <c r="B1166" s="48">
        <v>70014622</v>
      </c>
      <c r="C1166" s="47">
        <v>3</v>
      </c>
      <c r="D1166" s="48" t="s">
        <v>1359</v>
      </c>
      <c r="E1166" s="48" t="s">
        <v>3448</v>
      </c>
      <c r="F1166" s="47" t="s">
        <v>41</v>
      </c>
    </row>
    <row r="1167" spans="1:6" x14ac:dyDescent="0.25">
      <c r="A1167" s="48" t="s">
        <v>3437</v>
      </c>
      <c r="B1167" s="48">
        <v>70014627</v>
      </c>
      <c r="C1167" s="47">
        <v>3</v>
      </c>
      <c r="D1167" s="48" t="s">
        <v>1359</v>
      </c>
      <c r="E1167" s="48" t="s">
        <v>3449</v>
      </c>
      <c r="F1167" s="47" t="s">
        <v>41</v>
      </c>
    </row>
    <row r="1168" spans="1:6" x14ac:dyDescent="0.25">
      <c r="A1168" s="48" t="s">
        <v>3438</v>
      </c>
      <c r="B1168" s="48">
        <v>70014633</v>
      </c>
      <c r="C1168" s="47">
        <v>3</v>
      </c>
      <c r="D1168" s="48" t="s">
        <v>1359</v>
      </c>
      <c r="E1168" s="48" t="s">
        <v>3450</v>
      </c>
      <c r="F1168" s="47" t="s">
        <v>41</v>
      </c>
    </row>
    <row r="1169" spans="1:6" x14ac:dyDescent="0.25">
      <c r="A1169" s="48" t="s">
        <v>3439</v>
      </c>
      <c r="B1169" s="48">
        <v>70014092</v>
      </c>
      <c r="C1169" s="47">
        <v>3</v>
      </c>
      <c r="D1169" s="48" t="s">
        <v>1359</v>
      </c>
      <c r="E1169" s="48" t="s">
        <v>3451</v>
      </c>
      <c r="F1169" s="47" t="s">
        <v>112</v>
      </c>
    </row>
    <row r="1170" spans="1:6" x14ac:dyDescent="0.25">
      <c r="A1170" s="48" t="s">
        <v>3440</v>
      </c>
      <c r="B1170" s="48">
        <v>70014410</v>
      </c>
      <c r="C1170" s="47">
        <v>3</v>
      </c>
      <c r="D1170" s="48" t="s">
        <v>1359</v>
      </c>
      <c r="E1170" s="48" t="s">
        <v>3452</v>
      </c>
      <c r="F1170" s="47" t="s">
        <v>112</v>
      </c>
    </row>
    <row r="1171" spans="1:6" x14ac:dyDescent="0.25">
      <c r="A1171" s="48" t="s">
        <v>3441</v>
      </c>
      <c r="B1171" s="48">
        <v>70014093</v>
      </c>
      <c r="C1171" s="47">
        <v>3</v>
      </c>
      <c r="D1171" s="48" t="s">
        <v>1359</v>
      </c>
      <c r="E1171" s="48" t="s">
        <v>3453</v>
      </c>
      <c r="F1171" s="47" t="s">
        <v>112</v>
      </c>
    </row>
    <row r="1172" spans="1:6" x14ac:dyDescent="0.25">
      <c r="A1172" s="48" t="s">
        <v>3442</v>
      </c>
      <c r="B1172" s="48">
        <v>70014415</v>
      </c>
      <c r="C1172" s="47">
        <v>3</v>
      </c>
      <c r="D1172" s="48" t="s">
        <v>1359</v>
      </c>
      <c r="E1172" s="48" t="s">
        <v>3454</v>
      </c>
      <c r="F1172" s="47" t="s">
        <v>112</v>
      </c>
    </row>
    <row r="1173" spans="1:6" x14ac:dyDescent="0.25">
      <c r="A1173" s="48" t="s">
        <v>3415</v>
      </c>
      <c r="B1173" s="48">
        <v>70014067</v>
      </c>
      <c r="C1173" s="47">
        <v>3</v>
      </c>
      <c r="D1173" s="48" t="s">
        <v>1359</v>
      </c>
      <c r="E1173" s="48" t="s">
        <v>3421</v>
      </c>
      <c r="F1173" s="47" t="s">
        <v>112</v>
      </c>
    </row>
    <row r="1174" spans="1:6" x14ac:dyDescent="0.25">
      <c r="A1174" s="48" t="s">
        <v>3412</v>
      </c>
      <c r="B1174" s="48">
        <v>70014345</v>
      </c>
      <c r="C1174" s="47">
        <v>3</v>
      </c>
      <c r="D1174" s="48" t="s">
        <v>1359</v>
      </c>
      <c r="E1174" s="48" t="s">
        <v>3455</v>
      </c>
      <c r="F1174" s="47" t="s">
        <v>112</v>
      </c>
    </row>
    <row r="1175" spans="1:6" x14ac:dyDescent="0.25">
      <c r="A1175" s="48" t="s">
        <v>3416</v>
      </c>
      <c r="B1175" s="48">
        <v>70014108</v>
      </c>
      <c r="C1175" s="47">
        <v>3</v>
      </c>
      <c r="D1175" s="48" t="s">
        <v>1359</v>
      </c>
      <c r="E1175" s="48" t="s">
        <v>3422</v>
      </c>
      <c r="F1175" s="47" t="s">
        <v>112</v>
      </c>
    </row>
    <row r="1176" spans="1:6" x14ac:dyDescent="0.25">
      <c r="A1176" s="48" t="s">
        <v>3413</v>
      </c>
      <c r="B1176" s="48">
        <v>70014400</v>
      </c>
      <c r="C1176" s="47">
        <v>3</v>
      </c>
      <c r="D1176" s="48" t="s">
        <v>1359</v>
      </c>
      <c r="E1176" s="48" t="s">
        <v>3456</v>
      </c>
      <c r="F1176" s="47" t="s">
        <v>112</v>
      </c>
    </row>
    <row r="1177" spans="1:6" x14ac:dyDescent="0.25">
      <c r="A1177" s="48" t="s">
        <v>3417</v>
      </c>
      <c r="B1177" s="48">
        <v>70014109</v>
      </c>
      <c r="C1177" s="47">
        <v>3</v>
      </c>
      <c r="D1177" s="48" t="s">
        <v>1359</v>
      </c>
      <c r="E1177" s="48" t="s">
        <v>3423</v>
      </c>
      <c r="F1177" s="47" t="s">
        <v>112</v>
      </c>
    </row>
    <row r="1178" spans="1:6" x14ac:dyDescent="0.25">
      <c r="A1178" s="48" t="s">
        <v>3414</v>
      </c>
      <c r="B1178" s="48">
        <v>70014405</v>
      </c>
      <c r="C1178" s="47">
        <v>3</v>
      </c>
      <c r="D1178" s="48" t="s">
        <v>1359</v>
      </c>
      <c r="E1178" s="48" t="s">
        <v>3457</v>
      </c>
      <c r="F1178" s="47" t="s">
        <v>112</v>
      </c>
    </row>
    <row r="1179" spans="1:6" x14ac:dyDescent="0.25">
      <c r="A1179" s="102" t="s">
        <v>3966</v>
      </c>
      <c r="B1179" s="92" t="s">
        <v>3965</v>
      </c>
      <c r="C1179" s="93">
        <v>1</v>
      </c>
      <c r="D1179" s="94" t="s">
        <v>1359</v>
      </c>
      <c r="E1179" s="94" t="s">
        <v>3971</v>
      </c>
      <c r="F1179" s="93" t="s">
        <v>112</v>
      </c>
    </row>
    <row r="1180" spans="1:6" x14ac:dyDescent="0.25">
      <c r="A1180" s="121" t="s">
        <v>3964</v>
      </c>
      <c r="B1180" s="92">
        <v>70014220</v>
      </c>
      <c r="C1180" s="93">
        <v>3</v>
      </c>
      <c r="D1180" s="94" t="s">
        <v>1359</v>
      </c>
      <c r="E1180" s="94" t="s">
        <v>3967</v>
      </c>
      <c r="F1180" s="93" t="s">
        <v>46</v>
      </c>
    </row>
    <row r="1181" spans="1:6" x14ac:dyDescent="0.25">
      <c r="A1181" s="48" t="s">
        <v>3963</v>
      </c>
      <c r="B1181" s="48">
        <v>70015099</v>
      </c>
      <c r="C1181" s="47">
        <v>1</v>
      </c>
      <c r="D1181" s="48" t="s">
        <v>1359</v>
      </c>
      <c r="E1181" s="48" t="s">
        <v>3969</v>
      </c>
      <c r="F1181" s="47" t="s">
        <v>46</v>
      </c>
    </row>
    <row r="1182" spans="1:6" x14ac:dyDescent="0.25">
      <c r="A1182" s="48" t="s">
        <v>3975</v>
      </c>
      <c r="B1182" s="48">
        <v>70015106</v>
      </c>
      <c r="C1182" s="47">
        <v>3</v>
      </c>
      <c r="D1182" s="48" t="s">
        <v>1359</v>
      </c>
      <c r="E1182" s="48" t="s">
        <v>3978</v>
      </c>
      <c r="F1182" s="47" t="s">
        <v>87</v>
      </c>
    </row>
    <row r="1183" spans="1:6" x14ac:dyDescent="0.25">
      <c r="A1183" s="48" t="s">
        <v>3979</v>
      </c>
      <c r="B1183" s="48">
        <v>70015104</v>
      </c>
      <c r="C1183" s="47">
        <v>1</v>
      </c>
      <c r="D1183" s="48" t="s">
        <v>1359</v>
      </c>
      <c r="E1183" s="48" t="s">
        <v>3974</v>
      </c>
      <c r="F1183" s="47" t="s">
        <v>87</v>
      </c>
    </row>
    <row r="1184" spans="1:6" x14ac:dyDescent="0.25">
      <c r="A1184" s="48" t="s">
        <v>3976</v>
      </c>
      <c r="B1184" s="48">
        <v>70015107</v>
      </c>
      <c r="C1184" s="47">
        <v>3</v>
      </c>
      <c r="D1184" s="48" t="s">
        <v>1359</v>
      </c>
      <c r="E1184" s="48" t="s">
        <v>3977</v>
      </c>
      <c r="F1184" s="47" t="s">
        <v>87</v>
      </c>
    </row>
    <row r="1185" spans="1:6" x14ac:dyDescent="0.25">
      <c r="A1185" s="102" t="s">
        <v>3980</v>
      </c>
      <c r="B1185" s="92">
        <v>70015105</v>
      </c>
      <c r="C1185" s="93">
        <v>1</v>
      </c>
      <c r="D1185" s="94" t="s">
        <v>1359</v>
      </c>
      <c r="E1185" s="94" t="s">
        <v>3973</v>
      </c>
      <c r="F1185" s="93" t="s">
        <v>87</v>
      </c>
    </row>
    <row r="1186" spans="1:6" x14ac:dyDescent="0.25">
      <c r="A1186" s="48" t="s">
        <v>3966</v>
      </c>
      <c r="B1186" s="48">
        <v>70012850</v>
      </c>
      <c r="C1186" s="47">
        <v>1</v>
      </c>
      <c r="D1186" s="48" t="s">
        <v>1359</v>
      </c>
      <c r="E1186" s="47" t="s">
        <v>3971</v>
      </c>
      <c r="F1186" s="47" t="s">
        <v>112</v>
      </c>
    </row>
    <row r="1187" spans="1:6" x14ac:dyDescent="0.25">
      <c r="A1187" s="28" t="s">
        <v>3984</v>
      </c>
      <c r="B1187" s="28">
        <v>70014229</v>
      </c>
      <c r="C1187" s="47">
        <v>3</v>
      </c>
      <c r="D1187" s="48" t="s">
        <v>1359</v>
      </c>
      <c r="E1187" s="28" t="s">
        <v>3983</v>
      </c>
      <c r="F1187" s="47" t="s">
        <v>46</v>
      </c>
    </row>
    <row r="1188" spans="1:6" x14ac:dyDescent="0.25">
      <c r="A1188" s="28" t="s">
        <v>3982</v>
      </c>
      <c r="B1188" s="28">
        <v>70014234</v>
      </c>
      <c r="C1188" s="47">
        <v>3</v>
      </c>
      <c r="D1188" s="48" t="s">
        <v>1359</v>
      </c>
      <c r="E1188" s="28" t="s">
        <v>3981</v>
      </c>
      <c r="F1188" s="47" t="s">
        <v>46</v>
      </c>
    </row>
    <row r="1189" spans="1:6" x14ac:dyDescent="0.25">
      <c r="A1189" s="48" t="s">
        <v>3985</v>
      </c>
      <c r="B1189" s="48">
        <v>70014797</v>
      </c>
      <c r="C1189" s="47">
        <v>3</v>
      </c>
      <c r="D1189" s="48" t="s">
        <v>1359</v>
      </c>
      <c r="E1189" s="48" t="s">
        <v>3990</v>
      </c>
      <c r="F1189" s="47" t="s">
        <v>112</v>
      </c>
    </row>
    <row r="1190" spans="1:6" x14ac:dyDescent="0.25">
      <c r="A1190" s="48" t="s">
        <v>3986</v>
      </c>
      <c r="B1190" s="48">
        <v>70014821</v>
      </c>
      <c r="C1190" s="47">
        <v>3</v>
      </c>
      <c r="D1190" s="48" t="s">
        <v>1359</v>
      </c>
      <c r="E1190" s="48" t="s">
        <v>3991</v>
      </c>
      <c r="F1190" s="47" t="s">
        <v>112</v>
      </c>
    </row>
    <row r="1191" spans="1:6" x14ac:dyDescent="0.25">
      <c r="A1191" s="48" t="s">
        <v>3987</v>
      </c>
      <c r="B1191" s="48">
        <v>70014765</v>
      </c>
      <c r="C1191" s="47">
        <v>3</v>
      </c>
      <c r="D1191" s="48" t="s">
        <v>1359</v>
      </c>
      <c r="E1191" s="48" t="s">
        <v>3992</v>
      </c>
      <c r="F1191" s="47" t="s">
        <v>112</v>
      </c>
    </row>
    <row r="1192" spans="1:6" x14ac:dyDescent="0.25">
      <c r="A1192" s="48" t="s">
        <v>3988</v>
      </c>
      <c r="B1192" s="48">
        <v>70014789</v>
      </c>
      <c r="C1192" s="47">
        <v>3</v>
      </c>
      <c r="D1192" s="48" t="s">
        <v>1359</v>
      </c>
      <c r="E1192" s="48" t="s">
        <v>3993</v>
      </c>
      <c r="F1192" s="47" t="s">
        <v>112</v>
      </c>
    </row>
    <row r="1193" spans="1:6" x14ac:dyDescent="0.25">
      <c r="A1193" s="94" t="s">
        <v>4040</v>
      </c>
      <c r="B1193" s="92">
        <v>70015142</v>
      </c>
      <c r="C1193" s="93">
        <v>3</v>
      </c>
      <c r="D1193" s="94" t="s">
        <v>1359</v>
      </c>
      <c r="E1193" s="94" t="s">
        <v>4041</v>
      </c>
      <c r="F1193" s="93" t="s">
        <v>46</v>
      </c>
    </row>
    <row r="1194" spans="1:6" x14ac:dyDescent="0.25">
      <c r="A1194" s="94" t="s">
        <v>4042</v>
      </c>
      <c r="B1194" s="92">
        <v>70015169</v>
      </c>
      <c r="C1194" s="93">
        <v>3</v>
      </c>
      <c r="D1194" s="94" t="s">
        <v>1359</v>
      </c>
      <c r="E1194" s="94" t="s">
        <v>4043</v>
      </c>
      <c r="F1194" s="93" t="s">
        <v>46</v>
      </c>
    </row>
    <row r="1195" spans="1:6" x14ac:dyDescent="0.25">
      <c r="A1195" s="94" t="s">
        <v>4052</v>
      </c>
      <c r="B1195" s="92">
        <v>70015146</v>
      </c>
      <c r="C1195" s="93">
        <v>3</v>
      </c>
      <c r="D1195" s="94" t="s">
        <v>1359</v>
      </c>
      <c r="E1195" s="94" t="s">
        <v>4053</v>
      </c>
      <c r="F1195" s="93" t="s">
        <v>46</v>
      </c>
    </row>
    <row r="1196" spans="1:6" x14ac:dyDescent="0.25">
      <c r="A1196" s="94" t="s">
        <v>4044</v>
      </c>
      <c r="B1196" s="92">
        <v>70015190</v>
      </c>
      <c r="C1196" s="93">
        <v>3</v>
      </c>
      <c r="D1196" s="94" t="s">
        <v>1359</v>
      </c>
      <c r="E1196" s="94" t="s">
        <v>4045</v>
      </c>
      <c r="F1196" s="93" t="s">
        <v>46</v>
      </c>
    </row>
    <row r="1197" spans="1:6" x14ac:dyDescent="0.25">
      <c r="A1197" s="94" t="s">
        <v>4046</v>
      </c>
      <c r="B1197" s="92">
        <v>70015166</v>
      </c>
      <c r="C1197" s="93">
        <v>3</v>
      </c>
      <c r="D1197" s="94" t="s">
        <v>1359</v>
      </c>
      <c r="E1197" s="94" t="s">
        <v>4047</v>
      </c>
      <c r="F1197" s="93" t="s">
        <v>46</v>
      </c>
    </row>
    <row r="1198" spans="1:6" x14ac:dyDescent="0.25">
      <c r="A1198" s="94" t="s">
        <v>4048</v>
      </c>
      <c r="B1198" s="92">
        <v>70015154</v>
      </c>
      <c r="C1198" s="93">
        <v>3</v>
      </c>
      <c r="D1198" s="94" t="s">
        <v>1359</v>
      </c>
      <c r="E1198" s="94" t="s">
        <v>4049</v>
      </c>
      <c r="F1198" s="93" t="s">
        <v>46</v>
      </c>
    </row>
    <row r="1199" spans="1:6" x14ac:dyDescent="0.25">
      <c r="A1199" s="94" t="s">
        <v>4050</v>
      </c>
      <c r="B1199" s="92">
        <v>70015150</v>
      </c>
      <c r="C1199" s="93">
        <v>3</v>
      </c>
      <c r="D1199" s="94" t="s">
        <v>1359</v>
      </c>
      <c r="E1199" s="94" t="s">
        <v>4051</v>
      </c>
      <c r="F1199" s="93" t="s">
        <v>46</v>
      </c>
    </row>
    <row r="1200" spans="1:6" x14ac:dyDescent="0.25">
      <c r="A1200" s="94" t="s">
        <v>4056</v>
      </c>
      <c r="B1200" s="92">
        <v>70015218</v>
      </c>
      <c r="C1200" s="93">
        <v>3</v>
      </c>
      <c r="D1200" s="94" t="s">
        <v>1359</v>
      </c>
      <c r="E1200" s="94" t="s">
        <v>4057</v>
      </c>
      <c r="F1200" s="93" t="s">
        <v>46</v>
      </c>
    </row>
    <row r="1201" spans="1:6" x14ac:dyDescent="0.25">
      <c r="A1201" s="94" t="s">
        <v>3994</v>
      </c>
      <c r="B1201" s="92">
        <v>70014690</v>
      </c>
      <c r="C1201" s="93">
        <v>1</v>
      </c>
      <c r="D1201" s="94" t="s">
        <v>1359</v>
      </c>
      <c r="E1201" s="94" t="s">
        <v>3995</v>
      </c>
      <c r="F1201" s="93" t="s">
        <v>87</v>
      </c>
    </row>
    <row r="1202" spans="1:6" x14ac:dyDescent="0.25">
      <c r="A1202" s="94" t="s">
        <v>3998</v>
      </c>
      <c r="B1202" s="92">
        <v>70014702</v>
      </c>
      <c r="C1202" s="93">
        <v>1</v>
      </c>
      <c r="D1202" s="94" t="s">
        <v>1359</v>
      </c>
      <c r="E1202" s="94" t="s">
        <v>3999</v>
      </c>
      <c r="F1202" s="93" t="s">
        <v>87</v>
      </c>
    </row>
    <row r="1203" spans="1:6" x14ac:dyDescent="0.25">
      <c r="A1203" s="94" t="s">
        <v>4002</v>
      </c>
      <c r="B1203" s="92">
        <v>70014696</v>
      </c>
      <c r="C1203" s="93">
        <v>1</v>
      </c>
      <c r="D1203" s="94" t="s">
        <v>1359</v>
      </c>
      <c r="E1203" s="94" t="s">
        <v>4003</v>
      </c>
      <c r="F1203" s="93" t="s">
        <v>87</v>
      </c>
    </row>
    <row r="1204" spans="1:6" x14ac:dyDescent="0.25">
      <c r="A1204" s="94" t="s">
        <v>4007</v>
      </c>
      <c r="B1204" s="92">
        <v>70015096</v>
      </c>
      <c r="C1204" s="93">
        <v>1</v>
      </c>
      <c r="D1204" s="94" t="s">
        <v>1359</v>
      </c>
      <c r="E1204" s="94" t="s">
        <v>4008</v>
      </c>
      <c r="F1204" s="93" t="s">
        <v>41</v>
      </c>
    </row>
    <row r="1205" spans="1:6" x14ac:dyDescent="0.25">
      <c r="A1205" s="94" t="s">
        <v>4011</v>
      </c>
      <c r="B1205" s="92">
        <v>70015091</v>
      </c>
      <c r="C1205" s="93">
        <v>1</v>
      </c>
      <c r="D1205" s="94" t="s">
        <v>1359</v>
      </c>
      <c r="E1205" s="94" t="s">
        <v>4012</v>
      </c>
      <c r="F1205" s="93" t="s">
        <v>41</v>
      </c>
    </row>
    <row r="1206" spans="1:6" x14ac:dyDescent="0.25">
      <c r="A1206" s="94" t="s">
        <v>4016</v>
      </c>
      <c r="B1206" s="92">
        <v>70015130</v>
      </c>
      <c r="C1206" s="93">
        <v>3</v>
      </c>
      <c r="D1206" s="94" t="s">
        <v>1359</v>
      </c>
      <c r="E1206" s="94" t="s">
        <v>4017</v>
      </c>
      <c r="F1206" s="93" t="s">
        <v>46</v>
      </c>
    </row>
    <row r="1207" spans="1:6" x14ac:dyDescent="0.25">
      <c r="A1207" s="94" t="s">
        <v>3996</v>
      </c>
      <c r="B1207" s="92">
        <v>70014694</v>
      </c>
      <c r="C1207" s="93">
        <v>1</v>
      </c>
      <c r="D1207" s="94" t="s">
        <v>1359</v>
      </c>
      <c r="E1207" s="94" t="s">
        <v>3997</v>
      </c>
      <c r="F1207" s="93" t="s">
        <v>87</v>
      </c>
    </row>
    <row r="1208" spans="1:6" x14ac:dyDescent="0.25">
      <c r="A1208" s="94" t="s">
        <v>4000</v>
      </c>
      <c r="B1208" s="92">
        <v>70014706</v>
      </c>
      <c r="C1208" s="93">
        <v>1</v>
      </c>
      <c r="D1208" s="94" t="s">
        <v>1359</v>
      </c>
      <c r="E1208" s="94" t="s">
        <v>4001</v>
      </c>
      <c r="F1208" s="93" t="s">
        <v>87</v>
      </c>
    </row>
    <row r="1209" spans="1:6" x14ac:dyDescent="0.25">
      <c r="A1209" s="94" t="s">
        <v>4004</v>
      </c>
      <c r="B1209" s="92">
        <v>70014700</v>
      </c>
      <c r="C1209" s="93">
        <v>1</v>
      </c>
      <c r="D1209" s="94" t="s">
        <v>1359</v>
      </c>
      <c r="E1209" s="94" t="s">
        <v>4005</v>
      </c>
      <c r="F1209" s="93" t="s">
        <v>87</v>
      </c>
    </row>
    <row r="1210" spans="1:6" x14ac:dyDescent="0.25">
      <c r="A1210" s="94" t="s">
        <v>4009</v>
      </c>
      <c r="B1210" s="92">
        <v>70015109</v>
      </c>
      <c r="C1210" s="93">
        <v>1</v>
      </c>
      <c r="D1210" s="94" t="s">
        <v>1359</v>
      </c>
      <c r="E1210" s="94" t="s">
        <v>4010</v>
      </c>
      <c r="F1210" s="93" t="s">
        <v>41</v>
      </c>
    </row>
    <row r="1211" spans="1:6" x14ac:dyDescent="0.25">
      <c r="A1211" s="94" t="s">
        <v>4013</v>
      </c>
      <c r="B1211" s="92">
        <v>70015094</v>
      </c>
      <c r="C1211" s="93">
        <v>1</v>
      </c>
      <c r="D1211" s="94" t="s">
        <v>1359</v>
      </c>
      <c r="E1211" s="94" t="s">
        <v>4014</v>
      </c>
      <c r="F1211" s="93" t="s">
        <v>41</v>
      </c>
    </row>
    <row r="1212" spans="1:6" x14ac:dyDescent="0.25">
      <c r="A1212" s="94" t="s">
        <v>4018</v>
      </c>
      <c r="B1212" s="92">
        <v>70015132</v>
      </c>
      <c r="C1212" s="93">
        <v>3</v>
      </c>
      <c r="D1212" s="94" t="s">
        <v>1359</v>
      </c>
      <c r="E1212" s="94" t="s">
        <v>4019</v>
      </c>
      <c r="F1212" s="93" t="s">
        <v>46</v>
      </c>
    </row>
    <row r="1213" spans="1:6" x14ac:dyDescent="0.25">
      <c r="A1213" s="94" t="s">
        <v>4026</v>
      </c>
      <c r="B1213" s="92">
        <v>70015144</v>
      </c>
      <c r="C1213" s="93">
        <v>3</v>
      </c>
      <c r="D1213" s="94" t="s">
        <v>1359</v>
      </c>
      <c r="E1213" s="94" t="s">
        <v>4027</v>
      </c>
      <c r="F1213" s="93" t="s">
        <v>46</v>
      </c>
    </row>
    <row r="1214" spans="1:6" x14ac:dyDescent="0.25">
      <c r="A1214" s="94" t="s">
        <v>4028</v>
      </c>
      <c r="B1214" s="92">
        <v>70015171</v>
      </c>
      <c r="C1214" s="93">
        <v>3</v>
      </c>
      <c r="D1214" s="94" t="s">
        <v>1359</v>
      </c>
      <c r="E1214" s="94" t="s">
        <v>4029</v>
      </c>
      <c r="F1214" s="93" t="s">
        <v>46</v>
      </c>
    </row>
    <row r="1215" spans="1:6" x14ac:dyDescent="0.25">
      <c r="A1215" s="94" t="s">
        <v>4054</v>
      </c>
      <c r="B1215" s="92">
        <v>70015178</v>
      </c>
      <c r="C1215" s="93">
        <v>3</v>
      </c>
      <c r="D1215" s="94" t="s">
        <v>1359</v>
      </c>
      <c r="E1215" s="94" t="s">
        <v>4055</v>
      </c>
      <c r="F1215" s="93" t="s">
        <v>46</v>
      </c>
    </row>
    <row r="1216" spans="1:6" x14ac:dyDescent="0.25">
      <c r="A1216" s="94" t="s">
        <v>4031</v>
      </c>
      <c r="B1216" s="92">
        <v>70015192</v>
      </c>
      <c r="C1216" s="93">
        <v>3</v>
      </c>
      <c r="D1216" s="94" t="s">
        <v>1359</v>
      </c>
      <c r="E1216" s="94" t="s">
        <v>4032</v>
      </c>
      <c r="F1216" s="93" t="s">
        <v>46</v>
      </c>
    </row>
    <row r="1217" spans="1:6" x14ac:dyDescent="0.25">
      <c r="A1217" s="94" t="s">
        <v>4033</v>
      </c>
      <c r="B1217" s="92">
        <v>70015188</v>
      </c>
      <c r="C1217" s="93">
        <v>3</v>
      </c>
      <c r="D1217" s="94" t="s">
        <v>1359</v>
      </c>
      <c r="E1217" s="94" t="s">
        <v>4034</v>
      </c>
      <c r="F1217" s="93" t="s">
        <v>46</v>
      </c>
    </row>
    <row r="1218" spans="1:6" x14ac:dyDescent="0.25">
      <c r="A1218" s="94" t="s">
        <v>4036</v>
      </c>
      <c r="B1218" s="92">
        <v>70015156</v>
      </c>
      <c r="C1218" s="93">
        <v>3</v>
      </c>
      <c r="D1218" s="94" t="s">
        <v>1359</v>
      </c>
      <c r="E1218" s="94" t="s">
        <v>4037</v>
      </c>
      <c r="F1218" s="93" t="s">
        <v>46</v>
      </c>
    </row>
    <row r="1219" spans="1:6" x14ac:dyDescent="0.25">
      <c r="A1219" s="94" t="s">
        <v>4038</v>
      </c>
      <c r="B1219" s="92">
        <v>70015152</v>
      </c>
      <c r="C1219" s="93">
        <v>3</v>
      </c>
      <c r="D1219" s="94" t="s">
        <v>1359</v>
      </c>
      <c r="E1219" s="94" t="s">
        <v>4039</v>
      </c>
      <c r="F1219" s="93" t="s">
        <v>46</v>
      </c>
    </row>
    <row r="1220" spans="1:6" x14ac:dyDescent="0.25">
      <c r="A1220" s="94" t="s">
        <v>4058</v>
      </c>
      <c r="B1220" s="92">
        <v>70015220</v>
      </c>
      <c r="C1220" s="93">
        <v>3</v>
      </c>
      <c r="D1220" s="94" t="s">
        <v>1359</v>
      </c>
      <c r="E1220" s="94" t="s">
        <v>4059</v>
      </c>
      <c r="F1220" s="93" t="s">
        <v>46</v>
      </c>
    </row>
    <row r="1221" spans="1:6" x14ac:dyDescent="0.25">
      <c r="A1221" s="94" t="s">
        <v>4021</v>
      </c>
      <c r="B1221" s="92">
        <v>70015213</v>
      </c>
      <c r="C1221" s="93">
        <v>3</v>
      </c>
      <c r="D1221" s="94" t="s">
        <v>1359</v>
      </c>
      <c r="E1221" s="94" t="s">
        <v>4022</v>
      </c>
      <c r="F1221" s="93" t="s">
        <v>112</v>
      </c>
    </row>
    <row r="1222" spans="1:6" x14ac:dyDescent="0.25">
      <c r="A1222" s="94" t="s">
        <v>4023</v>
      </c>
      <c r="B1222" s="92">
        <v>70015215</v>
      </c>
      <c r="C1222" s="93">
        <v>3</v>
      </c>
      <c r="D1222" s="94" t="s">
        <v>1359</v>
      </c>
      <c r="E1222" s="94" t="s">
        <v>4024</v>
      </c>
      <c r="F1222" s="93" t="s">
        <v>112</v>
      </c>
    </row>
    <row r="1223" spans="1:6" x14ac:dyDescent="0.25">
      <c r="A1223" s="48" t="s">
        <v>4081</v>
      </c>
      <c r="B1223" s="48">
        <v>70015473</v>
      </c>
      <c r="C1223" s="47">
        <v>2</v>
      </c>
      <c r="D1223" s="48" t="s">
        <v>1359</v>
      </c>
      <c r="E1223" s="48" t="s">
        <v>4117</v>
      </c>
      <c r="F1223" s="47" t="s">
        <v>63</v>
      </c>
    </row>
    <row r="1224" spans="1:6" x14ac:dyDescent="0.25">
      <c r="A1224" s="48" t="s">
        <v>4082</v>
      </c>
      <c r="B1224" s="48">
        <v>70015475</v>
      </c>
      <c r="C1224" s="47">
        <v>2</v>
      </c>
      <c r="D1224" s="48" t="s">
        <v>1359</v>
      </c>
      <c r="E1224" s="48" t="s">
        <v>4118</v>
      </c>
      <c r="F1224" s="47" t="s">
        <v>63</v>
      </c>
    </row>
    <row r="1225" spans="1:6" x14ac:dyDescent="0.25">
      <c r="A1225" s="48" t="s">
        <v>4083</v>
      </c>
      <c r="B1225" s="48">
        <v>70015477</v>
      </c>
      <c r="C1225" s="47">
        <v>2</v>
      </c>
      <c r="D1225" s="48" t="s">
        <v>1359</v>
      </c>
      <c r="E1225" s="48" t="s">
        <v>4119</v>
      </c>
      <c r="F1225" s="47" t="s">
        <v>63</v>
      </c>
    </row>
    <row r="1226" spans="1:6" x14ac:dyDescent="0.25">
      <c r="A1226" s="48" t="s">
        <v>4084</v>
      </c>
      <c r="B1226" s="48">
        <v>70015479</v>
      </c>
      <c r="C1226" s="47">
        <v>2</v>
      </c>
      <c r="D1226" s="48" t="s">
        <v>1359</v>
      </c>
      <c r="E1226" s="48" t="s">
        <v>4120</v>
      </c>
      <c r="F1226" s="47" t="s">
        <v>63</v>
      </c>
    </row>
    <row r="1227" spans="1:6" x14ac:dyDescent="0.25">
      <c r="A1227" s="48" t="s">
        <v>4085</v>
      </c>
      <c r="B1227" s="48">
        <v>70015469</v>
      </c>
      <c r="C1227" s="47">
        <v>2</v>
      </c>
      <c r="D1227" s="48" t="s">
        <v>1359</v>
      </c>
      <c r="E1227" s="48" t="s">
        <v>4121</v>
      </c>
      <c r="F1227" s="47" t="s">
        <v>63</v>
      </c>
    </row>
    <row r="1228" spans="1:6" x14ac:dyDescent="0.25">
      <c r="A1228" s="48" t="s">
        <v>4086</v>
      </c>
      <c r="B1228" s="48">
        <v>70015471</v>
      </c>
      <c r="C1228" s="47">
        <v>2</v>
      </c>
      <c r="D1228" s="48" t="s">
        <v>1359</v>
      </c>
      <c r="E1228" s="48" t="s">
        <v>4122</v>
      </c>
      <c r="F1228" s="47" t="s">
        <v>63</v>
      </c>
    </row>
    <row r="1229" spans="1:6" x14ac:dyDescent="0.25">
      <c r="A1229" s="48" t="s">
        <v>4087</v>
      </c>
      <c r="B1229" s="48">
        <v>70015440</v>
      </c>
      <c r="C1229" s="47">
        <v>2</v>
      </c>
      <c r="D1229" s="48" t="s">
        <v>1359</v>
      </c>
      <c r="E1229" s="48" t="s">
        <v>4123</v>
      </c>
      <c r="F1229" s="47" t="s">
        <v>63</v>
      </c>
    </row>
    <row r="1230" spans="1:6" x14ac:dyDescent="0.25">
      <c r="A1230" s="48" t="s">
        <v>4088</v>
      </c>
      <c r="B1230" s="48">
        <v>70015442</v>
      </c>
      <c r="C1230" s="47">
        <v>2</v>
      </c>
      <c r="D1230" s="48" t="s">
        <v>1359</v>
      </c>
      <c r="E1230" s="48" t="s">
        <v>4124</v>
      </c>
      <c r="F1230" s="47" t="s">
        <v>63</v>
      </c>
    </row>
    <row r="1231" spans="1:6" x14ac:dyDescent="0.25">
      <c r="A1231" s="48" t="s">
        <v>4089</v>
      </c>
      <c r="B1231" s="48">
        <v>70015444</v>
      </c>
      <c r="C1231" s="47">
        <v>2</v>
      </c>
      <c r="D1231" s="48" t="s">
        <v>1359</v>
      </c>
      <c r="E1231" s="48" t="s">
        <v>4125</v>
      </c>
      <c r="F1231" s="47" t="s">
        <v>63</v>
      </c>
    </row>
    <row r="1232" spans="1:6" x14ac:dyDescent="0.25">
      <c r="A1232" s="48" t="s">
        <v>4090</v>
      </c>
      <c r="B1232" s="48">
        <v>70015446</v>
      </c>
      <c r="C1232" s="47">
        <v>2</v>
      </c>
      <c r="D1232" s="48" t="s">
        <v>1359</v>
      </c>
      <c r="E1232" s="48" t="s">
        <v>4126</v>
      </c>
      <c r="F1232" s="47" t="s">
        <v>63</v>
      </c>
    </row>
    <row r="1233" spans="1:6" x14ac:dyDescent="0.25">
      <c r="A1233" s="48" t="s">
        <v>4091</v>
      </c>
      <c r="B1233" s="48">
        <v>70015436</v>
      </c>
      <c r="C1233" s="47">
        <v>2</v>
      </c>
      <c r="D1233" s="48" t="s">
        <v>1359</v>
      </c>
      <c r="E1233" s="48" t="s">
        <v>4127</v>
      </c>
      <c r="F1233" s="47" t="s">
        <v>63</v>
      </c>
    </row>
    <row r="1234" spans="1:6" x14ac:dyDescent="0.25">
      <c r="A1234" s="48" t="s">
        <v>4092</v>
      </c>
      <c r="B1234" s="48">
        <v>70015438</v>
      </c>
      <c r="C1234" s="47">
        <v>2</v>
      </c>
      <c r="D1234" s="48" t="s">
        <v>1359</v>
      </c>
      <c r="E1234" s="48" t="s">
        <v>4128</v>
      </c>
      <c r="F1234" s="47" t="s">
        <v>63</v>
      </c>
    </row>
    <row r="1235" spans="1:6" x14ac:dyDescent="0.25">
      <c r="A1235" s="48" t="s">
        <v>4093</v>
      </c>
      <c r="B1235" s="48">
        <v>70015401</v>
      </c>
      <c r="C1235" s="47">
        <v>2</v>
      </c>
      <c r="D1235" s="48" t="s">
        <v>1359</v>
      </c>
      <c r="E1235" s="48" t="s">
        <v>4129</v>
      </c>
      <c r="F1235" s="47" t="s">
        <v>63</v>
      </c>
    </row>
    <row r="1236" spans="1:6" x14ac:dyDescent="0.25">
      <c r="A1236" s="48" t="s">
        <v>4094</v>
      </c>
      <c r="B1236" s="48">
        <v>70015403</v>
      </c>
      <c r="C1236" s="47">
        <v>2</v>
      </c>
      <c r="D1236" s="48" t="s">
        <v>1359</v>
      </c>
      <c r="E1236" s="48" t="s">
        <v>4130</v>
      </c>
      <c r="F1236" s="47" t="s">
        <v>63</v>
      </c>
    </row>
    <row r="1237" spans="1:6" x14ac:dyDescent="0.25">
      <c r="A1237" s="48" t="s">
        <v>4095</v>
      </c>
      <c r="B1237" s="48">
        <v>70015405</v>
      </c>
      <c r="C1237" s="47">
        <v>2</v>
      </c>
      <c r="D1237" s="48" t="s">
        <v>1359</v>
      </c>
      <c r="E1237" s="48" t="s">
        <v>4131</v>
      </c>
      <c r="F1237" s="47" t="s">
        <v>63</v>
      </c>
    </row>
    <row r="1238" spans="1:6" x14ac:dyDescent="0.25">
      <c r="A1238" s="48" t="s">
        <v>4096</v>
      </c>
      <c r="B1238" s="48">
        <v>70015407</v>
      </c>
      <c r="C1238" s="47">
        <v>2</v>
      </c>
      <c r="D1238" s="48" t="s">
        <v>1359</v>
      </c>
      <c r="E1238" s="48" t="s">
        <v>4132</v>
      </c>
      <c r="F1238" s="47" t="s">
        <v>63</v>
      </c>
    </row>
    <row r="1239" spans="1:6" x14ac:dyDescent="0.25">
      <c r="A1239" s="48" t="s">
        <v>4097</v>
      </c>
      <c r="B1239" s="48">
        <v>70015448</v>
      </c>
      <c r="C1239" s="47">
        <v>2</v>
      </c>
      <c r="D1239" s="48" t="s">
        <v>1359</v>
      </c>
      <c r="E1239" s="48" t="s">
        <v>4133</v>
      </c>
      <c r="F1239" s="47" t="s">
        <v>63</v>
      </c>
    </row>
    <row r="1240" spans="1:6" x14ac:dyDescent="0.25">
      <c r="A1240" s="48" t="s">
        <v>4098</v>
      </c>
      <c r="B1240" s="48">
        <v>70015450</v>
      </c>
      <c r="C1240" s="47">
        <v>2</v>
      </c>
      <c r="D1240" s="48" t="s">
        <v>1359</v>
      </c>
      <c r="E1240" s="48" t="s">
        <v>4134</v>
      </c>
      <c r="F1240" s="47" t="s">
        <v>63</v>
      </c>
    </row>
    <row r="1241" spans="1:6" x14ac:dyDescent="0.25">
      <c r="A1241" s="48" t="s">
        <v>4099</v>
      </c>
      <c r="B1241" s="48">
        <v>70015384</v>
      </c>
      <c r="C1241" s="47">
        <v>2</v>
      </c>
      <c r="D1241" s="48" t="s">
        <v>1359</v>
      </c>
      <c r="E1241" s="48" t="s">
        <v>4135</v>
      </c>
      <c r="F1241" s="47" t="s">
        <v>63</v>
      </c>
    </row>
    <row r="1242" spans="1:6" x14ac:dyDescent="0.25">
      <c r="A1242" s="48" t="s">
        <v>4100</v>
      </c>
      <c r="B1242" s="48">
        <v>70015386</v>
      </c>
      <c r="C1242" s="47">
        <v>2</v>
      </c>
      <c r="D1242" s="48" t="s">
        <v>1359</v>
      </c>
      <c r="E1242" s="48" t="s">
        <v>4136</v>
      </c>
      <c r="F1242" s="47" t="s">
        <v>63</v>
      </c>
    </row>
    <row r="1243" spans="1:6" x14ac:dyDescent="0.25">
      <c r="A1243" s="48" t="s">
        <v>4101</v>
      </c>
      <c r="B1243" s="48">
        <v>70015392</v>
      </c>
      <c r="C1243" s="47">
        <v>2</v>
      </c>
      <c r="D1243" s="48" t="s">
        <v>1359</v>
      </c>
      <c r="E1243" s="48" t="s">
        <v>4137</v>
      </c>
      <c r="F1243" s="47" t="s">
        <v>63</v>
      </c>
    </row>
    <row r="1244" spans="1:6" x14ac:dyDescent="0.25">
      <c r="A1244" s="48" t="s">
        <v>4102</v>
      </c>
      <c r="B1244" s="48">
        <v>70015394</v>
      </c>
      <c r="C1244" s="47">
        <v>2</v>
      </c>
      <c r="D1244" s="48" t="s">
        <v>1359</v>
      </c>
      <c r="E1244" s="48" t="s">
        <v>4138</v>
      </c>
      <c r="F1244" s="47" t="s">
        <v>63</v>
      </c>
    </row>
    <row r="1245" spans="1:6" x14ac:dyDescent="0.25">
      <c r="A1245" s="48" t="s">
        <v>4103</v>
      </c>
      <c r="B1245" s="48">
        <v>70015307</v>
      </c>
      <c r="C1245" s="47">
        <v>2</v>
      </c>
      <c r="D1245" s="48" t="s">
        <v>1359</v>
      </c>
      <c r="E1245" s="48" t="s">
        <v>4139</v>
      </c>
      <c r="F1245" s="47" t="s">
        <v>63</v>
      </c>
    </row>
    <row r="1246" spans="1:6" x14ac:dyDescent="0.25">
      <c r="A1246" s="48" t="s">
        <v>4104</v>
      </c>
      <c r="B1246" s="48">
        <v>70015399</v>
      </c>
      <c r="C1246" s="47">
        <v>2</v>
      </c>
      <c r="D1246" s="48" t="s">
        <v>1359</v>
      </c>
      <c r="E1246" s="48" t="s">
        <v>4140</v>
      </c>
      <c r="F1246" s="47" t="s">
        <v>63</v>
      </c>
    </row>
    <row r="1247" spans="1:6" x14ac:dyDescent="0.25">
      <c r="A1247" s="48" t="s">
        <v>4105</v>
      </c>
      <c r="B1247" s="48">
        <v>70015396</v>
      </c>
      <c r="C1247" s="47">
        <v>2</v>
      </c>
      <c r="D1247" s="48" t="s">
        <v>1359</v>
      </c>
      <c r="E1247" s="48" t="s">
        <v>4141</v>
      </c>
      <c r="F1247" s="47" t="s">
        <v>63</v>
      </c>
    </row>
    <row r="1248" spans="1:6" x14ac:dyDescent="0.25">
      <c r="A1248" s="48" t="s">
        <v>4106</v>
      </c>
      <c r="B1248" s="48">
        <v>70015408</v>
      </c>
      <c r="C1248" s="47">
        <v>2</v>
      </c>
      <c r="D1248" s="48" t="s">
        <v>1359</v>
      </c>
      <c r="E1248" s="48" t="s">
        <v>4142</v>
      </c>
      <c r="F1248" s="47" t="s">
        <v>63</v>
      </c>
    </row>
    <row r="1249" spans="1:6" x14ac:dyDescent="0.25">
      <c r="A1249" s="48" t="s">
        <v>4107</v>
      </c>
      <c r="B1249" s="48">
        <v>70015388</v>
      </c>
      <c r="C1249" s="47">
        <v>2</v>
      </c>
      <c r="D1249" s="48" t="s">
        <v>1359</v>
      </c>
      <c r="E1249" s="48" t="s">
        <v>4143</v>
      </c>
      <c r="F1249" s="47" t="s">
        <v>63</v>
      </c>
    </row>
    <row r="1250" spans="1:6" x14ac:dyDescent="0.25">
      <c r="A1250" s="48" t="s">
        <v>4108</v>
      </c>
      <c r="B1250" s="48">
        <v>70015390</v>
      </c>
      <c r="C1250" s="47">
        <v>2</v>
      </c>
      <c r="D1250" s="48" t="s">
        <v>1359</v>
      </c>
      <c r="E1250" s="48" t="s">
        <v>4144</v>
      </c>
      <c r="F1250" s="47" t="s">
        <v>63</v>
      </c>
    </row>
    <row r="1251" spans="1:6" x14ac:dyDescent="0.25">
      <c r="A1251" s="48" t="s">
        <v>4109</v>
      </c>
      <c r="B1251" s="48">
        <v>70015505</v>
      </c>
      <c r="C1251" s="47">
        <v>2</v>
      </c>
      <c r="D1251" s="48" t="s">
        <v>1359</v>
      </c>
      <c r="E1251" s="48" t="s">
        <v>4145</v>
      </c>
      <c r="F1251" s="47" t="s">
        <v>63</v>
      </c>
    </row>
    <row r="1252" spans="1:6" x14ac:dyDescent="0.25">
      <c r="A1252" s="48" t="s">
        <v>4110</v>
      </c>
      <c r="B1252" s="48">
        <v>70015507</v>
      </c>
      <c r="C1252" s="47">
        <v>2</v>
      </c>
      <c r="D1252" s="48" t="s">
        <v>1359</v>
      </c>
      <c r="E1252" s="48" t="s">
        <v>4146</v>
      </c>
      <c r="F1252" s="47" t="s">
        <v>63</v>
      </c>
    </row>
    <row r="1253" spans="1:6" x14ac:dyDescent="0.25">
      <c r="A1253" s="48" t="s">
        <v>4111</v>
      </c>
      <c r="B1253" s="48">
        <v>70015579</v>
      </c>
      <c r="C1253" s="47">
        <v>2</v>
      </c>
      <c r="D1253" s="48" t="s">
        <v>1359</v>
      </c>
      <c r="E1253" s="48" t="s">
        <v>4147</v>
      </c>
      <c r="F1253" s="47" t="s">
        <v>63</v>
      </c>
    </row>
    <row r="1254" spans="1:6" x14ac:dyDescent="0.25">
      <c r="A1254" s="48" t="s">
        <v>4112</v>
      </c>
      <c r="B1254" s="48">
        <v>70015561</v>
      </c>
      <c r="C1254" s="47">
        <v>2</v>
      </c>
      <c r="D1254" s="48" t="s">
        <v>1359</v>
      </c>
      <c r="E1254" s="48" t="s">
        <v>4148</v>
      </c>
      <c r="F1254" s="47" t="s">
        <v>63</v>
      </c>
    </row>
    <row r="1255" spans="1:6" x14ac:dyDescent="0.25">
      <c r="A1255" s="48" t="s">
        <v>4113</v>
      </c>
      <c r="B1255" s="48">
        <v>70015563</v>
      </c>
      <c r="C1255" s="47">
        <v>2</v>
      </c>
      <c r="D1255" s="48" t="s">
        <v>1359</v>
      </c>
      <c r="E1255" s="48" t="s">
        <v>4149</v>
      </c>
      <c r="F1255" s="47" t="s">
        <v>63</v>
      </c>
    </row>
    <row r="1256" spans="1:6" x14ac:dyDescent="0.25">
      <c r="A1256" s="48" t="s">
        <v>4114</v>
      </c>
      <c r="B1256" s="48">
        <v>70015565</v>
      </c>
      <c r="C1256" s="47">
        <v>2</v>
      </c>
      <c r="D1256" s="48" t="s">
        <v>1359</v>
      </c>
      <c r="E1256" s="48" t="s">
        <v>4150</v>
      </c>
      <c r="F1256" s="47" t="s">
        <v>63</v>
      </c>
    </row>
    <row r="1257" spans="1:6" x14ac:dyDescent="0.25">
      <c r="A1257" s="48" t="s">
        <v>4115</v>
      </c>
      <c r="B1257" s="48">
        <v>70015501</v>
      </c>
      <c r="C1257" s="47">
        <v>2</v>
      </c>
      <c r="D1257" s="48" t="s">
        <v>1359</v>
      </c>
      <c r="E1257" s="48" t="s">
        <v>4151</v>
      </c>
      <c r="F1257" s="47" t="s">
        <v>63</v>
      </c>
    </row>
    <row r="1258" spans="1:6" x14ac:dyDescent="0.25">
      <c r="A1258" s="48" t="s">
        <v>4116</v>
      </c>
      <c r="B1258" s="48">
        <v>70015503</v>
      </c>
      <c r="C1258" s="47">
        <v>2</v>
      </c>
      <c r="D1258" s="48" t="s">
        <v>1359</v>
      </c>
      <c r="E1258" s="48" t="s">
        <v>4152</v>
      </c>
      <c r="F1258" s="47" t="s">
        <v>63</v>
      </c>
    </row>
    <row r="1259" spans="1:6" x14ac:dyDescent="0.25">
      <c r="A1259" s="48" t="s">
        <v>4162</v>
      </c>
      <c r="B1259" s="48">
        <v>70015266</v>
      </c>
      <c r="C1259" s="47">
        <v>1</v>
      </c>
      <c r="D1259" s="48" t="s">
        <v>1359</v>
      </c>
      <c r="E1259" s="48" t="s">
        <v>4176</v>
      </c>
      <c r="F1259" s="47" t="s">
        <v>46</v>
      </c>
    </row>
    <row r="1260" spans="1:6" x14ac:dyDescent="0.25">
      <c r="A1260" s="48" t="s">
        <v>4164</v>
      </c>
      <c r="B1260" s="48">
        <v>70015270</v>
      </c>
      <c r="C1260" s="47">
        <v>1</v>
      </c>
      <c r="D1260" s="48" t="s">
        <v>1359</v>
      </c>
      <c r="E1260" s="48" t="s">
        <v>4178</v>
      </c>
      <c r="F1260" s="47" t="s">
        <v>46</v>
      </c>
    </row>
    <row r="1261" spans="1:6" x14ac:dyDescent="0.25">
      <c r="A1261" s="48" t="s">
        <v>4166</v>
      </c>
      <c r="B1261" s="48">
        <v>70015274</v>
      </c>
      <c r="C1261" s="47">
        <v>1</v>
      </c>
      <c r="D1261" s="48" t="s">
        <v>1359</v>
      </c>
      <c r="E1261" s="48" t="s">
        <v>4180</v>
      </c>
      <c r="F1261" s="47" t="s">
        <v>46</v>
      </c>
    </row>
    <row r="1262" spans="1:6" x14ac:dyDescent="0.25">
      <c r="A1262" s="48" t="s">
        <v>4168</v>
      </c>
      <c r="B1262" s="48">
        <v>70015278</v>
      </c>
      <c r="C1262" s="47">
        <v>1</v>
      </c>
      <c r="D1262" s="48" t="s">
        <v>1359</v>
      </c>
      <c r="E1262" s="48" t="s">
        <v>4182</v>
      </c>
      <c r="F1262" s="47" t="s">
        <v>46</v>
      </c>
    </row>
    <row r="1263" spans="1:6" x14ac:dyDescent="0.25">
      <c r="A1263" s="48" t="s">
        <v>4170</v>
      </c>
      <c r="B1263" s="48">
        <v>70015282</v>
      </c>
      <c r="C1263" s="47">
        <v>1</v>
      </c>
      <c r="D1263" s="48" t="s">
        <v>1359</v>
      </c>
      <c r="E1263" s="48" t="s">
        <v>4184</v>
      </c>
      <c r="F1263" s="47" t="s">
        <v>46</v>
      </c>
    </row>
    <row r="1264" spans="1:6" x14ac:dyDescent="0.25">
      <c r="A1264" s="48" t="s">
        <v>4172</v>
      </c>
      <c r="B1264" s="48">
        <v>70015286</v>
      </c>
      <c r="C1264" s="47">
        <v>1</v>
      </c>
      <c r="D1264" s="48" t="s">
        <v>1359</v>
      </c>
      <c r="E1264" s="48" t="s">
        <v>4186</v>
      </c>
      <c r="F1264" s="47" t="s">
        <v>46</v>
      </c>
    </row>
    <row r="1265" spans="1:6" x14ac:dyDescent="0.25">
      <c r="A1265" s="48" t="s">
        <v>4163</v>
      </c>
      <c r="B1265" s="48">
        <v>70015268</v>
      </c>
      <c r="C1265" s="47">
        <v>1</v>
      </c>
      <c r="D1265" s="48" t="s">
        <v>1359</v>
      </c>
      <c r="E1265" s="48" t="s">
        <v>4177</v>
      </c>
      <c r="F1265" s="47" t="s">
        <v>46</v>
      </c>
    </row>
    <row r="1266" spans="1:6" x14ac:dyDescent="0.25">
      <c r="A1266" s="48" t="s">
        <v>4165</v>
      </c>
      <c r="B1266" s="48">
        <v>70015272</v>
      </c>
      <c r="C1266" s="47">
        <v>1</v>
      </c>
      <c r="D1266" s="48" t="s">
        <v>1359</v>
      </c>
      <c r="E1266" s="48" t="s">
        <v>4179</v>
      </c>
      <c r="F1266" s="47" t="s">
        <v>46</v>
      </c>
    </row>
    <row r="1267" spans="1:6" x14ac:dyDescent="0.25">
      <c r="A1267" s="48" t="s">
        <v>4167</v>
      </c>
      <c r="B1267" s="48">
        <v>70015276</v>
      </c>
      <c r="C1267" s="47">
        <v>1</v>
      </c>
      <c r="D1267" s="48" t="s">
        <v>1359</v>
      </c>
      <c r="E1267" s="48" t="s">
        <v>4181</v>
      </c>
      <c r="F1267" s="47" t="s">
        <v>46</v>
      </c>
    </row>
    <row r="1268" spans="1:6" x14ac:dyDescent="0.25">
      <c r="A1268" s="48" t="s">
        <v>4169</v>
      </c>
      <c r="B1268" s="48">
        <v>70015280</v>
      </c>
      <c r="C1268" s="47">
        <v>1</v>
      </c>
      <c r="D1268" s="48" t="s">
        <v>1359</v>
      </c>
      <c r="E1268" s="48" t="s">
        <v>4183</v>
      </c>
      <c r="F1268" s="47" t="s">
        <v>46</v>
      </c>
    </row>
    <row r="1269" spans="1:6" x14ac:dyDescent="0.25">
      <c r="A1269" s="48" t="s">
        <v>4171</v>
      </c>
      <c r="B1269" s="48">
        <v>70015284</v>
      </c>
      <c r="C1269" s="47">
        <v>1</v>
      </c>
      <c r="D1269" s="48" t="s">
        <v>1359</v>
      </c>
      <c r="E1269" s="48" t="s">
        <v>4185</v>
      </c>
      <c r="F1269" s="47" t="s">
        <v>46</v>
      </c>
    </row>
    <row r="1270" spans="1:6" x14ac:dyDescent="0.25">
      <c r="A1270" s="48" t="s">
        <v>4173</v>
      </c>
      <c r="B1270" s="48">
        <v>70015288</v>
      </c>
      <c r="C1270" s="47">
        <v>1</v>
      </c>
      <c r="D1270" s="48" t="s">
        <v>1359</v>
      </c>
      <c r="E1270" s="48" t="s">
        <v>4187</v>
      </c>
      <c r="F1270" s="47" t="s">
        <v>46</v>
      </c>
    </row>
    <row r="1271" spans="1:6" x14ac:dyDescent="0.25">
      <c r="A1271" s="48" t="s">
        <v>4158</v>
      </c>
      <c r="B1271" s="48">
        <v>70014221</v>
      </c>
      <c r="C1271" s="47">
        <v>3</v>
      </c>
      <c r="D1271" s="48" t="s">
        <v>1359</v>
      </c>
      <c r="E1271" s="48" t="s">
        <v>4160</v>
      </c>
      <c r="F1271" s="47" t="s">
        <v>46</v>
      </c>
    </row>
    <row r="1272" spans="1:6" x14ac:dyDescent="0.25">
      <c r="A1272" s="48" t="s">
        <v>4159</v>
      </c>
      <c r="B1272" s="48">
        <v>70014244</v>
      </c>
      <c r="C1272" s="47">
        <v>3</v>
      </c>
      <c r="D1272" s="48" t="s">
        <v>1359</v>
      </c>
      <c r="E1272" s="48" t="s">
        <v>4161</v>
      </c>
      <c r="F1272" s="47" t="s">
        <v>46</v>
      </c>
    </row>
    <row r="1273" spans="1:6" x14ac:dyDescent="0.25">
      <c r="A1273" s="2" t="s">
        <v>4190</v>
      </c>
      <c r="B1273" s="2">
        <v>70015674</v>
      </c>
      <c r="C1273" s="1">
        <v>3</v>
      </c>
      <c r="D1273" s="2" t="s">
        <v>1359</v>
      </c>
      <c r="E1273" s="2" t="s">
        <v>4225</v>
      </c>
      <c r="F1273" s="1" t="s">
        <v>87</v>
      </c>
    </row>
    <row r="1274" spans="1:6" x14ac:dyDescent="0.25">
      <c r="A1274" s="2" t="s">
        <v>4192</v>
      </c>
      <c r="B1274" s="2">
        <v>70015678</v>
      </c>
      <c r="C1274" s="1">
        <v>3</v>
      </c>
      <c r="D1274" s="2" t="s">
        <v>1359</v>
      </c>
      <c r="E1274" s="2" t="s">
        <v>4227</v>
      </c>
      <c r="F1274" s="1" t="s">
        <v>87</v>
      </c>
    </row>
    <row r="1275" spans="1:6" x14ac:dyDescent="0.25">
      <c r="A1275" s="2" t="s">
        <v>4194</v>
      </c>
      <c r="B1275" s="2">
        <v>70015690</v>
      </c>
      <c r="C1275" s="1">
        <v>3</v>
      </c>
      <c r="D1275" s="2" t="s">
        <v>1359</v>
      </c>
      <c r="E1275" s="2" t="s">
        <v>4227</v>
      </c>
      <c r="F1275" s="1" t="s">
        <v>87</v>
      </c>
    </row>
    <row r="1276" spans="1:6" x14ac:dyDescent="0.25">
      <c r="A1276" s="2" t="s">
        <v>4196</v>
      </c>
      <c r="B1276" s="2">
        <v>70015682</v>
      </c>
      <c r="C1276" s="1">
        <v>3</v>
      </c>
      <c r="D1276" s="2" t="s">
        <v>1359</v>
      </c>
      <c r="E1276" s="2" t="s">
        <v>4229</v>
      </c>
      <c r="F1276" s="1" t="s">
        <v>87</v>
      </c>
    </row>
    <row r="1277" spans="1:6" x14ac:dyDescent="0.25">
      <c r="A1277" s="2" t="s">
        <v>4198</v>
      </c>
      <c r="B1277" s="2">
        <v>70015686</v>
      </c>
      <c r="C1277" s="1">
        <v>3</v>
      </c>
      <c r="D1277" s="2" t="s">
        <v>1359</v>
      </c>
      <c r="E1277" s="2" t="s">
        <v>4231</v>
      </c>
      <c r="F1277" s="1" t="s">
        <v>87</v>
      </c>
    </row>
    <row r="1278" spans="1:6" x14ac:dyDescent="0.25">
      <c r="A1278" s="2" t="s">
        <v>4200</v>
      </c>
      <c r="B1278" s="2">
        <v>70015694</v>
      </c>
      <c r="C1278" s="1">
        <v>3</v>
      </c>
      <c r="D1278" s="2" t="s">
        <v>1359</v>
      </c>
      <c r="E1278" s="2" t="s">
        <v>4231</v>
      </c>
      <c r="F1278" s="1" t="s">
        <v>87</v>
      </c>
    </row>
    <row r="1279" spans="1:6" x14ac:dyDescent="0.25">
      <c r="A1279" s="2" t="s">
        <v>4202</v>
      </c>
      <c r="B1279" s="2">
        <v>70015313</v>
      </c>
      <c r="C1279" s="1">
        <v>3</v>
      </c>
      <c r="D1279" s="2" t="s">
        <v>1359</v>
      </c>
      <c r="E1279" s="2" t="s">
        <v>4233</v>
      </c>
      <c r="F1279" s="1" t="s">
        <v>46</v>
      </c>
    </row>
    <row r="1280" spans="1:6" x14ac:dyDescent="0.25">
      <c r="A1280" s="2" t="s">
        <v>4204</v>
      </c>
      <c r="B1280" s="2">
        <v>70015317</v>
      </c>
      <c r="C1280" s="1">
        <v>3</v>
      </c>
      <c r="D1280" s="2" t="s">
        <v>1359</v>
      </c>
      <c r="E1280" s="2" t="s">
        <v>4235</v>
      </c>
      <c r="F1280" s="1" t="s">
        <v>46</v>
      </c>
    </row>
    <row r="1281" spans="1:6" x14ac:dyDescent="0.25">
      <c r="A1281" s="2" t="s">
        <v>4206</v>
      </c>
      <c r="B1281" s="2">
        <v>70015247</v>
      </c>
      <c r="C1281" s="1">
        <v>3</v>
      </c>
      <c r="D1281" s="2" t="s">
        <v>1359</v>
      </c>
      <c r="E1281" s="2" t="s">
        <v>4237</v>
      </c>
      <c r="F1281" s="1" t="s">
        <v>46</v>
      </c>
    </row>
    <row r="1282" spans="1:6" x14ac:dyDescent="0.25">
      <c r="A1282" s="2" t="s">
        <v>4208</v>
      </c>
      <c r="B1282" s="2">
        <v>70015321</v>
      </c>
      <c r="C1282" s="1">
        <v>3</v>
      </c>
      <c r="D1282" s="2" t="s">
        <v>1359</v>
      </c>
      <c r="E1282" s="2" t="s">
        <v>4239</v>
      </c>
      <c r="F1282" s="1" t="s">
        <v>46</v>
      </c>
    </row>
    <row r="1283" spans="1:6" x14ac:dyDescent="0.25">
      <c r="A1283" s="2" t="s">
        <v>4210</v>
      </c>
      <c r="B1283" s="2">
        <v>70015331</v>
      </c>
      <c r="C1283" s="1">
        <v>3</v>
      </c>
      <c r="D1283" s="2" t="s">
        <v>1359</v>
      </c>
      <c r="E1283" s="2" t="s">
        <v>4241</v>
      </c>
      <c r="F1283" s="1" t="s">
        <v>46</v>
      </c>
    </row>
    <row r="1284" spans="1:6" x14ac:dyDescent="0.25">
      <c r="A1284" s="2" t="s">
        <v>4212</v>
      </c>
      <c r="B1284" s="2">
        <v>70015292</v>
      </c>
      <c r="C1284" s="1">
        <v>3</v>
      </c>
      <c r="D1284" s="2" t="s">
        <v>1359</v>
      </c>
      <c r="E1284" s="2" t="s">
        <v>4243</v>
      </c>
      <c r="F1284" s="1" t="s">
        <v>46</v>
      </c>
    </row>
    <row r="1285" spans="1:6" x14ac:dyDescent="0.25">
      <c r="A1285" s="2" t="s">
        <v>4214</v>
      </c>
      <c r="B1285" s="2">
        <v>70015296</v>
      </c>
      <c r="C1285" s="1">
        <v>3</v>
      </c>
      <c r="D1285" s="2" t="s">
        <v>1359</v>
      </c>
      <c r="E1285" s="2" t="s">
        <v>4245</v>
      </c>
      <c r="F1285" s="1" t="s">
        <v>46</v>
      </c>
    </row>
    <row r="1286" spans="1:6" x14ac:dyDescent="0.25">
      <c r="A1286" s="2" t="s">
        <v>4216</v>
      </c>
      <c r="B1286" s="2">
        <v>70015304</v>
      </c>
      <c r="C1286" s="1">
        <v>3</v>
      </c>
      <c r="D1286" s="2" t="s">
        <v>1359</v>
      </c>
      <c r="E1286" s="2" t="s">
        <v>4247</v>
      </c>
      <c r="F1286" s="1" t="s">
        <v>46</v>
      </c>
    </row>
    <row r="1287" spans="1:6" x14ac:dyDescent="0.25">
      <c r="A1287" s="2" t="s">
        <v>4218</v>
      </c>
      <c r="B1287" s="2">
        <v>70015300</v>
      </c>
      <c r="C1287" s="1">
        <v>3</v>
      </c>
      <c r="D1287" s="2" t="s">
        <v>1359</v>
      </c>
      <c r="E1287" s="2" t="s">
        <v>4249</v>
      </c>
      <c r="F1287" s="1" t="s">
        <v>46</v>
      </c>
    </row>
    <row r="1288" spans="1:6" x14ac:dyDescent="0.25">
      <c r="A1288" s="2" t="s">
        <v>4220</v>
      </c>
      <c r="B1288" s="2">
        <v>70015309</v>
      </c>
      <c r="C1288" s="1">
        <v>3</v>
      </c>
      <c r="D1288" s="2" t="s">
        <v>1359</v>
      </c>
      <c r="E1288" s="2" t="s">
        <v>4251</v>
      </c>
      <c r="F1288" s="1" t="s">
        <v>46</v>
      </c>
    </row>
    <row r="1289" spans="1:6" x14ac:dyDescent="0.25">
      <c r="A1289" s="2" t="s">
        <v>4189</v>
      </c>
      <c r="B1289" s="2">
        <v>70015671</v>
      </c>
      <c r="C1289" s="1">
        <v>3</v>
      </c>
      <c r="D1289" s="2" t="s">
        <v>1359</v>
      </c>
      <c r="E1289" s="2" t="s">
        <v>4224</v>
      </c>
      <c r="F1289" s="1" t="s">
        <v>87</v>
      </c>
    </row>
    <row r="1290" spans="1:6" x14ac:dyDescent="0.25">
      <c r="A1290" s="2" t="s">
        <v>4191</v>
      </c>
      <c r="B1290" s="2">
        <v>70015676</v>
      </c>
      <c r="C1290" s="1">
        <v>3</v>
      </c>
      <c r="D1290" s="2" t="s">
        <v>1359</v>
      </c>
      <c r="E1290" s="2" t="s">
        <v>4226</v>
      </c>
      <c r="F1290" s="1" t="s">
        <v>87</v>
      </c>
    </row>
    <row r="1291" spans="1:6" x14ac:dyDescent="0.25">
      <c r="A1291" s="2" t="s">
        <v>4193</v>
      </c>
      <c r="B1291" s="2">
        <v>70015688</v>
      </c>
      <c r="C1291" s="1">
        <v>3</v>
      </c>
      <c r="D1291" s="2" t="s">
        <v>1359</v>
      </c>
      <c r="E1291" s="2" t="s">
        <v>4226</v>
      </c>
      <c r="F1291" s="1" t="s">
        <v>87</v>
      </c>
    </row>
    <row r="1292" spans="1:6" x14ac:dyDescent="0.25">
      <c r="A1292" s="2" t="s">
        <v>4195</v>
      </c>
      <c r="B1292" s="2">
        <v>70015680</v>
      </c>
      <c r="C1292" s="1">
        <v>3</v>
      </c>
      <c r="D1292" s="2" t="s">
        <v>1359</v>
      </c>
      <c r="E1292" s="2" t="s">
        <v>4228</v>
      </c>
      <c r="F1292" s="1" t="s">
        <v>87</v>
      </c>
    </row>
    <row r="1293" spans="1:6" x14ac:dyDescent="0.25">
      <c r="A1293" s="2" t="s">
        <v>4197</v>
      </c>
      <c r="B1293" s="2">
        <v>70015684</v>
      </c>
      <c r="C1293" s="1">
        <v>3</v>
      </c>
      <c r="D1293" s="2" t="s">
        <v>1359</v>
      </c>
      <c r="E1293" s="2" t="s">
        <v>4230</v>
      </c>
      <c r="F1293" s="1" t="s">
        <v>87</v>
      </c>
    </row>
    <row r="1294" spans="1:6" x14ac:dyDescent="0.25">
      <c r="A1294" s="2" t="s">
        <v>4199</v>
      </c>
      <c r="B1294" s="2">
        <v>70015692</v>
      </c>
      <c r="C1294" s="1">
        <v>3</v>
      </c>
      <c r="D1294" s="2" t="s">
        <v>1359</v>
      </c>
      <c r="E1294" s="2" t="s">
        <v>4230</v>
      </c>
      <c r="F1294" s="1" t="s">
        <v>87</v>
      </c>
    </row>
    <row r="1295" spans="1:6" x14ac:dyDescent="0.25">
      <c r="A1295" s="2" t="s">
        <v>4201</v>
      </c>
      <c r="B1295" s="2">
        <v>70015311</v>
      </c>
      <c r="C1295" s="1">
        <v>3</v>
      </c>
      <c r="D1295" s="2" t="s">
        <v>1359</v>
      </c>
      <c r="E1295" s="2" t="s">
        <v>4232</v>
      </c>
      <c r="F1295" s="1" t="s">
        <v>46</v>
      </c>
    </row>
    <row r="1296" spans="1:6" x14ac:dyDescent="0.25">
      <c r="A1296" s="2" t="s">
        <v>4203</v>
      </c>
      <c r="B1296" s="2">
        <v>70015315</v>
      </c>
      <c r="C1296" s="1">
        <v>3</v>
      </c>
      <c r="D1296" s="2" t="s">
        <v>1359</v>
      </c>
      <c r="E1296" s="2" t="s">
        <v>4234</v>
      </c>
      <c r="F1296" s="1" t="s">
        <v>46</v>
      </c>
    </row>
    <row r="1297" spans="1:6" x14ac:dyDescent="0.25">
      <c r="A1297" s="2" t="s">
        <v>4205</v>
      </c>
      <c r="B1297" s="2">
        <v>70015245</v>
      </c>
      <c r="C1297" s="1">
        <v>3</v>
      </c>
      <c r="D1297" s="2" t="s">
        <v>1359</v>
      </c>
      <c r="E1297" s="2" t="s">
        <v>4236</v>
      </c>
      <c r="F1297" s="1" t="s">
        <v>46</v>
      </c>
    </row>
    <row r="1298" spans="1:6" x14ac:dyDescent="0.25">
      <c r="A1298" s="2" t="s">
        <v>4207</v>
      </c>
      <c r="B1298" s="2">
        <v>70015319</v>
      </c>
      <c r="C1298" s="1">
        <v>3</v>
      </c>
      <c r="D1298" s="2" t="s">
        <v>1359</v>
      </c>
      <c r="E1298" s="2" t="s">
        <v>4238</v>
      </c>
      <c r="F1298" s="1" t="s">
        <v>46</v>
      </c>
    </row>
    <row r="1299" spans="1:6" x14ac:dyDescent="0.25">
      <c r="A1299" s="2" t="s">
        <v>4209</v>
      </c>
      <c r="B1299" s="2">
        <v>70015329</v>
      </c>
      <c r="C1299" s="1">
        <v>3</v>
      </c>
      <c r="D1299" s="2" t="s">
        <v>1359</v>
      </c>
      <c r="E1299" s="2" t="s">
        <v>4240</v>
      </c>
      <c r="F1299" s="1" t="s">
        <v>46</v>
      </c>
    </row>
    <row r="1300" spans="1:6" x14ac:dyDescent="0.25">
      <c r="A1300" s="2" t="s">
        <v>4211</v>
      </c>
      <c r="B1300" s="2">
        <v>70015290</v>
      </c>
      <c r="C1300" s="1">
        <v>3</v>
      </c>
      <c r="D1300" s="2" t="s">
        <v>1359</v>
      </c>
      <c r="E1300" s="2" t="s">
        <v>4242</v>
      </c>
      <c r="F1300" s="1" t="s">
        <v>46</v>
      </c>
    </row>
    <row r="1301" spans="1:6" x14ac:dyDescent="0.25">
      <c r="A1301" s="2" t="s">
        <v>4213</v>
      </c>
      <c r="B1301" s="2">
        <v>70015294</v>
      </c>
      <c r="C1301" s="1">
        <v>3</v>
      </c>
      <c r="D1301" s="2" t="s">
        <v>1359</v>
      </c>
      <c r="E1301" s="2" t="s">
        <v>4244</v>
      </c>
      <c r="F1301" s="1" t="s">
        <v>46</v>
      </c>
    </row>
    <row r="1302" spans="1:6" x14ac:dyDescent="0.25">
      <c r="A1302" s="2" t="s">
        <v>4215</v>
      </c>
      <c r="B1302" s="2">
        <v>70015302</v>
      </c>
      <c r="C1302" s="1">
        <v>3</v>
      </c>
      <c r="D1302" s="2" t="s">
        <v>1359</v>
      </c>
      <c r="E1302" s="2" t="s">
        <v>4246</v>
      </c>
      <c r="F1302" s="1" t="s">
        <v>46</v>
      </c>
    </row>
    <row r="1303" spans="1:6" x14ac:dyDescent="0.25">
      <c r="A1303" s="2" t="s">
        <v>4217</v>
      </c>
      <c r="B1303" s="2">
        <v>70015298</v>
      </c>
      <c r="C1303" s="1">
        <v>3</v>
      </c>
      <c r="D1303" s="2" t="s">
        <v>1359</v>
      </c>
      <c r="E1303" s="2" t="s">
        <v>4248</v>
      </c>
      <c r="F1303" s="1" t="s">
        <v>46</v>
      </c>
    </row>
    <row r="1304" spans="1:6" x14ac:dyDescent="0.25">
      <c r="A1304" s="2" t="s">
        <v>4219</v>
      </c>
      <c r="B1304" s="2">
        <v>70015217</v>
      </c>
      <c r="C1304" s="1">
        <v>3</v>
      </c>
      <c r="D1304" s="2" t="s">
        <v>1359</v>
      </c>
      <c r="E1304" s="2" t="s">
        <v>4250</v>
      </c>
      <c r="F1304" s="1" t="s">
        <v>46</v>
      </c>
    </row>
    <row r="1305" spans="1:6" x14ac:dyDescent="0.25">
      <c r="A1305" s="132" t="s">
        <v>4254</v>
      </c>
      <c r="B1305" s="130">
        <v>70014777</v>
      </c>
      <c r="C1305" s="133">
        <v>1</v>
      </c>
      <c r="D1305" s="132" t="s">
        <v>1359</v>
      </c>
      <c r="E1305" s="132" t="s">
        <v>4256</v>
      </c>
      <c r="F1305" s="133" t="s">
        <v>112</v>
      </c>
    </row>
    <row r="1306" spans="1:6" x14ac:dyDescent="0.25">
      <c r="A1306" s="132" t="s">
        <v>4253</v>
      </c>
      <c r="B1306" s="130">
        <v>70014763</v>
      </c>
      <c r="C1306" s="133">
        <v>1</v>
      </c>
      <c r="D1306" s="132" t="s">
        <v>1359</v>
      </c>
      <c r="E1306" s="132" t="s">
        <v>4255</v>
      </c>
      <c r="F1306" s="133" t="s">
        <v>112</v>
      </c>
    </row>
    <row r="1307" spans="1:6" x14ac:dyDescent="0.25">
      <c r="A1307" s="132" t="s">
        <v>4258</v>
      </c>
      <c r="B1307" s="130">
        <v>70015239</v>
      </c>
      <c r="C1307" s="133">
        <v>1</v>
      </c>
      <c r="D1307" s="132" t="s">
        <v>1359</v>
      </c>
      <c r="E1307" s="131" t="s">
        <v>4259</v>
      </c>
      <c r="F1307" s="133" t="s">
        <v>41</v>
      </c>
    </row>
    <row r="1308" spans="1:6" s="134" customFormat="1" x14ac:dyDescent="0.25">
      <c r="A1308" s="132" t="s">
        <v>4262</v>
      </c>
      <c r="B1308" s="130">
        <v>70015818</v>
      </c>
      <c r="C1308" s="133">
        <v>2</v>
      </c>
      <c r="D1308" s="132" t="s">
        <v>1359</v>
      </c>
      <c r="E1308" s="132" t="s">
        <v>4260</v>
      </c>
      <c r="F1308" s="133" t="s">
        <v>63</v>
      </c>
    </row>
    <row r="1309" spans="1:6" s="134" customFormat="1" x14ac:dyDescent="0.25">
      <c r="A1309" s="132" t="s">
        <v>4263</v>
      </c>
      <c r="B1309" s="130">
        <v>70015820</v>
      </c>
      <c r="C1309" s="133">
        <v>2</v>
      </c>
      <c r="D1309" s="132" t="s">
        <v>1359</v>
      </c>
      <c r="E1309" s="132" t="s">
        <v>4260</v>
      </c>
      <c r="F1309" s="133" t="s">
        <v>63</v>
      </c>
    </row>
    <row r="1310" spans="1:6" s="134" customFormat="1" x14ac:dyDescent="0.25">
      <c r="A1310" s="132" t="s">
        <v>4264</v>
      </c>
      <c r="B1310" s="130">
        <v>70015822</v>
      </c>
      <c r="C1310" s="133">
        <v>2</v>
      </c>
      <c r="D1310" s="132" t="s">
        <v>1359</v>
      </c>
      <c r="E1310" s="132" t="s">
        <v>4260</v>
      </c>
      <c r="F1310" s="133" t="s">
        <v>63</v>
      </c>
    </row>
    <row r="1311" spans="1:6" s="134" customFormat="1" x14ac:dyDescent="0.25">
      <c r="A1311" s="132" t="s">
        <v>4265</v>
      </c>
      <c r="B1311" s="130">
        <v>70015824</v>
      </c>
      <c r="C1311" s="133">
        <v>2</v>
      </c>
      <c r="D1311" s="132" t="s">
        <v>1359</v>
      </c>
      <c r="E1311" s="132" t="s">
        <v>4260</v>
      </c>
      <c r="F1311" s="133" t="s">
        <v>63</v>
      </c>
    </row>
    <row r="1312" spans="1:6" s="134" customFormat="1" x14ac:dyDescent="0.25">
      <c r="A1312" s="132" t="s">
        <v>4266</v>
      </c>
      <c r="B1312" s="130">
        <v>70015826</v>
      </c>
      <c r="C1312" s="133">
        <v>2</v>
      </c>
      <c r="D1312" s="132" t="s">
        <v>1359</v>
      </c>
      <c r="E1312" s="132" t="s">
        <v>4260</v>
      </c>
      <c r="F1312" s="133" t="s">
        <v>63</v>
      </c>
    </row>
    <row r="1313" spans="1:6" s="134" customFormat="1" x14ac:dyDescent="0.25">
      <c r="A1313" s="132" t="s">
        <v>4267</v>
      </c>
      <c r="B1313" s="130">
        <v>70015828</v>
      </c>
      <c r="C1313" s="133">
        <v>2</v>
      </c>
      <c r="D1313" s="132" t="s">
        <v>1359</v>
      </c>
      <c r="E1313" s="132" t="s">
        <v>4260</v>
      </c>
      <c r="F1313" s="133" t="s">
        <v>63</v>
      </c>
    </row>
    <row r="1314" spans="1:6" s="134" customFormat="1" x14ac:dyDescent="0.25">
      <c r="A1314" s="132" t="s">
        <v>4268</v>
      </c>
      <c r="B1314" s="130">
        <v>70015770</v>
      </c>
      <c r="C1314" s="133">
        <v>2</v>
      </c>
      <c r="D1314" s="132" t="s">
        <v>1359</v>
      </c>
      <c r="E1314" s="132" t="s">
        <v>4261</v>
      </c>
      <c r="F1314" s="133" t="s">
        <v>63</v>
      </c>
    </row>
    <row r="1315" spans="1:6" s="134" customFormat="1" x14ac:dyDescent="0.25">
      <c r="A1315" s="132" t="s">
        <v>4269</v>
      </c>
      <c r="B1315" s="130">
        <v>70015772</v>
      </c>
      <c r="C1315" s="133">
        <v>2</v>
      </c>
      <c r="D1315" s="132" t="s">
        <v>1359</v>
      </c>
      <c r="E1315" s="132" t="s">
        <v>4261</v>
      </c>
      <c r="F1315" s="133" t="s">
        <v>63</v>
      </c>
    </row>
    <row r="1316" spans="1:6" s="134" customFormat="1" x14ac:dyDescent="0.25">
      <c r="A1316" s="132" t="s">
        <v>4270</v>
      </c>
      <c r="B1316" s="130">
        <v>70015774</v>
      </c>
      <c r="C1316" s="133">
        <v>2</v>
      </c>
      <c r="D1316" s="132" t="s">
        <v>1359</v>
      </c>
      <c r="E1316" s="132" t="s">
        <v>4261</v>
      </c>
      <c r="F1316" s="133" t="s">
        <v>63</v>
      </c>
    </row>
    <row r="1317" spans="1:6" s="134" customFormat="1" x14ac:dyDescent="0.25">
      <c r="A1317" s="132" t="s">
        <v>4271</v>
      </c>
      <c r="B1317" s="130">
        <v>70015776</v>
      </c>
      <c r="C1317" s="133">
        <v>2</v>
      </c>
      <c r="D1317" s="132" t="s">
        <v>1359</v>
      </c>
      <c r="E1317" s="132" t="s">
        <v>4261</v>
      </c>
      <c r="F1317" s="133" t="s">
        <v>63</v>
      </c>
    </row>
    <row r="1318" spans="1:6" s="134" customFormat="1" x14ac:dyDescent="0.25">
      <c r="A1318" s="132" t="s">
        <v>4272</v>
      </c>
      <c r="B1318" s="130">
        <v>70015778</v>
      </c>
      <c r="C1318" s="133">
        <v>2</v>
      </c>
      <c r="D1318" s="132" t="s">
        <v>1359</v>
      </c>
      <c r="E1318" s="132" t="s">
        <v>4261</v>
      </c>
      <c r="F1318" s="133" t="s">
        <v>63</v>
      </c>
    </row>
    <row r="1319" spans="1:6" s="134" customFormat="1" x14ac:dyDescent="0.25">
      <c r="A1319" s="132" t="s">
        <v>4273</v>
      </c>
      <c r="B1319" s="130">
        <v>70015780</v>
      </c>
      <c r="C1319" s="133">
        <v>2</v>
      </c>
      <c r="D1319" s="132" t="s">
        <v>1359</v>
      </c>
      <c r="E1319" s="132" t="s">
        <v>4261</v>
      </c>
      <c r="F1319" s="133" t="s">
        <v>63</v>
      </c>
    </row>
    <row r="1320" spans="1:6" s="134" customFormat="1" x14ac:dyDescent="0.25">
      <c r="A1320" s="132" t="s">
        <v>4274</v>
      </c>
      <c r="B1320" s="130">
        <v>70015782</v>
      </c>
      <c r="C1320" s="133">
        <v>2</v>
      </c>
      <c r="D1320" s="132" t="s">
        <v>1359</v>
      </c>
      <c r="E1320" s="132" t="s">
        <v>4261</v>
      </c>
      <c r="F1320" s="133" t="s">
        <v>63</v>
      </c>
    </row>
    <row r="1321" spans="1:6" s="134" customFormat="1" x14ac:dyDescent="0.25">
      <c r="A1321" s="132" t="s">
        <v>4275</v>
      </c>
      <c r="B1321" s="130">
        <v>70015784</v>
      </c>
      <c r="C1321" s="133">
        <v>2</v>
      </c>
      <c r="D1321" s="132" t="s">
        <v>1359</v>
      </c>
      <c r="E1321" s="132" t="s">
        <v>4261</v>
      </c>
      <c r="F1321" s="133" t="s">
        <v>63</v>
      </c>
    </row>
    <row r="1322" spans="1:6" s="134" customFormat="1" x14ac:dyDescent="0.25">
      <c r="A1322" s="132" t="s">
        <v>4276</v>
      </c>
      <c r="B1322" s="130">
        <v>70015786</v>
      </c>
      <c r="C1322" s="133">
        <v>2</v>
      </c>
      <c r="D1322" s="132" t="s">
        <v>1359</v>
      </c>
      <c r="E1322" s="132" t="s">
        <v>4261</v>
      </c>
      <c r="F1322" s="133" t="s">
        <v>63</v>
      </c>
    </row>
    <row r="1323" spans="1:6" s="134" customFormat="1" x14ac:dyDescent="0.25">
      <c r="A1323" s="132" t="s">
        <v>4277</v>
      </c>
      <c r="B1323" s="130">
        <v>70015788</v>
      </c>
      <c r="C1323" s="133">
        <v>2</v>
      </c>
      <c r="D1323" s="132" t="s">
        <v>1359</v>
      </c>
      <c r="E1323" s="132" t="s">
        <v>4261</v>
      </c>
      <c r="F1323" s="133" t="s">
        <v>63</v>
      </c>
    </row>
    <row r="1324" spans="1:6" s="134" customFormat="1" x14ac:dyDescent="0.25">
      <c r="A1324" s="132" t="s">
        <v>4278</v>
      </c>
      <c r="B1324" s="130">
        <v>70015237</v>
      </c>
      <c r="C1324" s="133">
        <v>1</v>
      </c>
      <c r="D1324" s="132" t="s">
        <v>1359</v>
      </c>
      <c r="E1324" s="132" t="s">
        <v>4257</v>
      </c>
      <c r="F1324" s="133" t="s">
        <v>41</v>
      </c>
    </row>
    <row r="1325" spans="1:6" s="140" customFormat="1" x14ac:dyDescent="0.25">
      <c r="A1325" s="136" t="s">
        <v>4322</v>
      </c>
      <c r="B1325" s="137">
        <v>70015358</v>
      </c>
      <c r="C1325" s="138">
        <v>1</v>
      </c>
      <c r="D1325" s="136" t="s">
        <v>1359</v>
      </c>
      <c r="E1325" s="136" t="s">
        <v>4334</v>
      </c>
      <c r="F1325" s="139" t="s">
        <v>112</v>
      </c>
    </row>
    <row r="1326" spans="1:6" s="140" customFormat="1" x14ac:dyDescent="0.25">
      <c r="A1326" s="136" t="s">
        <v>4323</v>
      </c>
      <c r="B1326" s="137">
        <v>70015360</v>
      </c>
      <c r="C1326" s="138">
        <v>1</v>
      </c>
      <c r="D1326" s="136" t="s">
        <v>1359</v>
      </c>
      <c r="E1326" s="136" t="s">
        <v>4335</v>
      </c>
      <c r="F1326" s="139" t="s">
        <v>112</v>
      </c>
    </row>
    <row r="1327" spans="1:6" s="140" customFormat="1" x14ac:dyDescent="0.25">
      <c r="A1327" s="136" t="s">
        <v>4324</v>
      </c>
      <c r="B1327" s="137">
        <v>70015362</v>
      </c>
      <c r="C1327" s="138">
        <v>3</v>
      </c>
      <c r="D1327" s="136" t="s">
        <v>1359</v>
      </c>
      <c r="E1327" s="136" t="s">
        <v>4336</v>
      </c>
      <c r="F1327" s="139" t="s">
        <v>112</v>
      </c>
    </row>
    <row r="1328" spans="1:6" s="140" customFormat="1" x14ac:dyDescent="0.25">
      <c r="A1328" s="136" t="s">
        <v>4325</v>
      </c>
      <c r="B1328" s="137">
        <v>70015364</v>
      </c>
      <c r="C1328" s="138">
        <v>3</v>
      </c>
      <c r="D1328" s="136" t="s">
        <v>1359</v>
      </c>
      <c r="E1328" s="136" t="s">
        <v>4337</v>
      </c>
      <c r="F1328" s="139" t="s">
        <v>112</v>
      </c>
    </row>
    <row r="1329" spans="1:6" s="140" customFormat="1" x14ac:dyDescent="0.25">
      <c r="A1329" s="132" t="s">
        <v>4326</v>
      </c>
      <c r="B1329" s="131">
        <v>70015366</v>
      </c>
      <c r="C1329" s="163">
        <v>3</v>
      </c>
      <c r="D1329" s="132" t="s">
        <v>1359</v>
      </c>
      <c r="E1329" s="132" t="s">
        <v>4338</v>
      </c>
      <c r="F1329" s="133" t="s">
        <v>112</v>
      </c>
    </row>
    <row r="1330" spans="1:6" s="140" customFormat="1" x14ac:dyDescent="0.25">
      <c r="A1330" s="132" t="s">
        <v>4327</v>
      </c>
      <c r="B1330" s="131">
        <v>70015368</v>
      </c>
      <c r="C1330" s="163">
        <v>3</v>
      </c>
      <c r="D1330" s="132" t="s">
        <v>1359</v>
      </c>
      <c r="E1330" s="132" t="s">
        <v>4339</v>
      </c>
      <c r="F1330" s="133" t="s">
        <v>112</v>
      </c>
    </row>
    <row r="1331" spans="1:6" s="140" customFormat="1" x14ac:dyDescent="0.25">
      <c r="A1331" s="132" t="s">
        <v>4328</v>
      </c>
      <c r="B1331" s="131">
        <v>70014711</v>
      </c>
      <c r="C1331" s="163">
        <v>3</v>
      </c>
      <c r="D1331" s="132" t="s">
        <v>1359</v>
      </c>
      <c r="E1331" s="132" t="s">
        <v>4340</v>
      </c>
      <c r="F1331" s="133" t="s">
        <v>131</v>
      </c>
    </row>
    <row r="1332" spans="1:6" s="140" customFormat="1" x14ac:dyDescent="0.25">
      <c r="A1332" s="132" t="s">
        <v>4329</v>
      </c>
      <c r="B1332" s="131">
        <v>70014715</v>
      </c>
      <c r="C1332" s="163">
        <v>3</v>
      </c>
      <c r="D1332" s="132" t="s">
        <v>1359</v>
      </c>
      <c r="E1332" s="132" t="s">
        <v>4341</v>
      </c>
      <c r="F1332" s="133" t="s">
        <v>131</v>
      </c>
    </row>
    <row r="1333" spans="1:6" s="140" customFormat="1" x14ac:dyDescent="0.25">
      <c r="A1333" s="132" t="s">
        <v>4330</v>
      </c>
      <c r="B1333" s="131">
        <v>70014717</v>
      </c>
      <c r="C1333" s="163">
        <v>3</v>
      </c>
      <c r="D1333" s="132" t="s">
        <v>1359</v>
      </c>
      <c r="E1333" s="132" t="s">
        <v>4342</v>
      </c>
      <c r="F1333" s="133" t="s">
        <v>131</v>
      </c>
    </row>
    <row r="1334" spans="1:6" s="140" customFormat="1" x14ac:dyDescent="0.25">
      <c r="A1334" s="132" t="s">
        <v>4331</v>
      </c>
      <c r="B1334" s="131">
        <v>70014747</v>
      </c>
      <c r="C1334" s="163">
        <v>3</v>
      </c>
      <c r="D1334" s="132" t="s">
        <v>1359</v>
      </c>
      <c r="E1334" s="132" t="s">
        <v>4343</v>
      </c>
      <c r="F1334" s="133" t="s">
        <v>131</v>
      </c>
    </row>
    <row r="1335" spans="1:6" s="140" customFormat="1" x14ac:dyDescent="0.25">
      <c r="A1335" s="132" t="s">
        <v>4332</v>
      </c>
      <c r="B1335" s="131">
        <v>70014751</v>
      </c>
      <c r="C1335" s="163">
        <v>3</v>
      </c>
      <c r="D1335" s="132" t="s">
        <v>1359</v>
      </c>
      <c r="E1335" s="132" t="s">
        <v>4344</v>
      </c>
      <c r="F1335" s="133" t="s">
        <v>131</v>
      </c>
    </row>
    <row r="1336" spans="1:6" s="140" customFormat="1" x14ac:dyDescent="0.25">
      <c r="A1336" s="132" t="s">
        <v>4333</v>
      </c>
      <c r="B1336" s="131">
        <v>70014753</v>
      </c>
      <c r="C1336" s="163">
        <v>3</v>
      </c>
      <c r="D1336" s="132" t="s">
        <v>1359</v>
      </c>
      <c r="E1336" s="132" t="s">
        <v>4345</v>
      </c>
      <c r="F1336" s="133" t="s">
        <v>131</v>
      </c>
    </row>
    <row r="1337" spans="1:6" x14ac:dyDescent="0.25">
      <c r="A1337" s="132" t="s">
        <v>4347</v>
      </c>
      <c r="B1337" s="130">
        <v>70015351</v>
      </c>
      <c r="C1337" s="133">
        <v>1</v>
      </c>
      <c r="D1337" s="132" t="s">
        <v>1359</v>
      </c>
      <c r="E1337" s="132" t="s">
        <v>4376</v>
      </c>
      <c r="F1337" s="133" t="s">
        <v>87</v>
      </c>
    </row>
    <row r="1338" spans="1:6" x14ac:dyDescent="0.25">
      <c r="A1338" s="132" t="s">
        <v>4348</v>
      </c>
      <c r="B1338" s="130">
        <v>70015353</v>
      </c>
      <c r="C1338" s="133">
        <v>1</v>
      </c>
      <c r="D1338" s="132" t="s">
        <v>1359</v>
      </c>
      <c r="E1338" s="132" t="s">
        <v>4377</v>
      </c>
      <c r="F1338" s="133" t="s">
        <v>87</v>
      </c>
    </row>
    <row r="1339" spans="1:6" x14ac:dyDescent="0.25">
      <c r="A1339" s="132" t="s">
        <v>4349</v>
      </c>
      <c r="B1339" s="130">
        <v>70015323</v>
      </c>
      <c r="C1339" s="133">
        <v>1</v>
      </c>
      <c r="D1339" s="132" t="s">
        <v>1359</v>
      </c>
      <c r="E1339" s="132" t="s">
        <v>4378</v>
      </c>
      <c r="F1339" s="133" t="s">
        <v>87</v>
      </c>
    </row>
    <row r="1340" spans="1:6" x14ac:dyDescent="0.25">
      <c r="A1340" s="132" t="s">
        <v>4350</v>
      </c>
      <c r="B1340" s="130">
        <v>70015325</v>
      </c>
      <c r="C1340" s="133">
        <v>1</v>
      </c>
      <c r="D1340" s="132" t="s">
        <v>1359</v>
      </c>
      <c r="E1340" s="132" t="s">
        <v>4379</v>
      </c>
      <c r="F1340" s="133" t="s">
        <v>87</v>
      </c>
    </row>
    <row r="1341" spans="1:6" x14ac:dyDescent="0.25">
      <c r="A1341" s="132" t="s">
        <v>4351</v>
      </c>
      <c r="B1341" s="130">
        <v>70015327</v>
      </c>
      <c r="C1341" s="133">
        <v>1</v>
      </c>
      <c r="D1341" s="132" t="s">
        <v>1359</v>
      </c>
      <c r="E1341" s="132" t="s">
        <v>4380</v>
      </c>
      <c r="F1341" s="133" t="s">
        <v>87</v>
      </c>
    </row>
    <row r="1342" spans="1:6" x14ac:dyDescent="0.25">
      <c r="A1342" s="132" t="s">
        <v>4352</v>
      </c>
      <c r="B1342" s="130">
        <v>70015333</v>
      </c>
      <c r="C1342" s="133">
        <v>1</v>
      </c>
      <c r="D1342" s="132" t="s">
        <v>1359</v>
      </c>
      <c r="E1342" s="132" t="s">
        <v>4381</v>
      </c>
      <c r="F1342" s="133" t="s">
        <v>87</v>
      </c>
    </row>
    <row r="1343" spans="1:6" x14ac:dyDescent="0.25">
      <c r="A1343" s="132" t="s">
        <v>4353</v>
      </c>
      <c r="B1343" s="130">
        <v>70015335</v>
      </c>
      <c r="C1343" s="133">
        <v>1</v>
      </c>
      <c r="D1343" s="132" t="s">
        <v>1359</v>
      </c>
      <c r="E1343" s="132" t="s">
        <v>4382</v>
      </c>
      <c r="F1343" s="133" t="s">
        <v>87</v>
      </c>
    </row>
    <row r="1344" spans="1:6" x14ac:dyDescent="0.25">
      <c r="A1344" s="132" t="s">
        <v>4354</v>
      </c>
      <c r="B1344" s="130">
        <v>70015337</v>
      </c>
      <c r="C1344" s="133">
        <v>1</v>
      </c>
      <c r="D1344" s="132" t="s">
        <v>1359</v>
      </c>
      <c r="E1344" s="132" t="s">
        <v>4383</v>
      </c>
      <c r="F1344" s="133" t="s">
        <v>87</v>
      </c>
    </row>
    <row r="1345" spans="1:6" x14ac:dyDescent="0.25">
      <c r="A1345" s="132" t="s">
        <v>4355</v>
      </c>
      <c r="B1345" s="130">
        <v>70015339</v>
      </c>
      <c r="C1345" s="133">
        <v>1</v>
      </c>
      <c r="D1345" s="132" t="s">
        <v>1359</v>
      </c>
      <c r="E1345" s="132" t="s">
        <v>4384</v>
      </c>
      <c r="F1345" s="133" t="s">
        <v>87</v>
      </c>
    </row>
    <row r="1346" spans="1:6" x14ac:dyDescent="0.25">
      <c r="A1346" s="132" t="s">
        <v>4356</v>
      </c>
      <c r="B1346" s="130">
        <v>70015341</v>
      </c>
      <c r="C1346" s="133">
        <v>1</v>
      </c>
      <c r="D1346" s="132" t="s">
        <v>1359</v>
      </c>
      <c r="E1346" s="132" t="s">
        <v>4385</v>
      </c>
      <c r="F1346" s="133" t="s">
        <v>87</v>
      </c>
    </row>
    <row r="1347" spans="1:6" x14ac:dyDescent="0.25">
      <c r="A1347" s="132" t="s">
        <v>4357</v>
      </c>
      <c r="B1347" s="130">
        <v>70015343</v>
      </c>
      <c r="C1347" s="133">
        <v>1</v>
      </c>
      <c r="D1347" s="132" t="s">
        <v>1359</v>
      </c>
      <c r="E1347" s="132" t="s">
        <v>4386</v>
      </c>
      <c r="F1347" s="133" t="s">
        <v>87</v>
      </c>
    </row>
    <row r="1348" spans="1:6" x14ac:dyDescent="0.25">
      <c r="A1348" s="132" t="s">
        <v>4358</v>
      </c>
      <c r="B1348" s="130">
        <v>70015345</v>
      </c>
      <c r="C1348" s="133">
        <v>1</v>
      </c>
      <c r="D1348" s="132" t="s">
        <v>1359</v>
      </c>
      <c r="E1348" s="132" t="s">
        <v>4387</v>
      </c>
      <c r="F1348" s="133" t="s">
        <v>87</v>
      </c>
    </row>
    <row r="1349" spans="1:6" x14ac:dyDescent="0.25">
      <c r="A1349" s="132" t="s">
        <v>4359</v>
      </c>
      <c r="B1349" s="130">
        <v>70015347</v>
      </c>
      <c r="C1349" s="133">
        <v>1</v>
      </c>
      <c r="D1349" s="132" t="s">
        <v>1359</v>
      </c>
      <c r="E1349" s="132" t="s">
        <v>4388</v>
      </c>
      <c r="F1349" s="133" t="s">
        <v>87</v>
      </c>
    </row>
    <row r="1350" spans="1:6" x14ac:dyDescent="0.25">
      <c r="A1350" s="132" t="s">
        <v>4360</v>
      </c>
      <c r="B1350" s="130">
        <v>70015349</v>
      </c>
      <c r="C1350" s="133">
        <v>1</v>
      </c>
      <c r="D1350" s="132" t="s">
        <v>1359</v>
      </c>
      <c r="E1350" s="132" t="s">
        <v>4389</v>
      </c>
      <c r="F1350" s="133" t="s">
        <v>87</v>
      </c>
    </row>
    <row r="1351" spans="1:6" x14ac:dyDescent="0.25">
      <c r="A1351" s="132" t="s">
        <v>4361</v>
      </c>
      <c r="B1351" s="130">
        <v>70014673</v>
      </c>
      <c r="C1351" s="133">
        <v>1</v>
      </c>
      <c r="D1351" s="132" t="s">
        <v>1359</v>
      </c>
      <c r="E1351" s="132" t="s">
        <v>4390</v>
      </c>
      <c r="F1351" s="133" t="s">
        <v>4074</v>
      </c>
    </row>
    <row r="1352" spans="1:6" x14ac:dyDescent="0.25">
      <c r="A1352" s="132" t="s">
        <v>4362</v>
      </c>
      <c r="B1352" s="130">
        <v>70014679</v>
      </c>
      <c r="C1352" s="133">
        <v>1</v>
      </c>
      <c r="D1352" s="132" t="s">
        <v>1359</v>
      </c>
      <c r="E1352" s="132" t="s">
        <v>4391</v>
      </c>
      <c r="F1352" s="133" t="s">
        <v>4074</v>
      </c>
    </row>
    <row r="1353" spans="1:6" x14ac:dyDescent="0.25">
      <c r="A1353" s="132" t="s">
        <v>4363</v>
      </c>
      <c r="B1353" s="130">
        <v>70014683</v>
      </c>
      <c r="C1353" s="133">
        <v>1</v>
      </c>
      <c r="D1353" s="132" t="s">
        <v>1359</v>
      </c>
      <c r="E1353" s="132" t="s">
        <v>4392</v>
      </c>
      <c r="F1353" s="133" t="s">
        <v>4074</v>
      </c>
    </row>
    <row r="1354" spans="1:6" x14ac:dyDescent="0.25">
      <c r="A1354" s="132" t="s">
        <v>4364</v>
      </c>
      <c r="B1354" s="130">
        <v>70014688</v>
      </c>
      <c r="C1354" s="133">
        <v>1</v>
      </c>
      <c r="D1354" s="132" t="s">
        <v>1359</v>
      </c>
      <c r="E1354" s="132" t="s">
        <v>4393</v>
      </c>
      <c r="F1354" s="133" t="s">
        <v>4074</v>
      </c>
    </row>
    <row r="1355" spans="1:6" x14ac:dyDescent="0.25">
      <c r="A1355" s="132" t="s">
        <v>4365</v>
      </c>
      <c r="B1355" s="130">
        <v>70014755</v>
      </c>
      <c r="C1355" s="133">
        <v>1</v>
      </c>
      <c r="D1355" s="132" t="s">
        <v>1359</v>
      </c>
      <c r="E1355" s="132" t="s">
        <v>4394</v>
      </c>
      <c r="F1355" s="133" t="s">
        <v>4074</v>
      </c>
    </row>
    <row r="1356" spans="1:6" x14ac:dyDescent="0.25">
      <c r="A1356" s="132" t="s">
        <v>4366</v>
      </c>
      <c r="B1356" s="130">
        <v>70014769</v>
      </c>
      <c r="C1356" s="133">
        <v>1</v>
      </c>
      <c r="D1356" s="132" t="s">
        <v>1359</v>
      </c>
      <c r="E1356" s="132" t="s">
        <v>4395</v>
      </c>
      <c r="F1356" s="133" t="s">
        <v>4074</v>
      </c>
    </row>
    <row r="1357" spans="1:6" x14ac:dyDescent="0.25">
      <c r="A1357" s="132" t="s">
        <v>4367</v>
      </c>
      <c r="B1357" s="130">
        <v>70014771</v>
      </c>
      <c r="C1357" s="133">
        <v>1</v>
      </c>
      <c r="D1357" s="132" t="s">
        <v>1359</v>
      </c>
      <c r="E1357" s="132" t="s">
        <v>4396</v>
      </c>
      <c r="F1357" s="133" t="s">
        <v>4074</v>
      </c>
    </row>
    <row r="1358" spans="1:6" x14ac:dyDescent="0.25">
      <c r="A1358" s="132" t="s">
        <v>4368</v>
      </c>
      <c r="B1358" s="130">
        <v>70014775</v>
      </c>
      <c r="C1358" s="133">
        <v>1</v>
      </c>
      <c r="D1358" s="132" t="s">
        <v>1359</v>
      </c>
      <c r="E1358" s="132" t="s">
        <v>4397</v>
      </c>
      <c r="F1358" s="133" t="s">
        <v>4074</v>
      </c>
    </row>
    <row r="1359" spans="1:6" x14ac:dyDescent="0.25">
      <c r="A1359" s="132" t="s">
        <v>4369</v>
      </c>
      <c r="B1359" s="130">
        <v>70014258</v>
      </c>
      <c r="C1359" s="133">
        <v>2</v>
      </c>
      <c r="D1359" s="132" t="s">
        <v>1359</v>
      </c>
      <c r="E1359" s="132" t="s">
        <v>4398</v>
      </c>
      <c r="F1359" s="133" t="s">
        <v>63</v>
      </c>
    </row>
    <row r="1360" spans="1:6" x14ac:dyDescent="0.25">
      <c r="A1360" s="132" t="s">
        <v>4450</v>
      </c>
      <c r="B1360" s="130">
        <v>70015222</v>
      </c>
      <c r="C1360" s="133">
        <v>1</v>
      </c>
      <c r="D1360" s="132" t="s">
        <v>1359</v>
      </c>
      <c r="E1360" s="132" t="s">
        <v>4456</v>
      </c>
      <c r="F1360" s="133" t="s">
        <v>131</v>
      </c>
    </row>
    <row r="1361" spans="1:7" x14ac:dyDescent="0.25">
      <c r="A1361" s="132" t="s">
        <v>4451</v>
      </c>
      <c r="B1361" s="130">
        <v>70015224</v>
      </c>
      <c r="C1361" s="133">
        <v>1</v>
      </c>
      <c r="D1361" s="132" t="s">
        <v>1359</v>
      </c>
      <c r="E1361" s="132" t="s">
        <v>4457</v>
      </c>
      <c r="F1361" s="133" t="s">
        <v>131</v>
      </c>
    </row>
    <row r="1362" spans="1:7" x14ac:dyDescent="0.25">
      <c r="A1362" s="132" t="s">
        <v>4452</v>
      </c>
      <c r="B1362" s="130">
        <v>70015226</v>
      </c>
      <c r="C1362" s="133">
        <v>1</v>
      </c>
      <c r="D1362" s="132" t="s">
        <v>1359</v>
      </c>
      <c r="E1362" s="132" t="s">
        <v>4458</v>
      </c>
      <c r="F1362" s="133" t="s">
        <v>131</v>
      </c>
    </row>
    <row r="1363" spans="1:7" x14ac:dyDescent="0.25">
      <c r="A1363" s="132" t="s">
        <v>4453</v>
      </c>
      <c r="B1363" s="130">
        <v>70015241</v>
      </c>
      <c r="C1363" s="133">
        <v>1</v>
      </c>
      <c r="D1363" s="132" t="s">
        <v>1359</v>
      </c>
      <c r="E1363" s="132" t="s">
        <v>4459</v>
      </c>
      <c r="F1363" s="133" t="s">
        <v>131</v>
      </c>
    </row>
    <row r="1364" spans="1:7" x14ac:dyDescent="0.25">
      <c r="A1364" s="132" t="s">
        <v>4454</v>
      </c>
      <c r="B1364" s="130">
        <v>70015243</v>
      </c>
      <c r="C1364" s="133">
        <v>1</v>
      </c>
      <c r="D1364" s="132" t="s">
        <v>1359</v>
      </c>
      <c r="E1364" s="132" t="s">
        <v>4460</v>
      </c>
      <c r="F1364" s="133" t="s">
        <v>131</v>
      </c>
    </row>
    <row r="1365" spans="1:7" x14ac:dyDescent="0.25">
      <c r="A1365" s="132" t="s">
        <v>4455</v>
      </c>
      <c r="B1365" s="130">
        <v>70015248</v>
      </c>
      <c r="C1365" s="133">
        <v>1</v>
      </c>
      <c r="D1365" s="132" t="s">
        <v>1359</v>
      </c>
      <c r="E1365" s="132" t="s">
        <v>4461</v>
      </c>
      <c r="F1365" s="133" t="s">
        <v>131</v>
      </c>
    </row>
    <row r="1366" spans="1:7" x14ac:dyDescent="0.25">
      <c r="A1366" s="132" t="s">
        <v>4462</v>
      </c>
      <c r="B1366" s="130">
        <v>70014674</v>
      </c>
      <c r="C1366" s="133">
        <v>3</v>
      </c>
      <c r="D1366" s="132" t="s">
        <v>1359</v>
      </c>
      <c r="E1366" s="132" t="s">
        <v>4224</v>
      </c>
      <c r="F1366" s="133" t="s">
        <v>87</v>
      </c>
      <c r="G1366" s="101"/>
    </row>
    <row r="1367" spans="1:7" x14ac:dyDescent="0.25">
      <c r="A1367" s="132" t="s">
        <v>4463</v>
      </c>
      <c r="B1367" s="130">
        <v>70014729</v>
      </c>
      <c r="C1367" s="133">
        <v>3</v>
      </c>
      <c r="D1367" s="132" t="s">
        <v>1359</v>
      </c>
      <c r="E1367" s="132" t="s">
        <v>4228</v>
      </c>
      <c r="F1367" s="133" t="s">
        <v>87</v>
      </c>
      <c r="G1367" s="101"/>
    </row>
    <row r="1368" spans="1:7" x14ac:dyDescent="0.25">
      <c r="A1368" s="132" t="s">
        <v>4466</v>
      </c>
      <c r="B1368" s="130">
        <v>70015491</v>
      </c>
      <c r="C1368" s="133">
        <v>2</v>
      </c>
      <c r="D1368" s="132" t="s">
        <v>1359</v>
      </c>
      <c r="E1368" s="132" t="s">
        <v>4471</v>
      </c>
      <c r="F1368" s="133" t="s">
        <v>63</v>
      </c>
    </row>
    <row r="1369" spans="1:7" x14ac:dyDescent="0.25">
      <c r="A1369" s="132" t="s">
        <v>4467</v>
      </c>
      <c r="B1369" s="130">
        <v>70015495</v>
      </c>
      <c r="C1369" s="133">
        <v>2</v>
      </c>
      <c r="D1369" s="132" t="s">
        <v>1359</v>
      </c>
      <c r="E1369" s="132" t="s">
        <v>4472</v>
      </c>
      <c r="F1369" s="133" t="s">
        <v>63</v>
      </c>
    </row>
    <row r="1370" spans="1:7" x14ac:dyDescent="0.25">
      <c r="A1370" s="132" t="s">
        <v>4468</v>
      </c>
      <c r="B1370" s="130">
        <v>70015499</v>
      </c>
      <c r="C1370" s="133">
        <v>2</v>
      </c>
      <c r="D1370" s="132" t="s">
        <v>1359</v>
      </c>
      <c r="E1370" s="132" t="s">
        <v>4473</v>
      </c>
      <c r="F1370" s="133" t="s">
        <v>63</v>
      </c>
    </row>
    <row r="1371" spans="1:7" x14ac:dyDescent="0.25">
      <c r="A1371" s="132" t="s">
        <v>4469</v>
      </c>
      <c r="B1371" s="130">
        <v>70015252</v>
      </c>
      <c r="C1371" s="133">
        <v>3</v>
      </c>
      <c r="D1371" s="132" t="s">
        <v>1359</v>
      </c>
      <c r="E1371" s="132" t="s">
        <v>4474</v>
      </c>
      <c r="F1371" s="133" t="s">
        <v>131</v>
      </c>
    </row>
    <row r="1372" spans="1:7" x14ac:dyDescent="0.25">
      <c r="A1372" s="132" t="s">
        <v>4470</v>
      </c>
      <c r="B1372" s="130">
        <v>70015256</v>
      </c>
      <c r="C1372" s="133">
        <v>3</v>
      </c>
      <c r="D1372" s="132" t="s">
        <v>1359</v>
      </c>
      <c r="E1372" s="132" t="s">
        <v>4475</v>
      </c>
      <c r="F1372" s="133" t="s">
        <v>131</v>
      </c>
    </row>
    <row r="1373" spans="1:7" x14ac:dyDescent="0.25">
      <c r="A1373" s="132" t="s">
        <v>4493</v>
      </c>
      <c r="B1373" s="130">
        <v>70015964</v>
      </c>
      <c r="C1373" s="133">
        <v>1</v>
      </c>
      <c r="D1373" s="132" t="s">
        <v>1359</v>
      </c>
      <c r="E1373" s="132" t="s">
        <v>4491</v>
      </c>
      <c r="F1373" s="133" t="s">
        <v>4074</v>
      </c>
    </row>
    <row r="1374" spans="1:7" x14ac:dyDescent="0.25">
      <c r="A1374" s="132" t="s">
        <v>4494</v>
      </c>
      <c r="B1374" s="130">
        <v>70015962</v>
      </c>
      <c r="C1374" s="133">
        <v>1</v>
      </c>
      <c r="D1374" s="132" t="s">
        <v>1359</v>
      </c>
      <c r="E1374" s="132" t="s">
        <v>4492</v>
      </c>
      <c r="F1374" s="133" t="s">
        <v>4074</v>
      </c>
    </row>
    <row r="1375" spans="1:7" x14ac:dyDescent="0.25">
      <c r="A1375" s="132" t="s">
        <v>4495</v>
      </c>
      <c r="B1375" s="130">
        <v>70015943</v>
      </c>
      <c r="C1375" s="133">
        <v>3</v>
      </c>
      <c r="D1375" s="132" t="s">
        <v>1359</v>
      </c>
      <c r="E1375" s="132" t="s">
        <v>4481</v>
      </c>
      <c r="F1375" s="133" t="s">
        <v>46</v>
      </c>
    </row>
    <row r="1376" spans="1:7" x14ac:dyDescent="0.25">
      <c r="A1376" s="132" t="s">
        <v>4496</v>
      </c>
      <c r="B1376" s="130">
        <v>70015932</v>
      </c>
      <c r="C1376" s="133">
        <v>3</v>
      </c>
      <c r="D1376" s="132" t="s">
        <v>1359</v>
      </c>
      <c r="E1376" s="132" t="s">
        <v>4482</v>
      </c>
      <c r="F1376" s="133" t="s">
        <v>87</v>
      </c>
    </row>
    <row r="1377" spans="1:6" x14ac:dyDescent="0.25">
      <c r="A1377" s="132" t="s">
        <v>4497</v>
      </c>
      <c r="B1377" s="130">
        <v>70015920</v>
      </c>
      <c r="C1377" s="133">
        <v>3</v>
      </c>
      <c r="D1377" s="132" t="s">
        <v>1359</v>
      </c>
      <c r="E1377" s="132" t="s">
        <v>4483</v>
      </c>
      <c r="F1377" s="133" t="s">
        <v>87</v>
      </c>
    </row>
    <row r="1378" spans="1:6" x14ac:dyDescent="0.25">
      <c r="A1378" s="132" t="s">
        <v>4498</v>
      </c>
      <c r="B1378" s="130">
        <v>70015917</v>
      </c>
      <c r="C1378" s="133">
        <v>1</v>
      </c>
      <c r="D1378" s="132" t="s">
        <v>1359</v>
      </c>
      <c r="E1378" s="132" t="s">
        <v>4484</v>
      </c>
      <c r="F1378" s="133" t="s">
        <v>112</v>
      </c>
    </row>
    <row r="1379" spans="1:6" x14ac:dyDescent="0.25">
      <c r="A1379" s="132" t="s">
        <v>4499</v>
      </c>
      <c r="B1379" s="130">
        <v>70015913</v>
      </c>
      <c r="C1379" s="133">
        <v>1</v>
      </c>
      <c r="D1379" s="132" t="s">
        <v>1359</v>
      </c>
      <c r="E1379" s="132" t="s">
        <v>4485</v>
      </c>
      <c r="F1379" s="133" t="s">
        <v>112</v>
      </c>
    </row>
    <row r="1380" spans="1:6" x14ac:dyDescent="0.25">
      <c r="A1380" s="132" t="s">
        <v>4500</v>
      </c>
      <c r="B1380" s="130">
        <v>70015891</v>
      </c>
      <c r="C1380" s="133">
        <v>3</v>
      </c>
      <c r="D1380" s="132" t="s">
        <v>1359</v>
      </c>
      <c r="E1380" s="132" t="s">
        <v>4486</v>
      </c>
      <c r="F1380" s="133" t="s">
        <v>41</v>
      </c>
    </row>
    <row r="1381" spans="1:6" x14ac:dyDescent="0.25">
      <c r="A1381" s="132" t="s">
        <v>4501</v>
      </c>
      <c r="B1381" s="130">
        <v>70015250</v>
      </c>
      <c r="C1381" s="133">
        <v>1</v>
      </c>
      <c r="D1381" s="132" t="s">
        <v>1359</v>
      </c>
      <c r="E1381" s="132" t="s">
        <v>4487</v>
      </c>
      <c r="F1381" s="133" t="s">
        <v>131</v>
      </c>
    </row>
    <row r="1382" spans="1:6" x14ac:dyDescent="0.25">
      <c r="A1382" s="132" t="s">
        <v>4502</v>
      </c>
      <c r="B1382" s="130">
        <v>70015254</v>
      </c>
      <c r="C1382" s="133">
        <v>1</v>
      </c>
      <c r="D1382" s="132" t="s">
        <v>1359</v>
      </c>
      <c r="E1382" s="132" t="s">
        <v>4488</v>
      </c>
      <c r="F1382" s="133" t="s">
        <v>131</v>
      </c>
    </row>
    <row r="1383" spans="1:6" x14ac:dyDescent="0.25">
      <c r="A1383" s="132" t="s">
        <v>4503</v>
      </c>
      <c r="B1383" s="130">
        <v>70015258</v>
      </c>
      <c r="C1383" s="133">
        <v>3</v>
      </c>
      <c r="D1383" s="132" t="s">
        <v>1359</v>
      </c>
      <c r="E1383" s="132" t="s">
        <v>4489</v>
      </c>
      <c r="F1383" s="133" t="s">
        <v>131</v>
      </c>
    </row>
    <row r="1384" spans="1:6" x14ac:dyDescent="0.25">
      <c r="A1384" s="132" t="s">
        <v>4504</v>
      </c>
      <c r="B1384" s="130">
        <v>70015262</v>
      </c>
      <c r="C1384" s="133">
        <v>3</v>
      </c>
      <c r="D1384" s="132" t="s">
        <v>1359</v>
      </c>
      <c r="E1384" s="132" t="s">
        <v>4490</v>
      </c>
      <c r="F1384" s="133" t="s">
        <v>131</v>
      </c>
    </row>
    <row r="1385" spans="1:6" x14ac:dyDescent="0.25">
      <c r="A1385" s="132" t="s">
        <v>4466</v>
      </c>
      <c r="B1385" s="130">
        <v>70015491</v>
      </c>
      <c r="C1385" s="133">
        <v>2</v>
      </c>
      <c r="D1385" s="132" t="s">
        <v>1359</v>
      </c>
      <c r="E1385" s="132" t="s">
        <v>4471</v>
      </c>
      <c r="F1385" s="133" t="s">
        <v>63</v>
      </c>
    </row>
    <row r="1386" spans="1:6" x14ac:dyDescent="0.25">
      <c r="A1386" s="132" t="s">
        <v>4467</v>
      </c>
      <c r="B1386" s="130">
        <v>70015495</v>
      </c>
      <c r="C1386" s="133">
        <v>2</v>
      </c>
      <c r="D1386" s="132" t="s">
        <v>1359</v>
      </c>
      <c r="E1386" s="132" t="s">
        <v>4472</v>
      </c>
      <c r="F1386" s="133" t="s">
        <v>63</v>
      </c>
    </row>
    <row r="1387" spans="1:6" x14ac:dyDescent="0.25">
      <c r="A1387" s="132" t="s">
        <v>4468</v>
      </c>
      <c r="B1387" s="130">
        <v>70015499</v>
      </c>
      <c r="C1387" s="133">
        <v>2</v>
      </c>
      <c r="D1387" s="132" t="s">
        <v>1359</v>
      </c>
      <c r="E1387" s="132" t="s">
        <v>4473</v>
      </c>
      <c r="F1387" s="133" t="s">
        <v>63</v>
      </c>
    </row>
    <row r="1388" spans="1:6" x14ac:dyDescent="0.25">
      <c r="A1388" s="132" t="s">
        <v>4469</v>
      </c>
      <c r="B1388" s="130">
        <v>70015252</v>
      </c>
      <c r="C1388" s="133">
        <v>1</v>
      </c>
      <c r="D1388" s="132" t="s">
        <v>1359</v>
      </c>
      <c r="E1388" s="132" t="s">
        <v>4474</v>
      </c>
      <c r="F1388" s="133" t="s">
        <v>131</v>
      </c>
    </row>
    <row r="1389" spans="1:6" x14ac:dyDescent="0.25">
      <c r="A1389" s="132" t="s">
        <v>4470</v>
      </c>
      <c r="B1389" s="130">
        <v>70015256</v>
      </c>
      <c r="C1389" s="133">
        <v>1</v>
      </c>
      <c r="D1389" s="132" t="s">
        <v>1359</v>
      </c>
      <c r="E1389" s="132" t="s">
        <v>4475</v>
      </c>
      <c r="F1389" s="133" t="s">
        <v>131</v>
      </c>
    </row>
    <row r="1390" spans="1:6" x14ac:dyDescent="0.25">
      <c r="A1390" s="132" t="s">
        <v>4522</v>
      </c>
      <c r="B1390" s="130">
        <v>70015966</v>
      </c>
      <c r="C1390" s="133">
        <v>1</v>
      </c>
      <c r="D1390" s="132" t="s">
        <v>1359</v>
      </c>
      <c r="E1390" s="132" t="s">
        <v>4523</v>
      </c>
      <c r="F1390" s="133" t="s">
        <v>112</v>
      </c>
    </row>
    <row r="1391" spans="1:6" x14ac:dyDescent="0.25">
      <c r="A1391" s="132" t="s">
        <v>4526</v>
      </c>
      <c r="B1391" s="130">
        <v>70015882</v>
      </c>
      <c r="C1391" s="133">
        <v>3</v>
      </c>
      <c r="D1391" s="132" t="s">
        <v>1359</v>
      </c>
      <c r="E1391" s="132" t="s">
        <v>4531</v>
      </c>
      <c r="F1391" s="133" t="s">
        <v>46</v>
      </c>
    </row>
    <row r="1392" spans="1:6" x14ac:dyDescent="0.25">
      <c r="A1392" s="132" t="s">
        <v>4527</v>
      </c>
      <c r="B1392" s="130">
        <v>70015878</v>
      </c>
      <c r="C1392" s="133">
        <v>3</v>
      </c>
      <c r="D1392" s="132" t="s">
        <v>1359</v>
      </c>
      <c r="E1392" s="132" t="s">
        <v>4532</v>
      </c>
      <c r="F1392" s="133" t="s">
        <v>46</v>
      </c>
    </row>
    <row r="1393" spans="1:6" x14ac:dyDescent="0.25">
      <c r="A1393" s="132" t="s">
        <v>4528</v>
      </c>
      <c r="B1393" s="130">
        <v>70015886</v>
      </c>
      <c r="C1393" s="133">
        <v>3</v>
      </c>
      <c r="D1393" s="132" t="s">
        <v>1359</v>
      </c>
      <c r="E1393" s="132" t="s">
        <v>4533</v>
      </c>
      <c r="F1393" s="133" t="s">
        <v>46</v>
      </c>
    </row>
    <row r="1394" spans="1:6" x14ac:dyDescent="0.25">
      <c r="A1394" s="132" t="s">
        <v>4529</v>
      </c>
      <c r="B1394" s="130">
        <v>70015941</v>
      </c>
      <c r="C1394" s="133">
        <v>3</v>
      </c>
      <c r="D1394" s="132" t="s">
        <v>1359</v>
      </c>
      <c r="E1394" s="132" t="s">
        <v>4534</v>
      </c>
      <c r="F1394" s="133" t="s">
        <v>46</v>
      </c>
    </row>
    <row r="1395" spans="1:6" x14ac:dyDescent="0.25">
      <c r="A1395" s="132" t="s">
        <v>4553</v>
      </c>
      <c r="B1395" s="130">
        <v>70015667</v>
      </c>
      <c r="C1395" s="133">
        <v>1</v>
      </c>
      <c r="D1395" s="132" t="s">
        <v>1359</v>
      </c>
      <c r="E1395" s="132" t="s">
        <v>4572</v>
      </c>
      <c r="F1395" s="133" t="s">
        <v>131</v>
      </c>
    </row>
    <row r="1396" spans="1:6" x14ac:dyDescent="0.25">
      <c r="A1396" s="132" t="s">
        <v>4554</v>
      </c>
      <c r="B1396" s="130">
        <v>70016068</v>
      </c>
      <c r="C1396" s="133">
        <v>1</v>
      </c>
      <c r="D1396" s="132" t="s">
        <v>1359</v>
      </c>
      <c r="E1396" s="132" t="s">
        <v>4573</v>
      </c>
      <c r="F1396" s="133" t="s">
        <v>41</v>
      </c>
    </row>
    <row r="1397" spans="1:6" x14ac:dyDescent="0.25">
      <c r="A1397" s="132" t="s">
        <v>4555</v>
      </c>
      <c r="B1397" s="130">
        <v>70016069</v>
      </c>
      <c r="C1397" s="133">
        <v>1</v>
      </c>
      <c r="D1397" s="132" t="s">
        <v>1359</v>
      </c>
      <c r="E1397" s="132" t="s">
        <v>4574</v>
      </c>
      <c r="F1397" s="133" t="s">
        <v>41</v>
      </c>
    </row>
    <row r="1398" spans="1:6" x14ac:dyDescent="0.25">
      <c r="A1398" s="132" t="s">
        <v>4556</v>
      </c>
      <c r="B1398" s="130">
        <v>70016048</v>
      </c>
      <c r="C1398" s="133">
        <v>2</v>
      </c>
      <c r="D1398" s="132" t="s">
        <v>1359</v>
      </c>
      <c r="E1398" s="132" t="s">
        <v>4575</v>
      </c>
      <c r="F1398" s="133" t="s">
        <v>63</v>
      </c>
    </row>
    <row r="1399" spans="1:6" x14ac:dyDescent="0.25">
      <c r="A1399" s="132" t="s">
        <v>4557</v>
      </c>
      <c r="B1399" s="130">
        <v>70016049</v>
      </c>
      <c r="C1399" s="133">
        <v>2</v>
      </c>
      <c r="D1399" s="132" t="s">
        <v>1359</v>
      </c>
      <c r="E1399" s="132" t="s">
        <v>4576</v>
      </c>
      <c r="F1399" s="133" t="s">
        <v>63</v>
      </c>
    </row>
    <row r="1400" spans="1:6" x14ac:dyDescent="0.25">
      <c r="A1400" s="132" t="s">
        <v>4558</v>
      </c>
      <c r="B1400" s="130">
        <v>70015976</v>
      </c>
      <c r="C1400" s="133">
        <v>1</v>
      </c>
      <c r="D1400" s="132" t="s">
        <v>1359</v>
      </c>
      <c r="E1400" s="132" t="s">
        <v>4577</v>
      </c>
      <c r="F1400" s="133" t="s">
        <v>87</v>
      </c>
    </row>
    <row r="1401" spans="1:6" x14ac:dyDescent="0.25">
      <c r="A1401" s="132" t="s">
        <v>4559</v>
      </c>
      <c r="B1401" s="130">
        <v>70016075</v>
      </c>
      <c r="C1401" s="133">
        <v>1</v>
      </c>
      <c r="D1401" s="132" t="s">
        <v>1359</v>
      </c>
      <c r="E1401" s="132" t="s">
        <v>4578</v>
      </c>
      <c r="F1401" s="133" t="s">
        <v>87</v>
      </c>
    </row>
    <row r="1402" spans="1:6" x14ac:dyDescent="0.25">
      <c r="A1402" s="132" t="s">
        <v>4560</v>
      </c>
      <c r="B1402" s="130">
        <v>70016076</v>
      </c>
      <c r="C1402" s="133">
        <v>1</v>
      </c>
      <c r="D1402" s="132" t="s">
        <v>1359</v>
      </c>
      <c r="E1402" s="132" t="s">
        <v>4579</v>
      </c>
      <c r="F1402" s="133" t="s">
        <v>87</v>
      </c>
    </row>
    <row r="1403" spans="1:6" x14ac:dyDescent="0.25">
      <c r="A1403" s="132" t="s">
        <v>4561</v>
      </c>
      <c r="B1403" s="130">
        <v>70015980</v>
      </c>
      <c r="C1403" s="133">
        <v>3</v>
      </c>
      <c r="D1403" s="132" t="s">
        <v>1359</v>
      </c>
      <c r="E1403" s="132" t="s">
        <v>4580</v>
      </c>
      <c r="F1403" s="133" t="s">
        <v>87</v>
      </c>
    </row>
    <row r="1404" spans="1:6" x14ac:dyDescent="0.25">
      <c r="A1404" s="132" t="s">
        <v>4562</v>
      </c>
      <c r="B1404" s="130">
        <v>70015984</v>
      </c>
      <c r="C1404" s="133">
        <v>3</v>
      </c>
      <c r="D1404" s="132" t="s">
        <v>1359</v>
      </c>
      <c r="E1404" s="132" t="s">
        <v>4581</v>
      </c>
      <c r="F1404" s="133" t="s">
        <v>87</v>
      </c>
    </row>
    <row r="1405" spans="1:6" x14ac:dyDescent="0.25">
      <c r="A1405" s="132" t="s">
        <v>4563</v>
      </c>
      <c r="B1405" s="130">
        <v>70015968</v>
      </c>
      <c r="C1405" s="133">
        <v>3</v>
      </c>
      <c r="D1405" s="132" t="s">
        <v>1359</v>
      </c>
      <c r="E1405" s="132" t="s">
        <v>4582</v>
      </c>
      <c r="F1405" s="133" t="s">
        <v>87</v>
      </c>
    </row>
    <row r="1406" spans="1:6" x14ac:dyDescent="0.25">
      <c r="A1406" s="132" t="s">
        <v>4564</v>
      </c>
      <c r="B1406" s="130">
        <v>70015972</v>
      </c>
      <c r="C1406" s="133">
        <v>3</v>
      </c>
      <c r="D1406" s="132" t="s">
        <v>1359</v>
      </c>
      <c r="E1406" s="132" t="s">
        <v>4583</v>
      </c>
      <c r="F1406" s="133" t="s">
        <v>87</v>
      </c>
    </row>
    <row r="1407" spans="1:6" x14ac:dyDescent="0.25">
      <c r="A1407" s="132" t="s">
        <v>4565</v>
      </c>
      <c r="B1407" s="130">
        <v>70016059</v>
      </c>
      <c r="C1407" s="133">
        <v>3</v>
      </c>
      <c r="D1407" s="132" t="s">
        <v>1359</v>
      </c>
      <c r="E1407" s="132" t="s">
        <v>4584</v>
      </c>
      <c r="F1407" s="133" t="s">
        <v>87</v>
      </c>
    </row>
    <row r="1408" spans="1:6" x14ac:dyDescent="0.25">
      <c r="A1408" s="132" t="s">
        <v>4566</v>
      </c>
      <c r="B1408" s="130">
        <v>70016057</v>
      </c>
      <c r="C1408" s="133">
        <v>3</v>
      </c>
      <c r="D1408" s="132" t="s">
        <v>1359</v>
      </c>
      <c r="E1408" s="132" t="s">
        <v>4585</v>
      </c>
      <c r="F1408" s="133" t="s">
        <v>87</v>
      </c>
    </row>
    <row r="1409" spans="1:7" x14ac:dyDescent="0.25">
      <c r="A1409" s="132" t="s">
        <v>4567</v>
      </c>
      <c r="B1409" s="130">
        <v>70016021</v>
      </c>
      <c r="C1409" s="133">
        <v>3</v>
      </c>
      <c r="D1409" s="132" t="s">
        <v>1359</v>
      </c>
      <c r="E1409" s="132" t="s">
        <v>4586</v>
      </c>
      <c r="F1409" s="133" t="s">
        <v>46</v>
      </c>
    </row>
    <row r="1410" spans="1:7" x14ac:dyDescent="0.25">
      <c r="A1410" s="132" t="s">
        <v>4568</v>
      </c>
      <c r="B1410" s="130">
        <v>70016007</v>
      </c>
      <c r="C1410" s="133">
        <v>3</v>
      </c>
      <c r="D1410" s="134" t="s">
        <v>1359</v>
      </c>
      <c r="E1410" s="132" t="s">
        <v>4587</v>
      </c>
      <c r="F1410" s="133" t="s">
        <v>171</v>
      </c>
    </row>
    <row r="1411" spans="1:7" x14ac:dyDescent="0.25">
      <c r="A1411" s="132" t="s">
        <v>4569</v>
      </c>
      <c r="B1411" s="130">
        <v>70016041</v>
      </c>
      <c r="C1411" s="133">
        <v>3</v>
      </c>
      <c r="D1411" s="134" t="s">
        <v>1359</v>
      </c>
      <c r="E1411" s="132" t="s">
        <v>4588</v>
      </c>
      <c r="F1411" s="133" t="s">
        <v>171</v>
      </c>
    </row>
    <row r="1412" spans="1:7" x14ac:dyDescent="0.25">
      <c r="A1412" s="132" t="s">
        <v>4570</v>
      </c>
      <c r="B1412" s="130">
        <v>70016061</v>
      </c>
      <c r="C1412" s="133">
        <v>3</v>
      </c>
      <c r="D1412" s="134" t="s">
        <v>1359</v>
      </c>
      <c r="E1412" s="132" t="s">
        <v>4589</v>
      </c>
      <c r="F1412" s="133" t="s">
        <v>46</v>
      </c>
    </row>
    <row r="1413" spans="1:7" x14ac:dyDescent="0.25">
      <c r="A1413" s="132" t="s">
        <v>4571</v>
      </c>
      <c r="B1413" s="130">
        <v>70016082</v>
      </c>
      <c r="C1413" s="133">
        <v>1</v>
      </c>
      <c r="D1413" s="134" t="s">
        <v>1359</v>
      </c>
      <c r="E1413" s="132" t="s">
        <v>4590</v>
      </c>
      <c r="F1413" s="133" t="s">
        <v>87</v>
      </c>
    </row>
    <row r="1414" spans="1:7" x14ac:dyDescent="0.25">
      <c r="A1414" s="132" t="s">
        <v>4592</v>
      </c>
      <c r="B1414" s="130">
        <v>70015497</v>
      </c>
      <c r="C1414" s="133">
        <v>2</v>
      </c>
      <c r="D1414" s="134" t="s">
        <v>1359</v>
      </c>
      <c r="E1414" s="132" t="s">
        <v>4598</v>
      </c>
      <c r="F1414" s="133" t="s">
        <v>63</v>
      </c>
      <c r="G1414" s="1"/>
    </row>
    <row r="1415" spans="1:7" x14ac:dyDescent="0.25">
      <c r="A1415" s="132" t="s">
        <v>4593</v>
      </c>
      <c r="B1415" s="130">
        <v>70015493</v>
      </c>
      <c r="C1415" s="133">
        <v>2</v>
      </c>
      <c r="D1415" s="134" t="s">
        <v>1359</v>
      </c>
      <c r="E1415" s="132" t="s">
        <v>4599</v>
      </c>
      <c r="F1415" s="133" t="s">
        <v>63</v>
      </c>
      <c r="G1415" s="1"/>
    </row>
    <row r="1416" spans="1:7" x14ac:dyDescent="0.25">
      <c r="A1416" s="132" t="s">
        <v>4594</v>
      </c>
      <c r="B1416" s="130">
        <v>70015489</v>
      </c>
      <c r="C1416" s="133">
        <v>2</v>
      </c>
      <c r="D1416" s="134" t="s">
        <v>1359</v>
      </c>
      <c r="E1416" s="132" t="s">
        <v>4600</v>
      </c>
      <c r="F1416" s="133" t="s">
        <v>63</v>
      </c>
      <c r="G1416" s="1"/>
    </row>
    <row r="1417" spans="1:7" x14ac:dyDescent="0.25">
      <c r="A1417" s="132" t="s">
        <v>4591</v>
      </c>
      <c r="B1417" s="130">
        <v>70014733</v>
      </c>
      <c r="C1417" s="133">
        <v>3</v>
      </c>
      <c r="D1417" s="134" t="s">
        <v>1359</v>
      </c>
      <c r="E1417" s="132" t="s">
        <v>4597</v>
      </c>
      <c r="F1417" s="133" t="s">
        <v>87</v>
      </c>
      <c r="G1417" s="1"/>
    </row>
    <row r="1418" spans="1:7" x14ac:dyDescent="0.25">
      <c r="A1418" s="132" t="s">
        <v>4595</v>
      </c>
      <c r="B1418" s="130">
        <v>70014745</v>
      </c>
      <c r="C1418" s="133">
        <v>3</v>
      </c>
      <c r="D1418" s="134" t="s">
        <v>1359</v>
      </c>
      <c r="E1418" s="132" t="s">
        <v>4601</v>
      </c>
      <c r="F1418" s="133" t="s">
        <v>87</v>
      </c>
      <c r="G1418" s="1"/>
    </row>
    <row r="1419" spans="1:7" x14ac:dyDescent="0.25">
      <c r="A1419" s="132" t="s">
        <v>4596</v>
      </c>
      <c r="B1419" s="130">
        <v>70014739</v>
      </c>
      <c r="C1419" s="133">
        <v>3</v>
      </c>
      <c r="D1419" s="134" t="s">
        <v>1359</v>
      </c>
      <c r="E1419" s="132" t="s">
        <v>4602</v>
      </c>
      <c r="F1419" s="133" t="s">
        <v>87</v>
      </c>
      <c r="G1419" s="1"/>
    </row>
    <row r="1420" spans="1:7" x14ac:dyDescent="0.25">
      <c r="A1420" s="131" t="s">
        <v>4614</v>
      </c>
      <c r="B1420" s="131">
        <v>70014388</v>
      </c>
      <c r="C1420" s="162">
        <v>3</v>
      </c>
      <c r="D1420" s="134" t="s">
        <v>1359</v>
      </c>
      <c r="E1420" s="132" t="s">
        <v>4615</v>
      </c>
      <c r="F1420" s="133" t="s">
        <v>87</v>
      </c>
    </row>
    <row r="1421" spans="1:7" x14ac:dyDescent="0.25">
      <c r="A1421" s="166" t="s">
        <v>4639</v>
      </c>
      <c r="B1421" s="164">
        <v>70015481</v>
      </c>
      <c r="C1421" s="1">
        <v>2</v>
      </c>
      <c r="D1421" s="134" t="s">
        <v>1359</v>
      </c>
      <c r="E1421" s="166" t="s">
        <v>4643</v>
      </c>
      <c r="F1421" s="165" t="s">
        <v>63</v>
      </c>
    </row>
    <row r="1422" spans="1:7" x14ac:dyDescent="0.25">
      <c r="A1422" s="166" t="s">
        <v>4640</v>
      </c>
      <c r="B1422" s="164">
        <v>70015485</v>
      </c>
      <c r="C1422" s="1">
        <v>2</v>
      </c>
      <c r="D1422" s="134" t="s">
        <v>1359</v>
      </c>
      <c r="E1422" s="166" t="s">
        <v>4644</v>
      </c>
      <c r="F1422" s="165" t="s">
        <v>63</v>
      </c>
    </row>
    <row r="1423" spans="1:7" x14ac:dyDescent="0.25">
      <c r="A1423" s="166" t="s">
        <v>4641</v>
      </c>
      <c r="B1423" s="164">
        <v>70015509</v>
      </c>
      <c r="C1423" s="1">
        <v>2</v>
      </c>
      <c r="D1423" s="134" t="s">
        <v>1359</v>
      </c>
      <c r="E1423" s="166" t="s">
        <v>4645</v>
      </c>
      <c r="F1423" s="165" t="s">
        <v>63</v>
      </c>
    </row>
    <row r="1424" spans="1:7" x14ac:dyDescent="0.25">
      <c r="A1424" s="166" t="s">
        <v>4625</v>
      </c>
      <c r="B1424" s="164">
        <v>70015922</v>
      </c>
      <c r="C1424" s="1">
        <v>3</v>
      </c>
      <c r="D1424" s="134" t="s">
        <v>1359</v>
      </c>
      <c r="E1424" s="166" t="s">
        <v>4632</v>
      </c>
      <c r="F1424" s="165" t="s">
        <v>87</v>
      </c>
    </row>
    <row r="1425" spans="1:6" x14ac:dyDescent="0.25">
      <c r="A1425" s="166" t="s">
        <v>4626</v>
      </c>
      <c r="B1425" s="164">
        <v>70015926</v>
      </c>
      <c r="C1425" s="1">
        <v>3</v>
      </c>
      <c r="D1425" s="134" t="s">
        <v>1359</v>
      </c>
      <c r="E1425" s="166" t="s">
        <v>4633</v>
      </c>
      <c r="F1425" s="165" t="s">
        <v>87</v>
      </c>
    </row>
    <row r="1426" spans="1:6" x14ac:dyDescent="0.25">
      <c r="A1426" s="166" t="s">
        <v>4627</v>
      </c>
      <c r="B1426" s="164">
        <v>70015930</v>
      </c>
      <c r="C1426" s="1">
        <v>3</v>
      </c>
      <c r="D1426" s="134" t="s">
        <v>1359</v>
      </c>
      <c r="E1426" s="166" t="s">
        <v>4634</v>
      </c>
      <c r="F1426" s="165" t="s">
        <v>87</v>
      </c>
    </row>
    <row r="1427" spans="1:6" x14ac:dyDescent="0.25">
      <c r="A1427" s="166" t="s">
        <v>4628</v>
      </c>
      <c r="B1427" s="164">
        <v>70015934</v>
      </c>
      <c r="C1427" s="1">
        <v>3</v>
      </c>
      <c r="D1427" s="134" t="s">
        <v>1359</v>
      </c>
      <c r="E1427" s="166" t="s">
        <v>4635</v>
      </c>
      <c r="F1427" s="165" t="s">
        <v>87</v>
      </c>
    </row>
    <row r="1428" spans="1:6" x14ac:dyDescent="0.25">
      <c r="A1428" s="166" t="s">
        <v>4629</v>
      </c>
      <c r="B1428" s="164">
        <v>70014708</v>
      </c>
      <c r="C1428" s="1">
        <v>3</v>
      </c>
      <c r="D1428" s="134" t="s">
        <v>1359</v>
      </c>
      <c r="E1428" s="166" t="s">
        <v>4636</v>
      </c>
      <c r="F1428" s="165" t="s">
        <v>87</v>
      </c>
    </row>
    <row r="1429" spans="1:6" x14ac:dyDescent="0.25">
      <c r="A1429" s="166" t="s">
        <v>4630</v>
      </c>
      <c r="B1429" s="164">
        <v>70014721</v>
      </c>
      <c r="C1429" s="1">
        <v>3</v>
      </c>
      <c r="D1429" s="134" t="s">
        <v>1359</v>
      </c>
      <c r="E1429" s="166" t="s">
        <v>4637</v>
      </c>
      <c r="F1429" s="165" t="s">
        <v>87</v>
      </c>
    </row>
    <row r="1430" spans="1:6" x14ac:dyDescent="0.25">
      <c r="A1430" s="166" t="s">
        <v>4631</v>
      </c>
      <c r="B1430" s="164">
        <v>70014727</v>
      </c>
      <c r="C1430" s="1">
        <v>3</v>
      </c>
      <c r="D1430" s="134" t="s">
        <v>1359</v>
      </c>
      <c r="E1430" s="166" t="s">
        <v>4638</v>
      </c>
      <c r="F1430" s="165" t="s">
        <v>87</v>
      </c>
    </row>
    <row r="1431" spans="1:6" x14ac:dyDescent="0.25">
      <c r="A1431" s="94" t="s">
        <v>4616</v>
      </c>
      <c r="B1431" s="92">
        <v>70016016</v>
      </c>
      <c r="C1431" s="1">
        <v>3</v>
      </c>
      <c r="D1431" s="134" t="s">
        <v>1359</v>
      </c>
      <c r="E1431" s="94" t="s">
        <v>4620</v>
      </c>
      <c r="F1431" s="93" t="s">
        <v>41</v>
      </c>
    </row>
    <row r="1432" spans="1:6" x14ac:dyDescent="0.25">
      <c r="A1432" s="94" t="s">
        <v>4617</v>
      </c>
      <c r="B1432" s="92">
        <v>70016012</v>
      </c>
      <c r="C1432" s="1">
        <v>3</v>
      </c>
      <c r="D1432" s="134" t="s">
        <v>1359</v>
      </c>
      <c r="E1432" s="94" t="s">
        <v>4621</v>
      </c>
      <c r="F1432" s="93" t="s">
        <v>41</v>
      </c>
    </row>
    <row r="1433" spans="1:6" x14ac:dyDescent="0.25">
      <c r="A1433" s="94" t="s">
        <v>4618</v>
      </c>
      <c r="B1433" s="92">
        <v>70016100</v>
      </c>
      <c r="C1433" s="1">
        <v>1</v>
      </c>
      <c r="D1433" s="134" t="s">
        <v>1359</v>
      </c>
      <c r="E1433" s="94" t="s">
        <v>4623</v>
      </c>
      <c r="F1433" s="93" t="s">
        <v>4074</v>
      </c>
    </row>
    <row r="1434" spans="1:6" x14ac:dyDescent="0.25">
      <c r="A1434" s="94" t="s">
        <v>4619</v>
      </c>
      <c r="B1434" s="92">
        <v>70016104</v>
      </c>
      <c r="C1434" s="1">
        <v>1</v>
      </c>
      <c r="D1434" s="134" t="s">
        <v>1359</v>
      </c>
      <c r="E1434" s="94" t="s">
        <v>4624</v>
      </c>
      <c r="F1434" s="93" t="s">
        <v>4074</v>
      </c>
    </row>
    <row r="1435" spans="1:6" x14ac:dyDescent="0.25">
      <c r="A1435" s="94" t="s">
        <v>4639</v>
      </c>
      <c r="B1435" s="92">
        <v>70015481</v>
      </c>
      <c r="C1435" s="1">
        <v>2</v>
      </c>
      <c r="D1435" s="134" t="s">
        <v>1359</v>
      </c>
      <c r="E1435" s="94" t="s">
        <v>4643</v>
      </c>
      <c r="F1435" s="93" t="s">
        <v>63</v>
      </c>
    </row>
    <row r="1436" spans="1:6" x14ac:dyDescent="0.25">
      <c r="A1436" s="94" t="s">
        <v>4640</v>
      </c>
      <c r="B1436" s="92">
        <v>70015485</v>
      </c>
      <c r="C1436" s="1">
        <v>2</v>
      </c>
      <c r="D1436" s="134" t="s">
        <v>1359</v>
      </c>
      <c r="E1436" s="94" t="s">
        <v>4644</v>
      </c>
      <c r="F1436" s="93" t="s">
        <v>63</v>
      </c>
    </row>
    <row r="1437" spans="1:6" x14ac:dyDescent="0.25">
      <c r="A1437" s="94" t="s">
        <v>4641</v>
      </c>
      <c r="B1437" s="92">
        <v>70015509</v>
      </c>
      <c r="C1437" s="1">
        <v>2</v>
      </c>
      <c r="D1437" s="134" t="s">
        <v>1359</v>
      </c>
      <c r="E1437" s="94" t="s">
        <v>4645</v>
      </c>
      <c r="F1437" s="93" t="s">
        <v>63</v>
      </c>
    </row>
    <row r="1438" spans="1:6" x14ac:dyDescent="0.25">
      <c r="A1438" s="94" t="s">
        <v>4625</v>
      </c>
      <c r="B1438" s="92">
        <v>70015922</v>
      </c>
      <c r="C1438" s="1">
        <v>3</v>
      </c>
      <c r="D1438" s="134" t="s">
        <v>1359</v>
      </c>
      <c r="E1438" s="94" t="s">
        <v>4632</v>
      </c>
      <c r="F1438" s="93" t="s">
        <v>87</v>
      </c>
    </row>
    <row r="1439" spans="1:6" x14ac:dyDescent="0.25">
      <c r="A1439" s="94" t="s">
        <v>4626</v>
      </c>
      <c r="B1439" s="92">
        <v>70015926</v>
      </c>
      <c r="C1439" s="1">
        <v>3</v>
      </c>
      <c r="D1439" s="134" t="s">
        <v>1359</v>
      </c>
      <c r="E1439" s="94" t="s">
        <v>4633</v>
      </c>
      <c r="F1439" s="93" t="s">
        <v>87</v>
      </c>
    </row>
    <row r="1440" spans="1:6" x14ac:dyDescent="0.25">
      <c r="A1440" s="94" t="s">
        <v>4627</v>
      </c>
      <c r="B1440" s="92">
        <v>70015930</v>
      </c>
      <c r="C1440" s="1">
        <v>3</v>
      </c>
      <c r="D1440" s="134" t="s">
        <v>1359</v>
      </c>
      <c r="E1440" s="94" t="s">
        <v>4634</v>
      </c>
      <c r="F1440" s="93" t="s">
        <v>87</v>
      </c>
    </row>
    <row r="1441" spans="1:6" x14ac:dyDescent="0.25">
      <c r="A1441" s="94" t="s">
        <v>4628</v>
      </c>
      <c r="B1441" s="92">
        <v>70015934</v>
      </c>
      <c r="C1441" s="1">
        <v>3</v>
      </c>
      <c r="D1441" s="134" t="s">
        <v>1359</v>
      </c>
      <c r="E1441" s="94" t="s">
        <v>4635</v>
      </c>
      <c r="F1441" s="93" t="s">
        <v>87</v>
      </c>
    </row>
    <row r="1442" spans="1:6" x14ac:dyDescent="0.25">
      <c r="A1442" s="94" t="s">
        <v>4629</v>
      </c>
      <c r="B1442" s="92">
        <v>70014708</v>
      </c>
      <c r="C1442" s="1">
        <v>3</v>
      </c>
      <c r="D1442" s="134" t="s">
        <v>1359</v>
      </c>
      <c r="E1442" s="94" t="s">
        <v>4636</v>
      </c>
      <c r="F1442" s="93" t="s">
        <v>87</v>
      </c>
    </row>
    <row r="1443" spans="1:6" x14ac:dyDescent="0.25">
      <c r="A1443" s="94" t="s">
        <v>4630</v>
      </c>
      <c r="B1443" s="92">
        <v>70014721</v>
      </c>
      <c r="C1443" s="1">
        <v>3</v>
      </c>
      <c r="D1443" s="134" t="s">
        <v>1359</v>
      </c>
      <c r="E1443" s="94" t="s">
        <v>4637</v>
      </c>
      <c r="F1443" s="93" t="s">
        <v>87</v>
      </c>
    </row>
    <row r="1444" spans="1:6" x14ac:dyDescent="0.25">
      <c r="A1444" s="94" t="s">
        <v>4631</v>
      </c>
      <c r="B1444" s="92">
        <v>70014727</v>
      </c>
      <c r="C1444" s="1">
        <v>3</v>
      </c>
      <c r="D1444" s="134" t="s">
        <v>1359</v>
      </c>
      <c r="E1444" s="94" t="s">
        <v>4638</v>
      </c>
      <c r="F1444" s="93" t="s">
        <v>87</v>
      </c>
    </row>
    <row r="1445" spans="1:6" x14ac:dyDescent="0.25">
      <c r="A1445" s="166" t="s">
        <v>4666</v>
      </c>
      <c r="B1445" s="176">
        <v>70015874</v>
      </c>
      <c r="C1445" s="1">
        <v>3</v>
      </c>
      <c r="D1445" s="134" t="s">
        <v>1359</v>
      </c>
      <c r="E1445" s="179" t="s">
        <v>4680</v>
      </c>
      <c r="F1445" s="178" t="s">
        <v>46</v>
      </c>
    </row>
    <row r="1446" spans="1:6" x14ac:dyDescent="0.25">
      <c r="A1446" s="166" t="s">
        <v>4667</v>
      </c>
      <c r="B1446" s="176">
        <v>70016109</v>
      </c>
      <c r="C1446" s="1">
        <v>1</v>
      </c>
      <c r="D1446" s="134" t="s">
        <v>1359</v>
      </c>
      <c r="E1446" s="179" t="s">
        <v>4650</v>
      </c>
      <c r="F1446" s="178" t="s">
        <v>87</v>
      </c>
    </row>
    <row r="1447" spans="1:6" x14ac:dyDescent="0.25">
      <c r="A1447" s="166" t="s">
        <v>4669</v>
      </c>
      <c r="B1447" s="176">
        <v>70016113</v>
      </c>
      <c r="C1447" s="1">
        <v>1</v>
      </c>
      <c r="D1447" s="134" t="s">
        <v>1359</v>
      </c>
      <c r="E1447" s="179" t="s">
        <v>4652</v>
      </c>
      <c r="F1447" s="178" t="s">
        <v>87</v>
      </c>
    </row>
    <row r="1448" spans="1:6" x14ac:dyDescent="0.25">
      <c r="A1448" s="166" t="s">
        <v>4668</v>
      </c>
      <c r="B1448" s="176">
        <v>70016173</v>
      </c>
      <c r="C1448" s="1">
        <v>1</v>
      </c>
      <c r="D1448" s="134" t="s">
        <v>1359</v>
      </c>
      <c r="E1448" s="179" t="s">
        <v>4651</v>
      </c>
      <c r="F1448" s="178" t="s">
        <v>87</v>
      </c>
    </row>
    <row r="1449" spans="1:6" x14ac:dyDescent="0.25">
      <c r="A1449" s="166" t="s">
        <v>4670</v>
      </c>
      <c r="B1449" s="176">
        <v>70016154</v>
      </c>
      <c r="C1449" s="1">
        <v>1</v>
      </c>
      <c r="D1449" s="134" t="s">
        <v>1359</v>
      </c>
      <c r="E1449" s="179" t="s">
        <v>4653</v>
      </c>
      <c r="F1449" s="178" t="s">
        <v>87</v>
      </c>
    </row>
    <row r="1450" spans="1:6" x14ac:dyDescent="0.25">
      <c r="A1450" s="166" t="s">
        <v>4671</v>
      </c>
      <c r="B1450" s="176">
        <v>70016117</v>
      </c>
      <c r="C1450" s="1">
        <v>3</v>
      </c>
      <c r="D1450" s="134" t="s">
        <v>1359</v>
      </c>
      <c r="E1450" s="179" t="s">
        <v>4654</v>
      </c>
      <c r="F1450" s="178" t="s">
        <v>87</v>
      </c>
    </row>
    <row r="1451" spans="1:6" x14ac:dyDescent="0.25">
      <c r="A1451" s="166" t="s">
        <v>4673</v>
      </c>
      <c r="B1451" s="176">
        <v>70016121</v>
      </c>
      <c r="C1451" s="1">
        <v>3</v>
      </c>
      <c r="D1451" s="134" t="s">
        <v>1359</v>
      </c>
      <c r="E1451" s="179" t="s">
        <v>4656</v>
      </c>
      <c r="F1451" s="178" t="s">
        <v>87</v>
      </c>
    </row>
    <row r="1452" spans="1:6" x14ac:dyDescent="0.25">
      <c r="A1452" s="166" t="s">
        <v>4674</v>
      </c>
      <c r="B1452" s="176">
        <v>70016182</v>
      </c>
      <c r="C1452" s="1">
        <v>3</v>
      </c>
      <c r="D1452" s="134" t="s">
        <v>1359</v>
      </c>
      <c r="E1452" s="179" t="s">
        <v>4657</v>
      </c>
      <c r="F1452" s="178" t="s">
        <v>87</v>
      </c>
    </row>
    <row r="1453" spans="1:6" x14ac:dyDescent="0.25">
      <c r="A1453" s="166" t="s">
        <v>4672</v>
      </c>
      <c r="B1453" s="176">
        <v>70016178</v>
      </c>
      <c r="C1453" s="1">
        <v>3</v>
      </c>
      <c r="D1453" s="134" t="s">
        <v>1359</v>
      </c>
      <c r="E1453" s="179" t="s">
        <v>4655</v>
      </c>
      <c r="F1453" s="178" t="s">
        <v>87</v>
      </c>
    </row>
    <row r="1454" spans="1:6" x14ac:dyDescent="0.25">
      <c r="A1454" s="166" t="s">
        <v>4675</v>
      </c>
      <c r="B1454" s="176">
        <v>70016125</v>
      </c>
      <c r="C1454" s="1">
        <v>3</v>
      </c>
      <c r="D1454" s="134" t="s">
        <v>1359</v>
      </c>
      <c r="E1454" s="179" t="s">
        <v>4658</v>
      </c>
      <c r="F1454" s="178" t="s">
        <v>87</v>
      </c>
    </row>
    <row r="1455" spans="1:6" x14ac:dyDescent="0.25">
      <c r="A1455" s="166" t="s">
        <v>4677</v>
      </c>
      <c r="B1455" s="176">
        <v>70016128</v>
      </c>
      <c r="C1455" s="1">
        <v>3</v>
      </c>
      <c r="D1455" s="134" t="s">
        <v>1359</v>
      </c>
      <c r="E1455" s="179" t="s">
        <v>4660</v>
      </c>
      <c r="F1455" s="178" t="s">
        <v>87</v>
      </c>
    </row>
    <row r="1456" spans="1:6" x14ac:dyDescent="0.25">
      <c r="A1456" s="166" t="s">
        <v>4676</v>
      </c>
      <c r="B1456" s="176">
        <v>70016186</v>
      </c>
      <c r="C1456" s="1">
        <v>3</v>
      </c>
      <c r="D1456" s="134" t="s">
        <v>1359</v>
      </c>
      <c r="E1456" s="179" t="s">
        <v>4659</v>
      </c>
      <c r="F1456" s="178" t="s">
        <v>87</v>
      </c>
    </row>
    <row r="1457" spans="1:6" x14ac:dyDescent="0.25">
      <c r="A1457" s="166" t="s">
        <v>4678</v>
      </c>
      <c r="B1457" s="176">
        <v>70016190</v>
      </c>
      <c r="C1457" s="1">
        <v>3</v>
      </c>
      <c r="D1457" s="134" t="s">
        <v>1359</v>
      </c>
      <c r="E1457" s="179" t="s">
        <v>4661</v>
      </c>
      <c r="F1457" s="178" t="s">
        <v>87</v>
      </c>
    </row>
    <row r="1458" spans="1:6" x14ac:dyDescent="0.25">
      <c r="A1458" s="166" t="s">
        <v>4679</v>
      </c>
      <c r="B1458" s="182">
        <v>70015982</v>
      </c>
      <c r="C1458" s="1">
        <v>3</v>
      </c>
      <c r="D1458" s="134" t="s">
        <v>1359</v>
      </c>
      <c r="E1458" s="179" t="s">
        <v>4647</v>
      </c>
      <c r="F1458" s="178" t="s">
        <v>87</v>
      </c>
    </row>
  </sheetData>
  <autoFilter ref="A1:G1365" xr:uid="{00000000-0009-0000-0000-000003000000}"/>
  <conditionalFormatting sqref="A481:A502 E847:F847 E1337:F1365 A1337:A1365 B1368 E1368:F1372 A1368:A1372 G1396:G1399 D1414:D1419 A1390:B1419 A1420:C1420 E1390:F1420 D1421:D1422 D1424:D1425 D1427:D1428 D1430:D1431 D1433:D1435 D1437:D1439 D1441:D1443 A1445:B1458 E1445:F1458 D1446:D1448 D1451:D1453 D1456:D1458">
    <cfRule type="containsText" dxfId="620" priority="971" operator="containsText" text="FALSO">
      <formula>NOT(ISERROR(SEARCH("FALSO",A481)))</formula>
    </cfRule>
  </conditionalFormatting>
  <conditionalFormatting sqref="A775">
    <cfRule type="containsText" dxfId="619" priority="901" operator="containsText" text="FALSO">
      <formula>NOT(ISERROR(SEARCH("FALSO",A775)))</formula>
    </cfRule>
  </conditionalFormatting>
  <conditionalFormatting sqref="A783:A784">
    <cfRule type="containsText" dxfId="618" priority="896" operator="containsText" text="FALSO">
      <formula>NOT(ISERROR(SEARCH("FALSO",A783)))</formula>
    </cfRule>
  </conditionalFormatting>
  <conditionalFormatting sqref="A802:A812">
    <cfRule type="containsText" dxfId="617" priority="889" operator="containsText" text="FALSO">
      <formula>NOT(ISERROR(SEARCH("FALSO",A802)))</formula>
    </cfRule>
  </conditionalFormatting>
  <conditionalFormatting sqref="A814">
    <cfRule type="containsText" dxfId="616" priority="888" operator="containsText" text="FALSO">
      <formula>NOT(ISERROR(SEARCH("FALSO",A814)))</formula>
    </cfRule>
  </conditionalFormatting>
  <conditionalFormatting sqref="A429:B451">
    <cfRule type="containsText" dxfId="615" priority="979" operator="containsText" text="FALSO">
      <formula>NOT(ISERROR(SEARCH("FALSO",A429)))</formula>
    </cfRule>
  </conditionalFormatting>
  <conditionalFormatting sqref="A639:B654">
    <cfRule type="containsText" dxfId="614" priority="915" operator="containsText" text="FALSO">
      <formula>NOT(ISERROR(SEARCH("FALSO",A639)))</formula>
    </cfRule>
  </conditionalFormatting>
  <conditionalFormatting sqref="A761:B767">
    <cfRule type="containsText" dxfId="613" priority="904" operator="containsText" text="FALSO">
      <formula>NOT(ISERROR(SEARCH("FALSO",A761)))</formula>
    </cfRule>
  </conditionalFormatting>
  <conditionalFormatting sqref="A828:B836">
    <cfRule type="containsText" dxfId="612" priority="884" operator="containsText" text="FALSO">
      <formula>NOT(ISERROR(SEARCH("FALSO",A828)))</formula>
    </cfRule>
  </conditionalFormatting>
  <conditionalFormatting sqref="A846:B847">
    <cfRule type="containsText" dxfId="611" priority="880" operator="containsText" text="FALSO">
      <formula>NOT(ISERROR(SEARCH("FALSO",A846)))</formula>
    </cfRule>
  </conditionalFormatting>
  <conditionalFormatting sqref="A890:C891">
    <cfRule type="containsText" dxfId="610" priority="837" operator="containsText" text="FALSO">
      <formula>NOT(ISERROR(SEARCH("FALSO",A890)))</formula>
    </cfRule>
  </conditionalFormatting>
  <conditionalFormatting sqref="A896:C961 E896:F961">
    <cfRule type="containsText" dxfId="609" priority="674" operator="containsText" text="FALSO">
      <formula>NOT(ISERROR(SEARCH("FALSO",A896)))</formula>
    </cfRule>
  </conditionalFormatting>
  <conditionalFormatting sqref="A452:F454 D455:D513">
    <cfRule type="containsText" dxfId="608" priority="973" operator="containsText" text="FALSO">
      <formula>NOT(ISERROR(SEARCH("FALSO",A452)))</formula>
    </cfRule>
  </conditionalFormatting>
  <conditionalFormatting sqref="B2:B930">
    <cfRule type="duplicateValues" dxfId="607" priority="2721"/>
  </conditionalFormatting>
  <conditionalFormatting sqref="B541:B543">
    <cfRule type="containsText" dxfId="606" priority="969" operator="containsText" text="FALSO">
      <formula>NOT(ISERROR(SEARCH("FALSO",B541)))</formula>
    </cfRule>
  </conditionalFormatting>
  <conditionalFormatting sqref="B599:B600">
    <cfRule type="containsText" dxfId="605" priority="965" operator="containsText" text="FALSO">
      <formula>NOT(ISERROR(SEARCH("FALSO",B599)))</formula>
    </cfRule>
  </conditionalFormatting>
  <conditionalFormatting sqref="B639">
    <cfRule type="duplicateValues" dxfId="604" priority="964"/>
  </conditionalFormatting>
  <conditionalFormatting sqref="B640:B642">
    <cfRule type="duplicateValues" dxfId="603" priority="962"/>
  </conditionalFormatting>
  <conditionalFormatting sqref="B643:B654">
    <cfRule type="duplicateValues" dxfId="602" priority="957"/>
  </conditionalFormatting>
  <conditionalFormatting sqref="B761:B767">
    <cfRule type="duplicateValues" dxfId="601" priority="914"/>
  </conditionalFormatting>
  <conditionalFormatting sqref="B776">
    <cfRule type="containsText" dxfId="600" priority="898" operator="containsText" text="FALSO">
      <formula>NOT(ISERROR(SEARCH("FALSO",B776)))</formula>
    </cfRule>
    <cfRule type="duplicateValues" dxfId="599" priority="899"/>
  </conditionalFormatting>
  <conditionalFormatting sqref="B801">
    <cfRule type="duplicateValues" dxfId="598" priority="894"/>
  </conditionalFormatting>
  <conditionalFormatting sqref="B801:B812">
    <cfRule type="containsText" dxfId="597" priority="891" operator="containsText" text="FALSO">
      <formula>NOT(ISERROR(SEARCH("FALSO",B801)))</formula>
    </cfRule>
  </conditionalFormatting>
  <conditionalFormatting sqref="B802:B812">
    <cfRule type="duplicateValues" dxfId="596" priority="892"/>
  </conditionalFormatting>
  <conditionalFormatting sqref="B828:B836">
    <cfRule type="duplicateValues" dxfId="595" priority="886"/>
  </conditionalFormatting>
  <conditionalFormatting sqref="B846">
    <cfRule type="duplicateValues" dxfId="594" priority="883"/>
  </conditionalFormatting>
  <conditionalFormatting sqref="B847">
    <cfRule type="duplicateValues" dxfId="593" priority="878"/>
  </conditionalFormatting>
  <conditionalFormatting sqref="B890">
    <cfRule type="duplicateValues" dxfId="592" priority="839"/>
  </conditionalFormatting>
  <conditionalFormatting sqref="B891">
    <cfRule type="duplicateValues" dxfId="591" priority="841"/>
  </conditionalFormatting>
  <conditionalFormatting sqref="B896">
    <cfRule type="duplicateValues" dxfId="590" priority="831"/>
  </conditionalFormatting>
  <conditionalFormatting sqref="B897">
    <cfRule type="duplicateValues" dxfId="589" priority="833"/>
  </conditionalFormatting>
  <conditionalFormatting sqref="B898">
    <cfRule type="duplicateValues" dxfId="588" priority="823"/>
  </conditionalFormatting>
  <conditionalFormatting sqref="B899">
    <cfRule type="duplicateValues" dxfId="587" priority="825"/>
  </conditionalFormatting>
  <conditionalFormatting sqref="B900">
    <cfRule type="duplicateValues" dxfId="586" priority="818"/>
  </conditionalFormatting>
  <conditionalFormatting sqref="B901">
    <cfRule type="duplicateValues" dxfId="585" priority="810"/>
  </conditionalFormatting>
  <conditionalFormatting sqref="B902">
    <cfRule type="duplicateValues" dxfId="584" priority="812"/>
  </conditionalFormatting>
  <conditionalFormatting sqref="B903:B930">
    <cfRule type="duplicateValues" dxfId="583" priority="739"/>
  </conditionalFormatting>
  <conditionalFormatting sqref="B931">
    <cfRule type="duplicateValues" dxfId="582" priority="728"/>
    <cfRule type="duplicateValues" dxfId="581" priority="730"/>
  </conditionalFormatting>
  <conditionalFormatting sqref="B932">
    <cfRule type="duplicateValues" dxfId="580" priority="725"/>
    <cfRule type="duplicateValues" dxfId="579" priority="727"/>
  </conditionalFormatting>
  <conditionalFormatting sqref="B933:B936">
    <cfRule type="duplicateValues" dxfId="578" priority="722"/>
    <cfRule type="duplicateValues" dxfId="577" priority="724"/>
  </conditionalFormatting>
  <conditionalFormatting sqref="B937">
    <cfRule type="duplicateValues" dxfId="576" priority="719"/>
    <cfRule type="duplicateValues" dxfId="575" priority="721"/>
  </conditionalFormatting>
  <conditionalFormatting sqref="B938">
    <cfRule type="duplicateValues" dxfId="574" priority="716"/>
    <cfRule type="duplicateValues" dxfId="573" priority="718"/>
  </conditionalFormatting>
  <conditionalFormatting sqref="B939:B942">
    <cfRule type="duplicateValues" dxfId="572" priority="713"/>
    <cfRule type="duplicateValues" dxfId="571" priority="715"/>
  </conditionalFormatting>
  <conditionalFormatting sqref="B943">
    <cfRule type="duplicateValues" dxfId="570" priority="710"/>
    <cfRule type="duplicateValues" dxfId="569" priority="712"/>
  </conditionalFormatting>
  <conditionalFormatting sqref="B944">
    <cfRule type="duplicateValues" dxfId="568" priority="707"/>
    <cfRule type="duplicateValues" dxfId="567" priority="709"/>
  </conditionalFormatting>
  <conditionalFormatting sqref="B945:B948">
    <cfRule type="duplicateValues" dxfId="566" priority="704"/>
    <cfRule type="duplicateValues" dxfId="565" priority="706"/>
  </conditionalFormatting>
  <conditionalFormatting sqref="B949">
    <cfRule type="duplicateValues" dxfId="564" priority="701"/>
    <cfRule type="duplicateValues" dxfId="563" priority="703"/>
  </conditionalFormatting>
  <conditionalFormatting sqref="B950">
    <cfRule type="duplicateValues" dxfId="562" priority="698"/>
    <cfRule type="duplicateValues" dxfId="561" priority="700"/>
  </conditionalFormatting>
  <conditionalFormatting sqref="B951:B954">
    <cfRule type="duplicateValues" dxfId="560" priority="695"/>
    <cfRule type="duplicateValues" dxfId="559" priority="697"/>
  </conditionalFormatting>
  <conditionalFormatting sqref="B955">
    <cfRule type="duplicateValues" dxfId="558" priority="692"/>
    <cfRule type="duplicateValues" dxfId="557" priority="694"/>
  </conditionalFormatting>
  <conditionalFormatting sqref="B956">
    <cfRule type="duplicateValues" dxfId="556" priority="689"/>
    <cfRule type="duplicateValues" dxfId="555" priority="691"/>
  </conditionalFormatting>
  <conditionalFormatting sqref="B957">
    <cfRule type="duplicateValues" dxfId="554" priority="686"/>
    <cfRule type="duplicateValues" dxfId="553" priority="688"/>
  </conditionalFormatting>
  <conditionalFormatting sqref="B958">
    <cfRule type="duplicateValues" dxfId="552" priority="682"/>
    <cfRule type="duplicateValues" dxfId="551" priority="684"/>
  </conditionalFormatting>
  <conditionalFormatting sqref="B959">
    <cfRule type="duplicateValues" dxfId="550" priority="679"/>
    <cfRule type="duplicateValues" dxfId="549" priority="681"/>
  </conditionalFormatting>
  <conditionalFormatting sqref="B960">
    <cfRule type="duplicateValues" dxfId="548" priority="676"/>
    <cfRule type="duplicateValues" dxfId="547" priority="678"/>
  </conditionalFormatting>
  <conditionalFormatting sqref="B961">
    <cfRule type="duplicateValues" dxfId="546" priority="673"/>
    <cfRule type="duplicateValues" dxfId="545" priority="675"/>
  </conditionalFormatting>
  <conditionalFormatting sqref="E481:E502">
    <cfRule type="containsText" dxfId="544" priority="970" operator="containsText" text="FALSO">
      <formula>NOT(ISERROR(SEARCH("FALSO",E481)))</formula>
    </cfRule>
  </conditionalFormatting>
  <conditionalFormatting sqref="E639:E654">
    <cfRule type="containsText" dxfId="543" priority="919" operator="containsText" text="FALSO">
      <formula>NOT(ISERROR(SEARCH("FALSO",E639)))</formula>
    </cfRule>
  </conditionalFormatting>
  <conditionalFormatting sqref="E775:E776">
    <cfRule type="containsText" dxfId="542" priority="897" operator="containsText" text="FALSO">
      <formula>NOT(ISERROR(SEARCH("FALSO",E775)))</formula>
    </cfRule>
  </conditionalFormatting>
  <conditionalFormatting sqref="E783:E784">
    <cfRule type="containsText" dxfId="541" priority="895" operator="containsText" text="FALSO">
      <formula>NOT(ISERROR(SEARCH("FALSO",E783)))</formula>
    </cfRule>
  </conditionalFormatting>
  <conditionalFormatting sqref="E802:E812">
    <cfRule type="containsText" dxfId="540" priority="890" operator="containsText" text="FALSO">
      <formula>NOT(ISERROR(SEARCH("FALSO",E802)))</formula>
    </cfRule>
  </conditionalFormatting>
  <conditionalFormatting sqref="E814">
    <cfRule type="containsText" dxfId="539" priority="887" operator="containsText" text="FALSO">
      <formula>NOT(ISERROR(SEARCH("FALSO",E814)))</formula>
    </cfRule>
  </conditionalFormatting>
  <conditionalFormatting sqref="E846">
    <cfRule type="containsText" dxfId="538" priority="879" operator="containsText" text="FALSO">
      <formula>NOT(ISERROR(SEARCH("FALSO",E846)))</formula>
    </cfRule>
  </conditionalFormatting>
  <conditionalFormatting sqref="E429:F451">
    <cfRule type="containsText" dxfId="537" priority="975" operator="containsText" text="FALSO">
      <formula>NOT(ISERROR(SEARCH("FALSO",E429)))</formula>
    </cfRule>
  </conditionalFormatting>
  <conditionalFormatting sqref="E761:F767">
    <cfRule type="containsText" dxfId="536" priority="903" operator="containsText" text="FALSO">
      <formula>NOT(ISERROR(SEARCH("FALSO",E761)))</formula>
    </cfRule>
  </conditionalFormatting>
  <conditionalFormatting sqref="E890:F891">
    <cfRule type="containsText" dxfId="535" priority="836" operator="containsText" text="FALSO">
      <formula>NOT(ISERROR(SEARCH("FALSO",E890)))</formula>
    </cfRule>
  </conditionalFormatting>
  <conditionalFormatting sqref="F455:F456">
    <cfRule type="containsText" dxfId="534" priority="972" operator="containsText" text="FALSO">
      <formula>NOT(ISERROR(SEARCH("FALSO",F455)))</formula>
    </cfRule>
  </conditionalFormatting>
  <conditionalFormatting sqref="F594:F600">
    <cfRule type="containsText" dxfId="533" priority="966" operator="containsText" text="FALSO">
      <formula>NOT(ISERROR(SEARCH("FALSO",F594)))</formula>
    </cfRule>
  </conditionalFormatting>
  <conditionalFormatting sqref="F768:F775">
    <cfRule type="containsText" dxfId="532" priority="902" operator="containsText" text="FALSO">
      <formula>NOT(ISERROR(SEARCH("FALSO",F768)))</formula>
    </cfRule>
  </conditionalFormatting>
  <conditionalFormatting sqref="B1179:B1180">
    <cfRule type="containsText" dxfId="531" priority="654" operator="containsText" text="FALSO">
      <formula>NOT(ISERROR(SEARCH("FALSO",B1179)))</formula>
    </cfRule>
  </conditionalFormatting>
  <conditionalFormatting sqref="B1179:B1180">
    <cfRule type="duplicateValues" dxfId="530" priority="655"/>
  </conditionalFormatting>
  <conditionalFormatting sqref="E1179">
    <cfRule type="containsText" dxfId="529" priority="652" operator="containsText" text="FALSO">
      <formula>NOT(ISERROR(SEARCH("FALSO",E1179)))</formula>
    </cfRule>
  </conditionalFormatting>
  <conditionalFormatting sqref="E1180">
    <cfRule type="containsText" dxfId="528" priority="651" operator="containsText" text="FALSO">
      <formula>NOT(ISERROR(SEARCH("FALSO",E1180)))</formula>
    </cfRule>
  </conditionalFormatting>
  <conditionalFormatting sqref="B1185">
    <cfRule type="containsText" dxfId="527" priority="649" operator="containsText" text="FALSO">
      <formula>NOT(ISERROR(SEARCH("FALSO",B1185)))</formula>
    </cfRule>
  </conditionalFormatting>
  <conditionalFormatting sqref="B1185">
    <cfRule type="duplicateValues" dxfId="526" priority="650"/>
  </conditionalFormatting>
  <conditionalFormatting sqref="E1185">
    <cfRule type="containsText" dxfId="525" priority="648" operator="containsText" text="FALSO">
      <formula>NOT(ISERROR(SEARCH("FALSO",E1185)))</formula>
    </cfRule>
  </conditionalFormatting>
  <conditionalFormatting sqref="F1222">
    <cfRule type="containsText" dxfId="524" priority="647" operator="containsText" text="FALSO">
      <formula>NOT(ISERROR(SEARCH("FALSO",F1222)))</formula>
    </cfRule>
  </conditionalFormatting>
  <conditionalFormatting sqref="F1221">
    <cfRule type="containsText" dxfId="523" priority="646" operator="containsText" text="FALSO">
      <formula>NOT(ISERROR(SEARCH("FALSO",F1221)))</formula>
    </cfRule>
  </conditionalFormatting>
  <conditionalFormatting sqref="F1220">
    <cfRule type="containsText" dxfId="522" priority="645" operator="containsText" text="FALSO">
      <formula>NOT(ISERROR(SEARCH("FALSO",F1220)))</formula>
    </cfRule>
  </conditionalFormatting>
  <conditionalFormatting sqref="F1218">
    <cfRule type="containsText" dxfId="521" priority="644" operator="containsText" text="FALSO">
      <formula>NOT(ISERROR(SEARCH("FALSO",F1218)))</formula>
    </cfRule>
  </conditionalFormatting>
  <conditionalFormatting sqref="F1217">
    <cfRule type="containsText" dxfId="520" priority="643" operator="containsText" text="FALSO">
      <formula>NOT(ISERROR(SEARCH("FALSO",F1217)))</formula>
    </cfRule>
  </conditionalFormatting>
  <conditionalFormatting sqref="F1216">
    <cfRule type="containsText" dxfId="519" priority="642" operator="containsText" text="FALSO">
      <formula>NOT(ISERROR(SEARCH("FALSO",F1216)))</formula>
    </cfRule>
  </conditionalFormatting>
  <conditionalFormatting sqref="F1215">
    <cfRule type="containsText" dxfId="518" priority="641" operator="containsText" text="FALSO">
      <formula>NOT(ISERROR(SEARCH("FALSO",F1215)))</formula>
    </cfRule>
  </conditionalFormatting>
  <conditionalFormatting sqref="F1213">
    <cfRule type="containsText" dxfId="517" priority="640" operator="containsText" text="FALSO">
      <formula>NOT(ISERROR(SEARCH("FALSO",F1213)))</formula>
    </cfRule>
  </conditionalFormatting>
  <conditionalFormatting sqref="F1212">
    <cfRule type="containsText" dxfId="516" priority="639" operator="containsText" text="FALSO">
      <formula>NOT(ISERROR(SEARCH("FALSO",F1212)))</formula>
    </cfRule>
  </conditionalFormatting>
  <conditionalFormatting sqref="F1211">
    <cfRule type="containsText" dxfId="515" priority="638" operator="containsText" text="FALSO">
      <formula>NOT(ISERROR(SEARCH("FALSO",F1211)))</formula>
    </cfRule>
  </conditionalFormatting>
  <conditionalFormatting sqref="F1210">
    <cfRule type="containsText" dxfId="514" priority="637" operator="containsText" text="FALSO">
      <formula>NOT(ISERROR(SEARCH("FALSO",F1210)))</formula>
    </cfRule>
  </conditionalFormatting>
  <conditionalFormatting sqref="F1209">
    <cfRule type="containsText" dxfId="513" priority="636" operator="containsText" text="FALSO">
      <formula>NOT(ISERROR(SEARCH("FALSO",F1209)))</formula>
    </cfRule>
  </conditionalFormatting>
  <conditionalFormatting sqref="F1208">
    <cfRule type="containsText" dxfId="512" priority="635" operator="containsText" text="FALSO">
      <formula>NOT(ISERROR(SEARCH("FALSO",F1208)))</formula>
    </cfRule>
  </conditionalFormatting>
  <conditionalFormatting sqref="F1207">
    <cfRule type="containsText" dxfId="511" priority="634" operator="containsText" text="FALSO">
      <formula>NOT(ISERROR(SEARCH("FALSO",F1207)))</formula>
    </cfRule>
  </conditionalFormatting>
  <conditionalFormatting sqref="F1206">
    <cfRule type="containsText" dxfId="510" priority="633" operator="containsText" text="FALSO">
      <formula>NOT(ISERROR(SEARCH("FALSO",F1206)))</formula>
    </cfRule>
  </conditionalFormatting>
  <conditionalFormatting sqref="F1205">
    <cfRule type="containsText" dxfId="509" priority="632" operator="containsText" text="FALSO">
      <formula>NOT(ISERROR(SEARCH("FALSO",F1205)))</formula>
    </cfRule>
  </conditionalFormatting>
  <conditionalFormatting sqref="F1204">
    <cfRule type="containsText" dxfId="508" priority="631" operator="containsText" text="FALSO">
      <formula>NOT(ISERROR(SEARCH("FALSO",F1204)))</formula>
    </cfRule>
  </conditionalFormatting>
  <conditionalFormatting sqref="F1203">
    <cfRule type="containsText" dxfId="507" priority="630" operator="containsText" text="FALSO">
      <formula>NOT(ISERROR(SEARCH("FALSO",F1203)))</formula>
    </cfRule>
  </conditionalFormatting>
  <conditionalFormatting sqref="F1202">
    <cfRule type="containsText" dxfId="506" priority="629" operator="containsText" text="FALSO">
      <formula>NOT(ISERROR(SEARCH("FALSO",F1202)))</formula>
    </cfRule>
  </conditionalFormatting>
  <conditionalFormatting sqref="F1201">
    <cfRule type="containsText" dxfId="505" priority="628" operator="containsText" text="FALSO">
      <formula>NOT(ISERROR(SEARCH("FALSO",F1201)))</formula>
    </cfRule>
  </conditionalFormatting>
  <conditionalFormatting sqref="F1200">
    <cfRule type="containsText" dxfId="504" priority="627" operator="containsText" text="FALSO">
      <formula>NOT(ISERROR(SEARCH("FALSO",F1200)))</formula>
    </cfRule>
  </conditionalFormatting>
  <conditionalFormatting sqref="F1198">
    <cfRule type="containsText" dxfId="503" priority="626" operator="containsText" text="FALSO">
      <formula>NOT(ISERROR(SEARCH("FALSO",F1198)))</formula>
    </cfRule>
  </conditionalFormatting>
  <conditionalFormatting sqref="F1197">
    <cfRule type="containsText" dxfId="502" priority="625" operator="containsText" text="FALSO">
      <formula>NOT(ISERROR(SEARCH("FALSO",F1197)))</formula>
    </cfRule>
  </conditionalFormatting>
  <conditionalFormatting sqref="F1196">
    <cfRule type="containsText" dxfId="501" priority="624" operator="containsText" text="FALSO">
      <formula>NOT(ISERROR(SEARCH("FALSO",F1196)))</formula>
    </cfRule>
  </conditionalFormatting>
  <conditionalFormatting sqref="F1195">
    <cfRule type="containsText" dxfId="500" priority="623" operator="containsText" text="FALSO">
      <formula>NOT(ISERROR(SEARCH("FALSO",F1195)))</formula>
    </cfRule>
  </conditionalFormatting>
  <conditionalFormatting sqref="F1193">
    <cfRule type="containsText" dxfId="499" priority="622" operator="containsText" text="FALSO">
      <formula>NOT(ISERROR(SEARCH("FALSO",F1193)))</formula>
    </cfRule>
  </conditionalFormatting>
  <conditionalFormatting sqref="F1194">
    <cfRule type="containsText" dxfId="498" priority="621" operator="containsText" text="FALSO">
      <formula>NOT(ISERROR(SEARCH("FALSO",F1194)))</formula>
    </cfRule>
  </conditionalFormatting>
  <conditionalFormatting sqref="F1214">
    <cfRule type="containsText" dxfId="497" priority="620" operator="containsText" text="FALSO">
      <formula>NOT(ISERROR(SEARCH("FALSO",F1214)))</formula>
    </cfRule>
  </conditionalFormatting>
  <conditionalFormatting sqref="F1199">
    <cfRule type="containsText" dxfId="496" priority="619" operator="containsText" text="FALSO">
      <formula>NOT(ISERROR(SEARCH("FALSO",F1199)))</formula>
    </cfRule>
  </conditionalFormatting>
  <conditionalFormatting sqref="F1219">
    <cfRule type="containsText" dxfId="495" priority="618" operator="containsText" text="FALSO">
      <formula>NOT(ISERROR(SEARCH("FALSO",F1219)))</formula>
    </cfRule>
  </conditionalFormatting>
  <conditionalFormatting sqref="A1222">
    <cfRule type="containsText" dxfId="494" priority="617" operator="containsText" text="FALSO">
      <formula>NOT(ISERROR(SEARCH("FALSO",A1222)))</formula>
    </cfRule>
  </conditionalFormatting>
  <conditionalFormatting sqref="A1221">
    <cfRule type="containsText" dxfId="493" priority="616" operator="containsText" text="FALSO">
      <formula>NOT(ISERROR(SEARCH("FALSO",A1221)))</formula>
    </cfRule>
  </conditionalFormatting>
  <conditionalFormatting sqref="A1220">
    <cfRule type="containsText" dxfId="492" priority="615" operator="containsText" text="FALSO">
      <formula>NOT(ISERROR(SEARCH("FALSO",A1220)))</formula>
    </cfRule>
  </conditionalFormatting>
  <conditionalFormatting sqref="A1218">
    <cfRule type="containsText" dxfId="491" priority="614" operator="containsText" text="FALSO">
      <formula>NOT(ISERROR(SEARCH("FALSO",A1218)))</formula>
    </cfRule>
  </conditionalFormatting>
  <conditionalFormatting sqref="A1217">
    <cfRule type="containsText" dxfId="490" priority="613" operator="containsText" text="FALSO">
      <formula>NOT(ISERROR(SEARCH("FALSO",A1217)))</formula>
    </cfRule>
  </conditionalFormatting>
  <conditionalFormatting sqref="A1216">
    <cfRule type="containsText" dxfId="489" priority="612" operator="containsText" text="FALSO">
      <formula>NOT(ISERROR(SEARCH("FALSO",A1216)))</formula>
    </cfRule>
  </conditionalFormatting>
  <conditionalFormatting sqref="A1215">
    <cfRule type="containsText" dxfId="488" priority="611" operator="containsText" text="FALSO">
      <formula>NOT(ISERROR(SEARCH("FALSO",A1215)))</formula>
    </cfRule>
  </conditionalFormatting>
  <conditionalFormatting sqref="A1213">
    <cfRule type="containsText" dxfId="487" priority="610" operator="containsText" text="FALSO">
      <formula>NOT(ISERROR(SEARCH("FALSO",A1213)))</formula>
    </cfRule>
  </conditionalFormatting>
  <conditionalFormatting sqref="A1212">
    <cfRule type="containsText" dxfId="486" priority="609" operator="containsText" text="FALSO">
      <formula>NOT(ISERROR(SEARCH("FALSO",A1212)))</formula>
    </cfRule>
  </conditionalFormatting>
  <conditionalFormatting sqref="A1211">
    <cfRule type="containsText" dxfId="485" priority="608" operator="containsText" text="FALSO">
      <formula>NOT(ISERROR(SEARCH("FALSO",A1211)))</formula>
    </cfRule>
  </conditionalFormatting>
  <conditionalFormatting sqref="A1210">
    <cfRule type="containsText" dxfId="484" priority="607" operator="containsText" text="FALSO">
      <formula>NOT(ISERROR(SEARCH("FALSO",A1210)))</formula>
    </cfRule>
  </conditionalFormatting>
  <conditionalFormatting sqref="A1209">
    <cfRule type="containsText" dxfId="483" priority="606" operator="containsText" text="FALSO">
      <formula>NOT(ISERROR(SEARCH("FALSO",A1209)))</formula>
    </cfRule>
  </conditionalFormatting>
  <conditionalFormatting sqref="A1208">
    <cfRule type="containsText" dxfId="482" priority="605" operator="containsText" text="FALSO">
      <formula>NOT(ISERROR(SEARCH("FALSO",A1208)))</formula>
    </cfRule>
  </conditionalFormatting>
  <conditionalFormatting sqref="A1207">
    <cfRule type="containsText" dxfId="481" priority="604" operator="containsText" text="FALSO">
      <formula>NOT(ISERROR(SEARCH("FALSO",A1207)))</formula>
    </cfRule>
  </conditionalFormatting>
  <conditionalFormatting sqref="A1206">
    <cfRule type="containsText" dxfId="480" priority="603" operator="containsText" text="FALSO">
      <formula>NOT(ISERROR(SEARCH("FALSO",A1206)))</formula>
    </cfRule>
  </conditionalFormatting>
  <conditionalFormatting sqref="A1205">
    <cfRule type="containsText" dxfId="479" priority="602" operator="containsText" text="FALSO">
      <formula>NOT(ISERROR(SEARCH("FALSO",A1205)))</formula>
    </cfRule>
  </conditionalFormatting>
  <conditionalFormatting sqref="A1204">
    <cfRule type="containsText" dxfId="478" priority="601" operator="containsText" text="FALSO">
      <formula>NOT(ISERROR(SEARCH("FALSO",A1204)))</formula>
    </cfRule>
  </conditionalFormatting>
  <conditionalFormatting sqref="A1203">
    <cfRule type="containsText" dxfId="477" priority="600" operator="containsText" text="FALSO">
      <formula>NOT(ISERROR(SEARCH("FALSO",A1203)))</formula>
    </cfRule>
  </conditionalFormatting>
  <conditionalFormatting sqref="A1202">
    <cfRule type="containsText" dxfId="476" priority="599" operator="containsText" text="FALSO">
      <formula>NOT(ISERROR(SEARCH("FALSO",A1202)))</formula>
    </cfRule>
  </conditionalFormatting>
  <conditionalFormatting sqref="A1201">
    <cfRule type="containsText" dxfId="475" priority="598" operator="containsText" text="FALSO">
      <formula>NOT(ISERROR(SEARCH("FALSO",A1201)))</formula>
    </cfRule>
  </conditionalFormatting>
  <conditionalFormatting sqref="A1200">
    <cfRule type="containsText" dxfId="474" priority="597" operator="containsText" text="FALSO">
      <formula>NOT(ISERROR(SEARCH("FALSO",A1200)))</formula>
    </cfRule>
  </conditionalFormatting>
  <conditionalFormatting sqref="A1198">
    <cfRule type="containsText" dxfId="473" priority="596" operator="containsText" text="FALSO">
      <formula>NOT(ISERROR(SEARCH("FALSO",A1198)))</formula>
    </cfRule>
  </conditionalFormatting>
  <conditionalFormatting sqref="A1197">
    <cfRule type="containsText" dxfId="472" priority="595" operator="containsText" text="FALSO">
      <formula>NOT(ISERROR(SEARCH("FALSO",A1197)))</formula>
    </cfRule>
  </conditionalFormatting>
  <conditionalFormatting sqref="A1196">
    <cfRule type="containsText" dxfId="471" priority="594" operator="containsText" text="FALSO">
      <formula>NOT(ISERROR(SEARCH("FALSO",A1196)))</formula>
    </cfRule>
  </conditionalFormatting>
  <conditionalFormatting sqref="A1195">
    <cfRule type="containsText" dxfId="470" priority="593" operator="containsText" text="FALSO">
      <formula>NOT(ISERROR(SEARCH("FALSO",A1195)))</formula>
    </cfRule>
  </conditionalFormatting>
  <conditionalFormatting sqref="A1193">
    <cfRule type="containsText" dxfId="469" priority="592" operator="containsText" text="FALSO">
      <formula>NOT(ISERROR(SEARCH("FALSO",A1193)))</formula>
    </cfRule>
  </conditionalFormatting>
  <conditionalFormatting sqref="A1194">
    <cfRule type="containsText" dxfId="468" priority="591" operator="containsText" text="FALSO">
      <formula>NOT(ISERROR(SEARCH("FALSO",A1194)))</formula>
    </cfRule>
  </conditionalFormatting>
  <conditionalFormatting sqref="A1214">
    <cfRule type="containsText" dxfId="467" priority="590" operator="containsText" text="FALSO">
      <formula>NOT(ISERROR(SEARCH("FALSO",A1214)))</formula>
    </cfRule>
  </conditionalFormatting>
  <conditionalFormatting sqref="A1199">
    <cfRule type="containsText" dxfId="466" priority="589" operator="containsText" text="FALSO">
      <formula>NOT(ISERROR(SEARCH("FALSO",A1199)))</formula>
    </cfRule>
  </conditionalFormatting>
  <conditionalFormatting sqref="A1219">
    <cfRule type="containsText" dxfId="465" priority="588" operator="containsText" text="FALSO">
      <formula>NOT(ISERROR(SEARCH("FALSO",A1219)))</formula>
    </cfRule>
  </conditionalFormatting>
  <conditionalFormatting sqref="E1222">
    <cfRule type="containsText" dxfId="464" priority="587" operator="containsText" text="FALSO">
      <formula>NOT(ISERROR(SEARCH("FALSO",E1222)))</formula>
    </cfRule>
  </conditionalFormatting>
  <conditionalFormatting sqref="E1221">
    <cfRule type="containsText" dxfId="463" priority="586" operator="containsText" text="FALSO">
      <formula>NOT(ISERROR(SEARCH("FALSO",E1221)))</formula>
    </cfRule>
  </conditionalFormatting>
  <conditionalFormatting sqref="E1220">
    <cfRule type="containsText" dxfId="462" priority="585" operator="containsText" text="FALSO">
      <formula>NOT(ISERROR(SEARCH("FALSO",E1220)))</formula>
    </cfRule>
  </conditionalFormatting>
  <conditionalFormatting sqref="E1218">
    <cfRule type="containsText" dxfId="461" priority="584" operator="containsText" text="FALSO">
      <formula>NOT(ISERROR(SEARCH("FALSO",E1218)))</formula>
    </cfRule>
  </conditionalFormatting>
  <conditionalFormatting sqref="E1217">
    <cfRule type="containsText" dxfId="460" priority="583" operator="containsText" text="FALSO">
      <formula>NOT(ISERROR(SEARCH("FALSO",E1217)))</formula>
    </cfRule>
  </conditionalFormatting>
  <conditionalFormatting sqref="E1216">
    <cfRule type="containsText" dxfId="459" priority="582" operator="containsText" text="FALSO">
      <formula>NOT(ISERROR(SEARCH("FALSO",E1216)))</formula>
    </cfRule>
  </conditionalFormatting>
  <conditionalFormatting sqref="E1215">
    <cfRule type="containsText" dxfId="458" priority="581" operator="containsText" text="FALSO">
      <formula>NOT(ISERROR(SEARCH("FALSO",E1215)))</formula>
    </cfRule>
  </conditionalFormatting>
  <conditionalFormatting sqref="E1213">
    <cfRule type="containsText" dxfId="457" priority="580" operator="containsText" text="FALSO">
      <formula>NOT(ISERROR(SEARCH("FALSO",E1213)))</formula>
    </cfRule>
  </conditionalFormatting>
  <conditionalFormatting sqref="E1212">
    <cfRule type="containsText" dxfId="456" priority="579" operator="containsText" text="FALSO">
      <formula>NOT(ISERROR(SEARCH("FALSO",E1212)))</formula>
    </cfRule>
  </conditionalFormatting>
  <conditionalFormatting sqref="E1211">
    <cfRule type="containsText" dxfId="455" priority="578" operator="containsText" text="FALSO">
      <formula>NOT(ISERROR(SEARCH("FALSO",E1211)))</formula>
    </cfRule>
  </conditionalFormatting>
  <conditionalFormatting sqref="E1210">
    <cfRule type="containsText" dxfId="454" priority="577" operator="containsText" text="FALSO">
      <formula>NOT(ISERROR(SEARCH("FALSO",E1210)))</formula>
    </cfRule>
  </conditionalFormatting>
  <conditionalFormatting sqref="E1209">
    <cfRule type="containsText" dxfId="453" priority="576" operator="containsText" text="FALSO">
      <formula>NOT(ISERROR(SEARCH("FALSO",E1209)))</formula>
    </cfRule>
  </conditionalFormatting>
  <conditionalFormatting sqref="E1208">
    <cfRule type="containsText" dxfId="452" priority="575" operator="containsText" text="FALSO">
      <formula>NOT(ISERROR(SEARCH("FALSO",E1208)))</formula>
    </cfRule>
  </conditionalFormatting>
  <conditionalFormatting sqref="E1207">
    <cfRule type="containsText" dxfId="451" priority="574" operator="containsText" text="FALSO">
      <formula>NOT(ISERROR(SEARCH("FALSO",E1207)))</formula>
    </cfRule>
  </conditionalFormatting>
  <conditionalFormatting sqref="E1206">
    <cfRule type="containsText" dxfId="450" priority="573" operator="containsText" text="FALSO">
      <formula>NOT(ISERROR(SEARCH("FALSO",E1206)))</formula>
    </cfRule>
  </conditionalFormatting>
  <conditionalFormatting sqref="E1205">
    <cfRule type="containsText" dxfId="449" priority="572" operator="containsText" text="FALSO">
      <formula>NOT(ISERROR(SEARCH("FALSO",E1205)))</formula>
    </cfRule>
  </conditionalFormatting>
  <conditionalFormatting sqref="E1204">
    <cfRule type="containsText" dxfId="448" priority="571" operator="containsText" text="FALSO">
      <formula>NOT(ISERROR(SEARCH("FALSO",E1204)))</formula>
    </cfRule>
  </conditionalFormatting>
  <conditionalFormatting sqref="E1203">
    <cfRule type="containsText" dxfId="447" priority="570" operator="containsText" text="FALSO">
      <formula>NOT(ISERROR(SEARCH("FALSO",E1203)))</formula>
    </cfRule>
  </conditionalFormatting>
  <conditionalFormatting sqref="E1202">
    <cfRule type="containsText" dxfId="446" priority="569" operator="containsText" text="FALSO">
      <formula>NOT(ISERROR(SEARCH("FALSO",E1202)))</formula>
    </cfRule>
  </conditionalFormatting>
  <conditionalFormatting sqref="E1201">
    <cfRule type="containsText" dxfId="445" priority="568" operator="containsText" text="FALSO">
      <formula>NOT(ISERROR(SEARCH("FALSO",E1201)))</formula>
    </cfRule>
  </conditionalFormatting>
  <conditionalFormatting sqref="E1200">
    <cfRule type="containsText" dxfId="444" priority="567" operator="containsText" text="FALSO">
      <formula>NOT(ISERROR(SEARCH("FALSO",E1200)))</formula>
    </cfRule>
  </conditionalFormatting>
  <conditionalFormatting sqref="E1198">
    <cfRule type="containsText" dxfId="443" priority="566" operator="containsText" text="FALSO">
      <formula>NOT(ISERROR(SEARCH("FALSO",E1198)))</formula>
    </cfRule>
  </conditionalFormatting>
  <conditionalFormatting sqref="E1197">
    <cfRule type="containsText" dxfId="442" priority="565" operator="containsText" text="FALSO">
      <formula>NOT(ISERROR(SEARCH("FALSO",E1197)))</formula>
    </cfRule>
  </conditionalFormatting>
  <conditionalFormatting sqref="E1196">
    <cfRule type="containsText" dxfId="441" priority="564" operator="containsText" text="FALSO">
      <formula>NOT(ISERROR(SEARCH("FALSO",E1196)))</formula>
    </cfRule>
  </conditionalFormatting>
  <conditionalFormatting sqref="E1195">
    <cfRule type="containsText" dxfId="440" priority="563" operator="containsText" text="FALSO">
      <formula>NOT(ISERROR(SEARCH("FALSO",E1195)))</formula>
    </cfRule>
  </conditionalFormatting>
  <conditionalFormatting sqref="E1193">
    <cfRule type="containsText" dxfId="439" priority="562" operator="containsText" text="FALSO">
      <formula>NOT(ISERROR(SEARCH("FALSO",E1193)))</formula>
    </cfRule>
  </conditionalFormatting>
  <conditionalFormatting sqref="E1194">
    <cfRule type="containsText" dxfId="438" priority="561" operator="containsText" text="FALSO">
      <formula>NOT(ISERROR(SEARCH("FALSO",E1194)))</formula>
    </cfRule>
  </conditionalFormatting>
  <conditionalFormatting sqref="E1214">
    <cfRule type="containsText" dxfId="437" priority="560" operator="containsText" text="FALSO">
      <formula>NOT(ISERROR(SEARCH("FALSO",E1214)))</formula>
    </cfRule>
  </conditionalFormatting>
  <conditionalFormatting sqref="E1199">
    <cfRule type="containsText" dxfId="436" priority="559" operator="containsText" text="FALSO">
      <formula>NOT(ISERROR(SEARCH("FALSO",E1199)))</formula>
    </cfRule>
  </conditionalFormatting>
  <conditionalFormatting sqref="E1219">
    <cfRule type="containsText" dxfId="435" priority="558" operator="containsText" text="FALSO">
      <formula>NOT(ISERROR(SEARCH("FALSO",E1219)))</formula>
    </cfRule>
  </conditionalFormatting>
  <conditionalFormatting sqref="B1306">
    <cfRule type="containsText" dxfId="434" priority="556" operator="containsText" text="FALSO">
      <formula>NOT(ISERROR(SEARCH("FALSO",B1306)))</formula>
    </cfRule>
  </conditionalFormatting>
  <conditionalFormatting sqref="B1306">
    <cfRule type="duplicateValues" dxfId="433" priority="557"/>
  </conditionalFormatting>
  <conditionalFormatting sqref="B1305">
    <cfRule type="containsText" dxfId="432" priority="554" operator="containsText" text="FALSO">
      <formula>NOT(ISERROR(SEARCH("FALSO",B1305)))</formula>
    </cfRule>
  </conditionalFormatting>
  <conditionalFormatting sqref="B1305">
    <cfRule type="duplicateValues" dxfId="431" priority="555"/>
  </conditionalFormatting>
  <conditionalFormatting sqref="E1305">
    <cfRule type="containsText" dxfId="430" priority="553" operator="containsText" text="FALSO">
      <formula>NOT(ISERROR(SEARCH("FALSO",E1305)))</formula>
    </cfRule>
  </conditionalFormatting>
  <conditionalFormatting sqref="E1306">
    <cfRule type="containsText" dxfId="429" priority="552" operator="containsText" text="FALSO">
      <formula>NOT(ISERROR(SEARCH("FALSO",E1306)))</formula>
    </cfRule>
  </conditionalFormatting>
  <conditionalFormatting sqref="A1306">
    <cfRule type="containsText" dxfId="428" priority="551" operator="containsText" text="FALSO">
      <formula>NOT(ISERROR(SEARCH("FALSO",A1306)))</formula>
    </cfRule>
  </conditionalFormatting>
  <conditionalFormatting sqref="A1305">
    <cfRule type="containsText" dxfId="427" priority="550" operator="containsText" text="FALSO">
      <formula>NOT(ISERROR(SEARCH("FALSO",A1305)))</formula>
    </cfRule>
  </conditionalFormatting>
  <conditionalFormatting sqref="B1307">
    <cfRule type="containsText" dxfId="426" priority="548" operator="containsText" text="FALSO">
      <formula>NOT(ISERROR(SEARCH("FALSO",B1307)))</formula>
    </cfRule>
  </conditionalFormatting>
  <conditionalFormatting sqref="B1307">
    <cfRule type="duplicateValues" dxfId="425" priority="549"/>
  </conditionalFormatting>
  <conditionalFormatting sqref="A1307">
    <cfRule type="containsText" dxfId="424" priority="547" operator="containsText" text="FALSO">
      <formula>NOT(ISERROR(SEARCH("FALSO",A1307)))</formula>
    </cfRule>
  </conditionalFormatting>
  <conditionalFormatting sqref="E1307">
    <cfRule type="containsText" dxfId="423" priority="546" operator="containsText" text="FALSO">
      <formula>NOT(ISERROR(SEARCH("FALSO",E1307)))</formula>
    </cfRule>
  </conditionalFormatting>
  <conditionalFormatting sqref="B1324">
    <cfRule type="containsText" dxfId="422" priority="544" operator="containsText" text="FALSO">
      <formula>NOT(ISERROR(SEARCH("FALSO",B1324)))</formula>
    </cfRule>
  </conditionalFormatting>
  <conditionalFormatting sqref="B1324">
    <cfRule type="duplicateValues" dxfId="421" priority="545"/>
  </conditionalFormatting>
  <conditionalFormatting sqref="B1323">
    <cfRule type="containsText" dxfId="420" priority="542" operator="containsText" text="FALSO">
      <formula>NOT(ISERROR(SEARCH("FALSO",B1323)))</formula>
    </cfRule>
  </conditionalFormatting>
  <conditionalFormatting sqref="B1322">
    <cfRule type="containsText" dxfId="419" priority="540" operator="containsText" text="FALSO">
      <formula>NOT(ISERROR(SEARCH("FALSO",B1322)))</formula>
    </cfRule>
  </conditionalFormatting>
  <conditionalFormatting sqref="B1323">
    <cfRule type="duplicateValues" dxfId="418" priority="543"/>
  </conditionalFormatting>
  <conditionalFormatting sqref="B1322">
    <cfRule type="duplicateValues" dxfId="417" priority="541"/>
  </conditionalFormatting>
  <conditionalFormatting sqref="B1321">
    <cfRule type="containsText" dxfId="416" priority="538" operator="containsText" text="FALSO">
      <formula>NOT(ISERROR(SEARCH("FALSO",B1321)))</formula>
    </cfRule>
  </conditionalFormatting>
  <conditionalFormatting sqref="B1321">
    <cfRule type="duplicateValues" dxfId="415" priority="539"/>
  </conditionalFormatting>
  <conditionalFormatting sqref="B1320">
    <cfRule type="containsText" dxfId="414" priority="536" operator="containsText" text="FALSO">
      <formula>NOT(ISERROR(SEARCH("FALSO",B1320)))</formula>
    </cfRule>
  </conditionalFormatting>
  <conditionalFormatting sqref="B1320">
    <cfRule type="duplicateValues" dxfId="413" priority="537"/>
  </conditionalFormatting>
  <conditionalFormatting sqref="B1319">
    <cfRule type="containsText" dxfId="412" priority="534" operator="containsText" text="FALSO">
      <formula>NOT(ISERROR(SEARCH("FALSO",B1319)))</formula>
    </cfRule>
  </conditionalFormatting>
  <conditionalFormatting sqref="B1318">
    <cfRule type="containsText" dxfId="411" priority="532" operator="containsText" text="FALSO">
      <formula>NOT(ISERROR(SEARCH("FALSO",B1318)))</formula>
    </cfRule>
  </conditionalFormatting>
  <conditionalFormatting sqref="B1319">
    <cfRule type="duplicateValues" dxfId="410" priority="535"/>
  </conditionalFormatting>
  <conditionalFormatting sqref="B1318">
    <cfRule type="duplicateValues" dxfId="409" priority="533"/>
  </conditionalFormatting>
  <conditionalFormatting sqref="B1317">
    <cfRule type="containsText" dxfId="408" priority="530" operator="containsText" text="FALSO">
      <formula>NOT(ISERROR(SEARCH("FALSO",B1317)))</formula>
    </cfRule>
  </conditionalFormatting>
  <conditionalFormatting sqref="B1317">
    <cfRule type="duplicateValues" dxfId="407" priority="531"/>
  </conditionalFormatting>
  <conditionalFormatting sqref="B1316">
    <cfRule type="containsText" dxfId="406" priority="528" operator="containsText" text="FALSO">
      <formula>NOT(ISERROR(SEARCH("FALSO",B1316)))</formula>
    </cfRule>
  </conditionalFormatting>
  <conditionalFormatting sqref="B1316">
    <cfRule type="duplicateValues" dxfId="405" priority="529"/>
  </conditionalFormatting>
  <conditionalFormatting sqref="B1315">
    <cfRule type="containsText" dxfId="404" priority="526" operator="containsText" text="FALSO">
      <formula>NOT(ISERROR(SEARCH("FALSO",B1315)))</formula>
    </cfRule>
  </conditionalFormatting>
  <conditionalFormatting sqref="B1314">
    <cfRule type="containsText" dxfId="403" priority="524" operator="containsText" text="FALSO">
      <formula>NOT(ISERROR(SEARCH("FALSO",B1314)))</formula>
    </cfRule>
  </conditionalFormatting>
  <conditionalFormatting sqref="B1315">
    <cfRule type="duplicateValues" dxfId="402" priority="527"/>
  </conditionalFormatting>
  <conditionalFormatting sqref="B1314">
    <cfRule type="duplicateValues" dxfId="401" priority="525"/>
  </conditionalFormatting>
  <conditionalFormatting sqref="B1313">
    <cfRule type="containsText" dxfId="400" priority="522" operator="containsText" text="FALSO">
      <formula>NOT(ISERROR(SEARCH("FALSO",B1313)))</formula>
    </cfRule>
  </conditionalFormatting>
  <conditionalFormatting sqref="B1313">
    <cfRule type="duplicateValues" dxfId="399" priority="523"/>
  </conditionalFormatting>
  <conditionalFormatting sqref="B1312">
    <cfRule type="containsText" dxfId="398" priority="520" operator="containsText" text="FALSO">
      <formula>NOT(ISERROR(SEARCH("FALSO",B1312)))</formula>
    </cfRule>
  </conditionalFormatting>
  <conditionalFormatting sqref="B1311">
    <cfRule type="containsText" dxfId="397" priority="518" operator="containsText" text="FALSO">
      <formula>NOT(ISERROR(SEARCH("FALSO",B1311)))</formula>
    </cfRule>
  </conditionalFormatting>
  <conditionalFormatting sqref="B1312">
    <cfRule type="duplicateValues" dxfId="396" priority="521"/>
  </conditionalFormatting>
  <conditionalFormatting sqref="B1311">
    <cfRule type="duplicateValues" dxfId="395" priority="519"/>
  </conditionalFormatting>
  <conditionalFormatting sqref="B1310">
    <cfRule type="containsText" dxfId="394" priority="516" operator="containsText" text="FALSO">
      <formula>NOT(ISERROR(SEARCH("FALSO",B1310)))</formula>
    </cfRule>
  </conditionalFormatting>
  <conditionalFormatting sqref="B1310">
    <cfRule type="duplicateValues" dxfId="393" priority="517"/>
  </conditionalFormatting>
  <conditionalFormatting sqref="B1309">
    <cfRule type="containsText" dxfId="392" priority="514" operator="containsText" text="FALSO">
      <formula>NOT(ISERROR(SEARCH("FALSO",B1309)))</formula>
    </cfRule>
  </conditionalFormatting>
  <conditionalFormatting sqref="B1309">
    <cfRule type="duplicateValues" dxfId="391" priority="515"/>
  </conditionalFormatting>
  <conditionalFormatting sqref="B1308">
    <cfRule type="containsText" dxfId="390" priority="512" operator="containsText" text="FALSO">
      <formula>NOT(ISERROR(SEARCH("FALSO",B1308)))</formula>
    </cfRule>
  </conditionalFormatting>
  <conditionalFormatting sqref="B1308">
    <cfRule type="duplicateValues" dxfId="389" priority="513"/>
  </conditionalFormatting>
  <conditionalFormatting sqref="A1324">
    <cfRule type="containsText" dxfId="388" priority="511" operator="containsText" text="FALSO">
      <formula>NOT(ISERROR(SEARCH("FALSO",A1324)))</formula>
    </cfRule>
  </conditionalFormatting>
  <conditionalFormatting sqref="A1323">
    <cfRule type="containsText" dxfId="387" priority="510" operator="containsText" text="FALSO">
      <formula>NOT(ISERROR(SEARCH("FALSO",A1323)))</formula>
    </cfRule>
  </conditionalFormatting>
  <conditionalFormatting sqref="A1322">
    <cfRule type="containsText" dxfId="386" priority="509" operator="containsText" text="FALSO">
      <formula>NOT(ISERROR(SEARCH("FALSO",A1322)))</formula>
    </cfRule>
  </conditionalFormatting>
  <conditionalFormatting sqref="A1321">
    <cfRule type="containsText" dxfId="385" priority="508" operator="containsText" text="FALSO">
      <formula>NOT(ISERROR(SEARCH("FALSO",A1321)))</formula>
    </cfRule>
  </conditionalFormatting>
  <conditionalFormatting sqref="A1320">
    <cfRule type="containsText" dxfId="384" priority="507" operator="containsText" text="FALSO">
      <formula>NOT(ISERROR(SEARCH("FALSO",A1320)))</formula>
    </cfRule>
  </conditionalFormatting>
  <conditionalFormatting sqref="A1319">
    <cfRule type="containsText" dxfId="383" priority="506" operator="containsText" text="FALSO">
      <formula>NOT(ISERROR(SEARCH("FALSO",A1319)))</formula>
    </cfRule>
  </conditionalFormatting>
  <conditionalFormatting sqref="A1318">
    <cfRule type="containsText" dxfId="382" priority="505" operator="containsText" text="FALSO">
      <formula>NOT(ISERROR(SEARCH("FALSO",A1318)))</formula>
    </cfRule>
  </conditionalFormatting>
  <conditionalFormatting sqref="A1317">
    <cfRule type="containsText" dxfId="381" priority="504" operator="containsText" text="FALSO">
      <formula>NOT(ISERROR(SEARCH("FALSO",A1317)))</formula>
    </cfRule>
  </conditionalFormatting>
  <conditionalFormatting sqref="A1316">
    <cfRule type="containsText" dxfId="380" priority="503" operator="containsText" text="FALSO">
      <formula>NOT(ISERROR(SEARCH("FALSO",A1316)))</formula>
    </cfRule>
  </conditionalFormatting>
  <conditionalFormatting sqref="A1315">
    <cfRule type="containsText" dxfId="379" priority="502" operator="containsText" text="FALSO">
      <formula>NOT(ISERROR(SEARCH("FALSO",A1315)))</formula>
    </cfRule>
  </conditionalFormatting>
  <conditionalFormatting sqref="A1314">
    <cfRule type="containsText" dxfId="378" priority="501" operator="containsText" text="FALSO">
      <formula>NOT(ISERROR(SEARCH("FALSO",A1314)))</formula>
    </cfRule>
  </conditionalFormatting>
  <conditionalFormatting sqref="A1313">
    <cfRule type="containsText" dxfId="377" priority="500" operator="containsText" text="FALSO">
      <formula>NOT(ISERROR(SEARCH("FALSO",A1313)))</formula>
    </cfRule>
  </conditionalFormatting>
  <conditionalFormatting sqref="A1312">
    <cfRule type="containsText" dxfId="376" priority="499" operator="containsText" text="FALSO">
      <formula>NOT(ISERROR(SEARCH("FALSO",A1312)))</formula>
    </cfRule>
  </conditionalFormatting>
  <conditionalFormatting sqref="A1311">
    <cfRule type="containsText" dxfId="375" priority="498" operator="containsText" text="FALSO">
      <formula>NOT(ISERROR(SEARCH("FALSO",A1311)))</formula>
    </cfRule>
  </conditionalFormatting>
  <conditionalFormatting sqref="A1310">
    <cfRule type="containsText" dxfId="374" priority="497" operator="containsText" text="FALSO">
      <formula>NOT(ISERROR(SEARCH("FALSO",A1310)))</formula>
    </cfRule>
  </conditionalFormatting>
  <conditionalFormatting sqref="A1309">
    <cfRule type="containsText" dxfId="373" priority="496" operator="containsText" text="FALSO">
      <formula>NOT(ISERROR(SEARCH("FALSO",A1309)))</formula>
    </cfRule>
  </conditionalFormatting>
  <conditionalFormatting sqref="A1308">
    <cfRule type="containsText" dxfId="372" priority="495" operator="containsText" text="FALSO">
      <formula>NOT(ISERROR(SEARCH("FALSO",A1308)))</formula>
    </cfRule>
  </conditionalFormatting>
  <conditionalFormatting sqref="E1324">
    <cfRule type="containsText" dxfId="371" priority="494" operator="containsText" text="FALSO">
      <formula>NOT(ISERROR(SEARCH("FALSO",E1324)))</formula>
    </cfRule>
  </conditionalFormatting>
  <conditionalFormatting sqref="E1323">
    <cfRule type="containsText" dxfId="370" priority="493" operator="containsText" text="FALSO">
      <formula>NOT(ISERROR(SEARCH("FALSO",E1323)))</formula>
    </cfRule>
  </conditionalFormatting>
  <conditionalFormatting sqref="E1322">
    <cfRule type="containsText" dxfId="369" priority="492" operator="containsText" text="FALSO">
      <formula>NOT(ISERROR(SEARCH("FALSO",E1322)))</formula>
    </cfRule>
  </conditionalFormatting>
  <conditionalFormatting sqref="E1321">
    <cfRule type="containsText" dxfId="368" priority="491" operator="containsText" text="FALSO">
      <formula>NOT(ISERROR(SEARCH("FALSO",E1321)))</formula>
    </cfRule>
  </conditionalFormatting>
  <conditionalFormatting sqref="E1320">
    <cfRule type="containsText" dxfId="367" priority="490" operator="containsText" text="FALSO">
      <formula>NOT(ISERROR(SEARCH("FALSO",E1320)))</formula>
    </cfRule>
  </conditionalFormatting>
  <conditionalFormatting sqref="E1319">
    <cfRule type="containsText" dxfId="366" priority="489" operator="containsText" text="FALSO">
      <formula>NOT(ISERROR(SEARCH("FALSO",E1319)))</formula>
    </cfRule>
  </conditionalFormatting>
  <conditionalFormatting sqref="E1318">
    <cfRule type="containsText" dxfId="365" priority="488" operator="containsText" text="FALSO">
      <formula>NOT(ISERROR(SEARCH("FALSO",E1318)))</formula>
    </cfRule>
  </conditionalFormatting>
  <conditionalFormatting sqref="E1317">
    <cfRule type="containsText" dxfId="364" priority="487" operator="containsText" text="FALSO">
      <formula>NOT(ISERROR(SEARCH("FALSO",E1317)))</formula>
    </cfRule>
  </conditionalFormatting>
  <conditionalFormatting sqref="E1316">
    <cfRule type="containsText" dxfId="363" priority="486" operator="containsText" text="FALSO">
      <formula>NOT(ISERROR(SEARCH("FALSO",E1316)))</formula>
    </cfRule>
  </conditionalFormatting>
  <conditionalFormatting sqref="E1315">
    <cfRule type="containsText" dxfId="362" priority="485" operator="containsText" text="FALSO">
      <formula>NOT(ISERROR(SEARCH("FALSO",E1315)))</formula>
    </cfRule>
  </conditionalFormatting>
  <conditionalFormatting sqref="E1314">
    <cfRule type="containsText" dxfId="361" priority="484" operator="containsText" text="FALSO">
      <formula>NOT(ISERROR(SEARCH("FALSO",E1314)))</formula>
    </cfRule>
  </conditionalFormatting>
  <conditionalFormatting sqref="E1313">
    <cfRule type="containsText" dxfId="360" priority="483" operator="containsText" text="FALSO">
      <formula>NOT(ISERROR(SEARCH("FALSO",E1313)))</formula>
    </cfRule>
  </conditionalFormatting>
  <conditionalFormatting sqref="E1312">
    <cfRule type="containsText" dxfId="359" priority="482" operator="containsText" text="FALSO">
      <formula>NOT(ISERROR(SEARCH("FALSO",E1312)))</formula>
    </cfRule>
  </conditionalFormatting>
  <conditionalFormatting sqref="E1311">
    <cfRule type="containsText" dxfId="358" priority="481" operator="containsText" text="FALSO">
      <formula>NOT(ISERROR(SEARCH("FALSO",E1311)))</formula>
    </cfRule>
  </conditionalFormatting>
  <conditionalFormatting sqref="E1310">
    <cfRule type="containsText" dxfId="357" priority="480" operator="containsText" text="FALSO">
      <formula>NOT(ISERROR(SEARCH("FALSO",E1310)))</formula>
    </cfRule>
  </conditionalFormatting>
  <conditionalFormatting sqref="E1309">
    <cfRule type="containsText" dxfId="356" priority="479" operator="containsText" text="FALSO">
      <formula>NOT(ISERROR(SEARCH("FALSO",E1309)))</formula>
    </cfRule>
  </conditionalFormatting>
  <conditionalFormatting sqref="E1308">
    <cfRule type="containsText" dxfId="355" priority="478" operator="containsText" text="FALSO">
      <formula>NOT(ISERROR(SEARCH("FALSO",E1308)))</formula>
    </cfRule>
  </conditionalFormatting>
  <conditionalFormatting sqref="F1324">
    <cfRule type="containsText" dxfId="354" priority="477" operator="containsText" text="FALSO">
      <formula>NOT(ISERROR(SEARCH("FALSO",F1324)))</formula>
    </cfRule>
  </conditionalFormatting>
  <conditionalFormatting sqref="F1323">
    <cfRule type="containsText" dxfId="353" priority="476" operator="containsText" text="FALSO">
      <formula>NOT(ISERROR(SEARCH("FALSO",F1323)))</formula>
    </cfRule>
  </conditionalFormatting>
  <conditionalFormatting sqref="F1322">
    <cfRule type="containsText" dxfId="352" priority="475" operator="containsText" text="FALSO">
      <formula>NOT(ISERROR(SEARCH("FALSO",F1322)))</formula>
    </cfRule>
  </conditionalFormatting>
  <conditionalFormatting sqref="F1321">
    <cfRule type="containsText" dxfId="351" priority="474" operator="containsText" text="FALSO">
      <formula>NOT(ISERROR(SEARCH("FALSO",F1321)))</formula>
    </cfRule>
  </conditionalFormatting>
  <conditionalFormatting sqref="F1320">
    <cfRule type="containsText" dxfId="350" priority="473" operator="containsText" text="FALSO">
      <formula>NOT(ISERROR(SEARCH("FALSO",F1320)))</formula>
    </cfRule>
  </conditionalFormatting>
  <conditionalFormatting sqref="F1319">
    <cfRule type="containsText" dxfId="349" priority="472" operator="containsText" text="FALSO">
      <formula>NOT(ISERROR(SEARCH("FALSO",F1319)))</formula>
    </cfRule>
  </conditionalFormatting>
  <conditionalFormatting sqref="F1318">
    <cfRule type="containsText" dxfId="348" priority="471" operator="containsText" text="FALSO">
      <formula>NOT(ISERROR(SEARCH("FALSO",F1318)))</formula>
    </cfRule>
  </conditionalFormatting>
  <conditionalFormatting sqref="F1317">
    <cfRule type="containsText" dxfId="347" priority="470" operator="containsText" text="FALSO">
      <formula>NOT(ISERROR(SEARCH("FALSO",F1317)))</formula>
    </cfRule>
  </conditionalFormatting>
  <conditionalFormatting sqref="F1316">
    <cfRule type="containsText" dxfId="346" priority="469" operator="containsText" text="FALSO">
      <formula>NOT(ISERROR(SEARCH("FALSO",F1316)))</formula>
    </cfRule>
  </conditionalFormatting>
  <conditionalFormatting sqref="F1315">
    <cfRule type="containsText" dxfId="345" priority="468" operator="containsText" text="FALSO">
      <formula>NOT(ISERROR(SEARCH("FALSO",F1315)))</formula>
    </cfRule>
  </conditionalFormatting>
  <conditionalFormatting sqref="F1314">
    <cfRule type="containsText" dxfId="344" priority="467" operator="containsText" text="FALSO">
      <formula>NOT(ISERROR(SEARCH("FALSO",F1314)))</formula>
    </cfRule>
  </conditionalFormatting>
  <conditionalFormatting sqref="F1313">
    <cfRule type="containsText" dxfId="343" priority="466" operator="containsText" text="FALSO">
      <formula>NOT(ISERROR(SEARCH("FALSO",F1313)))</formula>
    </cfRule>
  </conditionalFormatting>
  <conditionalFormatting sqref="F1312">
    <cfRule type="containsText" dxfId="342" priority="465" operator="containsText" text="FALSO">
      <formula>NOT(ISERROR(SEARCH("FALSO",F1312)))</formula>
    </cfRule>
  </conditionalFormatting>
  <conditionalFormatting sqref="F1311">
    <cfRule type="containsText" dxfId="341" priority="464" operator="containsText" text="FALSO">
      <formula>NOT(ISERROR(SEARCH("FALSO",F1311)))</formula>
    </cfRule>
  </conditionalFormatting>
  <conditionalFormatting sqref="F1310">
    <cfRule type="containsText" dxfId="340" priority="463" operator="containsText" text="FALSO">
      <formula>NOT(ISERROR(SEARCH("FALSO",F1310)))</formula>
    </cfRule>
  </conditionalFormatting>
  <conditionalFormatting sqref="F1309">
    <cfRule type="containsText" dxfId="339" priority="462" operator="containsText" text="FALSO">
      <formula>NOT(ISERROR(SEARCH("FALSO",F1309)))</formula>
    </cfRule>
  </conditionalFormatting>
  <conditionalFormatting sqref="F1308">
    <cfRule type="containsText" dxfId="338" priority="461" operator="containsText" text="FALSO">
      <formula>NOT(ISERROR(SEARCH("FALSO",F1308)))</formula>
    </cfRule>
  </conditionalFormatting>
  <conditionalFormatting sqref="A1325">
    <cfRule type="containsText" dxfId="337" priority="389" operator="containsText" text="FALSO">
      <formula>NOT(ISERROR(SEARCH("FALSO",A1325)))</formula>
    </cfRule>
  </conditionalFormatting>
  <conditionalFormatting sqref="F1336">
    <cfRule type="containsText" dxfId="336" priority="424" operator="containsText" text="FALSO">
      <formula>NOT(ISERROR(SEARCH("FALSO",F1336)))</formula>
    </cfRule>
  </conditionalFormatting>
  <conditionalFormatting sqref="F1335">
    <cfRule type="containsText" dxfId="335" priority="423" operator="containsText" text="FALSO">
      <formula>NOT(ISERROR(SEARCH("FALSO",F1335)))</formula>
    </cfRule>
  </conditionalFormatting>
  <conditionalFormatting sqref="F1334">
    <cfRule type="containsText" dxfId="334" priority="422" operator="containsText" text="FALSO">
      <formula>NOT(ISERROR(SEARCH("FALSO",F1334)))</formula>
    </cfRule>
  </conditionalFormatting>
  <conditionalFormatting sqref="F1333">
    <cfRule type="containsText" dxfId="333" priority="421" operator="containsText" text="FALSO">
      <formula>NOT(ISERROR(SEARCH("FALSO",F1333)))</formula>
    </cfRule>
  </conditionalFormatting>
  <conditionalFormatting sqref="F1332">
    <cfRule type="containsText" dxfId="332" priority="420" operator="containsText" text="FALSO">
      <formula>NOT(ISERROR(SEARCH("FALSO",F1332)))</formula>
    </cfRule>
  </conditionalFormatting>
  <conditionalFormatting sqref="F1331">
    <cfRule type="containsText" dxfId="331" priority="419" operator="containsText" text="FALSO">
      <formula>NOT(ISERROR(SEARCH("FALSO",F1331)))</formula>
    </cfRule>
  </conditionalFormatting>
  <conditionalFormatting sqref="F1330">
    <cfRule type="containsText" dxfId="330" priority="418" operator="containsText" text="FALSO">
      <formula>NOT(ISERROR(SEARCH("FALSO",F1330)))</formula>
    </cfRule>
  </conditionalFormatting>
  <conditionalFormatting sqref="F1329">
    <cfRule type="containsText" dxfId="329" priority="417" operator="containsText" text="FALSO">
      <formula>NOT(ISERROR(SEARCH("FALSO",F1329)))</formula>
    </cfRule>
  </conditionalFormatting>
  <conditionalFormatting sqref="F1328">
    <cfRule type="containsText" dxfId="328" priority="416" operator="containsText" text="FALSO">
      <formula>NOT(ISERROR(SEARCH("FALSO",F1328)))</formula>
    </cfRule>
  </conditionalFormatting>
  <conditionalFormatting sqref="F1327">
    <cfRule type="containsText" dxfId="327" priority="415" operator="containsText" text="FALSO">
      <formula>NOT(ISERROR(SEARCH("FALSO",F1327)))</formula>
    </cfRule>
  </conditionalFormatting>
  <conditionalFormatting sqref="F1326">
    <cfRule type="containsText" dxfId="326" priority="414" operator="containsText" text="FALSO">
      <formula>NOT(ISERROR(SEARCH("FALSO",F1326)))</formula>
    </cfRule>
  </conditionalFormatting>
  <conditionalFormatting sqref="F1325">
    <cfRule type="containsText" dxfId="325" priority="413" operator="containsText" text="FALSO">
      <formula>NOT(ISERROR(SEARCH("FALSO",F1325)))</formula>
    </cfRule>
  </conditionalFormatting>
  <conditionalFormatting sqref="E1336">
    <cfRule type="containsText" dxfId="324" priority="412" operator="containsText" text="FALSO">
      <formula>NOT(ISERROR(SEARCH("FALSO",E1336)))</formula>
    </cfRule>
  </conditionalFormatting>
  <conditionalFormatting sqref="E1335">
    <cfRule type="containsText" dxfId="323" priority="411" operator="containsText" text="FALSO">
      <formula>NOT(ISERROR(SEARCH("FALSO",E1335)))</formula>
    </cfRule>
  </conditionalFormatting>
  <conditionalFormatting sqref="E1334">
    <cfRule type="containsText" dxfId="322" priority="410" operator="containsText" text="FALSO">
      <formula>NOT(ISERROR(SEARCH("FALSO",E1334)))</formula>
    </cfRule>
  </conditionalFormatting>
  <conditionalFormatting sqref="E1333">
    <cfRule type="containsText" dxfId="321" priority="409" operator="containsText" text="FALSO">
      <formula>NOT(ISERROR(SEARCH("FALSO",E1333)))</formula>
    </cfRule>
  </conditionalFormatting>
  <conditionalFormatting sqref="E1332">
    <cfRule type="containsText" dxfId="320" priority="408" operator="containsText" text="FALSO">
      <formula>NOT(ISERROR(SEARCH("FALSO",E1332)))</formula>
    </cfRule>
  </conditionalFormatting>
  <conditionalFormatting sqref="E1331">
    <cfRule type="containsText" dxfId="319" priority="407" operator="containsText" text="FALSO">
      <formula>NOT(ISERROR(SEARCH("FALSO",E1331)))</formula>
    </cfRule>
  </conditionalFormatting>
  <conditionalFormatting sqref="E1330">
    <cfRule type="containsText" dxfId="318" priority="406" operator="containsText" text="FALSO">
      <formula>NOT(ISERROR(SEARCH("FALSO",E1330)))</formula>
    </cfRule>
  </conditionalFormatting>
  <conditionalFormatting sqref="E1329">
    <cfRule type="containsText" dxfId="317" priority="405" operator="containsText" text="FALSO">
      <formula>NOT(ISERROR(SEARCH("FALSO",E1329)))</formula>
    </cfRule>
  </conditionalFormatting>
  <conditionalFormatting sqref="E1328">
    <cfRule type="containsText" dxfId="316" priority="404" operator="containsText" text="FALSO">
      <formula>NOT(ISERROR(SEARCH("FALSO",E1328)))</formula>
    </cfRule>
  </conditionalFormatting>
  <conditionalFormatting sqref="E1327">
    <cfRule type="containsText" dxfId="315" priority="403" operator="containsText" text="FALSO">
      <formula>NOT(ISERROR(SEARCH("FALSO",E1327)))</formula>
    </cfRule>
  </conditionalFormatting>
  <conditionalFormatting sqref="E1326">
    <cfRule type="containsText" dxfId="314" priority="402" operator="containsText" text="FALSO">
      <formula>NOT(ISERROR(SEARCH("FALSO",E1326)))</formula>
    </cfRule>
  </conditionalFormatting>
  <conditionalFormatting sqref="E1325">
    <cfRule type="containsText" dxfId="313" priority="401" operator="containsText" text="FALSO">
      <formula>NOT(ISERROR(SEARCH("FALSO",E1325)))</formula>
    </cfRule>
  </conditionalFormatting>
  <conditionalFormatting sqref="A1336">
    <cfRule type="containsText" dxfId="312" priority="400" operator="containsText" text="FALSO">
      <formula>NOT(ISERROR(SEARCH("FALSO",A1336)))</formula>
    </cfRule>
  </conditionalFormatting>
  <conditionalFormatting sqref="A1335">
    <cfRule type="containsText" dxfId="311" priority="399" operator="containsText" text="FALSO">
      <formula>NOT(ISERROR(SEARCH("FALSO",A1335)))</formula>
    </cfRule>
  </conditionalFormatting>
  <conditionalFormatting sqref="A1334">
    <cfRule type="containsText" dxfId="310" priority="398" operator="containsText" text="FALSO">
      <formula>NOT(ISERROR(SEARCH("FALSO",A1334)))</formula>
    </cfRule>
  </conditionalFormatting>
  <conditionalFormatting sqref="A1333">
    <cfRule type="containsText" dxfId="309" priority="397" operator="containsText" text="FALSO">
      <formula>NOT(ISERROR(SEARCH("FALSO",A1333)))</formula>
    </cfRule>
  </conditionalFormatting>
  <conditionalFormatting sqref="A1332">
    <cfRule type="containsText" dxfId="308" priority="396" operator="containsText" text="FALSO">
      <formula>NOT(ISERROR(SEARCH("FALSO",A1332)))</formula>
    </cfRule>
  </conditionalFormatting>
  <conditionalFormatting sqref="A1331">
    <cfRule type="containsText" dxfId="307" priority="395" operator="containsText" text="FALSO">
      <formula>NOT(ISERROR(SEARCH("FALSO",A1331)))</formula>
    </cfRule>
  </conditionalFormatting>
  <conditionalFormatting sqref="A1330">
    <cfRule type="containsText" dxfId="306" priority="394" operator="containsText" text="FALSO">
      <formula>NOT(ISERROR(SEARCH("FALSO",A1330)))</formula>
    </cfRule>
  </conditionalFormatting>
  <conditionalFormatting sqref="A1329">
    <cfRule type="containsText" dxfId="305" priority="393" operator="containsText" text="FALSO">
      <formula>NOT(ISERROR(SEARCH("FALSO",A1329)))</formula>
    </cfRule>
  </conditionalFormatting>
  <conditionalFormatting sqref="A1328">
    <cfRule type="containsText" dxfId="304" priority="392" operator="containsText" text="FALSO">
      <formula>NOT(ISERROR(SEARCH("FALSO",A1328)))</formula>
    </cfRule>
  </conditionalFormatting>
  <conditionalFormatting sqref="A1327">
    <cfRule type="containsText" dxfId="303" priority="391" operator="containsText" text="FALSO">
      <formula>NOT(ISERROR(SEARCH("FALSO",A1327)))</formula>
    </cfRule>
  </conditionalFormatting>
  <conditionalFormatting sqref="A1326">
    <cfRule type="containsText" dxfId="302" priority="390" operator="containsText" text="FALSO">
      <formula>NOT(ISERROR(SEARCH("FALSO",A1326)))</formula>
    </cfRule>
  </conditionalFormatting>
  <conditionalFormatting sqref="B1355">
    <cfRule type="containsText" dxfId="301" priority="374" operator="containsText" text="FALSO">
      <formula>NOT(ISERROR(SEARCH("FALSO",B1355)))</formula>
    </cfRule>
  </conditionalFormatting>
  <conditionalFormatting sqref="B1354">
    <cfRule type="containsText" dxfId="300" priority="371" operator="containsText" text="FALSO">
      <formula>NOT(ISERROR(SEARCH("FALSO",B1354)))</formula>
    </cfRule>
  </conditionalFormatting>
  <conditionalFormatting sqref="B1359">
    <cfRule type="containsText" dxfId="299" priority="386" operator="containsText" text="FALSO">
      <formula>NOT(ISERROR(SEARCH("FALSO",B1359)))</formula>
    </cfRule>
  </conditionalFormatting>
  <conditionalFormatting sqref="B1359">
    <cfRule type="duplicateValues" dxfId="298" priority="387"/>
  </conditionalFormatting>
  <conditionalFormatting sqref="B1356">
    <cfRule type="containsText" dxfId="297" priority="377" operator="containsText" text="FALSO">
      <formula>NOT(ISERROR(SEARCH("FALSO",B1356)))</formula>
    </cfRule>
  </conditionalFormatting>
  <conditionalFormatting sqref="B1357">
    <cfRule type="containsText" dxfId="296" priority="380" operator="containsText" text="FALSO">
      <formula>NOT(ISERROR(SEARCH("FALSO",B1357)))</formula>
    </cfRule>
  </conditionalFormatting>
  <conditionalFormatting sqref="B1358">
    <cfRule type="containsText" dxfId="295" priority="383" operator="containsText" text="FALSO">
      <formula>NOT(ISERROR(SEARCH("FALSO",B1358)))</formula>
    </cfRule>
  </conditionalFormatting>
  <conditionalFormatting sqref="B1358">
    <cfRule type="duplicateValues" dxfId="294" priority="384"/>
  </conditionalFormatting>
  <conditionalFormatting sqref="B1357">
    <cfRule type="duplicateValues" dxfId="293" priority="381"/>
  </conditionalFormatting>
  <conditionalFormatting sqref="B1356">
    <cfRule type="duplicateValues" dxfId="292" priority="378"/>
  </conditionalFormatting>
  <conditionalFormatting sqref="B1355">
    <cfRule type="duplicateValues" dxfId="291" priority="375"/>
  </conditionalFormatting>
  <conditionalFormatting sqref="B1354">
    <cfRule type="duplicateValues" dxfId="290" priority="372"/>
  </conditionalFormatting>
  <conditionalFormatting sqref="B1353">
    <cfRule type="containsText" dxfId="289" priority="368" operator="containsText" text="FALSO">
      <formula>NOT(ISERROR(SEARCH("FALSO",B1353)))</formula>
    </cfRule>
  </conditionalFormatting>
  <conditionalFormatting sqref="B1353">
    <cfRule type="duplicateValues" dxfId="288" priority="369"/>
  </conditionalFormatting>
  <conditionalFormatting sqref="B1344">
    <cfRule type="containsText" dxfId="287" priority="365" operator="containsText" text="FALSO">
      <formula>NOT(ISERROR(SEARCH("FALSO",B1344)))</formula>
    </cfRule>
  </conditionalFormatting>
  <conditionalFormatting sqref="B1344">
    <cfRule type="duplicateValues" dxfId="286" priority="366"/>
  </conditionalFormatting>
  <conditionalFormatting sqref="B1343">
    <cfRule type="containsText" dxfId="285" priority="362" operator="containsText" text="FALSO">
      <formula>NOT(ISERROR(SEARCH("FALSO",B1343)))</formula>
    </cfRule>
  </conditionalFormatting>
  <conditionalFormatting sqref="B1343">
    <cfRule type="duplicateValues" dxfId="284" priority="363"/>
  </conditionalFormatting>
  <conditionalFormatting sqref="B1342">
    <cfRule type="containsText" dxfId="283" priority="359" operator="containsText" text="FALSO">
      <formula>NOT(ISERROR(SEARCH("FALSO",B1342)))</formula>
    </cfRule>
  </conditionalFormatting>
  <conditionalFormatting sqref="B1342">
    <cfRule type="duplicateValues" dxfId="282" priority="360"/>
  </conditionalFormatting>
  <conditionalFormatting sqref="B1341">
    <cfRule type="containsText" dxfId="281" priority="356" operator="containsText" text="FALSO">
      <formula>NOT(ISERROR(SEARCH("FALSO",B1341)))</formula>
    </cfRule>
  </conditionalFormatting>
  <conditionalFormatting sqref="B1341">
    <cfRule type="duplicateValues" dxfId="280" priority="357"/>
  </conditionalFormatting>
  <conditionalFormatting sqref="B1340">
    <cfRule type="containsText" dxfId="279" priority="353" operator="containsText" text="FALSO">
      <formula>NOT(ISERROR(SEARCH("FALSO",B1340)))</formula>
    </cfRule>
  </conditionalFormatting>
  <conditionalFormatting sqref="B1340">
    <cfRule type="duplicateValues" dxfId="278" priority="354"/>
  </conditionalFormatting>
  <conditionalFormatting sqref="B1339">
    <cfRule type="containsText" dxfId="277" priority="350" operator="containsText" text="FALSO">
      <formula>NOT(ISERROR(SEARCH("FALSO",B1339)))</formula>
    </cfRule>
  </conditionalFormatting>
  <conditionalFormatting sqref="B1339">
    <cfRule type="duplicateValues" dxfId="276" priority="351"/>
  </conditionalFormatting>
  <conditionalFormatting sqref="B1338">
    <cfRule type="containsText" dxfId="275" priority="347" operator="containsText" text="FALSO">
      <formula>NOT(ISERROR(SEARCH("FALSO",B1338)))</formula>
    </cfRule>
  </conditionalFormatting>
  <conditionalFormatting sqref="B1338">
    <cfRule type="duplicateValues" dxfId="274" priority="348"/>
  </conditionalFormatting>
  <conditionalFormatting sqref="B1337">
    <cfRule type="containsText" dxfId="273" priority="344" operator="containsText" text="FALSO">
      <formula>NOT(ISERROR(SEARCH("FALSO",B1337)))</formula>
    </cfRule>
  </conditionalFormatting>
  <conditionalFormatting sqref="B1337">
    <cfRule type="duplicateValues" dxfId="272" priority="345"/>
  </conditionalFormatting>
  <conditionalFormatting sqref="B1352">
    <cfRule type="containsText" dxfId="271" priority="341" operator="containsText" text="FALSO">
      <formula>NOT(ISERROR(SEARCH("FALSO",B1352)))</formula>
    </cfRule>
  </conditionalFormatting>
  <conditionalFormatting sqref="B1352">
    <cfRule type="duplicateValues" dxfId="270" priority="342"/>
  </conditionalFormatting>
  <conditionalFormatting sqref="B1351">
    <cfRule type="containsText" dxfId="269" priority="338" operator="containsText" text="FALSO">
      <formula>NOT(ISERROR(SEARCH("FALSO",B1351)))</formula>
    </cfRule>
  </conditionalFormatting>
  <conditionalFormatting sqref="B1351">
    <cfRule type="duplicateValues" dxfId="268" priority="339"/>
  </conditionalFormatting>
  <conditionalFormatting sqref="B1350">
    <cfRule type="containsText" dxfId="267" priority="335" operator="containsText" text="FALSO">
      <formula>NOT(ISERROR(SEARCH("FALSO",B1350)))</formula>
    </cfRule>
  </conditionalFormatting>
  <conditionalFormatting sqref="B1350">
    <cfRule type="duplicateValues" dxfId="266" priority="336"/>
  </conditionalFormatting>
  <conditionalFormatting sqref="B1349">
    <cfRule type="containsText" dxfId="265" priority="332" operator="containsText" text="FALSO">
      <formula>NOT(ISERROR(SEARCH("FALSO",B1349)))</formula>
    </cfRule>
  </conditionalFormatting>
  <conditionalFormatting sqref="B1349">
    <cfRule type="duplicateValues" dxfId="264" priority="333"/>
  </conditionalFormatting>
  <conditionalFormatting sqref="B1348">
    <cfRule type="containsText" dxfId="263" priority="329" operator="containsText" text="FALSO">
      <formula>NOT(ISERROR(SEARCH("FALSO",B1348)))</formula>
    </cfRule>
  </conditionalFormatting>
  <conditionalFormatting sqref="B1348">
    <cfRule type="duplicateValues" dxfId="262" priority="330"/>
  </conditionalFormatting>
  <conditionalFormatting sqref="B1347">
    <cfRule type="containsText" dxfId="261" priority="326" operator="containsText" text="FALSO">
      <formula>NOT(ISERROR(SEARCH("FALSO",B1347)))</formula>
    </cfRule>
  </conditionalFormatting>
  <conditionalFormatting sqref="B1347">
    <cfRule type="duplicateValues" dxfId="260" priority="327"/>
  </conditionalFormatting>
  <conditionalFormatting sqref="B1346">
    <cfRule type="containsText" dxfId="259" priority="323" operator="containsText" text="FALSO">
      <formula>NOT(ISERROR(SEARCH("FALSO",B1346)))</formula>
    </cfRule>
  </conditionalFormatting>
  <conditionalFormatting sqref="B1346">
    <cfRule type="duplicateValues" dxfId="258" priority="324"/>
  </conditionalFormatting>
  <conditionalFormatting sqref="B1345">
    <cfRule type="containsText" dxfId="257" priority="320" operator="containsText" text="FALSO">
      <formula>NOT(ISERROR(SEARCH("FALSO",B1345)))</formula>
    </cfRule>
  </conditionalFormatting>
  <conditionalFormatting sqref="B1345">
    <cfRule type="duplicateValues" dxfId="256" priority="321"/>
  </conditionalFormatting>
  <conditionalFormatting sqref="B1365">
    <cfRule type="containsText" dxfId="255" priority="318" operator="containsText" text="FALSO">
      <formula>NOT(ISERROR(SEARCH("FALSO",B1365)))</formula>
    </cfRule>
  </conditionalFormatting>
  <conditionalFormatting sqref="B1364">
    <cfRule type="containsText" dxfId="254" priority="316" operator="containsText" text="FALSO">
      <formula>NOT(ISERROR(SEARCH("FALSO",B1364)))</formula>
    </cfRule>
  </conditionalFormatting>
  <conditionalFormatting sqref="B1363">
    <cfRule type="containsText" dxfId="253" priority="314" operator="containsText" text="FALSO">
      <formula>NOT(ISERROR(SEARCH("FALSO",B1363)))</formula>
    </cfRule>
  </conditionalFormatting>
  <conditionalFormatting sqref="B1362">
    <cfRule type="containsText" dxfId="252" priority="312" operator="containsText" text="FALSO">
      <formula>NOT(ISERROR(SEARCH("FALSO",B1362)))</formula>
    </cfRule>
  </conditionalFormatting>
  <conditionalFormatting sqref="B1365">
    <cfRule type="duplicateValues" dxfId="251" priority="319"/>
  </conditionalFormatting>
  <conditionalFormatting sqref="B1364">
    <cfRule type="duplicateValues" dxfId="250" priority="317"/>
  </conditionalFormatting>
  <conditionalFormatting sqref="B1363">
    <cfRule type="duplicateValues" dxfId="249" priority="315"/>
  </conditionalFormatting>
  <conditionalFormatting sqref="B1362">
    <cfRule type="duplicateValues" dxfId="248" priority="313"/>
  </conditionalFormatting>
  <conditionalFormatting sqref="B1361">
    <cfRule type="containsText" dxfId="247" priority="310" operator="containsText" text="FALSO">
      <formula>NOT(ISERROR(SEARCH("FALSO",B1361)))</formula>
    </cfRule>
  </conditionalFormatting>
  <conditionalFormatting sqref="B1361">
    <cfRule type="duplicateValues" dxfId="246" priority="311"/>
  </conditionalFormatting>
  <conditionalFormatting sqref="B1360">
    <cfRule type="containsText" dxfId="245" priority="308" operator="containsText" text="FALSO">
      <formula>NOT(ISERROR(SEARCH("FALSO",B1360)))</formula>
    </cfRule>
  </conditionalFormatting>
  <conditionalFormatting sqref="B1360">
    <cfRule type="duplicateValues" dxfId="244" priority="309"/>
  </conditionalFormatting>
  <conditionalFormatting sqref="B1366:B1367">
    <cfRule type="containsText" dxfId="243" priority="300" operator="containsText" text="FALSO">
      <formula>NOT(ISERROR(SEARCH("FALSO",B1366)))</formula>
    </cfRule>
  </conditionalFormatting>
  <conditionalFormatting sqref="B1366:B1367">
    <cfRule type="duplicateValues" dxfId="242" priority="301"/>
  </conditionalFormatting>
  <conditionalFormatting sqref="A1366:A1367">
    <cfRule type="containsText" dxfId="241" priority="299" operator="containsText" text="FALSO">
      <formula>NOT(ISERROR(SEARCH("FALSO",A1366)))</formula>
    </cfRule>
  </conditionalFormatting>
  <conditionalFormatting sqref="E1366:E1367">
    <cfRule type="containsText" dxfId="240" priority="298" operator="containsText" text="FALSO">
      <formula>NOT(ISERROR(SEARCH("FALSO",E1366)))</formula>
    </cfRule>
  </conditionalFormatting>
  <conditionalFormatting sqref="F1366:F1367">
    <cfRule type="containsText" dxfId="239" priority="297" operator="containsText" text="FALSO">
      <formula>NOT(ISERROR(SEARCH("FALSO",F1366)))</formula>
    </cfRule>
  </conditionalFormatting>
  <conditionalFormatting sqref="B1372">
    <cfRule type="containsText" dxfId="238" priority="294" operator="containsText" text="FALSO">
      <formula>NOT(ISERROR(SEARCH("FALSO",B1372)))</formula>
    </cfRule>
  </conditionalFormatting>
  <conditionalFormatting sqref="B1370:B1371">
    <cfRule type="containsText" dxfId="237" priority="292" operator="containsText" text="FALSO">
      <formula>NOT(ISERROR(SEARCH("FALSO",B1370)))</formula>
    </cfRule>
  </conditionalFormatting>
  <conditionalFormatting sqref="B1369">
    <cfRule type="containsText" dxfId="236" priority="290" operator="containsText" text="FALSO">
      <formula>NOT(ISERROR(SEARCH("FALSO",B1369)))</formula>
    </cfRule>
  </conditionalFormatting>
  <conditionalFormatting sqref="B1370:B1371">
    <cfRule type="duplicateValues" dxfId="235" priority="293"/>
  </conditionalFormatting>
  <conditionalFormatting sqref="B1368:B1369">
    <cfRule type="duplicateValues" dxfId="234" priority="291"/>
  </conditionalFormatting>
  <conditionalFormatting sqref="B1372">
    <cfRule type="duplicateValues" dxfId="233" priority="296"/>
  </conditionalFormatting>
  <conditionalFormatting sqref="B1385">
    <cfRule type="containsText" dxfId="232" priority="288" operator="containsText" text="FALSO">
      <formula>NOT(ISERROR(SEARCH("FALSO",B1385)))</formula>
    </cfRule>
  </conditionalFormatting>
  <conditionalFormatting sqref="B1386">
    <cfRule type="containsText" dxfId="231" priority="283" operator="containsText" text="FALSO">
      <formula>NOT(ISERROR(SEARCH("FALSO",B1386)))</formula>
    </cfRule>
  </conditionalFormatting>
  <conditionalFormatting sqref="B1389">
    <cfRule type="containsText" dxfId="230" priority="287" operator="containsText" text="FALSO">
      <formula>NOT(ISERROR(SEARCH("FALSO",B1389)))</formula>
    </cfRule>
  </conditionalFormatting>
  <conditionalFormatting sqref="B1387:B1388">
    <cfRule type="containsText" dxfId="229" priority="285" operator="containsText" text="FALSO">
      <formula>NOT(ISERROR(SEARCH("FALSO",B1387)))</formula>
    </cfRule>
  </conditionalFormatting>
  <conditionalFormatting sqref="B1387:B1388">
    <cfRule type="duplicateValues" dxfId="228" priority="286"/>
  </conditionalFormatting>
  <conditionalFormatting sqref="B1385:B1386">
    <cfRule type="duplicateValues" dxfId="227" priority="284"/>
  </conditionalFormatting>
  <conditionalFormatting sqref="B1389">
    <cfRule type="duplicateValues" dxfId="226" priority="289"/>
  </conditionalFormatting>
  <conditionalFormatting sqref="B1384">
    <cfRule type="containsText" dxfId="225" priority="282" operator="containsText" text="FALSO">
      <formula>NOT(ISERROR(SEARCH("FALSO",B1384)))</formula>
    </cfRule>
  </conditionalFormatting>
  <conditionalFormatting sqref="B1384">
    <cfRule type="duplicateValues" dxfId="224" priority="281"/>
  </conditionalFormatting>
  <conditionalFormatting sqref="B1383">
    <cfRule type="containsText" dxfId="223" priority="280" operator="containsText" text="FALSO">
      <formula>NOT(ISERROR(SEARCH("FALSO",B1383)))</formula>
    </cfRule>
  </conditionalFormatting>
  <conditionalFormatting sqref="B1383">
    <cfRule type="duplicateValues" dxfId="222" priority="279"/>
  </conditionalFormatting>
  <conditionalFormatting sqref="B1382">
    <cfRule type="containsText" dxfId="221" priority="278" operator="containsText" text="FALSO">
      <formula>NOT(ISERROR(SEARCH("FALSO",B1382)))</formula>
    </cfRule>
  </conditionalFormatting>
  <conditionalFormatting sqref="B1382">
    <cfRule type="duplicateValues" dxfId="220" priority="277"/>
  </conditionalFormatting>
  <conditionalFormatting sqref="B1381">
    <cfRule type="containsText" dxfId="219" priority="276" operator="containsText" text="FALSO">
      <formula>NOT(ISERROR(SEARCH("FALSO",B1381)))</formula>
    </cfRule>
  </conditionalFormatting>
  <conditionalFormatting sqref="B1381">
    <cfRule type="duplicateValues" dxfId="218" priority="275"/>
  </conditionalFormatting>
  <conditionalFormatting sqref="B1380">
    <cfRule type="containsText" dxfId="217" priority="274" operator="containsText" text="FALSO">
      <formula>NOT(ISERROR(SEARCH("FALSO",B1380)))</formula>
    </cfRule>
  </conditionalFormatting>
  <conditionalFormatting sqref="B1380">
    <cfRule type="duplicateValues" dxfId="216" priority="273"/>
  </conditionalFormatting>
  <conditionalFormatting sqref="B1379">
    <cfRule type="containsText" dxfId="215" priority="272" operator="containsText" text="FALSO">
      <formula>NOT(ISERROR(SEARCH("FALSO",B1379)))</formula>
    </cfRule>
  </conditionalFormatting>
  <conditionalFormatting sqref="B1379">
    <cfRule type="duplicateValues" dxfId="214" priority="271"/>
  </conditionalFormatting>
  <conditionalFormatting sqref="B1378">
    <cfRule type="containsText" dxfId="213" priority="270" operator="containsText" text="FALSO">
      <formula>NOT(ISERROR(SEARCH("FALSO",B1378)))</formula>
    </cfRule>
  </conditionalFormatting>
  <conditionalFormatting sqref="B1378">
    <cfRule type="duplicateValues" dxfId="212" priority="269"/>
  </conditionalFormatting>
  <conditionalFormatting sqref="B1377">
    <cfRule type="containsText" dxfId="211" priority="268" operator="containsText" text="FALSO">
      <formula>NOT(ISERROR(SEARCH("FALSO",B1377)))</formula>
    </cfRule>
  </conditionalFormatting>
  <conditionalFormatting sqref="B1377">
    <cfRule type="duplicateValues" dxfId="210" priority="267"/>
  </conditionalFormatting>
  <conditionalFormatting sqref="B1376">
    <cfRule type="containsText" dxfId="209" priority="266" operator="containsText" text="FALSO">
      <formula>NOT(ISERROR(SEARCH("FALSO",B1376)))</formula>
    </cfRule>
  </conditionalFormatting>
  <conditionalFormatting sqref="B1376">
    <cfRule type="duplicateValues" dxfId="208" priority="265"/>
  </conditionalFormatting>
  <conditionalFormatting sqref="B1375">
    <cfRule type="containsText" dxfId="207" priority="264" operator="containsText" text="FALSO">
      <formula>NOT(ISERROR(SEARCH("FALSO",B1375)))</formula>
    </cfRule>
  </conditionalFormatting>
  <conditionalFormatting sqref="B1375">
    <cfRule type="duplicateValues" dxfId="206" priority="263"/>
  </conditionalFormatting>
  <conditionalFormatting sqref="B1374">
    <cfRule type="containsText" dxfId="205" priority="262" operator="containsText" text="FALSO">
      <formula>NOT(ISERROR(SEARCH("FALSO",B1374)))</formula>
    </cfRule>
  </conditionalFormatting>
  <conditionalFormatting sqref="B1374">
    <cfRule type="duplicateValues" dxfId="204" priority="261"/>
  </conditionalFormatting>
  <conditionalFormatting sqref="B1373">
    <cfRule type="containsText" dxfId="203" priority="260" operator="containsText" text="FALSO">
      <formula>NOT(ISERROR(SEARCH("FALSO",B1373)))</formula>
    </cfRule>
  </conditionalFormatting>
  <conditionalFormatting sqref="B1373">
    <cfRule type="duplicateValues" dxfId="202" priority="259"/>
  </conditionalFormatting>
  <conditionalFormatting sqref="A1385">
    <cfRule type="containsText" dxfId="201" priority="258" operator="containsText" text="FALSO">
      <formula>NOT(ISERROR(SEARCH("FALSO",A1385)))</formula>
    </cfRule>
  </conditionalFormatting>
  <conditionalFormatting sqref="A1386">
    <cfRule type="containsText" dxfId="200" priority="255" operator="containsText" text="FALSO">
      <formula>NOT(ISERROR(SEARCH("FALSO",A1386)))</formula>
    </cfRule>
  </conditionalFormatting>
  <conditionalFormatting sqref="A1389">
    <cfRule type="containsText" dxfId="199" priority="257" operator="containsText" text="FALSO">
      <formula>NOT(ISERROR(SEARCH("FALSO",A1389)))</formula>
    </cfRule>
  </conditionalFormatting>
  <conditionalFormatting sqref="A1387:A1388">
    <cfRule type="containsText" dxfId="198" priority="256" operator="containsText" text="FALSO">
      <formula>NOT(ISERROR(SEARCH("FALSO",A1387)))</formula>
    </cfRule>
  </conditionalFormatting>
  <conditionalFormatting sqref="A1384">
    <cfRule type="containsText" dxfId="197" priority="254" operator="containsText" text="FALSO">
      <formula>NOT(ISERROR(SEARCH("FALSO",A1384)))</formula>
    </cfRule>
  </conditionalFormatting>
  <conditionalFormatting sqref="A1383">
    <cfRule type="containsText" dxfId="196" priority="253" operator="containsText" text="FALSO">
      <formula>NOT(ISERROR(SEARCH("FALSO",A1383)))</formula>
    </cfRule>
  </conditionalFormatting>
  <conditionalFormatting sqref="A1382">
    <cfRule type="containsText" dxfId="195" priority="252" operator="containsText" text="FALSO">
      <formula>NOT(ISERROR(SEARCH("FALSO",A1382)))</formula>
    </cfRule>
  </conditionalFormatting>
  <conditionalFormatting sqref="A1381">
    <cfRule type="containsText" dxfId="194" priority="251" operator="containsText" text="FALSO">
      <formula>NOT(ISERROR(SEARCH("FALSO",A1381)))</formula>
    </cfRule>
  </conditionalFormatting>
  <conditionalFormatting sqref="A1380">
    <cfRule type="containsText" dxfId="193" priority="250" operator="containsText" text="FALSO">
      <formula>NOT(ISERROR(SEARCH("FALSO",A1380)))</formula>
    </cfRule>
  </conditionalFormatting>
  <conditionalFormatting sqref="A1379">
    <cfRule type="containsText" dxfId="192" priority="249" operator="containsText" text="FALSO">
      <formula>NOT(ISERROR(SEARCH("FALSO",A1379)))</formula>
    </cfRule>
  </conditionalFormatting>
  <conditionalFormatting sqref="A1378">
    <cfRule type="containsText" dxfId="191" priority="248" operator="containsText" text="FALSO">
      <formula>NOT(ISERROR(SEARCH("FALSO",A1378)))</formula>
    </cfRule>
  </conditionalFormatting>
  <conditionalFormatting sqref="A1377">
    <cfRule type="containsText" dxfId="190" priority="247" operator="containsText" text="FALSO">
      <formula>NOT(ISERROR(SEARCH("FALSO",A1377)))</formula>
    </cfRule>
  </conditionalFormatting>
  <conditionalFormatting sqref="A1376">
    <cfRule type="containsText" dxfId="189" priority="246" operator="containsText" text="FALSO">
      <formula>NOT(ISERROR(SEARCH("FALSO",A1376)))</formula>
    </cfRule>
  </conditionalFormatting>
  <conditionalFormatting sqref="A1375">
    <cfRule type="containsText" dxfId="188" priority="245" operator="containsText" text="FALSO">
      <formula>NOT(ISERROR(SEARCH("FALSO",A1375)))</formula>
    </cfRule>
  </conditionalFormatting>
  <conditionalFormatting sqref="A1374">
    <cfRule type="containsText" dxfId="187" priority="244" operator="containsText" text="FALSO">
      <formula>NOT(ISERROR(SEARCH("FALSO",A1374)))</formula>
    </cfRule>
  </conditionalFormatting>
  <conditionalFormatting sqref="A1373">
    <cfRule type="containsText" dxfId="186" priority="243" operator="containsText" text="FALSO">
      <formula>NOT(ISERROR(SEARCH("FALSO",A1373)))</formula>
    </cfRule>
  </conditionalFormatting>
  <conditionalFormatting sqref="E1385">
    <cfRule type="containsText" dxfId="185" priority="242" operator="containsText" text="FALSO">
      <formula>NOT(ISERROR(SEARCH("FALSO",E1385)))</formula>
    </cfRule>
  </conditionalFormatting>
  <conditionalFormatting sqref="E1386">
    <cfRule type="containsText" dxfId="184" priority="239" operator="containsText" text="FALSO">
      <formula>NOT(ISERROR(SEARCH("FALSO",E1386)))</formula>
    </cfRule>
  </conditionalFormatting>
  <conditionalFormatting sqref="E1389">
    <cfRule type="containsText" dxfId="183" priority="241" operator="containsText" text="FALSO">
      <formula>NOT(ISERROR(SEARCH("FALSO",E1389)))</formula>
    </cfRule>
  </conditionalFormatting>
  <conditionalFormatting sqref="E1387:E1388">
    <cfRule type="containsText" dxfId="182" priority="240" operator="containsText" text="FALSO">
      <formula>NOT(ISERROR(SEARCH("FALSO",E1387)))</formula>
    </cfRule>
  </conditionalFormatting>
  <conditionalFormatting sqref="E1384">
    <cfRule type="containsText" dxfId="181" priority="238" operator="containsText" text="FALSO">
      <formula>NOT(ISERROR(SEARCH("FALSO",E1384)))</formula>
    </cfRule>
  </conditionalFormatting>
  <conditionalFormatting sqref="E1383">
    <cfRule type="containsText" dxfId="180" priority="237" operator="containsText" text="FALSO">
      <formula>NOT(ISERROR(SEARCH("FALSO",E1383)))</formula>
    </cfRule>
  </conditionalFormatting>
  <conditionalFormatting sqref="E1382">
    <cfRule type="containsText" dxfId="179" priority="236" operator="containsText" text="FALSO">
      <formula>NOT(ISERROR(SEARCH("FALSO",E1382)))</formula>
    </cfRule>
  </conditionalFormatting>
  <conditionalFormatting sqref="E1381">
    <cfRule type="containsText" dxfId="178" priority="235" operator="containsText" text="FALSO">
      <formula>NOT(ISERROR(SEARCH("FALSO",E1381)))</formula>
    </cfRule>
  </conditionalFormatting>
  <conditionalFormatting sqref="E1380">
    <cfRule type="containsText" dxfId="177" priority="234" operator="containsText" text="FALSO">
      <formula>NOT(ISERROR(SEARCH("FALSO",E1380)))</formula>
    </cfRule>
  </conditionalFormatting>
  <conditionalFormatting sqref="E1379">
    <cfRule type="containsText" dxfId="176" priority="233" operator="containsText" text="FALSO">
      <formula>NOT(ISERROR(SEARCH("FALSO",E1379)))</formula>
    </cfRule>
  </conditionalFormatting>
  <conditionalFormatting sqref="E1378">
    <cfRule type="containsText" dxfId="175" priority="232" operator="containsText" text="FALSO">
      <formula>NOT(ISERROR(SEARCH("FALSO",E1378)))</formula>
    </cfRule>
  </conditionalFormatting>
  <conditionalFormatting sqref="E1377">
    <cfRule type="containsText" dxfId="174" priority="231" operator="containsText" text="FALSO">
      <formula>NOT(ISERROR(SEARCH("FALSO",E1377)))</formula>
    </cfRule>
  </conditionalFormatting>
  <conditionalFormatting sqref="E1376">
    <cfRule type="containsText" dxfId="173" priority="230" operator="containsText" text="FALSO">
      <formula>NOT(ISERROR(SEARCH("FALSO",E1376)))</formula>
    </cfRule>
  </conditionalFormatting>
  <conditionalFormatting sqref="E1375">
    <cfRule type="containsText" dxfId="172" priority="229" operator="containsText" text="FALSO">
      <formula>NOT(ISERROR(SEARCH("FALSO",E1375)))</formula>
    </cfRule>
  </conditionalFormatting>
  <conditionalFormatting sqref="E1374">
    <cfRule type="containsText" dxfId="171" priority="228" operator="containsText" text="FALSO">
      <formula>NOT(ISERROR(SEARCH("FALSO",E1374)))</formula>
    </cfRule>
  </conditionalFormatting>
  <conditionalFormatting sqref="E1373">
    <cfRule type="containsText" dxfId="170" priority="227" operator="containsText" text="FALSO">
      <formula>NOT(ISERROR(SEARCH("FALSO",E1373)))</formula>
    </cfRule>
  </conditionalFormatting>
  <conditionalFormatting sqref="F1385">
    <cfRule type="containsText" dxfId="169" priority="226" operator="containsText" text="FALSO">
      <formula>NOT(ISERROR(SEARCH("FALSO",F1385)))</formula>
    </cfRule>
  </conditionalFormatting>
  <conditionalFormatting sqref="F1386">
    <cfRule type="containsText" dxfId="168" priority="223" operator="containsText" text="FALSO">
      <formula>NOT(ISERROR(SEARCH("FALSO",F1386)))</formula>
    </cfRule>
  </conditionalFormatting>
  <conditionalFormatting sqref="F1389">
    <cfRule type="containsText" dxfId="167" priority="225" operator="containsText" text="FALSO">
      <formula>NOT(ISERROR(SEARCH("FALSO",F1389)))</formula>
    </cfRule>
  </conditionalFormatting>
  <conditionalFormatting sqref="F1387:F1388">
    <cfRule type="containsText" dxfId="166" priority="224" operator="containsText" text="FALSO">
      <formula>NOT(ISERROR(SEARCH("FALSO",F1387)))</formula>
    </cfRule>
  </conditionalFormatting>
  <conditionalFormatting sqref="F1384">
    <cfRule type="containsText" dxfId="165" priority="222" operator="containsText" text="FALSO">
      <formula>NOT(ISERROR(SEARCH("FALSO",F1384)))</formula>
    </cfRule>
  </conditionalFormatting>
  <conditionalFormatting sqref="F1383">
    <cfRule type="containsText" dxfId="164" priority="221" operator="containsText" text="FALSO">
      <formula>NOT(ISERROR(SEARCH("FALSO",F1383)))</formula>
    </cfRule>
  </conditionalFormatting>
  <conditionalFormatting sqref="F1382">
    <cfRule type="containsText" dxfId="163" priority="220" operator="containsText" text="FALSO">
      <formula>NOT(ISERROR(SEARCH("FALSO",F1382)))</formula>
    </cfRule>
  </conditionalFormatting>
  <conditionalFormatting sqref="F1381">
    <cfRule type="containsText" dxfId="162" priority="219" operator="containsText" text="FALSO">
      <formula>NOT(ISERROR(SEARCH("FALSO",F1381)))</formula>
    </cfRule>
  </conditionalFormatting>
  <conditionalFormatting sqref="F1380">
    <cfRule type="containsText" dxfId="161" priority="218" operator="containsText" text="FALSO">
      <formula>NOT(ISERROR(SEARCH("FALSO",F1380)))</formula>
    </cfRule>
  </conditionalFormatting>
  <conditionalFormatting sqref="F1379">
    <cfRule type="containsText" dxfId="160" priority="217" operator="containsText" text="FALSO">
      <formula>NOT(ISERROR(SEARCH("FALSO",F1379)))</formula>
    </cfRule>
  </conditionalFormatting>
  <conditionalFormatting sqref="F1378">
    <cfRule type="containsText" dxfId="159" priority="216" operator="containsText" text="FALSO">
      <formula>NOT(ISERROR(SEARCH("FALSO",F1378)))</formula>
    </cfRule>
  </conditionalFormatting>
  <conditionalFormatting sqref="F1377">
    <cfRule type="containsText" dxfId="158" priority="215" operator="containsText" text="FALSO">
      <formula>NOT(ISERROR(SEARCH("FALSO",F1377)))</formula>
    </cfRule>
  </conditionalFormatting>
  <conditionalFormatting sqref="F1376">
    <cfRule type="containsText" dxfId="157" priority="214" operator="containsText" text="FALSO">
      <formula>NOT(ISERROR(SEARCH("FALSO",F1376)))</formula>
    </cfRule>
  </conditionalFormatting>
  <conditionalFormatting sqref="F1375">
    <cfRule type="containsText" dxfId="156" priority="213" operator="containsText" text="FALSO">
      <formula>NOT(ISERROR(SEARCH("FALSO",F1375)))</formula>
    </cfRule>
  </conditionalFormatting>
  <conditionalFormatting sqref="F1374">
    <cfRule type="containsText" dxfId="155" priority="212" operator="containsText" text="FALSO">
      <formula>NOT(ISERROR(SEARCH("FALSO",F1374)))</formula>
    </cfRule>
  </conditionalFormatting>
  <conditionalFormatting sqref="F1373">
    <cfRule type="containsText" dxfId="154" priority="211" operator="containsText" text="FALSO">
      <formula>NOT(ISERROR(SEARCH("FALSO",F1373)))</formula>
    </cfRule>
  </conditionalFormatting>
  <conditionalFormatting sqref="B1390">
    <cfRule type="duplicateValues" dxfId="153" priority="210"/>
  </conditionalFormatting>
  <conditionalFormatting sqref="B1394">
    <cfRule type="duplicateValues" dxfId="152" priority="208"/>
  </conditionalFormatting>
  <conditionalFormatting sqref="B1393">
    <cfRule type="duplicateValues" dxfId="151" priority="206"/>
  </conditionalFormatting>
  <conditionalFormatting sqref="B1392">
    <cfRule type="duplicateValues" dxfId="150" priority="204"/>
  </conditionalFormatting>
  <conditionalFormatting sqref="B1391">
    <cfRule type="duplicateValues" dxfId="149" priority="202"/>
  </conditionalFormatting>
  <conditionalFormatting sqref="B1413">
    <cfRule type="duplicateValues" dxfId="148" priority="200"/>
  </conditionalFormatting>
  <conditionalFormatting sqref="B1412">
    <cfRule type="duplicateValues" dxfId="147" priority="198"/>
  </conditionalFormatting>
  <conditionalFormatting sqref="B1411">
    <cfRule type="duplicateValues" dxfId="146" priority="196"/>
  </conditionalFormatting>
  <conditionalFormatting sqref="B1410">
    <cfRule type="duplicateValues" dxfId="145" priority="194"/>
  </conditionalFormatting>
  <conditionalFormatting sqref="B1409">
    <cfRule type="duplicateValues" dxfId="144" priority="192"/>
  </conditionalFormatting>
  <conditionalFormatting sqref="B1408">
    <cfRule type="duplicateValues" dxfId="143" priority="190"/>
  </conditionalFormatting>
  <conditionalFormatting sqref="B1407">
    <cfRule type="duplicateValues" dxfId="142" priority="188"/>
  </conditionalFormatting>
  <conditionalFormatting sqref="B1406">
    <cfRule type="duplicateValues" dxfId="141" priority="186"/>
  </conditionalFormatting>
  <conditionalFormatting sqref="B1405">
    <cfRule type="duplicateValues" dxfId="140" priority="184"/>
  </conditionalFormatting>
  <conditionalFormatting sqref="B1404">
    <cfRule type="duplicateValues" dxfId="139" priority="182"/>
  </conditionalFormatting>
  <conditionalFormatting sqref="B1403">
    <cfRule type="duplicateValues" dxfId="138" priority="180"/>
  </conditionalFormatting>
  <conditionalFormatting sqref="B1402">
    <cfRule type="duplicateValues" dxfId="137" priority="178"/>
  </conditionalFormatting>
  <conditionalFormatting sqref="B1401">
    <cfRule type="duplicateValues" dxfId="136" priority="176"/>
  </conditionalFormatting>
  <conditionalFormatting sqref="B1400">
    <cfRule type="duplicateValues" dxfId="135" priority="174"/>
  </conditionalFormatting>
  <conditionalFormatting sqref="B1399">
    <cfRule type="duplicateValues" dxfId="134" priority="172"/>
  </conditionalFormatting>
  <conditionalFormatting sqref="B1398">
    <cfRule type="duplicateValues" dxfId="133" priority="170"/>
  </conditionalFormatting>
  <conditionalFormatting sqref="B1397">
    <cfRule type="duplicateValues" dxfId="132" priority="168"/>
  </conditionalFormatting>
  <conditionalFormatting sqref="B1396">
    <cfRule type="duplicateValues" dxfId="131" priority="166"/>
  </conditionalFormatting>
  <conditionalFormatting sqref="B1395">
    <cfRule type="duplicateValues" dxfId="130" priority="164"/>
  </conditionalFormatting>
  <conditionalFormatting sqref="B1414:B1416">
    <cfRule type="duplicateValues" dxfId="129" priority="162"/>
  </conditionalFormatting>
  <conditionalFormatting sqref="B1417:B1419">
    <cfRule type="duplicateValues" dxfId="128" priority="160"/>
  </conditionalFormatting>
  <conditionalFormatting sqref="B1420">
    <cfRule type="duplicateValues" dxfId="127" priority="158"/>
  </conditionalFormatting>
  <conditionalFormatting sqref="B1430">
    <cfRule type="containsText" dxfId="126" priority="156" operator="containsText" text="FALSO">
      <formula>NOT(ISERROR(SEARCH("FALSO",B1430)))</formula>
    </cfRule>
  </conditionalFormatting>
  <conditionalFormatting sqref="B1430">
    <cfRule type="duplicateValues" dxfId="125" priority="155"/>
  </conditionalFormatting>
  <conditionalFormatting sqref="B1429">
    <cfRule type="containsText" dxfId="124" priority="154" operator="containsText" text="FALSO">
      <formula>NOT(ISERROR(SEARCH("FALSO",B1429)))</formula>
    </cfRule>
  </conditionalFormatting>
  <conditionalFormatting sqref="B1429">
    <cfRule type="duplicateValues" dxfId="123" priority="153"/>
  </conditionalFormatting>
  <conditionalFormatting sqref="B1428">
    <cfRule type="containsText" dxfId="122" priority="152" operator="containsText" text="FALSO">
      <formula>NOT(ISERROR(SEARCH("FALSO",B1428)))</formula>
    </cfRule>
  </conditionalFormatting>
  <conditionalFormatting sqref="B1428">
    <cfRule type="duplicateValues" dxfId="121" priority="151"/>
  </conditionalFormatting>
  <conditionalFormatting sqref="B1427">
    <cfRule type="containsText" dxfId="120" priority="150" operator="containsText" text="FALSO">
      <formula>NOT(ISERROR(SEARCH("FALSO",B1427)))</formula>
    </cfRule>
  </conditionalFormatting>
  <conditionalFormatting sqref="B1427">
    <cfRule type="duplicateValues" dxfId="119" priority="149"/>
  </conditionalFormatting>
  <conditionalFormatting sqref="B1426">
    <cfRule type="containsText" dxfId="118" priority="148" operator="containsText" text="FALSO">
      <formula>NOT(ISERROR(SEARCH("FALSO",B1426)))</formula>
    </cfRule>
  </conditionalFormatting>
  <conditionalFormatting sqref="B1426">
    <cfRule type="duplicateValues" dxfId="117" priority="147"/>
  </conditionalFormatting>
  <conditionalFormatting sqref="B1425">
    <cfRule type="containsText" dxfId="116" priority="146" operator="containsText" text="FALSO">
      <formula>NOT(ISERROR(SEARCH("FALSO",B1425)))</formula>
    </cfRule>
  </conditionalFormatting>
  <conditionalFormatting sqref="B1425">
    <cfRule type="duplicateValues" dxfId="115" priority="145"/>
  </conditionalFormatting>
  <conditionalFormatting sqref="B1424">
    <cfRule type="containsText" dxfId="114" priority="144" operator="containsText" text="FALSO">
      <formula>NOT(ISERROR(SEARCH("FALSO",B1424)))</formula>
    </cfRule>
  </conditionalFormatting>
  <conditionalFormatting sqref="B1424">
    <cfRule type="duplicateValues" dxfId="113" priority="143"/>
  </conditionalFormatting>
  <conditionalFormatting sqref="B1423">
    <cfRule type="containsText" dxfId="112" priority="142" operator="containsText" text="FALSO">
      <formula>NOT(ISERROR(SEARCH("FALSO",B1423)))</formula>
    </cfRule>
  </conditionalFormatting>
  <conditionalFormatting sqref="B1423">
    <cfRule type="duplicateValues" dxfId="111" priority="141"/>
  </conditionalFormatting>
  <conditionalFormatting sqref="B1422">
    <cfRule type="containsText" dxfId="110" priority="140" operator="containsText" text="FALSO">
      <formula>NOT(ISERROR(SEARCH("FALSO",B1422)))</formula>
    </cfRule>
  </conditionalFormatting>
  <conditionalFormatting sqref="B1422">
    <cfRule type="duplicateValues" dxfId="109" priority="139"/>
  </conditionalFormatting>
  <conditionalFormatting sqref="B1421">
    <cfRule type="containsText" dxfId="108" priority="138" operator="containsText" text="FALSO">
      <formula>NOT(ISERROR(SEARCH("FALSO",B1421)))</formula>
    </cfRule>
  </conditionalFormatting>
  <conditionalFormatting sqref="B1421">
    <cfRule type="duplicateValues" dxfId="107" priority="137"/>
  </conditionalFormatting>
  <conditionalFormatting sqref="B1431:B1434">
    <cfRule type="containsText" dxfId="106" priority="135" operator="containsText" text="FALSO">
      <formula>NOT(ISERROR(SEARCH("FALSO",B1431)))</formula>
    </cfRule>
  </conditionalFormatting>
  <conditionalFormatting sqref="B1431:B1434">
    <cfRule type="duplicateValues" dxfId="105" priority="136"/>
  </conditionalFormatting>
  <conditionalFormatting sqref="F1430">
    <cfRule type="containsText" dxfId="104" priority="134" operator="containsText" text="FALSO">
      <formula>NOT(ISERROR(SEARCH("FALSO",F1430)))</formula>
    </cfRule>
  </conditionalFormatting>
  <conditionalFormatting sqref="F1429">
    <cfRule type="containsText" dxfId="103" priority="133" operator="containsText" text="FALSO">
      <formula>NOT(ISERROR(SEARCH("FALSO",F1429)))</formula>
    </cfRule>
  </conditionalFormatting>
  <conditionalFormatting sqref="F1428">
    <cfRule type="containsText" dxfId="102" priority="132" operator="containsText" text="FALSO">
      <formula>NOT(ISERROR(SEARCH("FALSO",F1428)))</formula>
    </cfRule>
  </conditionalFormatting>
  <conditionalFormatting sqref="F1427">
    <cfRule type="containsText" dxfId="101" priority="131" operator="containsText" text="FALSO">
      <formula>NOT(ISERROR(SEARCH("FALSO",F1427)))</formula>
    </cfRule>
  </conditionalFormatting>
  <conditionalFormatting sqref="F1426">
    <cfRule type="containsText" dxfId="100" priority="130" operator="containsText" text="FALSO">
      <formula>NOT(ISERROR(SEARCH("FALSO",F1426)))</formula>
    </cfRule>
  </conditionalFormatting>
  <conditionalFormatting sqref="F1425">
    <cfRule type="containsText" dxfId="99" priority="129" operator="containsText" text="FALSO">
      <formula>NOT(ISERROR(SEARCH("FALSO",F1425)))</formula>
    </cfRule>
  </conditionalFormatting>
  <conditionalFormatting sqref="F1424">
    <cfRule type="containsText" dxfId="98" priority="128" operator="containsText" text="FALSO">
      <formula>NOT(ISERROR(SEARCH("FALSO",F1424)))</formula>
    </cfRule>
  </conditionalFormatting>
  <conditionalFormatting sqref="F1421">
    <cfRule type="containsText" dxfId="97" priority="127" operator="containsText" text="FALSO">
      <formula>NOT(ISERROR(SEARCH("FALSO",F1421)))</formula>
    </cfRule>
  </conditionalFormatting>
  <conditionalFormatting sqref="F1422">
    <cfRule type="containsText" dxfId="96" priority="126" operator="containsText" text="FALSO">
      <formula>NOT(ISERROR(SEARCH("FALSO",F1422)))</formula>
    </cfRule>
  </conditionalFormatting>
  <conditionalFormatting sqref="F1423">
    <cfRule type="containsText" dxfId="95" priority="125" operator="containsText" text="FALSO">
      <formula>NOT(ISERROR(SEARCH("FALSO",F1423)))</formula>
    </cfRule>
  </conditionalFormatting>
  <conditionalFormatting sqref="F1431:F1434">
    <cfRule type="containsText" dxfId="94" priority="124" operator="containsText" text="FALSO">
      <formula>NOT(ISERROR(SEARCH("FALSO",F1431)))</formula>
    </cfRule>
  </conditionalFormatting>
  <conditionalFormatting sqref="A1430">
    <cfRule type="containsText" dxfId="93" priority="123" operator="containsText" text="FALSO">
      <formula>NOT(ISERROR(SEARCH("FALSO",A1430)))</formula>
    </cfRule>
  </conditionalFormatting>
  <conditionalFormatting sqref="A1429">
    <cfRule type="containsText" dxfId="92" priority="122" operator="containsText" text="FALSO">
      <formula>NOT(ISERROR(SEARCH("FALSO",A1429)))</formula>
    </cfRule>
  </conditionalFormatting>
  <conditionalFormatting sqref="A1428">
    <cfRule type="containsText" dxfId="91" priority="121" operator="containsText" text="FALSO">
      <formula>NOT(ISERROR(SEARCH("FALSO",A1428)))</formula>
    </cfRule>
  </conditionalFormatting>
  <conditionalFormatting sqref="A1427">
    <cfRule type="containsText" dxfId="90" priority="120" operator="containsText" text="FALSO">
      <formula>NOT(ISERROR(SEARCH("FALSO",A1427)))</formula>
    </cfRule>
  </conditionalFormatting>
  <conditionalFormatting sqref="A1426">
    <cfRule type="containsText" dxfId="89" priority="119" operator="containsText" text="FALSO">
      <formula>NOT(ISERROR(SEARCH("FALSO",A1426)))</formula>
    </cfRule>
  </conditionalFormatting>
  <conditionalFormatting sqref="A1425">
    <cfRule type="containsText" dxfId="88" priority="118" operator="containsText" text="FALSO">
      <formula>NOT(ISERROR(SEARCH("FALSO",A1425)))</formula>
    </cfRule>
  </conditionalFormatting>
  <conditionalFormatting sqref="A1424">
    <cfRule type="containsText" dxfId="87" priority="117" operator="containsText" text="FALSO">
      <formula>NOT(ISERROR(SEARCH("FALSO",A1424)))</formula>
    </cfRule>
  </conditionalFormatting>
  <conditionalFormatting sqref="A1423">
    <cfRule type="containsText" dxfId="86" priority="116" operator="containsText" text="FALSO">
      <formula>NOT(ISERROR(SEARCH("FALSO",A1423)))</formula>
    </cfRule>
  </conditionalFormatting>
  <conditionalFormatting sqref="A1422">
    <cfRule type="containsText" dxfId="85" priority="115" operator="containsText" text="FALSO">
      <formula>NOT(ISERROR(SEARCH("FALSO",A1422)))</formula>
    </cfRule>
  </conditionalFormatting>
  <conditionalFormatting sqref="A1421">
    <cfRule type="containsText" dxfId="84" priority="114" operator="containsText" text="FALSO">
      <formula>NOT(ISERROR(SEARCH("FALSO",A1421)))</formula>
    </cfRule>
  </conditionalFormatting>
  <conditionalFormatting sqref="A1431:A1434">
    <cfRule type="containsText" dxfId="83" priority="113" operator="containsText" text="FALSO">
      <formula>NOT(ISERROR(SEARCH("FALSO",A1431)))</formula>
    </cfRule>
  </conditionalFormatting>
  <conditionalFormatting sqref="E1430">
    <cfRule type="containsText" dxfId="82" priority="112" operator="containsText" text="FALSO">
      <formula>NOT(ISERROR(SEARCH("FALSO",E1430)))</formula>
    </cfRule>
  </conditionalFormatting>
  <conditionalFormatting sqref="E1429">
    <cfRule type="containsText" dxfId="81" priority="111" operator="containsText" text="FALSO">
      <formula>NOT(ISERROR(SEARCH("FALSO",E1429)))</formula>
    </cfRule>
  </conditionalFormatting>
  <conditionalFormatting sqref="E1428">
    <cfRule type="containsText" dxfId="80" priority="110" operator="containsText" text="FALSO">
      <formula>NOT(ISERROR(SEARCH("FALSO",E1428)))</formula>
    </cfRule>
  </conditionalFormatting>
  <conditionalFormatting sqref="E1427">
    <cfRule type="containsText" dxfId="79" priority="109" operator="containsText" text="FALSO">
      <formula>NOT(ISERROR(SEARCH("FALSO",E1427)))</formula>
    </cfRule>
  </conditionalFormatting>
  <conditionalFormatting sqref="E1426">
    <cfRule type="containsText" dxfId="78" priority="108" operator="containsText" text="FALSO">
      <formula>NOT(ISERROR(SEARCH("FALSO",E1426)))</formula>
    </cfRule>
  </conditionalFormatting>
  <conditionalFormatting sqref="E1425">
    <cfRule type="containsText" dxfId="77" priority="107" operator="containsText" text="FALSO">
      <formula>NOT(ISERROR(SEARCH("FALSO",E1425)))</formula>
    </cfRule>
  </conditionalFormatting>
  <conditionalFormatting sqref="E1424">
    <cfRule type="containsText" dxfId="76" priority="106" operator="containsText" text="FALSO">
      <formula>NOT(ISERROR(SEARCH("FALSO",E1424)))</formula>
    </cfRule>
  </conditionalFormatting>
  <conditionalFormatting sqref="E1423">
    <cfRule type="containsText" dxfId="75" priority="105" operator="containsText" text="FALSO">
      <formula>NOT(ISERROR(SEARCH("FALSO",E1423)))</formula>
    </cfRule>
  </conditionalFormatting>
  <conditionalFormatting sqref="E1422">
    <cfRule type="containsText" dxfId="74" priority="104" operator="containsText" text="FALSO">
      <formula>NOT(ISERROR(SEARCH("FALSO",E1422)))</formula>
    </cfRule>
  </conditionalFormatting>
  <conditionalFormatting sqref="E1421">
    <cfRule type="containsText" dxfId="73" priority="103" operator="containsText" text="FALSO">
      <formula>NOT(ISERROR(SEARCH("FALSO",E1421)))</formula>
    </cfRule>
  </conditionalFormatting>
  <conditionalFormatting sqref="E1431:E1434">
    <cfRule type="containsText" dxfId="72" priority="102" operator="containsText" text="FALSO">
      <formula>NOT(ISERROR(SEARCH("FALSO",E1431)))</formula>
    </cfRule>
  </conditionalFormatting>
  <conditionalFormatting sqref="B1444">
    <cfRule type="containsText" dxfId="71" priority="79" operator="containsText" text="FALSO">
      <formula>NOT(ISERROR(SEARCH("FALSO",B1444)))</formula>
    </cfRule>
  </conditionalFormatting>
  <conditionalFormatting sqref="B1444">
    <cfRule type="duplicateValues" dxfId="70" priority="78"/>
  </conditionalFormatting>
  <conditionalFormatting sqref="B1443">
    <cfRule type="containsText" dxfId="69" priority="77" operator="containsText" text="FALSO">
      <formula>NOT(ISERROR(SEARCH("FALSO",B1443)))</formula>
    </cfRule>
  </conditionalFormatting>
  <conditionalFormatting sqref="B1443">
    <cfRule type="duplicateValues" dxfId="68" priority="76"/>
  </conditionalFormatting>
  <conditionalFormatting sqref="B1442">
    <cfRule type="containsText" dxfId="67" priority="75" operator="containsText" text="FALSO">
      <formula>NOT(ISERROR(SEARCH("FALSO",B1442)))</formula>
    </cfRule>
  </conditionalFormatting>
  <conditionalFormatting sqref="B1442">
    <cfRule type="duplicateValues" dxfId="66" priority="74"/>
  </conditionalFormatting>
  <conditionalFormatting sqref="B1441">
    <cfRule type="containsText" dxfId="65" priority="73" operator="containsText" text="FALSO">
      <formula>NOT(ISERROR(SEARCH("FALSO",B1441)))</formula>
    </cfRule>
  </conditionalFormatting>
  <conditionalFormatting sqref="B1441">
    <cfRule type="duplicateValues" dxfId="64" priority="72"/>
  </conditionalFormatting>
  <conditionalFormatting sqref="B1440">
    <cfRule type="containsText" dxfId="63" priority="71" operator="containsText" text="FALSO">
      <formula>NOT(ISERROR(SEARCH("FALSO",B1440)))</formula>
    </cfRule>
  </conditionalFormatting>
  <conditionalFormatting sqref="B1440">
    <cfRule type="duplicateValues" dxfId="62" priority="70"/>
  </conditionalFormatting>
  <conditionalFormatting sqref="B1439">
    <cfRule type="containsText" dxfId="61" priority="69" operator="containsText" text="FALSO">
      <formula>NOT(ISERROR(SEARCH("FALSO",B1439)))</formula>
    </cfRule>
  </conditionalFormatting>
  <conditionalFormatting sqref="B1439">
    <cfRule type="duplicateValues" dxfId="60" priority="68"/>
  </conditionalFormatting>
  <conditionalFormatting sqref="B1438">
    <cfRule type="containsText" dxfId="59" priority="67" operator="containsText" text="FALSO">
      <formula>NOT(ISERROR(SEARCH("FALSO",B1438)))</formula>
    </cfRule>
  </conditionalFormatting>
  <conditionalFormatting sqref="B1438">
    <cfRule type="duplicateValues" dxfId="58" priority="66"/>
  </conditionalFormatting>
  <conditionalFormatting sqref="B1437">
    <cfRule type="containsText" dxfId="57" priority="65" operator="containsText" text="FALSO">
      <formula>NOT(ISERROR(SEARCH("FALSO",B1437)))</formula>
    </cfRule>
  </conditionalFormatting>
  <conditionalFormatting sqref="B1437">
    <cfRule type="duplicateValues" dxfId="56" priority="64"/>
  </conditionalFormatting>
  <conditionalFormatting sqref="B1436">
    <cfRule type="containsText" dxfId="55" priority="63" operator="containsText" text="FALSO">
      <formula>NOT(ISERROR(SEARCH("FALSO",B1436)))</formula>
    </cfRule>
  </conditionalFormatting>
  <conditionalFormatting sqref="B1436">
    <cfRule type="duplicateValues" dxfId="54" priority="62"/>
  </conditionalFormatting>
  <conditionalFormatting sqref="B1435">
    <cfRule type="containsText" dxfId="53" priority="61" operator="containsText" text="FALSO">
      <formula>NOT(ISERROR(SEARCH("FALSO",B1435)))</formula>
    </cfRule>
  </conditionalFormatting>
  <conditionalFormatting sqref="B1435">
    <cfRule type="duplicateValues" dxfId="52" priority="60"/>
  </conditionalFormatting>
  <conditionalFormatting sqref="A1444">
    <cfRule type="containsText" dxfId="51" priority="59" operator="containsText" text="FALSO">
      <formula>NOT(ISERROR(SEARCH("FALSO",A1444)))</formula>
    </cfRule>
  </conditionalFormatting>
  <conditionalFormatting sqref="A1443">
    <cfRule type="containsText" dxfId="50" priority="58" operator="containsText" text="FALSO">
      <formula>NOT(ISERROR(SEARCH("FALSO",A1443)))</formula>
    </cfRule>
  </conditionalFormatting>
  <conditionalFormatting sqref="A1442">
    <cfRule type="containsText" dxfId="49" priority="57" operator="containsText" text="FALSO">
      <formula>NOT(ISERROR(SEARCH("FALSO",A1442)))</formula>
    </cfRule>
  </conditionalFormatting>
  <conditionalFormatting sqref="A1441">
    <cfRule type="containsText" dxfId="48" priority="56" operator="containsText" text="FALSO">
      <formula>NOT(ISERROR(SEARCH("FALSO",A1441)))</formula>
    </cfRule>
  </conditionalFormatting>
  <conditionalFormatting sqref="A1440">
    <cfRule type="containsText" dxfId="47" priority="55" operator="containsText" text="FALSO">
      <formula>NOT(ISERROR(SEARCH("FALSO",A1440)))</formula>
    </cfRule>
  </conditionalFormatting>
  <conditionalFormatting sqref="A1439">
    <cfRule type="containsText" dxfId="46" priority="54" operator="containsText" text="FALSO">
      <formula>NOT(ISERROR(SEARCH("FALSO",A1439)))</formula>
    </cfRule>
  </conditionalFormatting>
  <conditionalFormatting sqref="A1438">
    <cfRule type="containsText" dxfId="45" priority="53" operator="containsText" text="FALSO">
      <formula>NOT(ISERROR(SEARCH("FALSO",A1438)))</formula>
    </cfRule>
  </conditionalFormatting>
  <conditionalFormatting sqref="A1437">
    <cfRule type="containsText" dxfId="44" priority="52" operator="containsText" text="FALSO">
      <formula>NOT(ISERROR(SEARCH("FALSO",A1437)))</formula>
    </cfRule>
  </conditionalFormatting>
  <conditionalFormatting sqref="A1436">
    <cfRule type="containsText" dxfId="43" priority="51" operator="containsText" text="FALSO">
      <formula>NOT(ISERROR(SEARCH("FALSO",A1436)))</formula>
    </cfRule>
  </conditionalFormatting>
  <conditionalFormatting sqref="A1435">
    <cfRule type="containsText" dxfId="42" priority="50" operator="containsText" text="FALSO">
      <formula>NOT(ISERROR(SEARCH("FALSO",A1435)))</formula>
    </cfRule>
  </conditionalFormatting>
  <conditionalFormatting sqref="E1444">
    <cfRule type="containsText" dxfId="41" priority="49" operator="containsText" text="FALSO">
      <formula>NOT(ISERROR(SEARCH("FALSO",E1444)))</formula>
    </cfRule>
  </conditionalFormatting>
  <conditionalFormatting sqref="E1443">
    <cfRule type="containsText" dxfId="40" priority="48" operator="containsText" text="FALSO">
      <formula>NOT(ISERROR(SEARCH("FALSO",E1443)))</formula>
    </cfRule>
  </conditionalFormatting>
  <conditionalFormatting sqref="E1442">
    <cfRule type="containsText" dxfId="39" priority="47" operator="containsText" text="FALSO">
      <formula>NOT(ISERROR(SEARCH("FALSO",E1442)))</formula>
    </cfRule>
  </conditionalFormatting>
  <conditionalFormatting sqref="E1441">
    <cfRule type="containsText" dxfId="38" priority="46" operator="containsText" text="FALSO">
      <formula>NOT(ISERROR(SEARCH("FALSO",E1441)))</formula>
    </cfRule>
  </conditionalFormatting>
  <conditionalFormatting sqref="E1440">
    <cfRule type="containsText" dxfId="37" priority="45" operator="containsText" text="FALSO">
      <formula>NOT(ISERROR(SEARCH("FALSO",E1440)))</formula>
    </cfRule>
  </conditionalFormatting>
  <conditionalFormatting sqref="E1439">
    <cfRule type="containsText" dxfId="36" priority="44" operator="containsText" text="FALSO">
      <formula>NOT(ISERROR(SEARCH("FALSO",E1439)))</formula>
    </cfRule>
  </conditionalFormatting>
  <conditionalFormatting sqref="E1438">
    <cfRule type="containsText" dxfId="35" priority="43" operator="containsText" text="FALSO">
      <formula>NOT(ISERROR(SEARCH("FALSO",E1438)))</formula>
    </cfRule>
  </conditionalFormatting>
  <conditionalFormatting sqref="E1437">
    <cfRule type="containsText" dxfId="34" priority="42" operator="containsText" text="FALSO">
      <formula>NOT(ISERROR(SEARCH("FALSO",E1437)))</formula>
    </cfRule>
  </conditionalFormatting>
  <conditionalFormatting sqref="E1436">
    <cfRule type="containsText" dxfId="33" priority="41" operator="containsText" text="FALSO">
      <formula>NOT(ISERROR(SEARCH("FALSO",E1436)))</formula>
    </cfRule>
  </conditionalFormatting>
  <conditionalFormatting sqref="E1435">
    <cfRule type="containsText" dxfId="32" priority="40" operator="containsText" text="FALSO">
      <formula>NOT(ISERROR(SEARCH("FALSO",E1435)))</formula>
    </cfRule>
  </conditionalFormatting>
  <conditionalFormatting sqref="F1444">
    <cfRule type="containsText" dxfId="31" priority="39" operator="containsText" text="FALSO">
      <formula>NOT(ISERROR(SEARCH("FALSO",F1444)))</formula>
    </cfRule>
  </conditionalFormatting>
  <conditionalFormatting sqref="F1443">
    <cfRule type="containsText" dxfId="30" priority="38" operator="containsText" text="FALSO">
      <formula>NOT(ISERROR(SEARCH("FALSO",F1443)))</formula>
    </cfRule>
  </conditionalFormatting>
  <conditionalFormatting sqref="F1442">
    <cfRule type="containsText" dxfId="29" priority="37" operator="containsText" text="FALSO">
      <formula>NOT(ISERROR(SEARCH("FALSO",F1442)))</formula>
    </cfRule>
  </conditionalFormatting>
  <conditionalFormatting sqref="F1441">
    <cfRule type="containsText" dxfId="28" priority="36" operator="containsText" text="FALSO">
      <formula>NOT(ISERROR(SEARCH("FALSO",F1441)))</formula>
    </cfRule>
  </conditionalFormatting>
  <conditionalFormatting sqref="F1440">
    <cfRule type="containsText" dxfId="27" priority="35" operator="containsText" text="FALSO">
      <formula>NOT(ISERROR(SEARCH("FALSO",F1440)))</formula>
    </cfRule>
  </conditionalFormatting>
  <conditionalFormatting sqref="F1439">
    <cfRule type="containsText" dxfId="26" priority="34" operator="containsText" text="FALSO">
      <formula>NOT(ISERROR(SEARCH("FALSO",F1439)))</formula>
    </cfRule>
  </conditionalFormatting>
  <conditionalFormatting sqref="F1438">
    <cfRule type="containsText" dxfId="25" priority="33" operator="containsText" text="FALSO">
      <formula>NOT(ISERROR(SEARCH("FALSO",F1438)))</formula>
    </cfRule>
  </conditionalFormatting>
  <conditionalFormatting sqref="F1435">
    <cfRule type="containsText" dxfId="24" priority="32" operator="containsText" text="FALSO">
      <formula>NOT(ISERROR(SEARCH("FALSO",F1435)))</formula>
    </cfRule>
  </conditionalFormatting>
  <conditionalFormatting sqref="F1436">
    <cfRule type="containsText" dxfId="23" priority="31" operator="containsText" text="FALSO">
      <formula>NOT(ISERROR(SEARCH("FALSO",F1436)))</formula>
    </cfRule>
  </conditionalFormatting>
  <conditionalFormatting sqref="F1437">
    <cfRule type="containsText" dxfId="22" priority="30" operator="containsText" text="FALSO">
      <formula>NOT(ISERROR(SEARCH("FALSO",F1437)))</formula>
    </cfRule>
  </conditionalFormatting>
  <conditionalFormatting sqref="B1458">
    <cfRule type="duplicateValues" dxfId="21" priority="29"/>
  </conditionalFormatting>
  <conditionalFormatting sqref="B1457">
    <cfRule type="duplicateValues" dxfId="20" priority="27"/>
  </conditionalFormatting>
  <conditionalFormatting sqref="B1456">
    <cfRule type="duplicateValues" dxfId="19" priority="25"/>
  </conditionalFormatting>
  <conditionalFormatting sqref="B1455">
    <cfRule type="duplicateValues" dxfId="18" priority="23"/>
  </conditionalFormatting>
  <conditionalFormatting sqref="B1454">
    <cfRule type="duplicateValues" dxfId="17" priority="21"/>
  </conditionalFormatting>
  <conditionalFormatting sqref="B1453">
    <cfRule type="duplicateValues" dxfId="16" priority="19"/>
  </conditionalFormatting>
  <conditionalFormatting sqref="B1452">
    <cfRule type="duplicateValues" dxfId="15" priority="17"/>
  </conditionalFormatting>
  <conditionalFormatting sqref="B1451">
    <cfRule type="duplicateValues" dxfId="14" priority="15"/>
  </conditionalFormatting>
  <conditionalFormatting sqref="B1450">
    <cfRule type="duplicateValues" dxfId="13" priority="13"/>
  </conditionalFormatting>
  <conditionalFormatting sqref="B1449">
    <cfRule type="duplicateValues" dxfId="12" priority="11"/>
  </conditionalFormatting>
  <conditionalFormatting sqref="B1448">
    <cfRule type="duplicateValues" dxfId="11" priority="9"/>
  </conditionalFormatting>
  <conditionalFormatting sqref="B1447">
    <cfRule type="duplicateValues" dxfId="10" priority="7"/>
  </conditionalFormatting>
  <conditionalFormatting sqref="B1446">
    <cfRule type="duplicateValues" dxfId="9" priority="5"/>
  </conditionalFormatting>
  <conditionalFormatting sqref="B1445">
    <cfRule type="duplicateValues" dxfId="8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J65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10.7109375" defaultRowHeight="15" x14ac:dyDescent="0.25"/>
  <cols>
    <col min="1" max="1" width="9" bestFit="1" customWidth="1"/>
    <col min="2" max="2" width="10.7109375" bestFit="1" customWidth="1"/>
    <col min="3" max="3" width="48.140625" bestFit="1" customWidth="1"/>
    <col min="4" max="4" width="11" style="55" bestFit="1" customWidth="1"/>
    <col min="5" max="5" width="7.85546875" bestFit="1" customWidth="1"/>
    <col min="6" max="6" width="6.140625" bestFit="1" customWidth="1"/>
    <col min="8" max="9" width="7" bestFit="1" customWidth="1"/>
    <col min="10" max="10" width="11.140625" bestFit="1" customWidth="1"/>
  </cols>
  <sheetData>
    <row r="1" spans="1:4" x14ac:dyDescent="0.25">
      <c r="A1" s="240" t="s">
        <v>999</v>
      </c>
      <c r="B1" s="240" t="s">
        <v>22</v>
      </c>
      <c r="C1" s="240" t="s">
        <v>1009</v>
      </c>
      <c r="D1" s="242" t="s">
        <v>2141</v>
      </c>
    </row>
    <row r="2" spans="1:4" x14ac:dyDescent="0.25">
      <c r="A2" s="241"/>
      <c r="B2" s="241"/>
      <c r="C2" s="241"/>
      <c r="D2" s="241"/>
    </row>
    <row r="3" spans="1:4" x14ac:dyDescent="0.25">
      <c r="A3" s="5">
        <v>70011562</v>
      </c>
      <c r="B3" s="5" t="s">
        <v>46</v>
      </c>
      <c r="C3" s="5" t="s">
        <v>2142</v>
      </c>
      <c r="D3" s="56">
        <v>399990</v>
      </c>
    </row>
    <row r="4" spans="1:4" x14ac:dyDescent="0.25">
      <c r="A4" s="5">
        <v>70011560</v>
      </c>
      <c r="B4" s="5" t="s">
        <v>46</v>
      </c>
      <c r="C4" s="5" t="s">
        <v>2143</v>
      </c>
      <c r="D4" s="56">
        <v>384990</v>
      </c>
    </row>
    <row r="5" spans="1:4" x14ac:dyDescent="0.25">
      <c r="A5" s="5">
        <v>70011557</v>
      </c>
      <c r="B5" s="5" t="s">
        <v>46</v>
      </c>
      <c r="C5" s="5" t="s">
        <v>2144</v>
      </c>
      <c r="D5" s="56">
        <v>349990</v>
      </c>
    </row>
    <row r="6" spans="1:4" x14ac:dyDescent="0.25">
      <c r="A6" s="5">
        <v>70011468</v>
      </c>
      <c r="B6" s="5" t="s">
        <v>46</v>
      </c>
      <c r="C6" s="5" t="s">
        <v>2145</v>
      </c>
      <c r="D6" s="56">
        <v>399990</v>
      </c>
    </row>
    <row r="7" spans="1:4" x14ac:dyDescent="0.25">
      <c r="A7" s="5">
        <v>70011466</v>
      </c>
      <c r="B7" s="5" t="s">
        <v>46</v>
      </c>
      <c r="C7" s="5" t="s">
        <v>2146</v>
      </c>
      <c r="D7" s="56">
        <v>399990</v>
      </c>
    </row>
    <row r="8" spans="1:4" x14ac:dyDescent="0.25">
      <c r="A8" s="5">
        <v>70011464</v>
      </c>
      <c r="B8" s="5" t="s">
        <v>46</v>
      </c>
      <c r="C8" s="5" t="s">
        <v>2147</v>
      </c>
      <c r="D8" s="56">
        <v>399990</v>
      </c>
    </row>
    <row r="9" spans="1:4" x14ac:dyDescent="0.25">
      <c r="A9" s="5">
        <v>70011462</v>
      </c>
      <c r="B9" s="5" t="s">
        <v>46</v>
      </c>
      <c r="C9" s="5" t="s">
        <v>2148</v>
      </c>
      <c r="D9" s="56">
        <v>399990</v>
      </c>
    </row>
    <row r="10" spans="1:4" x14ac:dyDescent="0.25">
      <c r="A10" s="5">
        <v>70011460</v>
      </c>
      <c r="B10" s="5" t="s">
        <v>46</v>
      </c>
      <c r="C10" s="5" t="s">
        <v>2149</v>
      </c>
      <c r="D10" s="56">
        <v>384990</v>
      </c>
    </row>
    <row r="11" spans="1:4" x14ac:dyDescent="0.25">
      <c r="A11" s="5">
        <v>70011458</v>
      </c>
      <c r="B11" s="5" t="s">
        <v>46</v>
      </c>
      <c r="C11" s="5" t="s">
        <v>2150</v>
      </c>
      <c r="D11" s="56">
        <v>384990</v>
      </c>
    </row>
    <row r="12" spans="1:4" x14ac:dyDescent="0.25">
      <c r="A12" s="5">
        <v>70011456</v>
      </c>
      <c r="B12" s="5" t="s">
        <v>46</v>
      </c>
      <c r="C12" s="5" t="s">
        <v>2151</v>
      </c>
      <c r="D12" s="56">
        <v>384990</v>
      </c>
    </row>
    <row r="13" spans="1:4" x14ac:dyDescent="0.25">
      <c r="A13" s="5">
        <v>70011454</v>
      </c>
      <c r="B13" s="5" t="s">
        <v>46</v>
      </c>
      <c r="C13" s="5" t="s">
        <v>2152</v>
      </c>
      <c r="D13" s="56">
        <v>384990</v>
      </c>
    </row>
    <row r="14" spans="1:4" x14ac:dyDescent="0.25">
      <c r="A14" s="5">
        <v>70011452</v>
      </c>
      <c r="B14" s="5" t="s">
        <v>46</v>
      </c>
      <c r="C14" s="5" t="s">
        <v>2153</v>
      </c>
      <c r="D14" s="56">
        <v>349990</v>
      </c>
    </row>
    <row r="15" spans="1:4" x14ac:dyDescent="0.25">
      <c r="A15" s="5">
        <v>70011450</v>
      </c>
      <c r="B15" s="5" t="s">
        <v>46</v>
      </c>
      <c r="C15" s="5" t="s">
        <v>2154</v>
      </c>
      <c r="D15" s="56">
        <v>349990</v>
      </c>
    </row>
    <row r="16" spans="1:4" x14ac:dyDescent="0.25">
      <c r="A16" s="5">
        <v>70011448</v>
      </c>
      <c r="B16" s="5" t="s">
        <v>46</v>
      </c>
      <c r="C16" s="5" t="s">
        <v>2155</v>
      </c>
      <c r="D16" s="56">
        <v>349990</v>
      </c>
    </row>
    <row r="17" spans="1:4" x14ac:dyDescent="0.25">
      <c r="A17" s="5">
        <v>70011446</v>
      </c>
      <c r="B17" s="5" t="s">
        <v>46</v>
      </c>
      <c r="C17" s="5" t="s">
        <v>2156</v>
      </c>
      <c r="D17" s="56">
        <v>349990</v>
      </c>
    </row>
    <row r="18" spans="1:4" x14ac:dyDescent="0.25">
      <c r="A18" s="5">
        <v>70011421</v>
      </c>
      <c r="B18" s="5" t="s">
        <v>171</v>
      </c>
      <c r="C18" s="5" t="s">
        <v>2157</v>
      </c>
      <c r="D18" s="56">
        <v>389990</v>
      </c>
    </row>
    <row r="19" spans="1:4" x14ac:dyDescent="0.25">
      <c r="A19" s="5">
        <v>70011419</v>
      </c>
      <c r="B19" s="5" t="s">
        <v>171</v>
      </c>
      <c r="C19" s="5" t="s">
        <v>2158</v>
      </c>
      <c r="D19" s="56">
        <v>389990</v>
      </c>
    </row>
    <row r="20" spans="1:4" x14ac:dyDescent="0.25">
      <c r="A20" s="5">
        <v>70011337</v>
      </c>
      <c r="B20" s="5" t="s">
        <v>171</v>
      </c>
      <c r="C20" s="5" t="s">
        <v>2159</v>
      </c>
      <c r="D20" s="56">
        <v>139990</v>
      </c>
    </row>
    <row r="21" spans="1:4" x14ac:dyDescent="0.25">
      <c r="A21" s="5">
        <v>70011335</v>
      </c>
      <c r="B21" s="5" t="s">
        <v>171</v>
      </c>
      <c r="C21" s="5" t="s">
        <v>2160</v>
      </c>
      <c r="D21" s="56">
        <v>139990</v>
      </c>
    </row>
    <row r="22" spans="1:4" x14ac:dyDescent="0.25">
      <c r="A22" s="5">
        <v>70011322</v>
      </c>
      <c r="B22" s="5" t="s">
        <v>46</v>
      </c>
      <c r="C22" s="5" t="s">
        <v>2161</v>
      </c>
      <c r="D22" s="56">
        <v>1099990</v>
      </c>
    </row>
    <row r="23" spans="1:4" x14ac:dyDescent="0.25">
      <c r="A23" s="5">
        <v>70011320</v>
      </c>
      <c r="B23" s="5" t="s">
        <v>46</v>
      </c>
      <c r="C23" s="5" t="s">
        <v>2162</v>
      </c>
      <c r="D23" s="56">
        <v>929990</v>
      </c>
    </row>
    <row r="24" spans="1:4" x14ac:dyDescent="0.25">
      <c r="A24" s="5">
        <v>70011318</v>
      </c>
      <c r="B24" s="5" t="s">
        <v>46</v>
      </c>
      <c r="C24" s="5" t="s">
        <v>2163</v>
      </c>
      <c r="D24" s="56">
        <v>1099990</v>
      </c>
    </row>
    <row r="25" spans="1:4" x14ac:dyDescent="0.25">
      <c r="A25" s="5">
        <v>70011316</v>
      </c>
      <c r="B25" s="5" t="s">
        <v>46</v>
      </c>
      <c r="C25" s="5" t="s">
        <v>2164</v>
      </c>
      <c r="D25" s="56">
        <v>1099990</v>
      </c>
    </row>
    <row r="26" spans="1:4" x14ac:dyDescent="0.25">
      <c r="A26" s="5">
        <v>70011314</v>
      </c>
      <c r="B26" s="5" t="s">
        <v>46</v>
      </c>
      <c r="C26" s="5" t="s">
        <v>2165</v>
      </c>
      <c r="D26" s="56">
        <v>1099990</v>
      </c>
    </row>
    <row r="27" spans="1:4" x14ac:dyDescent="0.25">
      <c r="A27" s="5">
        <v>70011312</v>
      </c>
      <c r="B27" s="5" t="s">
        <v>46</v>
      </c>
      <c r="C27" s="5" t="s">
        <v>2166</v>
      </c>
      <c r="D27" s="56">
        <v>1049990</v>
      </c>
    </row>
    <row r="28" spans="1:4" x14ac:dyDescent="0.25">
      <c r="A28" s="5">
        <v>70011310</v>
      </c>
      <c r="B28" s="5" t="s">
        <v>46</v>
      </c>
      <c r="C28" s="5" t="s">
        <v>2167</v>
      </c>
      <c r="D28" s="56">
        <v>1049990</v>
      </c>
    </row>
    <row r="29" spans="1:4" x14ac:dyDescent="0.25">
      <c r="A29" s="5">
        <v>70011308</v>
      </c>
      <c r="B29" s="5" t="s">
        <v>46</v>
      </c>
      <c r="C29" s="5" t="s">
        <v>2168</v>
      </c>
      <c r="D29" s="56">
        <v>929990</v>
      </c>
    </row>
    <row r="30" spans="1:4" x14ac:dyDescent="0.25">
      <c r="A30" s="5">
        <v>70011306</v>
      </c>
      <c r="B30" s="5" t="s">
        <v>46</v>
      </c>
      <c r="C30" s="5" t="s">
        <v>2169</v>
      </c>
      <c r="D30" s="56">
        <v>929990</v>
      </c>
    </row>
    <row r="31" spans="1:4" x14ac:dyDescent="0.25">
      <c r="A31" s="5">
        <v>70011304</v>
      </c>
      <c r="B31" s="5" t="s">
        <v>46</v>
      </c>
      <c r="C31" s="5" t="s">
        <v>2170</v>
      </c>
      <c r="D31" s="56">
        <v>929990</v>
      </c>
    </row>
    <row r="32" spans="1:4" x14ac:dyDescent="0.25">
      <c r="A32" s="5">
        <v>70011302</v>
      </c>
      <c r="B32" s="5" t="s">
        <v>46</v>
      </c>
      <c r="C32" s="5" t="s">
        <v>2171</v>
      </c>
      <c r="D32" s="56">
        <v>899990</v>
      </c>
    </row>
    <row r="33" spans="1:4" x14ac:dyDescent="0.25">
      <c r="A33" s="5">
        <v>70011300</v>
      </c>
      <c r="B33" s="5" t="s">
        <v>46</v>
      </c>
      <c r="C33" s="5" t="s">
        <v>2172</v>
      </c>
      <c r="D33" s="56">
        <v>899990</v>
      </c>
    </row>
    <row r="34" spans="1:4" x14ac:dyDescent="0.25">
      <c r="A34" s="5">
        <v>70011298</v>
      </c>
      <c r="B34" s="5" t="s">
        <v>46</v>
      </c>
      <c r="C34" s="5" t="s">
        <v>2173</v>
      </c>
      <c r="D34" s="56">
        <v>899990</v>
      </c>
    </row>
    <row r="35" spans="1:4" x14ac:dyDescent="0.25">
      <c r="A35" s="5">
        <v>70011296</v>
      </c>
      <c r="B35" s="5" t="s">
        <v>46</v>
      </c>
      <c r="C35" s="5" t="s">
        <v>2174</v>
      </c>
      <c r="D35" s="56">
        <v>899990</v>
      </c>
    </row>
    <row r="36" spans="1:4" x14ac:dyDescent="0.25">
      <c r="A36" s="5">
        <v>70011294</v>
      </c>
      <c r="B36" s="5" t="s">
        <v>46</v>
      </c>
      <c r="C36" s="5" t="s">
        <v>2175</v>
      </c>
      <c r="D36" s="56">
        <v>829990</v>
      </c>
    </row>
    <row r="37" spans="1:4" x14ac:dyDescent="0.25">
      <c r="A37" s="5">
        <v>70011292</v>
      </c>
      <c r="B37" s="5" t="s">
        <v>46</v>
      </c>
      <c r="C37" s="5" t="s">
        <v>2176</v>
      </c>
      <c r="D37" s="56">
        <v>829990</v>
      </c>
    </row>
    <row r="38" spans="1:4" x14ac:dyDescent="0.25">
      <c r="A38" s="5">
        <v>70011290</v>
      </c>
      <c r="B38" s="5" t="s">
        <v>46</v>
      </c>
      <c r="C38" s="5" t="s">
        <v>2177</v>
      </c>
      <c r="D38" s="56">
        <v>829990</v>
      </c>
    </row>
    <row r="39" spans="1:4" x14ac:dyDescent="0.25">
      <c r="A39" s="5">
        <v>70011288</v>
      </c>
      <c r="B39" s="5" t="s">
        <v>46</v>
      </c>
      <c r="C39" s="5" t="s">
        <v>2178</v>
      </c>
      <c r="D39" s="56">
        <v>829990</v>
      </c>
    </row>
    <row r="40" spans="1:4" x14ac:dyDescent="0.25">
      <c r="A40" s="5">
        <v>70011284</v>
      </c>
      <c r="B40" s="5" t="s">
        <v>46</v>
      </c>
      <c r="C40" s="5" t="s">
        <v>2179</v>
      </c>
      <c r="D40" s="56">
        <v>799990</v>
      </c>
    </row>
    <row r="41" spans="1:4" x14ac:dyDescent="0.25">
      <c r="A41" s="5">
        <v>70011282</v>
      </c>
      <c r="B41" s="5" t="s">
        <v>46</v>
      </c>
      <c r="C41" s="5" t="s">
        <v>2180</v>
      </c>
      <c r="D41" s="56">
        <v>799990</v>
      </c>
    </row>
    <row r="42" spans="1:4" x14ac:dyDescent="0.25">
      <c r="A42" s="5">
        <v>70011280</v>
      </c>
      <c r="B42" s="5" t="s">
        <v>46</v>
      </c>
      <c r="C42" s="5" t="s">
        <v>2181</v>
      </c>
      <c r="D42" s="56">
        <v>799990</v>
      </c>
    </row>
    <row r="43" spans="1:4" x14ac:dyDescent="0.25">
      <c r="A43" s="5">
        <v>70011278</v>
      </c>
      <c r="B43" s="5" t="s">
        <v>46</v>
      </c>
      <c r="C43" s="5" t="s">
        <v>2182</v>
      </c>
      <c r="D43" s="56">
        <v>469990</v>
      </c>
    </row>
    <row r="44" spans="1:4" x14ac:dyDescent="0.25">
      <c r="A44" s="5">
        <v>70011274</v>
      </c>
      <c r="B44" s="5" t="s">
        <v>46</v>
      </c>
      <c r="C44" s="5" t="s">
        <v>2183</v>
      </c>
      <c r="D44" s="56">
        <v>174990</v>
      </c>
    </row>
    <row r="45" spans="1:4" x14ac:dyDescent="0.25">
      <c r="A45" s="5">
        <v>70011256</v>
      </c>
      <c r="B45" s="5" t="s">
        <v>46</v>
      </c>
      <c r="C45" s="5" t="s">
        <v>2184</v>
      </c>
      <c r="D45" s="56">
        <v>799990</v>
      </c>
    </row>
    <row r="46" spans="1:4" x14ac:dyDescent="0.25">
      <c r="A46" s="5">
        <v>70011243</v>
      </c>
      <c r="B46" s="5" t="s">
        <v>229</v>
      </c>
      <c r="C46" s="5" t="s">
        <v>2185</v>
      </c>
      <c r="D46" s="56">
        <v>139990</v>
      </c>
    </row>
    <row r="47" spans="1:4" x14ac:dyDescent="0.25">
      <c r="A47" s="5">
        <v>70011241</v>
      </c>
      <c r="B47" s="5" t="s">
        <v>229</v>
      </c>
      <c r="C47" s="5" t="s">
        <v>2186</v>
      </c>
      <c r="D47" s="56">
        <v>139990</v>
      </c>
    </row>
    <row r="48" spans="1:4" x14ac:dyDescent="0.25">
      <c r="A48" s="5">
        <v>70011233</v>
      </c>
      <c r="B48" s="5" t="s">
        <v>63</v>
      </c>
      <c r="C48" s="5" t="s">
        <v>2187</v>
      </c>
      <c r="D48" s="56">
        <v>1429990</v>
      </c>
    </row>
    <row r="49" spans="1:4" x14ac:dyDescent="0.25">
      <c r="A49" s="5">
        <v>70011205</v>
      </c>
      <c r="B49" s="5" t="s">
        <v>87</v>
      </c>
      <c r="C49" s="5" t="s">
        <v>2188</v>
      </c>
      <c r="D49" s="56">
        <v>149990</v>
      </c>
    </row>
    <row r="50" spans="1:4" x14ac:dyDescent="0.25">
      <c r="A50" s="5">
        <v>70011203</v>
      </c>
      <c r="B50" s="5" t="s">
        <v>87</v>
      </c>
      <c r="C50" s="5" t="s">
        <v>2189</v>
      </c>
      <c r="D50" s="56">
        <v>149990</v>
      </c>
    </row>
    <row r="51" spans="1:4" x14ac:dyDescent="0.25">
      <c r="A51" s="5">
        <v>70011201</v>
      </c>
      <c r="B51" s="5" t="s">
        <v>87</v>
      </c>
      <c r="C51" s="5" t="s">
        <v>2190</v>
      </c>
      <c r="D51" s="56">
        <v>149990</v>
      </c>
    </row>
    <row r="52" spans="1:4" x14ac:dyDescent="0.25">
      <c r="A52" s="5">
        <v>70011199</v>
      </c>
      <c r="B52" s="5" t="s">
        <v>87</v>
      </c>
      <c r="C52" s="5" t="s">
        <v>2191</v>
      </c>
      <c r="D52" s="56">
        <v>149990</v>
      </c>
    </row>
    <row r="53" spans="1:4" x14ac:dyDescent="0.25">
      <c r="A53" s="5">
        <v>70011197</v>
      </c>
      <c r="B53" s="5" t="s">
        <v>87</v>
      </c>
      <c r="C53" s="5" t="s">
        <v>2192</v>
      </c>
      <c r="D53" s="56">
        <v>99990</v>
      </c>
    </row>
    <row r="54" spans="1:4" x14ac:dyDescent="0.25">
      <c r="A54" s="5">
        <v>70011195</v>
      </c>
      <c r="B54" s="5" t="s">
        <v>87</v>
      </c>
      <c r="C54" s="5" t="s">
        <v>2193</v>
      </c>
      <c r="D54" s="56">
        <v>99990</v>
      </c>
    </row>
    <row r="55" spans="1:4" x14ac:dyDescent="0.25">
      <c r="A55" s="5">
        <v>70011193</v>
      </c>
      <c r="B55" s="5" t="s">
        <v>87</v>
      </c>
      <c r="C55" s="5" t="s">
        <v>2194</v>
      </c>
      <c r="D55" s="56">
        <v>99990</v>
      </c>
    </row>
    <row r="56" spans="1:4" x14ac:dyDescent="0.25">
      <c r="A56" s="5">
        <v>70011191</v>
      </c>
      <c r="B56" s="5" t="s">
        <v>229</v>
      </c>
      <c r="C56" s="5" t="s">
        <v>2195</v>
      </c>
      <c r="D56" s="56">
        <v>339990</v>
      </c>
    </row>
    <row r="57" spans="1:4" x14ac:dyDescent="0.25">
      <c r="A57" s="5">
        <v>70011190</v>
      </c>
      <c r="B57" s="5" t="s">
        <v>229</v>
      </c>
      <c r="C57" s="5" t="s">
        <v>1966</v>
      </c>
      <c r="D57" s="56">
        <v>339990</v>
      </c>
    </row>
    <row r="58" spans="1:4" x14ac:dyDescent="0.25">
      <c r="A58" s="5">
        <v>70011177</v>
      </c>
      <c r="B58" s="5" t="s">
        <v>229</v>
      </c>
      <c r="C58" s="5" t="s">
        <v>2196</v>
      </c>
      <c r="D58" s="56">
        <v>339990</v>
      </c>
    </row>
    <row r="59" spans="1:4" x14ac:dyDescent="0.25">
      <c r="A59" s="5">
        <v>70011175</v>
      </c>
      <c r="B59" s="5" t="s">
        <v>229</v>
      </c>
      <c r="C59" s="5" t="s">
        <v>2197</v>
      </c>
      <c r="D59" s="56">
        <v>219990</v>
      </c>
    </row>
    <row r="60" spans="1:4" x14ac:dyDescent="0.25">
      <c r="A60" s="5">
        <v>70011173</v>
      </c>
      <c r="B60" s="5" t="s">
        <v>229</v>
      </c>
      <c r="C60" s="5" t="s">
        <v>2198</v>
      </c>
      <c r="D60" s="56">
        <v>219990</v>
      </c>
    </row>
    <row r="61" spans="1:4" x14ac:dyDescent="0.25">
      <c r="A61" s="5">
        <v>70011123</v>
      </c>
      <c r="B61" s="5" t="s">
        <v>41</v>
      </c>
      <c r="C61" s="5" t="s">
        <v>2199</v>
      </c>
      <c r="D61" s="56">
        <v>294990</v>
      </c>
    </row>
    <row r="62" spans="1:4" x14ac:dyDescent="0.25">
      <c r="A62" s="5">
        <v>70011120</v>
      </c>
      <c r="B62" s="5" t="s">
        <v>41</v>
      </c>
      <c r="C62" s="5" t="s">
        <v>2200</v>
      </c>
      <c r="D62" s="56">
        <v>179990</v>
      </c>
    </row>
    <row r="63" spans="1:4" x14ac:dyDescent="0.25">
      <c r="A63" s="5">
        <v>70011062</v>
      </c>
      <c r="B63" s="5" t="s">
        <v>63</v>
      </c>
      <c r="C63" s="5" t="s">
        <v>2201</v>
      </c>
      <c r="D63" s="56">
        <v>1069990</v>
      </c>
    </row>
    <row r="64" spans="1:4" x14ac:dyDescent="0.25">
      <c r="A64" s="5">
        <v>70011060</v>
      </c>
      <c r="B64" s="5" t="s">
        <v>63</v>
      </c>
      <c r="C64" s="5" t="s">
        <v>2202</v>
      </c>
      <c r="D64" s="56">
        <v>1309990</v>
      </c>
    </row>
    <row r="65" spans="1:4" x14ac:dyDescent="0.25">
      <c r="A65" s="5">
        <v>70011042</v>
      </c>
      <c r="B65" s="5" t="s">
        <v>46</v>
      </c>
      <c r="C65" s="5" t="s">
        <v>2203</v>
      </c>
      <c r="D65" s="56">
        <v>89990</v>
      </c>
    </row>
    <row r="66" spans="1:4" x14ac:dyDescent="0.25">
      <c r="A66" s="5">
        <v>70011040</v>
      </c>
      <c r="B66" s="5" t="s">
        <v>63</v>
      </c>
      <c r="C66" s="5" t="s">
        <v>2204</v>
      </c>
      <c r="D66" s="56">
        <v>409990</v>
      </c>
    </row>
    <row r="67" spans="1:4" x14ac:dyDescent="0.25">
      <c r="A67" s="5">
        <v>70011038</v>
      </c>
      <c r="B67" s="5" t="s">
        <v>63</v>
      </c>
      <c r="C67" s="5" t="s">
        <v>2205</v>
      </c>
      <c r="D67" s="56">
        <v>409990</v>
      </c>
    </row>
    <row r="68" spans="1:4" x14ac:dyDescent="0.25">
      <c r="A68" s="5">
        <v>70011036</v>
      </c>
      <c r="B68" s="5" t="s">
        <v>63</v>
      </c>
      <c r="C68" s="5" t="s">
        <v>2206</v>
      </c>
      <c r="D68" s="56">
        <v>409990</v>
      </c>
    </row>
    <row r="69" spans="1:4" x14ac:dyDescent="0.25">
      <c r="A69" s="5">
        <v>70011034</v>
      </c>
      <c r="B69" s="5" t="s">
        <v>63</v>
      </c>
      <c r="C69" s="5" t="s">
        <v>2207</v>
      </c>
      <c r="D69" s="56">
        <v>459990</v>
      </c>
    </row>
    <row r="70" spans="1:4" x14ac:dyDescent="0.25">
      <c r="A70" s="5">
        <v>70011032</v>
      </c>
      <c r="B70" s="5" t="s">
        <v>63</v>
      </c>
      <c r="C70" s="5" t="s">
        <v>2208</v>
      </c>
      <c r="D70" s="56">
        <v>459990</v>
      </c>
    </row>
    <row r="71" spans="1:4" x14ac:dyDescent="0.25">
      <c r="A71" s="5">
        <v>70011030</v>
      </c>
      <c r="B71" s="5" t="s">
        <v>63</v>
      </c>
      <c r="C71" s="5" t="s">
        <v>2209</v>
      </c>
      <c r="D71" s="56">
        <v>459990</v>
      </c>
    </row>
    <row r="72" spans="1:4" x14ac:dyDescent="0.25">
      <c r="A72" s="5">
        <v>70011028</v>
      </c>
      <c r="B72" s="5" t="s">
        <v>63</v>
      </c>
      <c r="C72" s="5" t="s">
        <v>2210</v>
      </c>
      <c r="D72" s="56">
        <v>459990</v>
      </c>
    </row>
    <row r="73" spans="1:4" x14ac:dyDescent="0.25">
      <c r="A73" s="5">
        <v>70011026</v>
      </c>
      <c r="B73" s="5" t="s">
        <v>63</v>
      </c>
      <c r="C73" s="5" t="s">
        <v>2211</v>
      </c>
      <c r="D73" s="56">
        <v>459990</v>
      </c>
    </row>
    <row r="74" spans="1:4" x14ac:dyDescent="0.25">
      <c r="A74" s="5">
        <v>70011024</v>
      </c>
      <c r="B74" s="5" t="s">
        <v>63</v>
      </c>
      <c r="C74" s="5" t="s">
        <v>2212</v>
      </c>
      <c r="D74" s="56">
        <v>459990</v>
      </c>
    </row>
    <row r="75" spans="1:4" x14ac:dyDescent="0.25">
      <c r="A75" s="5">
        <v>70011022</v>
      </c>
      <c r="B75" s="5" t="s">
        <v>63</v>
      </c>
      <c r="C75" s="5" t="s">
        <v>2213</v>
      </c>
      <c r="D75" s="56">
        <v>419990</v>
      </c>
    </row>
    <row r="76" spans="1:4" x14ac:dyDescent="0.25">
      <c r="A76" s="5">
        <v>70011020</v>
      </c>
      <c r="B76" s="5" t="s">
        <v>63</v>
      </c>
      <c r="C76" s="5" t="s">
        <v>2214</v>
      </c>
      <c r="D76" s="56">
        <v>419990</v>
      </c>
    </row>
    <row r="77" spans="1:4" x14ac:dyDescent="0.25">
      <c r="A77" s="5">
        <v>70011018</v>
      </c>
      <c r="B77" s="5" t="s">
        <v>63</v>
      </c>
      <c r="C77" s="5" t="s">
        <v>2215</v>
      </c>
      <c r="D77" s="56">
        <v>419990</v>
      </c>
    </row>
    <row r="78" spans="1:4" x14ac:dyDescent="0.25">
      <c r="A78" s="5">
        <v>70011016</v>
      </c>
      <c r="B78" s="5" t="s">
        <v>63</v>
      </c>
      <c r="C78" s="5" t="s">
        <v>2216</v>
      </c>
      <c r="D78" s="56">
        <v>419990</v>
      </c>
    </row>
    <row r="79" spans="1:4" x14ac:dyDescent="0.25">
      <c r="A79" s="5">
        <v>70011014</v>
      </c>
      <c r="B79" s="5" t="s">
        <v>63</v>
      </c>
      <c r="C79" s="5" t="s">
        <v>2217</v>
      </c>
      <c r="D79" s="56">
        <v>419990</v>
      </c>
    </row>
    <row r="80" spans="1:4" x14ac:dyDescent="0.25">
      <c r="A80" s="5">
        <v>70011012</v>
      </c>
      <c r="B80" s="5" t="s">
        <v>63</v>
      </c>
      <c r="C80" s="5" t="s">
        <v>2218</v>
      </c>
      <c r="D80" s="56">
        <v>419990</v>
      </c>
    </row>
    <row r="81" spans="1:4" x14ac:dyDescent="0.25">
      <c r="A81" s="5">
        <v>70010985</v>
      </c>
      <c r="B81" s="5" t="s">
        <v>63</v>
      </c>
      <c r="C81" s="5" t="s">
        <v>2219</v>
      </c>
      <c r="D81" s="56">
        <v>929990</v>
      </c>
    </row>
    <row r="82" spans="1:4" x14ac:dyDescent="0.25">
      <c r="A82" s="5">
        <v>70010983</v>
      </c>
      <c r="B82" s="5" t="s">
        <v>63</v>
      </c>
      <c r="C82" s="5" t="s">
        <v>2220</v>
      </c>
      <c r="D82" s="56">
        <v>1189990</v>
      </c>
    </row>
    <row r="83" spans="1:4" x14ac:dyDescent="0.25">
      <c r="A83" s="5">
        <v>70010954</v>
      </c>
      <c r="B83" s="5" t="s">
        <v>63</v>
      </c>
      <c r="C83" s="5" t="s">
        <v>2221</v>
      </c>
      <c r="D83" s="56">
        <v>1429990</v>
      </c>
    </row>
    <row r="84" spans="1:4" x14ac:dyDescent="0.25">
      <c r="A84" s="5">
        <v>70010952</v>
      </c>
      <c r="B84" s="5" t="s">
        <v>63</v>
      </c>
      <c r="C84" s="5" t="s">
        <v>2222</v>
      </c>
      <c r="D84" s="56">
        <v>1309990</v>
      </c>
    </row>
    <row r="85" spans="1:4" x14ac:dyDescent="0.25">
      <c r="A85" s="5">
        <v>70010950</v>
      </c>
      <c r="B85" s="5" t="s">
        <v>63</v>
      </c>
      <c r="C85" s="5" t="s">
        <v>2223</v>
      </c>
      <c r="D85" s="56">
        <v>1059990</v>
      </c>
    </row>
    <row r="86" spans="1:4" x14ac:dyDescent="0.25">
      <c r="A86" s="5">
        <v>70010948</v>
      </c>
      <c r="B86" s="5" t="s">
        <v>63</v>
      </c>
      <c r="C86" s="5" t="s">
        <v>2224</v>
      </c>
      <c r="D86" s="56">
        <v>929990</v>
      </c>
    </row>
    <row r="87" spans="1:4" x14ac:dyDescent="0.25">
      <c r="A87" s="5">
        <v>70010946</v>
      </c>
      <c r="B87" s="5" t="s">
        <v>63</v>
      </c>
      <c r="C87" s="5" t="s">
        <v>2225</v>
      </c>
      <c r="D87" s="56">
        <v>1429990</v>
      </c>
    </row>
    <row r="88" spans="1:4" x14ac:dyDescent="0.25">
      <c r="A88" s="5">
        <v>70010944</v>
      </c>
      <c r="B88" s="5" t="s">
        <v>229</v>
      </c>
      <c r="C88" s="5" t="s">
        <v>2226</v>
      </c>
      <c r="D88" s="56">
        <v>139990</v>
      </c>
    </row>
    <row r="89" spans="1:4" x14ac:dyDescent="0.25">
      <c r="A89" s="5">
        <v>70010942</v>
      </c>
      <c r="B89" s="5" t="s">
        <v>229</v>
      </c>
      <c r="C89" s="5" t="s">
        <v>2227</v>
      </c>
      <c r="D89" s="56">
        <v>139990</v>
      </c>
    </row>
    <row r="90" spans="1:4" x14ac:dyDescent="0.25">
      <c r="A90" s="5">
        <v>70010940</v>
      </c>
      <c r="B90" s="5" t="s">
        <v>41</v>
      </c>
      <c r="C90" s="5" t="s">
        <v>2228</v>
      </c>
      <c r="D90" s="56">
        <v>459990</v>
      </c>
    </row>
    <row r="91" spans="1:4" x14ac:dyDescent="0.25">
      <c r="A91" s="5">
        <v>70010938</v>
      </c>
      <c r="B91" s="5" t="s">
        <v>41</v>
      </c>
      <c r="C91" s="5" t="s">
        <v>2229</v>
      </c>
      <c r="D91" s="56">
        <v>459990</v>
      </c>
    </row>
    <row r="92" spans="1:4" x14ac:dyDescent="0.25">
      <c r="A92" s="5">
        <v>70010936</v>
      </c>
      <c r="B92" s="5" t="s">
        <v>87</v>
      </c>
      <c r="C92" s="5" t="s">
        <v>2230</v>
      </c>
      <c r="D92" s="56">
        <v>719990</v>
      </c>
    </row>
    <row r="93" spans="1:4" x14ac:dyDescent="0.25">
      <c r="A93" s="5">
        <v>70010934</v>
      </c>
      <c r="B93" s="5" t="s">
        <v>87</v>
      </c>
      <c r="C93" s="5" t="s">
        <v>2231</v>
      </c>
      <c r="D93" s="56">
        <v>719990</v>
      </c>
    </row>
    <row r="94" spans="1:4" x14ac:dyDescent="0.25">
      <c r="A94" s="5">
        <v>70010932</v>
      </c>
      <c r="B94" s="5" t="s">
        <v>87</v>
      </c>
      <c r="C94" s="5" t="s">
        <v>2232</v>
      </c>
      <c r="D94" s="56">
        <v>719990</v>
      </c>
    </row>
    <row r="95" spans="1:4" x14ac:dyDescent="0.25">
      <c r="A95" s="5">
        <v>70010930</v>
      </c>
      <c r="B95" s="5" t="s">
        <v>87</v>
      </c>
      <c r="C95" s="5" t="s">
        <v>2233</v>
      </c>
      <c r="D95" s="56">
        <v>639990</v>
      </c>
    </row>
    <row r="96" spans="1:4" x14ac:dyDescent="0.25">
      <c r="A96" s="5">
        <v>70010928</v>
      </c>
      <c r="B96" s="5" t="s">
        <v>87</v>
      </c>
      <c r="C96" s="5" t="s">
        <v>2234</v>
      </c>
      <c r="D96" s="56">
        <v>639990</v>
      </c>
    </row>
    <row r="97" spans="1:4" x14ac:dyDescent="0.25">
      <c r="A97" s="5">
        <v>70010926</v>
      </c>
      <c r="B97" s="5" t="s">
        <v>87</v>
      </c>
      <c r="C97" s="5" t="s">
        <v>2235</v>
      </c>
      <c r="D97" s="56">
        <v>639990</v>
      </c>
    </row>
    <row r="98" spans="1:4" x14ac:dyDescent="0.25">
      <c r="A98" s="5">
        <v>70010924</v>
      </c>
      <c r="B98" s="5" t="s">
        <v>87</v>
      </c>
      <c r="C98" s="5" t="s">
        <v>2236</v>
      </c>
      <c r="D98" s="56">
        <v>159990</v>
      </c>
    </row>
    <row r="99" spans="1:4" x14ac:dyDescent="0.25">
      <c r="A99" s="5">
        <v>70010922</v>
      </c>
      <c r="B99" s="5" t="s">
        <v>87</v>
      </c>
      <c r="C99" s="5" t="s">
        <v>2237</v>
      </c>
      <c r="D99" s="56">
        <v>159990</v>
      </c>
    </row>
    <row r="100" spans="1:4" x14ac:dyDescent="0.25">
      <c r="A100" s="5">
        <v>70010920</v>
      </c>
      <c r="B100" s="5" t="s">
        <v>46</v>
      </c>
      <c r="C100" s="5" t="s">
        <v>2238</v>
      </c>
      <c r="D100" s="56">
        <v>244990</v>
      </c>
    </row>
    <row r="101" spans="1:4" x14ac:dyDescent="0.25">
      <c r="A101" s="5">
        <v>70010918</v>
      </c>
      <c r="B101" s="5" t="s">
        <v>46</v>
      </c>
      <c r="C101" s="5" t="s">
        <v>2239</v>
      </c>
      <c r="D101" s="56">
        <v>149990</v>
      </c>
    </row>
    <row r="102" spans="1:4" x14ac:dyDescent="0.25">
      <c r="A102" s="5">
        <v>70010916</v>
      </c>
      <c r="B102" s="5" t="s">
        <v>46</v>
      </c>
      <c r="C102" s="5" t="s">
        <v>2240</v>
      </c>
      <c r="D102" s="56">
        <v>139990</v>
      </c>
    </row>
    <row r="103" spans="1:4" x14ac:dyDescent="0.25">
      <c r="A103" s="5">
        <v>70010914</v>
      </c>
      <c r="B103" s="5" t="s">
        <v>46</v>
      </c>
      <c r="C103" s="5" t="s">
        <v>2241</v>
      </c>
      <c r="D103" s="56">
        <v>139990</v>
      </c>
    </row>
    <row r="104" spans="1:4" x14ac:dyDescent="0.25">
      <c r="A104" s="5">
        <v>70010912</v>
      </c>
      <c r="B104" s="5" t="s">
        <v>46</v>
      </c>
      <c r="C104" s="5" t="s">
        <v>2242</v>
      </c>
      <c r="D104" s="56">
        <v>139990</v>
      </c>
    </row>
    <row r="105" spans="1:4" x14ac:dyDescent="0.25">
      <c r="A105" s="5">
        <v>70010910</v>
      </c>
      <c r="B105" s="5" t="s">
        <v>46</v>
      </c>
      <c r="C105" s="5" t="s">
        <v>2243</v>
      </c>
      <c r="D105" s="56">
        <v>129990</v>
      </c>
    </row>
    <row r="106" spans="1:4" x14ac:dyDescent="0.25">
      <c r="A106" s="5">
        <v>70010898</v>
      </c>
      <c r="B106" s="5" t="s">
        <v>131</v>
      </c>
      <c r="C106" s="5" t="s">
        <v>2244</v>
      </c>
      <c r="D106" s="56">
        <v>114990</v>
      </c>
    </row>
    <row r="107" spans="1:4" x14ac:dyDescent="0.25">
      <c r="A107" s="5">
        <v>70010889</v>
      </c>
      <c r="B107" s="5" t="s">
        <v>63</v>
      </c>
      <c r="C107" s="5" t="s">
        <v>2245</v>
      </c>
      <c r="D107" s="56">
        <v>1919990</v>
      </c>
    </row>
    <row r="108" spans="1:4" x14ac:dyDescent="0.25">
      <c r="A108" s="5">
        <v>70010887</v>
      </c>
      <c r="B108" s="5" t="s">
        <v>63</v>
      </c>
      <c r="C108" s="5" t="s">
        <v>2246</v>
      </c>
      <c r="D108" s="56">
        <v>1679990</v>
      </c>
    </row>
    <row r="109" spans="1:4" x14ac:dyDescent="0.25">
      <c r="A109" s="5">
        <v>70010885</v>
      </c>
      <c r="B109" s="5" t="s">
        <v>63</v>
      </c>
      <c r="C109" s="5" t="s">
        <v>2247</v>
      </c>
      <c r="D109" s="56">
        <v>1309990</v>
      </c>
    </row>
    <row r="110" spans="1:4" x14ac:dyDescent="0.25">
      <c r="A110" s="5">
        <v>70010883</v>
      </c>
      <c r="B110" s="5" t="s">
        <v>63</v>
      </c>
      <c r="C110" s="5" t="s">
        <v>2248</v>
      </c>
      <c r="D110" s="56">
        <v>1309990</v>
      </c>
    </row>
    <row r="111" spans="1:4" x14ac:dyDescent="0.25">
      <c r="A111" s="5">
        <v>70010881</v>
      </c>
      <c r="B111" s="5" t="s">
        <v>63</v>
      </c>
      <c r="C111" s="5" t="s">
        <v>2249</v>
      </c>
      <c r="D111" s="56">
        <v>1309990</v>
      </c>
    </row>
    <row r="112" spans="1:4" x14ac:dyDescent="0.25">
      <c r="A112" s="5">
        <v>70010879</v>
      </c>
      <c r="B112" s="5" t="s">
        <v>63</v>
      </c>
      <c r="C112" s="5" t="s">
        <v>2250</v>
      </c>
      <c r="D112" s="56">
        <v>1559990</v>
      </c>
    </row>
    <row r="113" spans="1:4" x14ac:dyDescent="0.25">
      <c r="A113" s="5">
        <v>70010877</v>
      </c>
      <c r="B113" s="5" t="s">
        <v>63</v>
      </c>
      <c r="C113" s="5" t="s">
        <v>2251</v>
      </c>
      <c r="D113" s="56">
        <v>1309990</v>
      </c>
    </row>
    <row r="114" spans="1:4" x14ac:dyDescent="0.25">
      <c r="A114" s="5">
        <v>70010875</v>
      </c>
      <c r="B114" s="5" t="s">
        <v>63</v>
      </c>
      <c r="C114" s="5" t="s">
        <v>2252</v>
      </c>
      <c r="D114" s="56">
        <v>1189990</v>
      </c>
    </row>
    <row r="115" spans="1:4" x14ac:dyDescent="0.25">
      <c r="A115" s="5">
        <v>70010873</v>
      </c>
      <c r="B115" s="5" t="s">
        <v>63</v>
      </c>
      <c r="C115" s="5" t="s">
        <v>2253</v>
      </c>
      <c r="D115" s="56">
        <v>1189990</v>
      </c>
    </row>
    <row r="116" spans="1:4" x14ac:dyDescent="0.25">
      <c r="A116" s="5">
        <v>70010871</v>
      </c>
      <c r="B116" s="5" t="s">
        <v>63</v>
      </c>
      <c r="C116" s="5" t="s">
        <v>2254</v>
      </c>
      <c r="D116" s="56">
        <v>1189990</v>
      </c>
    </row>
    <row r="117" spans="1:4" x14ac:dyDescent="0.25">
      <c r="A117" s="5">
        <v>70010869</v>
      </c>
      <c r="B117" s="5" t="s">
        <v>63</v>
      </c>
      <c r="C117" s="5" t="s">
        <v>2255</v>
      </c>
      <c r="D117" s="56">
        <v>1189990</v>
      </c>
    </row>
    <row r="118" spans="1:4" x14ac:dyDescent="0.25">
      <c r="A118" s="5">
        <v>70010867</v>
      </c>
      <c r="B118" s="5" t="s">
        <v>63</v>
      </c>
      <c r="C118" s="5" t="s">
        <v>2256</v>
      </c>
      <c r="D118" s="56">
        <v>1069990</v>
      </c>
    </row>
    <row r="119" spans="1:4" x14ac:dyDescent="0.25">
      <c r="A119" s="5">
        <v>70010865</v>
      </c>
      <c r="B119" s="5" t="s">
        <v>63</v>
      </c>
      <c r="C119" s="5" t="s">
        <v>2257</v>
      </c>
      <c r="D119" s="56">
        <v>1069990</v>
      </c>
    </row>
    <row r="120" spans="1:4" x14ac:dyDescent="0.25">
      <c r="A120" s="5">
        <v>70010863</v>
      </c>
      <c r="B120" s="5" t="s">
        <v>63</v>
      </c>
      <c r="C120" s="5" t="s">
        <v>2258</v>
      </c>
      <c r="D120" s="56">
        <v>1069990</v>
      </c>
    </row>
    <row r="121" spans="1:4" x14ac:dyDescent="0.25">
      <c r="A121" s="5">
        <v>70010861</v>
      </c>
      <c r="B121" s="5" t="s">
        <v>63</v>
      </c>
      <c r="C121" s="5" t="s">
        <v>2259</v>
      </c>
      <c r="D121" s="56">
        <v>1059990</v>
      </c>
    </row>
    <row r="122" spans="1:4" x14ac:dyDescent="0.25">
      <c r="A122" s="5">
        <v>70010859</v>
      </c>
      <c r="B122" s="5" t="s">
        <v>63</v>
      </c>
      <c r="C122" s="5" t="s">
        <v>2260</v>
      </c>
      <c r="D122" s="56">
        <v>929990</v>
      </c>
    </row>
    <row r="123" spans="1:4" x14ac:dyDescent="0.25">
      <c r="A123" s="5">
        <v>70010837</v>
      </c>
      <c r="B123" s="5" t="s">
        <v>63</v>
      </c>
      <c r="C123" s="5" t="s">
        <v>2261</v>
      </c>
      <c r="D123" s="56">
        <v>929990</v>
      </c>
    </row>
    <row r="124" spans="1:4" x14ac:dyDescent="0.25">
      <c r="A124" s="5">
        <v>70010805</v>
      </c>
      <c r="B124" s="5" t="s">
        <v>131</v>
      </c>
      <c r="C124" s="5" t="s">
        <v>2262</v>
      </c>
      <c r="D124" s="56">
        <v>114990</v>
      </c>
    </row>
    <row r="125" spans="1:4" x14ac:dyDescent="0.25">
      <c r="A125" s="5">
        <v>70010801</v>
      </c>
      <c r="B125" s="5" t="s">
        <v>41</v>
      </c>
      <c r="C125" s="5" t="s">
        <v>2263</v>
      </c>
      <c r="D125" s="56">
        <v>159990</v>
      </c>
    </row>
    <row r="126" spans="1:4" x14ac:dyDescent="0.25">
      <c r="A126" s="5">
        <v>70010667</v>
      </c>
      <c r="B126" s="5" t="s">
        <v>87</v>
      </c>
      <c r="C126" s="5" t="s">
        <v>2264</v>
      </c>
      <c r="D126" s="56">
        <v>269990</v>
      </c>
    </row>
    <row r="127" spans="1:4" x14ac:dyDescent="0.25">
      <c r="A127" s="5">
        <v>70010663</v>
      </c>
      <c r="B127" s="5" t="s">
        <v>46</v>
      </c>
      <c r="C127" s="5" t="s">
        <v>2265</v>
      </c>
      <c r="D127" s="56">
        <v>829990</v>
      </c>
    </row>
    <row r="128" spans="1:4" x14ac:dyDescent="0.25">
      <c r="A128" s="5">
        <v>70010660</v>
      </c>
      <c r="B128" s="5" t="s">
        <v>46</v>
      </c>
      <c r="C128" s="5" t="s">
        <v>2266</v>
      </c>
      <c r="D128" s="56">
        <v>1409990</v>
      </c>
    </row>
    <row r="129" spans="1:4" x14ac:dyDescent="0.25">
      <c r="A129" s="5">
        <v>70010648</v>
      </c>
      <c r="B129" s="5" t="s">
        <v>171</v>
      </c>
      <c r="C129" s="5" t="s">
        <v>2267</v>
      </c>
      <c r="D129" s="56">
        <v>214990</v>
      </c>
    </row>
    <row r="130" spans="1:4" x14ac:dyDescent="0.25">
      <c r="A130" s="5">
        <v>70010640</v>
      </c>
      <c r="B130" s="5" t="s">
        <v>131</v>
      </c>
      <c r="C130" s="5" t="s">
        <v>2268</v>
      </c>
      <c r="D130" s="56">
        <v>579990</v>
      </c>
    </row>
    <row r="131" spans="1:4" x14ac:dyDescent="0.25">
      <c r="A131" s="5">
        <v>70010631</v>
      </c>
      <c r="B131" s="5" t="s">
        <v>131</v>
      </c>
      <c r="C131" s="5" t="s">
        <v>2269</v>
      </c>
      <c r="D131" s="56">
        <v>579990</v>
      </c>
    </row>
    <row r="132" spans="1:4" x14ac:dyDescent="0.25">
      <c r="A132" s="5">
        <v>70010597</v>
      </c>
      <c r="B132" s="5" t="s">
        <v>46</v>
      </c>
      <c r="C132" s="5" t="s">
        <v>2270</v>
      </c>
      <c r="D132" s="56">
        <v>1409990</v>
      </c>
    </row>
    <row r="133" spans="1:4" x14ac:dyDescent="0.25">
      <c r="A133" s="5">
        <v>70010547</v>
      </c>
      <c r="B133" s="5" t="s">
        <v>46</v>
      </c>
      <c r="C133" s="5" t="s">
        <v>2271</v>
      </c>
      <c r="D133" s="56">
        <v>829990</v>
      </c>
    </row>
    <row r="134" spans="1:4" x14ac:dyDescent="0.25">
      <c r="A134" s="5">
        <v>70010542</v>
      </c>
      <c r="B134" s="5" t="s">
        <v>131</v>
      </c>
      <c r="C134" s="5" t="s">
        <v>2272</v>
      </c>
      <c r="D134" s="56">
        <v>144990</v>
      </c>
    </row>
    <row r="135" spans="1:4" x14ac:dyDescent="0.25">
      <c r="A135" s="5">
        <v>70010507</v>
      </c>
      <c r="B135" s="5" t="s">
        <v>46</v>
      </c>
      <c r="C135" s="5" t="s">
        <v>2273</v>
      </c>
      <c r="D135" s="56">
        <v>99990</v>
      </c>
    </row>
    <row r="136" spans="1:4" x14ac:dyDescent="0.25">
      <c r="A136" s="5">
        <v>70010451</v>
      </c>
      <c r="B136" s="5" t="s">
        <v>41</v>
      </c>
      <c r="C136" s="5" t="s">
        <v>2274</v>
      </c>
      <c r="D136" s="56">
        <v>259990</v>
      </c>
    </row>
    <row r="137" spans="1:4" x14ac:dyDescent="0.25">
      <c r="A137" s="5">
        <v>70010448</v>
      </c>
      <c r="B137" s="5" t="s">
        <v>41</v>
      </c>
      <c r="C137" s="5" t="s">
        <v>2275</v>
      </c>
      <c r="D137" s="56">
        <v>259990</v>
      </c>
    </row>
    <row r="138" spans="1:4" x14ac:dyDescent="0.25">
      <c r="A138" s="5">
        <v>70010445</v>
      </c>
      <c r="B138" s="5" t="s">
        <v>41</v>
      </c>
      <c r="C138" s="5" t="s">
        <v>2276</v>
      </c>
      <c r="D138" s="56">
        <v>209990</v>
      </c>
    </row>
    <row r="139" spans="1:4" x14ac:dyDescent="0.25">
      <c r="A139" s="5">
        <v>70010442</v>
      </c>
      <c r="B139" s="5" t="s">
        <v>41</v>
      </c>
      <c r="C139" s="5" t="s">
        <v>2277</v>
      </c>
      <c r="D139" s="56">
        <v>209990</v>
      </c>
    </row>
    <row r="140" spans="1:4" x14ac:dyDescent="0.25">
      <c r="A140" s="5">
        <v>70010439</v>
      </c>
      <c r="B140" s="5" t="s">
        <v>41</v>
      </c>
      <c r="C140" s="5" t="s">
        <v>2278</v>
      </c>
      <c r="D140" s="56">
        <v>169990</v>
      </c>
    </row>
    <row r="141" spans="1:4" x14ac:dyDescent="0.25">
      <c r="A141" s="5">
        <v>70010436</v>
      </c>
      <c r="B141" s="5" t="s">
        <v>41</v>
      </c>
      <c r="C141" s="5" t="s">
        <v>2279</v>
      </c>
      <c r="D141" s="57">
        <v>169990</v>
      </c>
    </row>
    <row r="142" spans="1:4" x14ac:dyDescent="0.25">
      <c r="A142" s="5">
        <v>70010430</v>
      </c>
      <c r="B142" s="5" t="s">
        <v>229</v>
      </c>
      <c r="C142" s="5" t="s">
        <v>2280</v>
      </c>
      <c r="D142" s="56">
        <v>269990</v>
      </c>
    </row>
    <row r="143" spans="1:4" x14ac:dyDescent="0.25">
      <c r="A143" s="5">
        <v>70010428</v>
      </c>
      <c r="B143" s="5" t="s">
        <v>229</v>
      </c>
      <c r="C143" s="5" t="s">
        <v>2281</v>
      </c>
      <c r="D143" s="56">
        <v>269990</v>
      </c>
    </row>
    <row r="144" spans="1:4" x14ac:dyDescent="0.25">
      <c r="A144" s="5">
        <v>70010417</v>
      </c>
      <c r="B144" s="5" t="s">
        <v>229</v>
      </c>
      <c r="C144" s="5" t="s">
        <v>2282</v>
      </c>
      <c r="D144" s="56">
        <v>379990</v>
      </c>
    </row>
    <row r="145" spans="1:4" x14ac:dyDescent="0.25">
      <c r="A145" s="5">
        <v>70010415</v>
      </c>
      <c r="B145" s="5" t="s">
        <v>229</v>
      </c>
      <c r="C145" s="5" t="s">
        <v>2283</v>
      </c>
      <c r="D145" s="56">
        <v>379990</v>
      </c>
    </row>
    <row r="146" spans="1:4" x14ac:dyDescent="0.25">
      <c r="A146" s="5">
        <v>70010413</v>
      </c>
      <c r="B146" s="5" t="s">
        <v>87</v>
      </c>
      <c r="C146" s="5" t="s">
        <v>2284</v>
      </c>
      <c r="D146" s="56">
        <v>449990</v>
      </c>
    </row>
    <row r="147" spans="1:4" x14ac:dyDescent="0.25">
      <c r="A147" s="5">
        <v>70010411</v>
      </c>
      <c r="B147" s="5" t="s">
        <v>87</v>
      </c>
      <c r="C147" s="5" t="s">
        <v>2285</v>
      </c>
      <c r="D147" s="56">
        <v>449990</v>
      </c>
    </row>
    <row r="148" spans="1:4" x14ac:dyDescent="0.25">
      <c r="A148" s="5">
        <v>70010409</v>
      </c>
      <c r="B148" s="5" t="s">
        <v>87</v>
      </c>
      <c r="C148" s="5" t="s">
        <v>2286</v>
      </c>
      <c r="D148" s="56">
        <v>449990</v>
      </c>
    </row>
    <row r="149" spans="1:4" x14ac:dyDescent="0.25">
      <c r="A149" s="5">
        <v>70010407</v>
      </c>
      <c r="B149" s="5" t="s">
        <v>87</v>
      </c>
      <c r="C149" s="5" t="s">
        <v>2287</v>
      </c>
      <c r="D149" s="58">
        <v>104990</v>
      </c>
    </row>
    <row r="150" spans="1:4" x14ac:dyDescent="0.25">
      <c r="A150" s="5">
        <v>70010404</v>
      </c>
      <c r="B150" s="5" t="s">
        <v>87</v>
      </c>
      <c r="C150" s="5" t="s">
        <v>2288</v>
      </c>
      <c r="D150" s="56">
        <v>159990</v>
      </c>
    </row>
    <row r="151" spans="1:4" x14ac:dyDescent="0.25">
      <c r="A151" s="5">
        <v>70010398</v>
      </c>
      <c r="B151" s="5" t="s">
        <v>87</v>
      </c>
      <c r="C151" s="5" t="s">
        <v>2289</v>
      </c>
      <c r="D151" s="58">
        <v>109990</v>
      </c>
    </row>
    <row r="152" spans="1:4" x14ac:dyDescent="0.25">
      <c r="A152" s="5">
        <v>70010396</v>
      </c>
      <c r="B152" s="5" t="s">
        <v>87</v>
      </c>
      <c r="C152" s="5" t="s">
        <v>2290</v>
      </c>
      <c r="D152" s="56">
        <v>159990</v>
      </c>
    </row>
    <row r="153" spans="1:4" x14ac:dyDescent="0.25">
      <c r="A153" s="5">
        <v>70010394</v>
      </c>
      <c r="B153" s="5" t="s">
        <v>87</v>
      </c>
      <c r="C153" s="5" t="s">
        <v>2291</v>
      </c>
      <c r="D153" s="56">
        <v>159990</v>
      </c>
    </row>
    <row r="154" spans="1:4" x14ac:dyDescent="0.25">
      <c r="A154" s="5">
        <v>70010381</v>
      </c>
      <c r="B154" s="5" t="s">
        <v>131</v>
      </c>
      <c r="C154" s="5" t="s">
        <v>2292</v>
      </c>
      <c r="D154" s="56">
        <v>144990</v>
      </c>
    </row>
    <row r="155" spans="1:4" x14ac:dyDescent="0.25">
      <c r="A155" s="5">
        <v>70010379</v>
      </c>
      <c r="B155" s="5" t="s">
        <v>131</v>
      </c>
      <c r="C155" s="5" t="s">
        <v>2293</v>
      </c>
      <c r="D155" s="56">
        <v>144990</v>
      </c>
    </row>
    <row r="156" spans="1:4" x14ac:dyDescent="0.25">
      <c r="A156" s="5">
        <v>70010375</v>
      </c>
      <c r="B156" s="5" t="s">
        <v>87</v>
      </c>
      <c r="C156" s="5" t="s">
        <v>2294</v>
      </c>
      <c r="D156" s="58">
        <v>144990</v>
      </c>
    </row>
    <row r="157" spans="1:4" x14ac:dyDescent="0.25">
      <c r="A157" s="5">
        <v>70010373</v>
      </c>
      <c r="B157" s="5" t="s">
        <v>87</v>
      </c>
      <c r="C157" s="5" t="s">
        <v>2295</v>
      </c>
      <c r="D157" s="58">
        <v>144990</v>
      </c>
    </row>
    <row r="158" spans="1:4" x14ac:dyDescent="0.25">
      <c r="A158" s="5">
        <v>70010371</v>
      </c>
      <c r="B158" s="5" t="s">
        <v>87</v>
      </c>
      <c r="C158" s="5" t="s">
        <v>2296</v>
      </c>
      <c r="D158" s="58">
        <v>144990</v>
      </c>
    </row>
    <row r="159" spans="1:4" x14ac:dyDescent="0.25">
      <c r="A159" s="5">
        <v>70010363</v>
      </c>
      <c r="B159" s="5" t="s">
        <v>46</v>
      </c>
      <c r="C159" s="5" t="s">
        <v>2297</v>
      </c>
      <c r="D159" s="58">
        <v>419990</v>
      </c>
    </row>
    <row r="160" spans="1:4" x14ac:dyDescent="0.25">
      <c r="A160" s="5">
        <v>70010358</v>
      </c>
      <c r="B160" s="5" t="s">
        <v>87</v>
      </c>
      <c r="C160" s="5" t="s">
        <v>2298</v>
      </c>
      <c r="D160" s="58">
        <v>789990</v>
      </c>
    </row>
    <row r="161" spans="1:4" x14ac:dyDescent="0.25">
      <c r="A161" s="5">
        <v>70010350</v>
      </c>
      <c r="B161" s="5" t="s">
        <v>87</v>
      </c>
      <c r="C161" s="5" t="s">
        <v>2299</v>
      </c>
      <c r="D161" s="58">
        <v>789990</v>
      </c>
    </row>
    <row r="162" spans="1:4" x14ac:dyDescent="0.25">
      <c r="A162" s="5">
        <v>70010345</v>
      </c>
      <c r="B162" s="5" t="s">
        <v>87</v>
      </c>
      <c r="C162" s="5" t="s">
        <v>2300</v>
      </c>
      <c r="D162" s="58">
        <v>789990</v>
      </c>
    </row>
    <row r="163" spans="1:4" x14ac:dyDescent="0.25">
      <c r="A163" s="5">
        <v>70010320</v>
      </c>
      <c r="B163" s="5" t="s">
        <v>87</v>
      </c>
      <c r="C163" s="5" t="s">
        <v>2301</v>
      </c>
      <c r="D163" s="58">
        <v>139990</v>
      </c>
    </row>
    <row r="164" spans="1:4" x14ac:dyDescent="0.25">
      <c r="A164" s="5">
        <v>70010318</v>
      </c>
      <c r="B164" s="5" t="s">
        <v>87</v>
      </c>
      <c r="C164" s="5" t="s">
        <v>2302</v>
      </c>
      <c r="D164" s="58">
        <v>139990</v>
      </c>
    </row>
    <row r="165" spans="1:4" x14ac:dyDescent="0.25">
      <c r="A165" s="5">
        <v>70010316</v>
      </c>
      <c r="B165" s="5" t="s">
        <v>46</v>
      </c>
      <c r="C165" s="5" t="s">
        <v>2303</v>
      </c>
      <c r="D165" s="58">
        <v>179990</v>
      </c>
    </row>
    <row r="166" spans="1:4" x14ac:dyDescent="0.25">
      <c r="A166" s="5">
        <v>70010312</v>
      </c>
      <c r="B166" s="5" t="s">
        <v>87</v>
      </c>
      <c r="C166" s="5" t="s">
        <v>2304</v>
      </c>
      <c r="D166" s="58">
        <v>139990</v>
      </c>
    </row>
    <row r="167" spans="1:4" x14ac:dyDescent="0.25">
      <c r="A167" s="5">
        <v>70010299</v>
      </c>
      <c r="B167" s="5" t="s">
        <v>46</v>
      </c>
      <c r="C167" s="5" t="s">
        <v>2305</v>
      </c>
      <c r="D167" s="58">
        <v>114990</v>
      </c>
    </row>
    <row r="168" spans="1:4" x14ac:dyDescent="0.25">
      <c r="A168" s="5">
        <v>70010297</v>
      </c>
      <c r="B168" s="5" t="s">
        <v>46</v>
      </c>
      <c r="C168" s="5" t="s">
        <v>2306</v>
      </c>
      <c r="D168" s="58">
        <v>239990</v>
      </c>
    </row>
    <row r="169" spans="1:4" x14ac:dyDescent="0.25">
      <c r="A169" s="5">
        <v>70010295</v>
      </c>
      <c r="B169" s="5" t="s">
        <v>46</v>
      </c>
      <c r="C169" s="5" t="s">
        <v>2307</v>
      </c>
      <c r="D169" s="58">
        <v>439990</v>
      </c>
    </row>
    <row r="170" spans="1:4" x14ac:dyDescent="0.25">
      <c r="A170" s="5">
        <v>70010293</v>
      </c>
      <c r="B170" s="5" t="s">
        <v>46</v>
      </c>
      <c r="C170" s="5" t="s">
        <v>2308</v>
      </c>
      <c r="D170" s="58">
        <v>159990</v>
      </c>
    </row>
    <row r="171" spans="1:4" x14ac:dyDescent="0.25">
      <c r="A171" s="5">
        <v>70010288</v>
      </c>
      <c r="B171" s="5" t="s">
        <v>46</v>
      </c>
      <c r="C171" s="5" t="s">
        <v>2309</v>
      </c>
      <c r="D171" s="58">
        <v>1199990</v>
      </c>
    </row>
    <row r="172" spans="1:4" x14ac:dyDescent="0.25">
      <c r="A172" s="5">
        <v>70010286</v>
      </c>
      <c r="B172" s="5" t="s">
        <v>46</v>
      </c>
      <c r="C172" s="5" t="s">
        <v>2310</v>
      </c>
      <c r="D172" s="58">
        <v>1079990</v>
      </c>
    </row>
    <row r="173" spans="1:4" x14ac:dyDescent="0.25">
      <c r="A173" s="5">
        <v>70010284</v>
      </c>
      <c r="B173" s="5" t="s">
        <v>46</v>
      </c>
      <c r="C173" s="5" t="s">
        <v>2311</v>
      </c>
      <c r="D173" s="58">
        <v>959990</v>
      </c>
    </row>
    <row r="174" spans="1:4" x14ac:dyDescent="0.25">
      <c r="A174" s="5">
        <v>70010282</v>
      </c>
      <c r="B174" s="5" t="s">
        <v>46</v>
      </c>
      <c r="C174" s="5" t="s">
        <v>2312</v>
      </c>
      <c r="D174" s="58">
        <v>839990</v>
      </c>
    </row>
    <row r="175" spans="1:4" x14ac:dyDescent="0.25">
      <c r="A175" s="5">
        <v>70010280</v>
      </c>
      <c r="B175" s="5" t="s">
        <v>46</v>
      </c>
      <c r="C175" s="5" t="s">
        <v>2313</v>
      </c>
      <c r="D175" s="58">
        <v>699990</v>
      </c>
    </row>
    <row r="176" spans="1:4" x14ac:dyDescent="0.25">
      <c r="A176" s="5">
        <v>70010278</v>
      </c>
      <c r="B176" s="5" t="s">
        <v>46</v>
      </c>
      <c r="C176" s="5" t="s">
        <v>2314</v>
      </c>
      <c r="D176" s="58">
        <v>574990</v>
      </c>
    </row>
    <row r="177" spans="1:4" x14ac:dyDescent="0.25">
      <c r="A177" s="5">
        <v>70010276</v>
      </c>
      <c r="B177" s="5" t="s">
        <v>46</v>
      </c>
      <c r="C177" s="5" t="s">
        <v>2315</v>
      </c>
      <c r="D177" s="58">
        <v>539990</v>
      </c>
    </row>
    <row r="178" spans="1:4" x14ac:dyDescent="0.25">
      <c r="A178" s="5">
        <v>70010275</v>
      </c>
      <c r="B178" s="5" t="s">
        <v>46</v>
      </c>
      <c r="C178" s="5" t="s">
        <v>2316</v>
      </c>
      <c r="D178" s="56">
        <v>449990</v>
      </c>
    </row>
    <row r="179" spans="1:4" x14ac:dyDescent="0.25">
      <c r="A179" s="5">
        <v>70010273</v>
      </c>
      <c r="B179" s="5" t="s">
        <v>46</v>
      </c>
      <c r="C179" s="5" t="s">
        <v>2317</v>
      </c>
      <c r="D179" s="58">
        <v>249990</v>
      </c>
    </row>
    <row r="180" spans="1:4" x14ac:dyDescent="0.25">
      <c r="A180" s="5">
        <v>70010271</v>
      </c>
      <c r="B180" s="5" t="s">
        <v>46</v>
      </c>
      <c r="C180" s="5" t="s">
        <v>2318</v>
      </c>
      <c r="D180" s="58">
        <v>529990</v>
      </c>
    </row>
    <row r="181" spans="1:4" x14ac:dyDescent="0.25">
      <c r="A181" s="5">
        <v>70010212</v>
      </c>
      <c r="B181" s="5" t="s">
        <v>87</v>
      </c>
      <c r="C181" s="5" t="s">
        <v>2319</v>
      </c>
      <c r="D181" s="58">
        <v>789990</v>
      </c>
    </row>
    <row r="182" spans="1:4" x14ac:dyDescent="0.25">
      <c r="A182" s="5">
        <v>70010210</v>
      </c>
      <c r="B182" s="5" t="s">
        <v>87</v>
      </c>
      <c r="C182" s="5" t="s">
        <v>2320</v>
      </c>
      <c r="D182" s="58">
        <v>789990</v>
      </c>
    </row>
    <row r="183" spans="1:4" x14ac:dyDescent="0.25">
      <c r="A183" s="5">
        <v>70010208</v>
      </c>
      <c r="B183" s="5" t="s">
        <v>87</v>
      </c>
      <c r="C183" s="5" t="s">
        <v>2321</v>
      </c>
      <c r="D183" s="58">
        <v>789990</v>
      </c>
    </row>
    <row r="184" spans="1:4" x14ac:dyDescent="0.25">
      <c r="A184" s="5">
        <v>70010206</v>
      </c>
      <c r="B184" s="5" t="s">
        <v>87</v>
      </c>
      <c r="C184" s="5" t="s">
        <v>2322</v>
      </c>
      <c r="D184" s="58">
        <v>649990</v>
      </c>
    </row>
    <row r="185" spans="1:4" x14ac:dyDescent="0.25">
      <c r="A185" s="5">
        <v>70010204</v>
      </c>
      <c r="B185" s="5" t="s">
        <v>87</v>
      </c>
      <c r="C185" s="5" t="s">
        <v>2323</v>
      </c>
      <c r="D185" s="58">
        <v>649990</v>
      </c>
    </row>
    <row r="186" spans="1:4" x14ac:dyDescent="0.25">
      <c r="A186" s="5">
        <v>70010202</v>
      </c>
      <c r="B186" s="5" t="s">
        <v>87</v>
      </c>
      <c r="C186" s="5" t="s">
        <v>2324</v>
      </c>
      <c r="D186" s="58">
        <v>649990</v>
      </c>
    </row>
    <row r="187" spans="1:4" x14ac:dyDescent="0.25">
      <c r="A187" s="5">
        <v>70010200</v>
      </c>
      <c r="B187" s="5" t="s">
        <v>87</v>
      </c>
      <c r="C187" s="5" t="s">
        <v>2325</v>
      </c>
      <c r="D187" s="58">
        <v>349990</v>
      </c>
    </row>
    <row r="188" spans="1:4" x14ac:dyDescent="0.25">
      <c r="A188" s="5">
        <v>70010198</v>
      </c>
      <c r="B188" s="5" t="s">
        <v>87</v>
      </c>
      <c r="C188" s="5" t="s">
        <v>2326</v>
      </c>
      <c r="D188" s="58">
        <v>349990</v>
      </c>
    </row>
    <row r="189" spans="1:4" x14ac:dyDescent="0.25">
      <c r="A189" s="5">
        <v>70010196</v>
      </c>
      <c r="B189" s="5" t="s">
        <v>87</v>
      </c>
      <c r="C189" s="5" t="s">
        <v>2327</v>
      </c>
      <c r="D189" s="58">
        <v>349990</v>
      </c>
    </row>
    <row r="190" spans="1:4" x14ac:dyDescent="0.25">
      <c r="A190" s="5">
        <v>70010194</v>
      </c>
      <c r="B190" s="5" t="s">
        <v>87</v>
      </c>
      <c r="C190" s="5" t="s">
        <v>2328</v>
      </c>
      <c r="D190" s="58">
        <v>299990</v>
      </c>
    </row>
    <row r="191" spans="1:4" x14ac:dyDescent="0.25">
      <c r="A191" s="5">
        <v>70010192</v>
      </c>
      <c r="B191" s="5" t="s">
        <v>87</v>
      </c>
      <c r="C191" s="5" t="s">
        <v>2329</v>
      </c>
      <c r="D191" s="58">
        <v>299990</v>
      </c>
    </row>
    <row r="192" spans="1:4" x14ac:dyDescent="0.25">
      <c r="A192" s="5">
        <v>70010190</v>
      </c>
      <c r="B192" s="5" t="s">
        <v>87</v>
      </c>
      <c r="C192" s="5" t="s">
        <v>2330</v>
      </c>
      <c r="D192" s="58">
        <v>299990</v>
      </c>
    </row>
    <row r="193" spans="1:4" x14ac:dyDescent="0.25">
      <c r="A193" s="5">
        <v>70010188</v>
      </c>
      <c r="B193" s="5" t="s">
        <v>87</v>
      </c>
      <c r="C193" s="5" t="s">
        <v>2331</v>
      </c>
      <c r="D193" s="58">
        <v>269990</v>
      </c>
    </row>
    <row r="194" spans="1:4" x14ac:dyDescent="0.25">
      <c r="A194" s="5">
        <v>70010153</v>
      </c>
      <c r="B194" s="5" t="s">
        <v>46</v>
      </c>
      <c r="C194" s="5" t="s">
        <v>2332</v>
      </c>
      <c r="D194" s="58">
        <v>284990</v>
      </c>
    </row>
    <row r="195" spans="1:4" x14ac:dyDescent="0.25">
      <c r="A195" s="8">
        <v>70010125</v>
      </c>
      <c r="B195" s="5" t="s">
        <v>46</v>
      </c>
      <c r="C195" s="12" t="s">
        <v>2333</v>
      </c>
      <c r="D195" s="58">
        <v>199990</v>
      </c>
    </row>
    <row r="196" spans="1:4" x14ac:dyDescent="0.25">
      <c r="A196" s="8">
        <v>70010122</v>
      </c>
      <c r="B196" s="5" t="s">
        <v>46</v>
      </c>
      <c r="C196" s="12" t="s">
        <v>2334</v>
      </c>
      <c r="D196" s="58">
        <v>189990</v>
      </c>
    </row>
    <row r="197" spans="1:4" x14ac:dyDescent="0.25">
      <c r="A197" s="8">
        <v>70010119</v>
      </c>
      <c r="B197" s="5" t="s">
        <v>46</v>
      </c>
      <c r="C197" s="12" t="s">
        <v>2335</v>
      </c>
      <c r="D197" s="58">
        <v>124990</v>
      </c>
    </row>
    <row r="198" spans="1:4" x14ac:dyDescent="0.25">
      <c r="A198" s="5">
        <v>70010116</v>
      </c>
      <c r="B198" s="5" t="s">
        <v>63</v>
      </c>
      <c r="C198" s="5" t="s">
        <v>2336</v>
      </c>
      <c r="D198" s="58">
        <v>1149990</v>
      </c>
    </row>
    <row r="199" spans="1:4" x14ac:dyDescent="0.25">
      <c r="A199" s="5">
        <v>70010113</v>
      </c>
      <c r="B199" s="5" t="s">
        <v>63</v>
      </c>
      <c r="C199" s="5" t="s">
        <v>2337</v>
      </c>
      <c r="D199" s="58">
        <v>1049990</v>
      </c>
    </row>
    <row r="200" spans="1:4" x14ac:dyDescent="0.25">
      <c r="A200" s="5">
        <v>70010110</v>
      </c>
      <c r="B200" s="5" t="s">
        <v>63</v>
      </c>
      <c r="C200" s="5" t="s">
        <v>2338</v>
      </c>
      <c r="D200" s="58">
        <v>939990</v>
      </c>
    </row>
    <row r="201" spans="1:4" x14ac:dyDescent="0.25">
      <c r="A201" s="5">
        <v>70010107</v>
      </c>
      <c r="B201" s="5" t="s">
        <v>63</v>
      </c>
      <c r="C201" s="5" t="s">
        <v>2339</v>
      </c>
      <c r="D201" s="58">
        <v>819990</v>
      </c>
    </row>
    <row r="202" spans="1:4" x14ac:dyDescent="0.25">
      <c r="A202" s="5">
        <v>70010104</v>
      </c>
      <c r="B202" s="5" t="s">
        <v>63</v>
      </c>
      <c r="C202" s="5" t="s">
        <v>2340</v>
      </c>
      <c r="D202" s="58">
        <v>579990</v>
      </c>
    </row>
    <row r="203" spans="1:4" x14ac:dyDescent="0.25">
      <c r="A203" s="5">
        <v>70010101</v>
      </c>
      <c r="B203" s="5" t="s">
        <v>63</v>
      </c>
      <c r="C203" s="5" t="s">
        <v>2341</v>
      </c>
      <c r="D203" s="58">
        <v>509990</v>
      </c>
    </row>
    <row r="204" spans="1:4" x14ac:dyDescent="0.25">
      <c r="A204" s="5">
        <v>70010098</v>
      </c>
      <c r="B204" s="5" t="s">
        <v>63</v>
      </c>
      <c r="C204" s="5" t="s">
        <v>2342</v>
      </c>
      <c r="D204" s="58">
        <v>509990</v>
      </c>
    </row>
    <row r="205" spans="1:4" x14ac:dyDescent="0.25">
      <c r="A205" s="5">
        <v>70010066</v>
      </c>
      <c r="B205" s="5" t="s">
        <v>46</v>
      </c>
      <c r="C205" s="5" t="s">
        <v>2343</v>
      </c>
      <c r="D205" s="58">
        <v>249990</v>
      </c>
    </row>
    <row r="206" spans="1:4" x14ac:dyDescent="0.25">
      <c r="A206" s="5">
        <v>70010063</v>
      </c>
      <c r="B206" s="5" t="s">
        <v>46</v>
      </c>
      <c r="C206" s="5" t="s">
        <v>2344</v>
      </c>
      <c r="D206" s="58">
        <v>249990</v>
      </c>
    </row>
    <row r="207" spans="1:4" x14ac:dyDescent="0.25">
      <c r="A207" s="5">
        <v>70010041</v>
      </c>
      <c r="B207" s="5" t="s">
        <v>46</v>
      </c>
      <c r="C207" s="5" t="s">
        <v>2345</v>
      </c>
      <c r="D207" s="58">
        <v>574990</v>
      </c>
    </row>
    <row r="208" spans="1:4" x14ac:dyDescent="0.25">
      <c r="A208" s="5">
        <v>70010040</v>
      </c>
      <c r="B208" s="5" t="s">
        <v>87</v>
      </c>
      <c r="C208" s="5" t="s">
        <v>2346</v>
      </c>
      <c r="D208" s="58">
        <v>199990</v>
      </c>
    </row>
    <row r="209" spans="1:4" x14ac:dyDescent="0.25">
      <c r="A209" s="5">
        <v>70010037</v>
      </c>
      <c r="B209" s="5" t="s">
        <v>87</v>
      </c>
      <c r="C209" s="5" t="s">
        <v>2347</v>
      </c>
      <c r="D209" s="58">
        <v>199990</v>
      </c>
    </row>
    <row r="210" spans="1:4" x14ac:dyDescent="0.25">
      <c r="A210" s="5">
        <v>70010034</v>
      </c>
      <c r="B210" s="5" t="s">
        <v>904</v>
      </c>
      <c r="C210" s="5" t="s">
        <v>2348</v>
      </c>
      <c r="D210" s="58">
        <v>239990</v>
      </c>
    </row>
    <row r="211" spans="1:4" x14ac:dyDescent="0.25">
      <c r="A211" s="5">
        <v>70010031</v>
      </c>
      <c r="B211" s="5" t="s">
        <v>46</v>
      </c>
      <c r="C211" s="5" t="s">
        <v>2349</v>
      </c>
      <c r="D211" s="58">
        <v>1199990</v>
      </c>
    </row>
    <row r="212" spans="1:4" x14ac:dyDescent="0.25">
      <c r="A212" s="5">
        <v>70010028</v>
      </c>
      <c r="B212" s="5" t="s">
        <v>46</v>
      </c>
      <c r="C212" s="5" t="s">
        <v>2350</v>
      </c>
      <c r="D212" s="58">
        <v>839990</v>
      </c>
    </row>
    <row r="213" spans="1:4" x14ac:dyDescent="0.25">
      <c r="A213" s="5">
        <v>70010025</v>
      </c>
      <c r="B213" s="5" t="s">
        <v>46</v>
      </c>
      <c r="C213" s="5" t="s">
        <v>2351</v>
      </c>
      <c r="D213" s="58">
        <v>839990</v>
      </c>
    </row>
    <row r="214" spans="1:4" x14ac:dyDescent="0.25">
      <c r="A214" s="5">
        <v>70010022</v>
      </c>
      <c r="B214" s="5" t="s">
        <v>46</v>
      </c>
      <c r="C214" s="5" t="s">
        <v>2352</v>
      </c>
      <c r="D214" s="58">
        <v>839990</v>
      </c>
    </row>
    <row r="215" spans="1:4" x14ac:dyDescent="0.25">
      <c r="A215" s="5">
        <v>70010019</v>
      </c>
      <c r="B215" s="5" t="s">
        <v>46</v>
      </c>
      <c r="C215" s="5" t="s">
        <v>2353</v>
      </c>
      <c r="D215" s="58">
        <v>839990</v>
      </c>
    </row>
    <row r="216" spans="1:4" x14ac:dyDescent="0.25">
      <c r="A216" s="5">
        <v>70010015</v>
      </c>
      <c r="B216" s="5" t="s">
        <v>46</v>
      </c>
      <c r="C216" s="5" t="s">
        <v>2354</v>
      </c>
      <c r="D216" s="58">
        <v>574990</v>
      </c>
    </row>
    <row r="217" spans="1:4" x14ac:dyDescent="0.25">
      <c r="A217" s="5">
        <v>70010012</v>
      </c>
      <c r="B217" s="5" t="s">
        <v>46</v>
      </c>
      <c r="C217" s="5" t="s">
        <v>2355</v>
      </c>
      <c r="D217" s="58">
        <v>574990</v>
      </c>
    </row>
    <row r="218" spans="1:4" x14ac:dyDescent="0.25">
      <c r="A218" s="5">
        <v>70010010</v>
      </c>
      <c r="B218" s="5" t="s">
        <v>46</v>
      </c>
      <c r="C218" s="5" t="s">
        <v>2356</v>
      </c>
      <c r="D218" s="58">
        <v>574990</v>
      </c>
    </row>
    <row r="219" spans="1:4" x14ac:dyDescent="0.25">
      <c r="A219" s="5">
        <v>70009989</v>
      </c>
      <c r="B219" s="5" t="s">
        <v>46</v>
      </c>
      <c r="C219" s="5" t="s">
        <v>2357</v>
      </c>
      <c r="D219" s="58">
        <v>959990</v>
      </c>
    </row>
    <row r="220" spans="1:4" x14ac:dyDescent="0.25">
      <c r="A220" s="5">
        <v>70009986</v>
      </c>
      <c r="B220" s="5" t="s">
        <v>46</v>
      </c>
      <c r="C220" s="5" t="s">
        <v>2358</v>
      </c>
      <c r="D220" s="58">
        <v>699990</v>
      </c>
    </row>
    <row r="221" spans="1:4" x14ac:dyDescent="0.25">
      <c r="A221" s="5">
        <v>70009984</v>
      </c>
      <c r="B221" s="5" t="s">
        <v>46</v>
      </c>
      <c r="C221" s="5" t="s">
        <v>2359</v>
      </c>
      <c r="D221" s="58">
        <v>959990</v>
      </c>
    </row>
    <row r="222" spans="1:4" x14ac:dyDescent="0.25">
      <c r="A222" s="5">
        <v>70009981</v>
      </c>
      <c r="B222" s="5" t="s">
        <v>46</v>
      </c>
      <c r="C222" s="5" t="s">
        <v>2360</v>
      </c>
      <c r="D222" s="58">
        <v>959990</v>
      </c>
    </row>
    <row r="223" spans="1:4" x14ac:dyDescent="0.25">
      <c r="A223" s="5">
        <v>70009977</v>
      </c>
      <c r="B223" s="5" t="s">
        <v>46</v>
      </c>
      <c r="C223" s="5" t="s">
        <v>2361</v>
      </c>
      <c r="D223" s="58">
        <v>959990</v>
      </c>
    </row>
    <row r="224" spans="1:4" x14ac:dyDescent="0.25">
      <c r="A224" s="5">
        <v>70009972</v>
      </c>
      <c r="B224" s="5" t="s">
        <v>46</v>
      </c>
      <c r="C224" s="5" t="s">
        <v>2362</v>
      </c>
      <c r="D224" s="58">
        <v>1079990</v>
      </c>
    </row>
    <row r="225" spans="1:4" x14ac:dyDescent="0.25">
      <c r="A225" s="5">
        <v>70009969</v>
      </c>
      <c r="B225" s="5" t="s">
        <v>46</v>
      </c>
      <c r="C225" s="5" t="s">
        <v>2363</v>
      </c>
      <c r="D225" s="58">
        <v>1079990</v>
      </c>
    </row>
    <row r="226" spans="1:4" x14ac:dyDescent="0.25">
      <c r="A226" s="5">
        <v>70009968</v>
      </c>
      <c r="B226" s="5" t="s">
        <v>46</v>
      </c>
      <c r="C226" s="5" t="s">
        <v>2364</v>
      </c>
      <c r="D226" s="58">
        <v>1079990</v>
      </c>
    </row>
    <row r="227" spans="1:4" x14ac:dyDescent="0.25">
      <c r="A227" s="5">
        <v>70009943</v>
      </c>
      <c r="B227" s="5" t="s">
        <v>46</v>
      </c>
      <c r="C227" s="5" t="s">
        <v>2365</v>
      </c>
      <c r="D227" s="58">
        <v>539990</v>
      </c>
    </row>
    <row r="228" spans="1:4" x14ac:dyDescent="0.25">
      <c r="A228" s="22">
        <v>70009940</v>
      </c>
      <c r="B228" s="5" t="s">
        <v>46</v>
      </c>
      <c r="C228" s="5" t="s">
        <v>2366</v>
      </c>
      <c r="D228" s="58">
        <v>539990</v>
      </c>
    </row>
    <row r="229" spans="1:4" x14ac:dyDescent="0.25">
      <c r="A229" s="5">
        <v>70009920</v>
      </c>
      <c r="B229" s="5" t="s">
        <v>904</v>
      </c>
      <c r="C229" s="24" t="s">
        <v>2367</v>
      </c>
      <c r="D229" s="58">
        <v>789990</v>
      </c>
    </row>
    <row r="230" spans="1:4" x14ac:dyDescent="0.25">
      <c r="A230" s="5">
        <v>70009911</v>
      </c>
      <c r="B230" s="5" t="s">
        <v>46</v>
      </c>
      <c r="C230" s="24" t="s">
        <v>2368</v>
      </c>
      <c r="D230" s="58">
        <v>699990</v>
      </c>
    </row>
    <row r="231" spans="1:4" x14ac:dyDescent="0.25">
      <c r="A231" s="5">
        <v>70009908</v>
      </c>
      <c r="B231" s="5" t="s">
        <v>46</v>
      </c>
      <c r="C231" s="24" t="s">
        <v>2369</v>
      </c>
      <c r="D231" s="58">
        <v>99990</v>
      </c>
    </row>
    <row r="232" spans="1:4" x14ac:dyDescent="0.25">
      <c r="A232" s="8">
        <v>70009907</v>
      </c>
      <c r="B232" s="5" t="s">
        <v>904</v>
      </c>
      <c r="C232" s="23" t="s">
        <v>2370</v>
      </c>
      <c r="D232" s="58">
        <v>259990</v>
      </c>
    </row>
    <row r="233" spans="1:4" x14ac:dyDescent="0.25">
      <c r="A233" s="6">
        <v>70009904</v>
      </c>
      <c r="B233" s="5" t="s">
        <v>904</v>
      </c>
      <c r="C233" s="24" t="s">
        <v>2371</v>
      </c>
      <c r="D233" s="58">
        <v>259990</v>
      </c>
    </row>
    <row r="234" spans="1:4" x14ac:dyDescent="0.25">
      <c r="A234" s="5">
        <v>70009899</v>
      </c>
      <c r="B234" s="5" t="s">
        <v>87</v>
      </c>
      <c r="C234" s="24" t="s">
        <v>2372</v>
      </c>
      <c r="D234" s="58">
        <v>199990</v>
      </c>
    </row>
    <row r="235" spans="1:4" x14ac:dyDescent="0.25">
      <c r="A235" s="5">
        <v>70009896</v>
      </c>
      <c r="B235" s="5" t="s">
        <v>87</v>
      </c>
      <c r="C235" s="24" t="s">
        <v>2373</v>
      </c>
      <c r="D235" s="58">
        <v>199990</v>
      </c>
    </row>
    <row r="236" spans="1:4" x14ac:dyDescent="0.25">
      <c r="A236" s="5">
        <v>70009893</v>
      </c>
      <c r="B236" s="5" t="s">
        <v>46</v>
      </c>
      <c r="C236" s="24" t="s">
        <v>2374</v>
      </c>
      <c r="D236" s="58">
        <v>959990</v>
      </c>
    </row>
    <row r="237" spans="1:4" x14ac:dyDescent="0.25">
      <c r="A237" s="5">
        <v>70009891</v>
      </c>
      <c r="B237" s="5" t="s">
        <v>46</v>
      </c>
      <c r="C237" s="24" t="s">
        <v>2375</v>
      </c>
      <c r="D237" s="58">
        <v>1079990</v>
      </c>
    </row>
    <row r="238" spans="1:4" x14ac:dyDescent="0.25">
      <c r="A238" s="5">
        <v>70009887</v>
      </c>
      <c r="B238" s="5" t="s">
        <v>87</v>
      </c>
      <c r="C238" s="24" t="s">
        <v>2376</v>
      </c>
      <c r="D238" s="58">
        <v>209990</v>
      </c>
    </row>
    <row r="239" spans="1:4" x14ac:dyDescent="0.25">
      <c r="A239" s="5">
        <v>70009884</v>
      </c>
      <c r="B239" s="5" t="s">
        <v>87</v>
      </c>
      <c r="C239" s="24" t="s">
        <v>2377</v>
      </c>
      <c r="D239" s="58">
        <v>209990</v>
      </c>
    </row>
    <row r="240" spans="1:4" x14ac:dyDescent="0.25">
      <c r="A240" s="5">
        <v>70009881</v>
      </c>
      <c r="B240" s="5" t="s">
        <v>87</v>
      </c>
      <c r="C240" s="24" t="s">
        <v>2378</v>
      </c>
      <c r="D240" s="58">
        <v>199990</v>
      </c>
    </row>
    <row r="241" spans="1:4" x14ac:dyDescent="0.25">
      <c r="A241" s="5">
        <v>70009876</v>
      </c>
      <c r="B241" s="5" t="s">
        <v>171</v>
      </c>
      <c r="C241" s="24" t="s">
        <v>2379</v>
      </c>
      <c r="D241" s="58">
        <v>139990</v>
      </c>
    </row>
    <row r="242" spans="1:4" x14ac:dyDescent="0.25">
      <c r="A242" s="5">
        <v>70009874</v>
      </c>
      <c r="B242" s="5" t="s">
        <v>87</v>
      </c>
      <c r="C242" s="24" t="s">
        <v>2380</v>
      </c>
      <c r="D242" s="58">
        <v>209990</v>
      </c>
    </row>
    <row r="243" spans="1:4" x14ac:dyDescent="0.25">
      <c r="A243" s="5">
        <v>70009870</v>
      </c>
      <c r="B243" s="5" t="s">
        <v>171</v>
      </c>
      <c r="C243" s="24" t="s">
        <v>2381</v>
      </c>
      <c r="D243" s="58">
        <v>119990</v>
      </c>
    </row>
    <row r="244" spans="1:4" x14ac:dyDescent="0.25">
      <c r="A244" s="5">
        <v>70009865</v>
      </c>
      <c r="B244" s="5" t="s">
        <v>46</v>
      </c>
      <c r="C244" s="24" t="s">
        <v>2382</v>
      </c>
      <c r="D244" s="58">
        <v>699990</v>
      </c>
    </row>
    <row r="245" spans="1:4" x14ac:dyDescent="0.25">
      <c r="A245" s="5">
        <v>70009862</v>
      </c>
      <c r="B245" s="5" t="s">
        <v>46</v>
      </c>
      <c r="C245" s="24" t="s">
        <v>2383</v>
      </c>
      <c r="D245" s="58">
        <v>539990</v>
      </c>
    </row>
    <row r="246" spans="1:4" x14ac:dyDescent="0.25">
      <c r="A246" s="5">
        <v>70009859</v>
      </c>
      <c r="B246" s="5" t="s">
        <v>46</v>
      </c>
      <c r="C246" s="24" t="s">
        <v>2384</v>
      </c>
      <c r="D246" s="58">
        <v>699990</v>
      </c>
    </row>
    <row r="247" spans="1:4" x14ac:dyDescent="0.25">
      <c r="A247" s="5">
        <v>70009856</v>
      </c>
      <c r="B247" s="5" t="s">
        <v>2385</v>
      </c>
      <c r="C247" s="24" t="s">
        <v>2386</v>
      </c>
      <c r="D247" s="58">
        <v>619990</v>
      </c>
    </row>
    <row r="248" spans="1:4" x14ac:dyDescent="0.25">
      <c r="A248" s="5">
        <v>70009847</v>
      </c>
      <c r="B248" s="5" t="s">
        <v>171</v>
      </c>
      <c r="C248" s="24" t="s">
        <v>2387</v>
      </c>
      <c r="D248" s="58">
        <v>119990</v>
      </c>
    </row>
    <row r="249" spans="1:4" x14ac:dyDescent="0.25">
      <c r="A249" s="5">
        <v>70009846</v>
      </c>
      <c r="B249" s="5" t="s">
        <v>131</v>
      </c>
      <c r="C249" s="24" t="s">
        <v>2388</v>
      </c>
      <c r="D249" s="58">
        <v>529990</v>
      </c>
    </row>
    <row r="250" spans="1:4" x14ac:dyDescent="0.25">
      <c r="A250" s="5">
        <v>70009840</v>
      </c>
      <c r="B250" s="5" t="s">
        <v>46</v>
      </c>
      <c r="C250" s="24" t="s">
        <v>2389</v>
      </c>
      <c r="D250" s="58">
        <v>149990</v>
      </c>
    </row>
    <row r="251" spans="1:4" x14ac:dyDescent="0.25">
      <c r="A251" s="5">
        <v>70009838</v>
      </c>
      <c r="B251" s="5" t="s">
        <v>131</v>
      </c>
      <c r="C251" s="24" t="s">
        <v>2390</v>
      </c>
      <c r="D251" s="58">
        <v>179990</v>
      </c>
    </row>
    <row r="252" spans="1:4" x14ac:dyDescent="0.25">
      <c r="A252" s="5">
        <v>70009837</v>
      </c>
      <c r="B252" s="5" t="s">
        <v>46</v>
      </c>
      <c r="C252" s="24" t="s">
        <v>2391</v>
      </c>
      <c r="D252" s="58">
        <v>539990</v>
      </c>
    </row>
    <row r="253" spans="1:4" x14ac:dyDescent="0.25">
      <c r="A253" s="5">
        <v>70009834</v>
      </c>
      <c r="B253" s="5" t="s">
        <v>46</v>
      </c>
      <c r="C253" s="24" t="s">
        <v>2392</v>
      </c>
      <c r="D253" s="58">
        <v>149990</v>
      </c>
    </row>
    <row r="254" spans="1:4" x14ac:dyDescent="0.25">
      <c r="A254" s="5">
        <v>70009831</v>
      </c>
      <c r="B254" s="5" t="s">
        <v>46</v>
      </c>
      <c r="C254" s="24" t="s">
        <v>2393</v>
      </c>
      <c r="D254" s="58">
        <v>299990</v>
      </c>
    </row>
    <row r="255" spans="1:4" x14ac:dyDescent="0.25">
      <c r="A255" s="5">
        <v>70009828</v>
      </c>
      <c r="B255" s="5" t="s">
        <v>46</v>
      </c>
      <c r="C255" s="5" t="s">
        <v>2394</v>
      </c>
      <c r="D255" s="58">
        <v>189990</v>
      </c>
    </row>
    <row r="256" spans="1:4" x14ac:dyDescent="0.25">
      <c r="A256" s="5">
        <v>70009825</v>
      </c>
      <c r="B256" s="5" t="s">
        <v>46</v>
      </c>
      <c r="C256" s="5" t="s">
        <v>2395</v>
      </c>
      <c r="D256" s="58">
        <v>449990</v>
      </c>
    </row>
    <row r="257" spans="1:4" x14ac:dyDescent="0.25">
      <c r="A257" s="5">
        <v>70009805</v>
      </c>
      <c r="B257" s="5" t="s">
        <v>46</v>
      </c>
      <c r="C257" s="5" t="s">
        <v>2396</v>
      </c>
      <c r="D257" s="58">
        <v>139990</v>
      </c>
    </row>
    <row r="258" spans="1:4" x14ac:dyDescent="0.25">
      <c r="A258" s="5">
        <v>70009790</v>
      </c>
      <c r="B258" s="5" t="s">
        <v>87</v>
      </c>
      <c r="C258" s="5" t="s">
        <v>2397</v>
      </c>
      <c r="D258" s="58">
        <v>489990</v>
      </c>
    </row>
    <row r="259" spans="1:4" x14ac:dyDescent="0.25">
      <c r="A259" s="5">
        <v>70009789</v>
      </c>
      <c r="B259" s="5" t="s">
        <v>87</v>
      </c>
      <c r="C259" s="5" t="s">
        <v>2398</v>
      </c>
      <c r="D259" s="58">
        <v>409990</v>
      </c>
    </row>
    <row r="260" spans="1:4" x14ac:dyDescent="0.25">
      <c r="A260" s="5">
        <v>70009787</v>
      </c>
      <c r="B260" s="5" t="s">
        <v>87</v>
      </c>
      <c r="C260" s="5" t="s">
        <v>2399</v>
      </c>
      <c r="D260" s="58">
        <v>409990</v>
      </c>
    </row>
    <row r="261" spans="1:4" x14ac:dyDescent="0.25">
      <c r="A261" s="5">
        <v>70009786</v>
      </c>
      <c r="B261" s="5" t="s">
        <v>229</v>
      </c>
      <c r="C261" s="5" t="s">
        <v>2400</v>
      </c>
      <c r="D261" s="58">
        <v>249990</v>
      </c>
    </row>
    <row r="262" spans="1:4" x14ac:dyDescent="0.25">
      <c r="A262" s="5">
        <v>70009783</v>
      </c>
      <c r="B262" s="5" t="s">
        <v>87</v>
      </c>
      <c r="C262" s="5" t="s">
        <v>2401</v>
      </c>
      <c r="D262" s="58">
        <v>489990</v>
      </c>
    </row>
    <row r="263" spans="1:4" x14ac:dyDescent="0.25">
      <c r="A263" s="5">
        <v>70009781</v>
      </c>
      <c r="B263" s="5" t="s">
        <v>87</v>
      </c>
      <c r="C263" s="5" t="s">
        <v>2402</v>
      </c>
      <c r="D263" s="58">
        <v>489990</v>
      </c>
    </row>
    <row r="264" spans="1:4" x14ac:dyDescent="0.25">
      <c r="A264" s="5">
        <v>70009779</v>
      </c>
      <c r="B264" s="5" t="s">
        <v>87</v>
      </c>
      <c r="C264" s="5" t="s">
        <v>2403</v>
      </c>
      <c r="D264" s="58">
        <v>409990</v>
      </c>
    </row>
    <row r="265" spans="1:4" x14ac:dyDescent="0.25">
      <c r="A265" s="5">
        <v>70009776</v>
      </c>
      <c r="B265" s="5" t="s">
        <v>87</v>
      </c>
      <c r="C265" s="5" t="s">
        <v>2404</v>
      </c>
      <c r="D265" s="58">
        <v>309990</v>
      </c>
    </row>
    <row r="266" spans="1:4" x14ac:dyDescent="0.25">
      <c r="A266" s="5">
        <v>70009774</v>
      </c>
      <c r="B266" s="11" t="s">
        <v>87</v>
      </c>
      <c r="C266" s="5" t="s">
        <v>2405</v>
      </c>
      <c r="D266" s="58">
        <v>309990</v>
      </c>
    </row>
    <row r="267" spans="1:4" x14ac:dyDescent="0.25">
      <c r="A267" s="5">
        <v>70009772</v>
      </c>
      <c r="B267" s="11" t="s">
        <v>87</v>
      </c>
      <c r="C267" s="11" t="s">
        <v>2406</v>
      </c>
      <c r="D267" s="58">
        <v>309990</v>
      </c>
    </row>
    <row r="268" spans="1:4" x14ac:dyDescent="0.25">
      <c r="A268" s="5">
        <v>70009770</v>
      </c>
      <c r="B268" s="6" t="s">
        <v>46</v>
      </c>
      <c r="C268" s="5" t="s">
        <v>2407</v>
      </c>
      <c r="D268" s="58">
        <v>1009990</v>
      </c>
    </row>
    <row r="269" spans="1:4" x14ac:dyDescent="0.25">
      <c r="A269" s="5">
        <v>70009768</v>
      </c>
      <c r="B269" s="6" t="s">
        <v>46</v>
      </c>
      <c r="C269" s="5" t="s">
        <v>2408</v>
      </c>
      <c r="D269" s="58">
        <v>1009990</v>
      </c>
    </row>
    <row r="270" spans="1:4" x14ac:dyDescent="0.25">
      <c r="A270" s="5">
        <v>70009766</v>
      </c>
      <c r="B270" s="6" t="s">
        <v>46</v>
      </c>
      <c r="C270" s="5" t="s">
        <v>2409</v>
      </c>
      <c r="D270" s="58">
        <v>809990</v>
      </c>
    </row>
    <row r="271" spans="1:4" x14ac:dyDescent="0.25">
      <c r="A271" s="5">
        <v>70009739</v>
      </c>
      <c r="B271" s="11" t="s">
        <v>229</v>
      </c>
      <c r="C271" s="5" t="s">
        <v>2410</v>
      </c>
      <c r="D271" s="58">
        <v>139990</v>
      </c>
    </row>
    <row r="272" spans="1:4" x14ac:dyDescent="0.25">
      <c r="A272" s="5">
        <v>70009737</v>
      </c>
      <c r="B272" s="11" t="s">
        <v>229</v>
      </c>
      <c r="C272" s="11" t="s">
        <v>2411</v>
      </c>
      <c r="D272" s="58">
        <v>169990</v>
      </c>
    </row>
    <row r="273" spans="1:4" x14ac:dyDescent="0.25">
      <c r="A273" s="5">
        <v>70009735</v>
      </c>
      <c r="B273" s="11" t="s">
        <v>229</v>
      </c>
      <c r="C273" s="5" t="s">
        <v>2412</v>
      </c>
      <c r="D273" s="58">
        <v>139990</v>
      </c>
    </row>
    <row r="274" spans="1:4" x14ac:dyDescent="0.25">
      <c r="A274" s="5">
        <v>70009732</v>
      </c>
      <c r="B274" s="11" t="s">
        <v>229</v>
      </c>
      <c r="C274" s="5" t="s">
        <v>2413</v>
      </c>
      <c r="D274" s="58">
        <v>209990</v>
      </c>
    </row>
    <row r="275" spans="1:4" x14ac:dyDescent="0.25">
      <c r="A275" s="5">
        <v>70009730</v>
      </c>
      <c r="B275" s="11" t="s">
        <v>229</v>
      </c>
      <c r="C275" s="5" t="s">
        <v>2414</v>
      </c>
      <c r="D275" s="58">
        <v>249990</v>
      </c>
    </row>
    <row r="276" spans="1:4" x14ac:dyDescent="0.25">
      <c r="A276" s="5">
        <v>70009728</v>
      </c>
      <c r="B276" s="11" t="s">
        <v>229</v>
      </c>
      <c r="C276" s="5" t="s">
        <v>2415</v>
      </c>
      <c r="D276" s="58">
        <v>249990</v>
      </c>
    </row>
    <row r="277" spans="1:4" x14ac:dyDescent="0.25">
      <c r="A277" s="5">
        <v>70009726</v>
      </c>
      <c r="B277" s="11" t="s">
        <v>229</v>
      </c>
      <c r="C277" s="11" t="s">
        <v>2416</v>
      </c>
      <c r="D277" s="58">
        <v>169990</v>
      </c>
    </row>
    <row r="278" spans="1:4" x14ac:dyDescent="0.25">
      <c r="A278" s="5">
        <v>70009724</v>
      </c>
      <c r="B278" s="11" t="s">
        <v>895</v>
      </c>
      <c r="C278" s="5" t="s">
        <v>2417</v>
      </c>
      <c r="D278" s="58">
        <v>119990</v>
      </c>
    </row>
    <row r="279" spans="1:4" x14ac:dyDescent="0.25">
      <c r="A279" s="5">
        <v>70009722</v>
      </c>
      <c r="B279" s="11" t="s">
        <v>229</v>
      </c>
      <c r="C279" s="5" t="s">
        <v>2418</v>
      </c>
      <c r="D279" s="58">
        <v>209990</v>
      </c>
    </row>
    <row r="280" spans="1:4" x14ac:dyDescent="0.25">
      <c r="A280" s="5">
        <v>70009721</v>
      </c>
      <c r="B280" s="11" t="s">
        <v>171</v>
      </c>
      <c r="C280" s="5" t="s">
        <v>2419</v>
      </c>
      <c r="D280" s="58">
        <v>189990</v>
      </c>
    </row>
    <row r="281" spans="1:4" x14ac:dyDescent="0.25">
      <c r="A281" s="5">
        <v>70009719</v>
      </c>
      <c r="B281" s="11" t="s">
        <v>171</v>
      </c>
      <c r="C281" s="5" t="s">
        <v>2420</v>
      </c>
      <c r="D281" s="58">
        <v>189990</v>
      </c>
    </row>
    <row r="282" spans="1:4" x14ac:dyDescent="0.25">
      <c r="A282" s="5">
        <v>70009717</v>
      </c>
      <c r="B282" s="11" t="s">
        <v>171</v>
      </c>
      <c r="C282" s="5" t="s">
        <v>2421</v>
      </c>
      <c r="D282" s="58">
        <v>374990</v>
      </c>
    </row>
    <row r="283" spans="1:4" x14ac:dyDescent="0.25">
      <c r="A283" s="5">
        <v>70009715</v>
      </c>
      <c r="B283" s="11" t="s">
        <v>171</v>
      </c>
      <c r="C283" s="5" t="s">
        <v>2422</v>
      </c>
      <c r="D283" s="58">
        <v>374990</v>
      </c>
    </row>
    <row r="284" spans="1:4" x14ac:dyDescent="0.25">
      <c r="A284" s="5">
        <v>70009713</v>
      </c>
      <c r="B284" s="11" t="s">
        <v>171</v>
      </c>
      <c r="C284" s="5" t="s">
        <v>2423</v>
      </c>
      <c r="D284" s="58">
        <v>219990</v>
      </c>
    </row>
    <row r="285" spans="1:4" x14ac:dyDescent="0.25">
      <c r="A285" s="5">
        <v>70009711</v>
      </c>
      <c r="B285" s="11" t="s">
        <v>171</v>
      </c>
      <c r="C285" s="5" t="s">
        <v>2424</v>
      </c>
      <c r="D285" s="58">
        <v>219990</v>
      </c>
    </row>
    <row r="286" spans="1:4" x14ac:dyDescent="0.25">
      <c r="A286" s="5">
        <v>70009708</v>
      </c>
      <c r="B286" s="6" t="s">
        <v>171</v>
      </c>
      <c r="C286" s="5" t="s">
        <v>2425</v>
      </c>
      <c r="D286" s="58">
        <v>374990</v>
      </c>
    </row>
    <row r="287" spans="1:4" x14ac:dyDescent="0.25">
      <c r="A287" s="5">
        <v>70009696</v>
      </c>
      <c r="B287" s="5" t="s">
        <v>904</v>
      </c>
      <c r="C287" s="5" t="s">
        <v>2426</v>
      </c>
      <c r="D287" s="58">
        <v>789990</v>
      </c>
    </row>
    <row r="288" spans="1:4" x14ac:dyDescent="0.25">
      <c r="A288" s="6">
        <v>70009631</v>
      </c>
      <c r="B288" s="11" t="s">
        <v>46</v>
      </c>
      <c r="C288" s="11" t="s">
        <v>2427</v>
      </c>
      <c r="D288" s="58">
        <v>249990</v>
      </c>
    </row>
    <row r="289" spans="1:4" x14ac:dyDescent="0.25">
      <c r="A289" s="5">
        <v>70009624</v>
      </c>
      <c r="B289" s="5" t="s">
        <v>171</v>
      </c>
      <c r="C289" s="5" t="s">
        <v>2428</v>
      </c>
      <c r="D289" s="58">
        <v>374990</v>
      </c>
    </row>
    <row r="290" spans="1:4" x14ac:dyDescent="0.25">
      <c r="A290" s="5">
        <v>70009622</v>
      </c>
      <c r="B290" s="5" t="s">
        <v>171</v>
      </c>
      <c r="C290" s="5" t="s">
        <v>2429</v>
      </c>
      <c r="D290" s="58">
        <v>374990</v>
      </c>
    </row>
    <row r="291" spans="1:4" x14ac:dyDescent="0.25">
      <c r="A291" s="5">
        <v>70009618</v>
      </c>
      <c r="B291" s="5" t="s">
        <v>171</v>
      </c>
      <c r="C291" s="5" t="s">
        <v>2430</v>
      </c>
      <c r="D291" s="58">
        <v>219990</v>
      </c>
    </row>
    <row r="292" spans="1:4" x14ac:dyDescent="0.25">
      <c r="A292" s="5">
        <v>70009615</v>
      </c>
      <c r="B292" s="5" t="s">
        <v>171</v>
      </c>
      <c r="C292" s="5" t="s">
        <v>2431</v>
      </c>
      <c r="D292" s="58">
        <v>219990</v>
      </c>
    </row>
    <row r="293" spans="1:4" x14ac:dyDescent="0.25">
      <c r="A293" s="5">
        <v>70009613</v>
      </c>
      <c r="B293" s="5" t="s">
        <v>171</v>
      </c>
      <c r="C293" s="5" t="s">
        <v>2432</v>
      </c>
      <c r="D293" s="58">
        <v>189990</v>
      </c>
    </row>
    <row r="294" spans="1:4" x14ac:dyDescent="0.25">
      <c r="A294" s="5">
        <v>70009610</v>
      </c>
      <c r="B294" s="5" t="s">
        <v>171</v>
      </c>
      <c r="C294" s="5" t="s">
        <v>2433</v>
      </c>
      <c r="D294" s="58">
        <v>189990</v>
      </c>
    </row>
    <row r="295" spans="1:4" x14ac:dyDescent="0.25">
      <c r="A295" s="5">
        <v>70009605</v>
      </c>
      <c r="B295" s="6" t="s">
        <v>1496</v>
      </c>
      <c r="C295" s="5" t="s">
        <v>2434</v>
      </c>
      <c r="D295" s="58">
        <v>689990</v>
      </c>
    </row>
    <row r="296" spans="1:4" x14ac:dyDescent="0.25">
      <c r="A296" s="5">
        <v>70009604</v>
      </c>
      <c r="B296" s="6" t="s">
        <v>171</v>
      </c>
      <c r="C296" s="5" t="s">
        <v>2435</v>
      </c>
      <c r="D296" s="58">
        <v>374990</v>
      </c>
    </row>
    <row r="297" spans="1:4" x14ac:dyDescent="0.25">
      <c r="A297" s="5">
        <v>70009595</v>
      </c>
      <c r="B297" s="11" t="s">
        <v>46</v>
      </c>
      <c r="C297" s="5" t="s">
        <v>2436</v>
      </c>
      <c r="D297" s="58">
        <v>89990</v>
      </c>
    </row>
    <row r="298" spans="1:4" x14ac:dyDescent="0.25">
      <c r="A298" s="6">
        <v>70009593</v>
      </c>
      <c r="B298" s="11" t="s">
        <v>46</v>
      </c>
      <c r="C298" s="11" t="s">
        <v>2437</v>
      </c>
      <c r="D298" s="58">
        <v>124990</v>
      </c>
    </row>
    <row r="299" spans="1:4" x14ac:dyDescent="0.25">
      <c r="A299" s="5">
        <v>70009590</v>
      </c>
      <c r="B299" s="11" t="s">
        <v>46</v>
      </c>
      <c r="C299" s="11" t="s">
        <v>2438</v>
      </c>
      <c r="D299" s="58">
        <v>209990</v>
      </c>
    </row>
    <row r="300" spans="1:4" x14ac:dyDescent="0.25">
      <c r="A300" s="5">
        <v>70009578</v>
      </c>
      <c r="B300" s="5" t="s">
        <v>46</v>
      </c>
      <c r="C300" s="5" t="s">
        <v>2439</v>
      </c>
      <c r="D300" s="58">
        <v>199990</v>
      </c>
    </row>
    <row r="301" spans="1:4" x14ac:dyDescent="0.25">
      <c r="A301" s="5">
        <v>70009572</v>
      </c>
      <c r="B301" s="5" t="s">
        <v>46</v>
      </c>
      <c r="C301" s="5" t="s">
        <v>2440</v>
      </c>
      <c r="D301" s="58">
        <v>149990</v>
      </c>
    </row>
    <row r="302" spans="1:4" x14ac:dyDescent="0.25">
      <c r="A302" s="5">
        <v>70009569</v>
      </c>
      <c r="B302" s="5" t="s">
        <v>46</v>
      </c>
      <c r="C302" s="5" t="s">
        <v>2441</v>
      </c>
      <c r="D302" s="58">
        <v>149990</v>
      </c>
    </row>
    <row r="303" spans="1:4" x14ac:dyDescent="0.25">
      <c r="A303" s="6">
        <v>70009566</v>
      </c>
      <c r="B303" s="11" t="s">
        <v>46</v>
      </c>
      <c r="C303" s="11" t="s">
        <v>2442</v>
      </c>
      <c r="D303" s="58">
        <v>139990</v>
      </c>
    </row>
    <row r="304" spans="1:4" x14ac:dyDescent="0.25">
      <c r="A304" s="5">
        <v>70009548</v>
      </c>
      <c r="B304" s="11" t="s">
        <v>229</v>
      </c>
      <c r="C304" s="5" t="s">
        <v>2443</v>
      </c>
      <c r="D304" s="58">
        <v>249990</v>
      </c>
    </row>
    <row r="305" spans="1:4" x14ac:dyDescent="0.25">
      <c r="A305" s="5">
        <v>70009545</v>
      </c>
      <c r="B305" s="11" t="s">
        <v>229</v>
      </c>
      <c r="C305" s="5" t="s">
        <v>2444</v>
      </c>
      <c r="D305" s="58">
        <v>249990</v>
      </c>
    </row>
    <row r="306" spans="1:4" x14ac:dyDescent="0.25">
      <c r="A306" s="5">
        <v>70009538</v>
      </c>
      <c r="B306" s="5" t="s">
        <v>87</v>
      </c>
      <c r="C306" s="5" t="s">
        <v>2445</v>
      </c>
      <c r="D306" s="58">
        <v>489990</v>
      </c>
    </row>
    <row r="307" spans="1:4" x14ac:dyDescent="0.25">
      <c r="A307" s="5">
        <v>70009536</v>
      </c>
      <c r="B307" s="5" t="s">
        <v>87</v>
      </c>
      <c r="C307" s="5" t="s">
        <v>2446</v>
      </c>
      <c r="D307" s="58">
        <v>489990</v>
      </c>
    </row>
    <row r="308" spans="1:4" x14ac:dyDescent="0.25">
      <c r="A308" s="5">
        <v>70009534</v>
      </c>
      <c r="B308" s="5" t="s">
        <v>87</v>
      </c>
      <c r="C308" s="5" t="s">
        <v>2447</v>
      </c>
      <c r="D308" s="58">
        <v>409990</v>
      </c>
    </row>
    <row r="309" spans="1:4" x14ac:dyDescent="0.25">
      <c r="A309" s="5">
        <v>70009532</v>
      </c>
      <c r="B309" s="11" t="s">
        <v>87</v>
      </c>
      <c r="C309" s="11" t="s">
        <v>2448</v>
      </c>
      <c r="D309" s="58">
        <v>309990</v>
      </c>
    </row>
    <row r="310" spans="1:4" x14ac:dyDescent="0.25">
      <c r="A310" s="5">
        <v>70009530</v>
      </c>
      <c r="B310" s="11" t="s">
        <v>87</v>
      </c>
      <c r="C310" s="11" t="s">
        <v>2449</v>
      </c>
      <c r="D310" s="58">
        <v>309990</v>
      </c>
    </row>
    <row r="311" spans="1:4" x14ac:dyDescent="0.25">
      <c r="A311" s="5">
        <v>70009527</v>
      </c>
      <c r="B311" s="5" t="s">
        <v>87</v>
      </c>
      <c r="C311" s="5" t="s">
        <v>2450</v>
      </c>
      <c r="D311" s="58">
        <v>189990</v>
      </c>
    </row>
    <row r="312" spans="1:4" x14ac:dyDescent="0.25">
      <c r="A312" s="5">
        <v>70009524</v>
      </c>
      <c r="B312" s="5" t="s">
        <v>229</v>
      </c>
      <c r="C312" s="5" t="s">
        <v>2451</v>
      </c>
      <c r="D312" s="58">
        <v>529990</v>
      </c>
    </row>
    <row r="313" spans="1:4" x14ac:dyDescent="0.25">
      <c r="A313" s="5">
        <v>70009521</v>
      </c>
      <c r="B313" s="5" t="s">
        <v>229</v>
      </c>
      <c r="C313" s="5" t="s">
        <v>2452</v>
      </c>
      <c r="D313" s="58">
        <v>529990</v>
      </c>
    </row>
    <row r="314" spans="1:4" x14ac:dyDescent="0.25">
      <c r="A314" s="5">
        <v>70009517</v>
      </c>
      <c r="B314" s="5" t="s">
        <v>131</v>
      </c>
      <c r="C314" s="5" t="s">
        <v>2453</v>
      </c>
      <c r="D314" s="58">
        <v>159990</v>
      </c>
    </row>
    <row r="315" spans="1:4" x14ac:dyDescent="0.25">
      <c r="A315" s="5">
        <v>70009515</v>
      </c>
      <c r="B315" s="5" t="s">
        <v>131</v>
      </c>
      <c r="C315" s="5" t="s">
        <v>2454</v>
      </c>
      <c r="D315" s="58">
        <v>159990</v>
      </c>
    </row>
    <row r="316" spans="1:4" x14ac:dyDescent="0.25">
      <c r="A316" s="5">
        <v>70009513</v>
      </c>
      <c r="B316" s="5" t="s">
        <v>131</v>
      </c>
      <c r="C316" s="5" t="s">
        <v>2455</v>
      </c>
      <c r="D316" s="58">
        <v>119990</v>
      </c>
    </row>
    <row r="317" spans="1:4" x14ac:dyDescent="0.25">
      <c r="A317" s="5">
        <v>70009511</v>
      </c>
      <c r="B317" s="11" t="s">
        <v>2385</v>
      </c>
      <c r="C317" s="5" t="s">
        <v>2456</v>
      </c>
      <c r="D317" s="58">
        <v>99990</v>
      </c>
    </row>
    <row r="318" spans="1:4" x14ac:dyDescent="0.25">
      <c r="A318" s="6">
        <v>70009509</v>
      </c>
      <c r="B318" s="6" t="s">
        <v>229</v>
      </c>
      <c r="C318" s="6" t="s">
        <v>2457</v>
      </c>
      <c r="D318" s="58">
        <v>139990</v>
      </c>
    </row>
    <row r="319" spans="1:4" x14ac:dyDescent="0.25">
      <c r="A319" s="6">
        <v>70009507</v>
      </c>
      <c r="B319" s="6" t="s">
        <v>229</v>
      </c>
      <c r="C319" s="6" t="s">
        <v>2458</v>
      </c>
      <c r="D319" s="58">
        <v>139990</v>
      </c>
    </row>
    <row r="320" spans="1:4" x14ac:dyDescent="0.25">
      <c r="A320" s="5">
        <v>70009502</v>
      </c>
      <c r="B320" s="6" t="s">
        <v>63</v>
      </c>
      <c r="C320" s="6" t="s">
        <v>2459</v>
      </c>
      <c r="D320" s="58">
        <v>1699990</v>
      </c>
    </row>
    <row r="321" spans="1:4" x14ac:dyDescent="0.25">
      <c r="A321" s="5">
        <v>70009499</v>
      </c>
      <c r="B321" s="6" t="s">
        <v>63</v>
      </c>
      <c r="C321" s="6" t="s">
        <v>2460</v>
      </c>
      <c r="D321" s="58">
        <v>1489990</v>
      </c>
    </row>
    <row r="322" spans="1:4" x14ac:dyDescent="0.25">
      <c r="A322" s="5">
        <v>70009496</v>
      </c>
      <c r="B322" s="6" t="s">
        <v>63</v>
      </c>
      <c r="C322" s="6" t="s">
        <v>2461</v>
      </c>
      <c r="D322" s="58">
        <v>1274990</v>
      </c>
    </row>
    <row r="323" spans="1:4" x14ac:dyDescent="0.25">
      <c r="A323" s="5">
        <v>70009493</v>
      </c>
      <c r="B323" s="6" t="s">
        <v>63</v>
      </c>
      <c r="C323" s="6" t="s">
        <v>2462</v>
      </c>
      <c r="D323" s="58">
        <v>1274990</v>
      </c>
    </row>
    <row r="324" spans="1:4" x14ac:dyDescent="0.25">
      <c r="A324" s="5">
        <v>70009490</v>
      </c>
      <c r="B324" s="6" t="s">
        <v>63</v>
      </c>
      <c r="C324" s="6" t="s">
        <v>2463</v>
      </c>
      <c r="D324" s="58">
        <v>1149990</v>
      </c>
    </row>
    <row r="325" spans="1:4" x14ac:dyDescent="0.25">
      <c r="A325" s="5">
        <v>70009487</v>
      </c>
      <c r="B325" s="6" t="s">
        <v>63</v>
      </c>
      <c r="C325" s="6" t="s">
        <v>2464</v>
      </c>
      <c r="D325" s="58">
        <v>1149990</v>
      </c>
    </row>
    <row r="326" spans="1:4" x14ac:dyDescent="0.25">
      <c r="A326" s="5">
        <v>70009484</v>
      </c>
      <c r="B326" s="6" t="s">
        <v>63</v>
      </c>
      <c r="C326" s="6" t="s">
        <v>2465</v>
      </c>
      <c r="D326" s="58">
        <v>1149990</v>
      </c>
    </row>
    <row r="327" spans="1:4" x14ac:dyDescent="0.25">
      <c r="A327" s="5">
        <v>70009481</v>
      </c>
      <c r="B327" s="6" t="s">
        <v>63</v>
      </c>
      <c r="C327" s="6" t="s">
        <v>2466</v>
      </c>
      <c r="D327" s="58">
        <v>1589990</v>
      </c>
    </row>
    <row r="328" spans="1:4" x14ac:dyDescent="0.25">
      <c r="A328" s="5">
        <v>70009478</v>
      </c>
      <c r="B328" s="6" t="s">
        <v>63</v>
      </c>
      <c r="C328" s="6" t="s">
        <v>2467</v>
      </c>
      <c r="D328" s="58">
        <v>1379990</v>
      </c>
    </row>
    <row r="329" spans="1:4" x14ac:dyDescent="0.25">
      <c r="A329" s="5">
        <v>70009475</v>
      </c>
      <c r="B329" s="6" t="s">
        <v>63</v>
      </c>
      <c r="C329" s="6" t="s">
        <v>2468</v>
      </c>
      <c r="D329" s="58">
        <v>1164990</v>
      </c>
    </row>
    <row r="330" spans="1:4" x14ac:dyDescent="0.25">
      <c r="A330" s="5">
        <v>70009472</v>
      </c>
      <c r="B330" s="6" t="s">
        <v>63</v>
      </c>
      <c r="C330" s="6" t="s">
        <v>2469</v>
      </c>
      <c r="D330" s="58">
        <v>1164990</v>
      </c>
    </row>
    <row r="331" spans="1:4" x14ac:dyDescent="0.25">
      <c r="A331" s="5">
        <v>70009469</v>
      </c>
      <c r="B331" s="6" t="s">
        <v>63</v>
      </c>
      <c r="C331" s="6" t="s">
        <v>2470</v>
      </c>
      <c r="D331" s="58">
        <v>1049990</v>
      </c>
    </row>
    <row r="332" spans="1:4" x14ac:dyDescent="0.25">
      <c r="A332" s="5">
        <v>70009466</v>
      </c>
      <c r="B332" s="6" t="s">
        <v>63</v>
      </c>
      <c r="C332" s="6" t="s">
        <v>2471</v>
      </c>
      <c r="D332" s="58">
        <v>1049990</v>
      </c>
    </row>
    <row r="333" spans="1:4" x14ac:dyDescent="0.25">
      <c r="A333" s="5">
        <v>70009463</v>
      </c>
      <c r="B333" s="6" t="s">
        <v>63</v>
      </c>
      <c r="C333" s="6" t="s">
        <v>2472</v>
      </c>
      <c r="D333" s="58">
        <v>1049990</v>
      </c>
    </row>
    <row r="334" spans="1:4" x14ac:dyDescent="0.25">
      <c r="A334" s="5">
        <v>70009460</v>
      </c>
      <c r="B334" s="6" t="s">
        <v>63</v>
      </c>
      <c r="C334" s="6" t="s">
        <v>2473</v>
      </c>
      <c r="D334" s="58">
        <v>1169990</v>
      </c>
    </row>
    <row r="335" spans="1:4" x14ac:dyDescent="0.25">
      <c r="A335" s="5">
        <v>70009457</v>
      </c>
      <c r="B335" s="6" t="s">
        <v>63</v>
      </c>
      <c r="C335" s="6" t="s">
        <v>2474</v>
      </c>
      <c r="D335" s="58">
        <v>939990</v>
      </c>
    </row>
    <row r="336" spans="1:4" x14ac:dyDescent="0.25">
      <c r="A336" s="5">
        <v>70009454</v>
      </c>
      <c r="B336" s="6" t="s">
        <v>63</v>
      </c>
      <c r="C336" s="6" t="s">
        <v>2475</v>
      </c>
      <c r="D336" s="58">
        <v>939990</v>
      </c>
    </row>
    <row r="337" spans="1:4" x14ac:dyDescent="0.25">
      <c r="A337" s="5">
        <v>70009451</v>
      </c>
      <c r="B337" s="6" t="s">
        <v>63</v>
      </c>
      <c r="C337" s="6" t="s">
        <v>2476</v>
      </c>
      <c r="D337" s="58">
        <v>819990</v>
      </c>
    </row>
    <row r="338" spans="1:4" x14ac:dyDescent="0.25">
      <c r="A338" s="5">
        <v>70009448</v>
      </c>
      <c r="B338" s="6" t="s">
        <v>63</v>
      </c>
      <c r="C338" s="6" t="s">
        <v>2477</v>
      </c>
      <c r="D338" s="58">
        <v>819990</v>
      </c>
    </row>
    <row r="339" spans="1:4" x14ac:dyDescent="0.25">
      <c r="A339" s="5">
        <v>70009445</v>
      </c>
      <c r="B339" s="6" t="s">
        <v>63</v>
      </c>
      <c r="C339" s="6" t="s">
        <v>2478</v>
      </c>
      <c r="D339" s="58">
        <v>819990</v>
      </c>
    </row>
    <row r="340" spans="1:4" x14ac:dyDescent="0.25">
      <c r="A340" s="5">
        <v>70009442</v>
      </c>
      <c r="B340" s="6" t="s">
        <v>63</v>
      </c>
      <c r="C340" s="6" t="s">
        <v>2479</v>
      </c>
      <c r="D340" s="58">
        <v>739990</v>
      </c>
    </row>
    <row r="341" spans="1:4" x14ac:dyDescent="0.25">
      <c r="A341" s="5">
        <v>70009439</v>
      </c>
      <c r="B341" s="6" t="s">
        <v>63</v>
      </c>
      <c r="C341" s="6" t="s">
        <v>2480</v>
      </c>
      <c r="D341" s="58">
        <v>739990</v>
      </c>
    </row>
    <row r="342" spans="1:4" x14ac:dyDescent="0.25">
      <c r="A342" s="5">
        <v>70009436</v>
      </c>
      <c r="B342" s="6" t="s">
        <v>63</v>
      </c>
      <c r="C342" s="6" t="s">
        <v>2481</v>
      </c>
      <c r="D342" s="58">
        <v>739990</v>
      </c>
    </row>
    <row r="343" spans="1:4" x14ac:dyDescent="0.25">
      <c r="A343" s="5">
        <v>70009433</v>
      </c>
      <c r="B343" s="5" t="s">
        <v>904</v>
      </c>
      <c r="C343" s="5" t="s">
        <v>2482</v>
      </c>
      <c r="D343" s="58">
        <v>369990</v>
      </c>
    </row>
    <row r="344" spans="1:4" x14ac:dyDescent="0.25">
      <c r="A344" s="5">
        <v>70009431</v>
      </c>
      <c r="B344" s="6" t="s">
        <v>904</v>
      </c>
      <c r="C344" s="11" t="s">
        <v>2483</v>
      </c>
      <c r="D344" s="58">
        <v>239990</v>
      </c>
    </row>
    <row r="345" spans="1:4" x14ac:dyDescent="0.25">
      <c r="A345" s="5">
        <v>70009429</v>
      </c>
      <c r="B345" s="6" t="s">
        <v>904</v>
      </c>
      <c r="C345" s="11" t="s">
        <v>2484</v>
      </c>
      <c r="D345" s="58">
        <v>239990</v>
      </c>
    </row>
    <row r="346" spans="1:4" x14ac:dyDescent="0.25">
      <c r="A346" s="5">
        <v>70009416</v>
      </c>
      <c r="B346" s="6" t="s">
        <v>87</v>
      </c>
      <c r="C346" s="6" t="s">
        <v>2485</v>
      </c>
      <c r="D346" s="58">
        <v>159990</v>
      </c>
    </row>
    <row r="347" spans="1:4" x14ac:dyDescent="0.25">
      <c r="A347" s="5">
        <v>70009413</v>
      </c>
      <c r="B347" s="6" t="s">
        <v>87</v>
      </c>
      <c r="C347" s="6" t="s">
        <v>2486</v>
      </c>
      <c r="D347" s="58">
        <v>489990</v>
      </c>
    </row>
    <row r="348" spans="1:4" x14ac:dyDescent="0.25">
      <c r="A348" s="5">
        <v>70009410</v>
      </c>
      <c r="B348" s="6" t="s">
        <v>87</v>
      </c>
      <c r="C348" s="6" t="s">
        <v>2487</v>
      </c>
      <c r="D348" s="58">
        <v>409990</v>
      </c>
    </row>
    <row r="349" spans="1:4" x14ac:dyDescent="0.25">
      <c r="A349" s="5">
        <v>70009407</v>
      </c>
      <c r="B349" s="11" t="s">
        <v>87</v>
      </c>
      <c r="C349" s="11" t="s">
        <v>2488</v>
      </c>
      <c r="D349" s="58">
        <v>309990</v>
      </c>
    </row>
    <row r="350" spans="1:4" x14ac:dyDescent="0.25">
      <c r="A350" s="5">
        <v>70009399</v>
      </c>
      <c r="B350" s="6" t="s">
        <v>87</v>
      </c>
      <c r="C350" s="6" t="s">
        <v>2489</v>
      </c>
      <c r="D350" s="58">
        <v>409990</v>
      </c>
    </row>
    <row r="351" spans="1:4" x14ac:dyDescent="0.25">
      <c r="A351" s="5">
        <v>70009396</v>
      </c>
      <c r="B351" s="6" t="s">
        <v>87</v>
      </c>
      <c r="C351" s="6" t="s">
        <v>2490</v>
      </c>
      <c r="D351" s="58">
        <v>409990</v>
      </c>
    </row>
    <row r="352" spans="1:4" x14ac:dyDescent="0.25">
      <c r="A352" s="5">
        <v>70009393</v>
      </c>
      <c r="B352" s="11" t="s">
        <v>87</v>
      </c>
      <c r="C352" s="11" t="s">
        <v>2491</v>
      </c>
      <c r="D352" s="58">
        <v>309990</v>
      </c>
    </row>
    <row r="353" spans="1:4" x14ac:dyDescent="0.25">
      <c r="A353" s="5">
        <v>70009390</v>
      </c>
      <c r="B353" s="11" t="s">
        <v>87</v>
      </c>
      <c r="C353" s="11" t="s">
        <v>2492</v>
      </c>
      <c r="D353" s="58">
        <v>309990</v>
      </c>
    </row>
    <row r="354" spans="1:4" x14ac:dyDescent="0.25">
      <c r="A354" s="5">
        <v>70009385</v>
      </c>
      <c r="B354" s="6" t="s">
        <v>87</v>
      </c>
      <c r="C354" s="6" t="s">
        <v>2493</v>
      </c>
      <c r="D354" s="58">
        <v>159990</v>
      </c>
    </row>
    <row r="355" spans="1:4" x14ac:dyDescent="0.25">
      <c r="A355" s="5">
        <v>70009382</v>
      </c>
      <c r="B355" s="6" t="s">
        <v>87</v>
      </c>
      <c r="C355" s="6" t="s">
        <v>2494</v>
      </c>
      <c r="D355" s="58">
        <v>489990</v>
      </c>
    </row>
    <row r="356" spans="1:4" x14ac:dyDescent="0.25">
      <c r="A356" s="5">
        <v>70009379</v>
      </c>
      <c r="B356" s="6" t="s">
        <v>87</v>
      </c>
      <c r="C356" s="6" t="s">
        <v>2495</v>
      </c>
      <c r="D356" s="58">
        <v>489990</v>
      </c>
    </row>
    <row r="357" spans="1:4" x14ac:dyDescent="0.25">
      <c r="A357" s="5">
        <v>70009378</v>
      </c>
      <c r="B357" s="6" t="s">
        <v>87</v>
      </c>
      <c r="C357" s="6" t="s">
        <v>2496</v>
      </c>
      <c r="D357" s="58">
        <v>159990</v>
      </c>
    </row>
    <row r="358" spans="1:4" x14ac:dyDescent="0.25">
      <c r="A358" s="5">
        <v>70009350</v>
      </c>
      <c r="B358" s="6" t="s">
        <v>87</v>
      </c>
      <c r="C358" s="6" t="s">
        <v>2497</v>
      </c>
      <c r="D358" s="58">
        <v>104990</v>
      </c>
    </row>
    <row r="359" spans="1:4" x14ac:dyDescent="0.25">
      <c r="A359" s="5">
        <v>70009344</v>
      </c>
      <c r="B359" s="6" t="s">
        <v>87</v>
      </c>
      <c r="C359" s="6" t="s">
        <v>2498</v>
      </c>
      <c r="D359" s="58">
        <v>109990</v>
      </c>
    </row>
    <row r="360" spans="1:4" x14ac:dyDescent="0.25">
      <c r="A360" s="6">
        <v>70009311</v>
      </c>
      <c r="B360" s="6" t="s">
        <v>46</v>
      </c>
      <c r="C360" s="6" t="s">
        <v>2499</v>
      </c>
      <c r="D360" s="58">
        <v>1559990</v>
      </c>
    </row>
    <row r="361" spans="1:4" x14ac:dyDescent="0.25">
      <c r="A361" s="6">
        <v>70009308</v>
      </c>
      <c r="B361" s="6" t="s">
        <v>46</v>
      </c>
      <c r="C361" s="6" t="s">
        <v>2500</v>
      </c>
      <c r="D361" s="58">
        <v>749990</v>
      </c>
    </row>
    <row r="362" spans="1:4" x14ac:dyDescent="0.25">
      <c r="A362" s="6">
        <v>70009292</v>
      </c>
      <c r="B362" s="6" t="s">
        <v>46</v>
      </c>
      <c r="C362" s="6" t="s">
        <v>2501</v>
      </c>
      <c r="D362" s="58">
        <v>1559990</v>
      </c>
    </row>
    <row r="363" spans="1:4" x14ac:dyDescent="0.25">
      <c r="A363" s="5">
        <v>70009283</v>
      </c>
      <c r="B363" s="6" t="s">
        <v>46</v>
      </c>
      <c r="C363" s="6" t="s">
        <v>2502</v>
      </c>
      <c r="D363" s="58">
        <v>124990</v>
      </c>
    </row>
    <row r="364" spans="1:4" x14ac:dyDescent="0.25">
      <c r="A364" s="5">
        <v>70009280</v>
      </c>
      <c r="B364" s="6" t="s">
        <v>2385</v>
      </c>
      <c r="C364" s="6" t="s">
        <v>2503</v>
      </c>
      <c r="D364" s="58">
        <v>189990</v>
      </c>
    </row>
    <row r="365" spans="1:4" x14ac:dyDescent="0.25">
      <c r="A365" s="5">
        <v>70009277</v>
      </c>
      <c r="B365" s="6" t="s">
        <v>2385</v>
      </c>
      <c r="C365" s="6" t="s">
        <v>2504</v>
      </c>
      <c r="D365" s="58">
        <v>319990</v>
      </c>
    </row>
    <row r="366" spans="1:4" x14ac:dyDescent="0.25">
      <c r="A366" s="5">
        <v>70009244</v>
      </c>
      <c r="B366" s="6" t="s">
        <v>46</v>
      </c>
      <c r="C366" s="6" t="s">
        <v>2505</v>
      </c>
      <c r="D366" s="58">
        <v>359990</v>
      </c>
    </row>
    <row r="367" spans="1:4" x14ac:dyDescent="0.25">
      <c r="A367" s="5">
        <v>70009241</v>
      </c>
      <c r="B367" s="6" t="s">
        <v>46</v>
      </c>
      <c r="C367" s="6" t="s">
        <v>2506</v>
      </c>
      <c r="D367" s="58">
        <v>149990</v>
      </c>
    </row>
    <row r="368" spans="1:4" x14ac:dyDescent="0.25">
      <c r="A368" s="5">
        <v>70009228</v>
      </c>
      <c r="B368" s="6" t="s">
        <v>87</v>
      </c>
      <c r="C368" s="6" t="s">
        <v>2507</v>
      </c>
      <c r="D368" s="58">
        <v>189990</v>
      </c>
    </row>
    <row r="369" spans="1:4" x14ac:dyDescent="0.25">
      <c r="A369" s="5">
        <v>70009217</v>
      </c>
      <c r="B369" s="6" t="s">
        <v>63</v>
      </c>
      <c r="C369" s="6" t="s">
        <v>2508</v>
      </c>
      <c r="D369" s="58">
        <v>459990</v>
      </c>
    </row>
    <row r="370" spans="1:4" x14ac:dyDescent="0.25">
      <c r="A370" s="5">
        <v>70009215</v>
      </c>
      <c r="B370" s="6" t="s">
        <v>63</v>
      </c>
      <c r="C370" s="6" t="s">
        <v>2509</v>
      </c>
      <c r="D370" s="58">
        <v>1059990</v>
      </c>
    </row>
    <row r="371" spans="1:4" x14ac:dyDescent="0.25">
      <c r="A371" s="5">
        <v>70009213</v>
      </c>
      <c r="B371" s="6" t="s">
        <v>63</v>
      </c>
      <c r="C371" s="6" t="s">
        <v>2510</v>
      </c>
      <c r="D371" s="58">
        <v>1059990</v>
      </c>
    </row>
    <row r="372" spans="1:4" x14ac:dyDescent="0.25">
      <c r="A372" s="5">
        <v>70009211</v>
      </c>
      <c r="B372" s="6" t="s">
        <v>63</v>
      </c>
      <c r="C372" s="6" t="s">
        <v>2511</v>
      </c>
      <c r="D372" s="58">
        <v>1109990</v>
      </c>
    </row>
    <row r="373" spans="1:4" x14ac:dyDescent="0.25">
      <c r="A373" s="5">
        <v>70009209</v>
      </c>
      <c r="B373" s="6" t="s">
        <v>63</v>
      </c>
      <c r="C373" s="6" t="s">
        <v>2512</v>
      </c>
      <c r="D373" s="58">
        <v>1109990</v>
      </c>
    </row>
    <row r="374" spans="1:4" x14ac:dyDescent="0.25">
      <c r="A374" s="5">
        <v>70009207</v>
      </c>
      <c r="B374" s="6" t="s">
        <v>63</v>
      </c>
      <c r="C374" s="6" t="s">
        <v>2513</v>
      </c>
      <c r="D374" s="58">
        <v>1049990</v>
      </c>
    </row>
    <row r="375" spans="1:4" x14ac:dyDescent="0.25">
      <c r="A375" s="5">
        <v>70009203</v>
      </c>
      <c r="B375" s="6" t="s">
        <v>63</v>
      </c>
      <c r="C375" s="6" t="s">
        <v>2514</v>
      </c>
      <c r="D375" s="58">
        <v>459990</v>
      </c>
    </row>
    <row r="376" spans="1:4" x14ac:dyDescent="0.25">
      <c r="A376" s="5">
        <v>70009201</v>
      </c>
      <c r="B376" s="6" t="s">
        <v>63</v>
      </c>
      <c r="C376" s="6" t="s">
        <v>2515</v>
      </c>
      <c r="D376" s="58">
        <v>529990</v>
      </c>
    </row>
    <row r="377" spans="1:4" x14ac:dyDescent="0.25">
      <c r="A377" s="5">
        <v>70009198</v>
      </c>
      <c r="B377" s="6" t="s">
        <v>63</v>
      </c>
      <c r="C377" s="6" t="s">
        <v>2516</v>
      </c>
      <c r="D377" s="58">
        <v>459990</v>
      </c>
    </row>
    <row r="378" spans="1:4" x14ac:dyDescent="0.25">
      <c r="A378" s="5">
        <v>70009195</v>
      </c>
      <c r="B378" s="6" t="s">
        <v>46</v>
      </c>
      <c r="C378" s="6" t="s">
        <v>2517</v>
      </c>
      <c r="D378" s="58">
        <v>139990</v>
      </c>
    </row>
    <row r="379" spans="1:4" x14ac:dyDescent="0.25">
      <c r="A379" s="5">
        <v>70009193</v>
      </c>
      <c r="B379" s="6" t="s">
        <v>63</v>
      </c>
      <c r="C379" s="6" t="s">
        <v>2518</v>
      </c>
      <c r="D379" s="58">
        <v>1059990</v>
      </c>
    </row>
    <row r="380" spans="1:4" x14ac:dyDescent="0.25">
      <c r="A380" s="5">
        <v>70009189</v>
      </c>
      <c r="B380" s="6" t="s">
        <v>46</v>
      </c>
      <c r="C380" s="6" t="s">
        <v>2519</v>
      </c>
      <c r="D380" s="58">
        <v>149990</v>
      </c>
    </row>
    <row r="381" spans="1:4" x14ac:dyDescent="0.25">
      <c r="A381" s="5">
        <v>70009186</v>
      </c>
      <c r="B381" s="5" t="s">
        <v>87</v>
      </c>
      <c r="C381" s="5" t="s">
        <v>2520</v>
      </c>
      <c r="D381" s="56">
        <v>189990</v>
      </c>
    </row>
    <row r="382" spans="1:4" x14ac:dyDescent="0.25">
      <c r="A382" s="8">
        <v>70009154</v>
      </c>
      <c r="B382" s="6" t="s">
        <v>87</v>
      </c>
      <c r="C382" s="9" t="s">
        <v>2521</v>
      </c>
      <c r="D382" s="58">
        <v>199990</v>
      </c>
    </row>
    <row r="383" spans="1:4" x14ac:dyDescent="0.25">
      <c r="A383" s="8">
        <v>70009151</v>
      </c>
      <c r="B383" s="6" t="s">
        <v>46</v>
      </c>
      <c r="C383" s="9" t="s">
        <v>2522</v>
      </c>
      <c r="D383" s="58">
        <v>199990</v>
      </c>
    </row>
    <row r="384" spans="1:4" x14ac:dyDescent="0.25">
      <c r="A384" s="8">
        <v>70009148</v>
      </c>
      <c r="B384" s="6" t="s">
        <v>46</v>
      </c>
      <c r="C384" s="9" t="s">
        <v>2523</v>
      </c>
      <c r="D384" s="58">
        <v>209990</v>
      </c>
    </row>
    <row r="385" spans="1:4" x14ac:dyDescent="0.25">
      <c r="A385" s="8">
        <v>70009145</v>
      </c>
      <c r="B385" s="6" t="s">
        <v>46</v>
      </c>
      <c r="C385" s="9" t="s">
        <v>2524</v>
      </c>
      <c r="D385" s="58">
        <v>384990</v>
      </c>
    </row>
    <row r="386" spans="1:4" x14ac:dyDescent="0.25">
      <c r="A386" s="8">
        <v>70009140</v>
      </c>
      <c r="B386" s="6" t="s">
        <v>87</v>
      </c>
      <c r="C386" s="9" t="s">
        <v>2525</v>
      </c>
      <c r="D386" s="58">
        <v>189990</v>
      </c>
    </row>
    <row r="387" spans="1:4" x14ac:dyDescent="0.25">
      <c r="A387" s="5">
        <v>70009136</v>
      </c>
      <c r="B387" s="6" t="s">
        <v>87</v>
      </c>
      <c r="C387" s="6" t="s">
        <v>2526</v>
      </c>
      <c r="D387" s="58">
        <v>334990</v>
      </c>
    </row>
    <row r="388" spans="1:4" x14ac:dyDescent="0.25">
      <c r="A388" s="5">
        <v>70009133</v>
      </c>
      <c r="B388" s="6" t="s">
        <v>87</v>
      </c>
      <c r="C388" s="6" t="s">
        <v>2527</v>
      </c>
      <c r="D388" s="58">
        <v>334990</v>
      </c>
    </row>
    <row r="389" spans="1:4" x14ac:dyDescent="0.25">
      <c r="A389" s="8">
        <v>70009128</v>
      </c>
      <c r="B389" s="6" t="s">
        <v>87</v>
      </c>
      <c r="C389" s="9" t="s">
        <v>2528</v>
      </c>
      <c r="D389" s="58">
        <v>199990</v>
      </c>
    </row>
    <row r="390" spans="1:4" x14ac:dyDescent="0.25">
      <c r="A390" s="8">
        <v>70009114</v>
      </c>
      <c r="B390" s="6" t="s">
        <v>131</v>
      </c>
      <c r="C390" s="9" t="s">
        <v>2529</v>
      </c>
      <c r="D390" s="58">
        <v>159990</v>
      </c>
    </row>
    <row r="391" spans="1:4" x14ac:dyDescent="0.25">
      <c r="A391" s="5">
        <v>70009112</v>
      </c>
      <c r="B391" s="5" t="s">
        <v>46</v>
      </c>
      <c r="C391" s="5" t="s">
        <v>2530</v>
      </c>
      <c r="D391" s="56">
        <v>209990</v>
      </c>
    </row>
    <row r="392" spans="1:4" x14ac:dyDescent="0.25">
      <c r="A392" s="8">
        <v>70009108</v>
      </c>
      <c r="B392" s="6" t="s">
        <v>63</v>
      </c>
      <c r="C392" s="9" t="s">
        <v>2531</v>
      </c>
      <c r="D392" s="58">
        <v>679990</v>
      </c>
    </row>
    <row r="393" spans="1:4" x14ac:dyDescent="0.25">
      <c r="A393" s="8">
        <v>70009106</v>
      </c>
      <c r="B393" s="6" t="s">
        <v>87</v>
      </c>
      <c r="C393" s="9" t="s">
        <v>2532</v>
      </c>
      <c r="D393" s="58">
        <v>199990</v>
      </c>
    </row>
    <row r="394" spans="1:4" x14ac:dyDescent="0.25">
      <c r="A394" s="8">
        <v>70009103</v>
      </c>
      <c r="B394" s="7" t="s">
        <v>63</v>
      </c>
      <c r="C394" s="7" t="s">
        <v>2533</v>
      </c>
      <c r="D394" s="58">
        <v>409990</v>
      </c>
    </row>
    <row r="395" spans="1:4" x14ac:dyDescent="0.25">
      <c r="A395" s="21">
        <v>70009097</v>
      </c>
      <c r="B395" s="6" t="s">
        <v>87</v>
      </c>
      <c r="C395" s="6" t="s">
        <v>2534</v>
      </c>
      <c r="D395" s="58">
        <v>159990</v>
      </c>
    </row>
    <row r="396" spans="1:4" x14ac:dyDescent="0.25">
      <c r="A396" s="6">
        <v>70009094</v>
      </c>
      <c r="B396" s="6" t="s">
        <v>229</v>
      </c>
      <c r="C396" s="6" t="s">
        <v>2535</v>
      </c>
      <c r="D396" s="58">
        <v>209990</v>
      </c>
    </row>
    <row r="397" spans="1:4" x14ac:dyDescent="0.25">
      <c r="A397" s="8">
        <v>70009091</v>
      </c>
      <c r="B397" s="6" t="s">
        <v>229</v>
      </c>
      <c r="C397" s="8" t="s">
        <v>2536</v>
      </c>
      <c r="D397" s="58">
        <v>209990</v>
      </c>
    </row>
    <row r="398" spans="1:4" x14ac:dyDescent="0.25">
      <c r="A398" s="8">
        <v>70009024</v>
      </c>
      <c r="B398" s="6" t="s">
        <v>87</v>
      </c>
      <c r="C398" s="9" t="s">
        <v>2537</v>
      </c>
      <c r="D398" s="58">
        <v>189990</v>
      </c>
    </row>
    <row r="399" spans="1:4" x14ac:dyDescent="0.25">
      <c r="A399" s="8">
        <v>70008998</v>
      </c>
      <c r="B399" s="6" t="s">
        <v>229</v>
      </c>
      <c r="C399" s="9" t="s">
        <v>2538</v>
      </c>
      <c r="D399" s="58">
        <v>169990</v>
      </c>
    </row>
    <row r="400" spans="1:4" x14ac:dyDescent="0.25">
      <c r="A400" s="5">
        <v>70008995</v>
      </c>
      <c r="B400" s="6" t="s">
        <v>229</v>
      </c>
      <c r="C400" s="9" t="s">
        <v>2539</v>
      </c>
      <c r="D400" s="58">
        <v>119990</v>
      </c>
    </row>
    <row r="401" spans="1:4" x14ac:dyDescent="0.25">
      <c r="A401" s="8">
        <v>70008993</v>
      </c>
      <c r="B401" s="6" t="s">
        <v>87</v>
      </c>
      <c r="C401" s="9" t="s">
        <v>2540</v>
      </c>
      <c r="D401" s="58">
        <v>189990</v>
      </c>
    </row>
    <row r="402" spans="1:4" x14ac:dyDescent="0.25">
      <c r="A402" s="8">
        <v>70008990</v>
      </c>
      <c r="B402" s="6" t="s">
        <v>87</v>
      </c>
      <c r="C402" s="9" t="s">
        <v>2541</v>
      </c>
      <c r="D402" s="58">
        <v>479990</v>
      </c>
    </row>
    <row r="403" spans="1:4" x14ac:dyDescent="0.25">
      <c r="A403" s="8">
        <v>70008987</v>
      </c>
      <c r="B403" s="6" t="s">
        <v>87</v>
      </c>
      <c r="C403" s="9" t="s">
        <v>2542</v>
      </c>
      <c r="D403" s="58">
        <v>189990</v>
      </c>
    </row>
    <row r="404" spans="1:4" x14ac:dyDescent="0.25">
      <c r="A404" s="8">
        <v>70008980</v>
      </c>
      <c r="B404" s="6" t="s">
        <v>87</v>
      </c>
      <c r="C404" s="9" t="s">
        <v>2543</v>
      </c>
      <c r="D404" s="58">
        <v>319990</v>
      </c>
    </row>
    <row r="405" spans="1:4" x14ac:dyDescent="0.25">
      <c r="A405" s="8">
        <v>70008976</v>
      </c>
      <c r="B405" s="6" t="s">
        <v>87</v>
      </c>
      <c r="C405" s="9" t="s">
        <v>2544</v>
      </c>
      <c r="D405" s="58">
        <v>269990</v>
      </c>
    </row>
    <row r="406" spans="1:4" x14ac:dyDescent="0.25">
      <c r="A406" s="8">
        <v>70008973</v>
      </c>
      <c r="B406" s="6" t="s">
        <v>87</v>
      </c>
      <c r="C406" s="9" t="s">
        <v>2545</v>
      </c>
      <c r="D406" s="58">
        <v>319990</v>
      </c>
    </row>
    <row r="407" spans="1:4" x14ac:dyDescent="0.25">
      <c r="A407" s="8">
        <v>70008970</v>
      </c>
      <c r="B407" s="6" t="s">
        <v>87</v>
      </c>
      <c r="C407" s="9" t="s">
        <v>2546</v>
      </c>
      <c r="D407" s="58">
        <v>189990</v>
      </c>
    </row>
    <row r="408" spans="1:4" x14ac:dyDescent="0.25">
      <c r="A408" s="8">
        <v>70008967</v>
      </c>
      <c r="B408" s="6" t="s">
        <v>87</v>
      </c>
      <c r="C408" s="9" t="s">
        <v>2547</v>
      </c>
      <c r="D408" s="58">
        <v>269990</v>
      </c>
    </row>
    <row r="409" spans="1:4" x14ac:dyDescent="0.25">
      <c r="A409" s="8">
        <v>70008965</v>
      </c>
      <c r="B409" s="6" t="s">
        <v>904</v>
      </c>
      <c r="C409" s="9" t="s">
        <v>2548</v>
      </c>
      <c r="D409" s="58">
        <v>199990</v>
      </c>
    </row>
    <row r="410" spans="1:4" x14ac:dyDescent="0.25">
      <c r="A410" s="8">
        <v>70008963</v>
      </c>
      <c r="B410" s="6" t="s">
        <v>904</v>
      </c>
      <c r="C410" s="9" t="s">
        <v>2549</v>
      </c>
      <c r="D410" s="58">
        <v>199990</v>
      </c>
    </row>
    <row r="411" spans="1:4" x14ac:dyDescent="0.25">
      <c r="A411" s="6">
        <v>70008954</v>
      </c>
      <c r="B411" s="6" t="s">
        <v>131</v>
      </c>
      <c r="C411" s="9" t="s">
        <v>2550</v>
      </c>
      <c r="D411" s="58">
        <v>94990</v>
      </c>
    </row>
    <row r="412" spans="1:4" x14ac:dyDescent="0.25">
      <c r="A412" s="8">
        <v>70008948</v>
      </c>
      <c r="B412" s="6" t="s">
        <v>46</v>
      </c>
      <c r="C412" s="9" t="s">
        <v>2551</v>
      </c>
      <c r="D412" s="58">
        <v>89990</v>
      </c>
    </row>
    <row r="413" spans="1:4" x14ac:dyDescent="0.25">
      <c r="A413" s="8">
        <v>70008945</v>
      </c>
      <c r="B413" s="6" t="s">
        <v>46</v>
      </c>
      <c r="C413" s="9" t="s">
        <v>2552</v>
      </c>
      <c r="D413" s="58">
        <v>199990</v>
      </c>
    </row>
    <row r="414" spans="1:4" x14ac:dyDescent="0.25">
      <c r="A414" s="8">
        <v>70008943</v>
      </c>
      <c r="B414" s="6" t="s">
        <v>46</v>
      </c>
      <c r="C414" s="9" t="s">
        <v>2553</v>
      </c>
      <c r="D414" s="58">
        <v>384990</v>
      </c>
    </row>
    <row r="415" spans="1:4" x14ac:dyDescent="0.25">
      <c r="A415" s="6">
        <v>70008932</v>
      </c>
      <c r="B415" s="6" t="s">
        <v>131</v>
      </c>
      <c r="C415" s="6" t="s">
        <v>2554</v>
      </c>
      <c r="D415" s="58">
        <v>379990</v>
      </c>
    </row>
    <row r="416" spans="1:4" x14ac:dyDescent="0.25">
      <c r="A416" s="5">
        <v>70008929</v>
      </c>
      <c r="B416" s="6" t="s">
        <v>229</v>
      </c>
      <c r="C416" s="9" t="s">
        <v>2555</v>
      </c>
      <c r="D416" s="58">
        <v>119990</v>
      </c>
    </row>
    <row r="417" spans="1:4" x14ac:dyDescent="0.25">
      <c r="A417" s="8">
        <v>70008906</v>
      </c>
      <c r="B417" s="6" t="s">
        <v>229</v>
      </c>
      <c r="C417" s="9" t="s">
        <v>2556</v>
      </c>
      <c r="D417" s="58">
        <v>169990</v>
      </c>
    </row>
    <row r="418" spans="1:4" x14ac:dyDescent="0.25">
      <c r="A418" s="8">
        <v>70008904</v>
      </c>
      <c r="B418" s="6" t="s">
        <v>46</v>
      </c>
      <c r="C418" s="9" t="s">
        <v>2557</v>
      </c>
      <c r="D418" s="58">
        <v>209990</v>
      </c>
    </row>
    <row r="419" spans="1:4" x14ac:dyDescent="0.25">
      <c r="A419" s="8">
        <v>70008873</v>
      </c>
      <c r="B419" s="6" t="s">
        <v>87</v>
      </c>
      <c r="C419" s="8" t="s">
        <v>2558</v>
      </c>
      <c r="D419" s="58">
        <v>479990</v>
      </c>
    </row>
    <row r="420" spans="1:4" x14ac:dyDescent="0.25">
      <c r="A420" s="3">
        <v>70008868</v>
      </c>
      <c r="B420" s="8" t="s">
        <v>46</v>
      </c>
      <c r="C420" s="9" t="s">
        <v>2559</v>
      </c>
      <c r="D420" s="58">
        <v>149990</v>
      </c>
    </row>
    <row r="421" spans="1:4" x14ac:dyDescent="0.25">
      <c r="A421" s="8">
        <v>70008864</v>
      </c>
      <c r="B421" s="6" t="s">
        <v>1496</v>
      </c>
      <c r="C421" s="8" t="s">
        <v>2560</v>
      </c>
      <c r="D421" s="58">
        <v>809990</v>
      </c>
    </row>
    <row r="422" spans="1:4" x14ac:dyDescent="0.25">
      <c r="A422" s="8">
        <v>70008861</v>
      </c>
      <c r="B422" s="6" t="s">
        <v>1496</v>
      </c>
      <c r="C422" s="8" t="s">
        <v>2561</v>
      </c>
      <c r="D422" s="58">
        <v>689990</v>
      </c>
    </row>
    <row r="423" spans="1:4" x14ac:dyDescent="0.25">
      <c r="A423" s="8">
        <v>70008858</v>
      </c>
      <c r="B423" s="6" t="s">
        <v>1496</v>
      </c>
      <c r="C423" s="8" t="s">
        <v>2562</v>
      </c>
      <c r="D423" s="58">
        <v>1009990</v>
      </c>
    </row>
    <row r="424" spans="1:4" x14ac:dyDescent="0.25">
      <c r="A424" s="10">
        <v>70008848</v>
      </c>
      <c r="B424" s="8" t="s">
        <v>46</v>
      </c>
      <c r="C424" s="9" t="s">
        <v>2563</v>
      </c>
      <c r="D424" s="58">
        <v>219990</v>
      </c>
    </row>
    <row r="425" spans="1:4" x14ac:dyDescent="0.25">
      <c r="A425" s="8">
        <v>70008846</v>
      </c>
      <c r="B425" s="6" t="s">
        <v>87</v>
      </c>
      <c r="C425" s="8" t="s">
        <v>2564</v>
      </c>
      <c r="D425" s="58">
        <v>479990</v>
      </c>
    </row>
    <row r="426" spans="1:4" x14ac:dyDescent="0.25">
      <c r="A426" s="10">
        <v>70008844</v>
      </c>
      <c r="B426" s="6" t="s">
        <v>980</v>
      </c>
      <c r="C426" s="9" t="s">
        <v>2565</v>
      </c>
      <c r="D426" s="58">
        <v>134990</v>
      </c>
    </row>
    <row r="427" spans="1:4" x14ac:dyDescent="0.25">
      <c r="A427" s="10">
        <v>70008841</v>
      </c>
      <c r="B427" s="8" t="s">
        <v>980</v>
      </c>
      <c r="C427" s="9" t="s">
        <v>2566</v>
      </c>
      <c r="D427" s="58">
        <v>104990</v>
      </c>
    </row>
    <row r="428" spans="1:4" x14ac:dyDescent="0.25">
      <c r="A428" s="10">
        <v>70008834</v>
      </c>
      <c r="B428" s="6" t="s">
        <v>46</v>
      </c>
      <c r="C428" s="9" t="s">
        <v>2567</v>
      </c>
      <c r="D428" s="58">
        <v>114990</v>
      </c>
    </row>
    <row r="429" spans="1:4" x14ac:dyDescent="0.25">
      <c r="A429" s="10">
        <v>70008828</v>
      </c>
      <c r="B429" s="6" t="s">
        <v>131</v>
      </c>
      <c r="C429" s="9" t="s">
        <v>2568</v>
      </c>
      <c r="D429" s="58">
        <v>104990</v>
      </c>
    </row>
    <row r="430" spans="1:4" x14ac:dyDescent="0.25">
      <c r="A430" s="10">
        <v>70008795</v>
      </c>
      <c r="B430" s="6" t="s">
        <v>46</v>
      </c>
      <c r="C430" s="9" t="s">
        <v>2569</v>
      </c>
      <c r="D430" s="58">
        <v>99990</v>
      </c>
    </row>
    <row r="431" spans="1:4" x14ac:dyDescent="0.25">
      <c r="A431" s="8">
        <v>70008770</v>
      </c>
      <c r="B431" s="6" t="s">
        <v>2385</v>
      </c>
      <c r="C431" s="8" t="s">
        <v>2570</v>
      </c>
      <c r="D431" s="58">
        <v>1269990</v>
      </c>
    </row>
    <row r="432" spans="1:4" x14ac:dyDescent="0.25">
      <c r="A432" s="5">
        <v>70008750</v>
      </c>
      <c r="B432" s="6" t="s">
        <v>63</v>
      </c>
      <c r="C432" s="6" t="s">
        <v>2571</v>
      </c>
      <c r="D432" s="58">
        <v>409990</v>
      </c>
    </row>
    <row r="433" spans="1:4" x14ac:dyDescent="0.25">
      <c r="A433" s="5">
        <v>70008747</v>
      </c>
      <c r="B433" s="6" t="s">
        <v>63</v>
      </c>
      <c r="C433" s="6" t="s">
        <v>2571</v>
      </c>
      <c r="D433" s="58">
        <v>409990</v>
      </c>
    </row>
    <row r="434" spans="1:4" x14ac:dyDescent="0.25">
      <c r="A434" s="5">
        <v>70008744</v>
      </c>
      <c r="B434" s="6" t="s">
        <v>63</v>
      </c>
      <c r="C434" s="6" t="s">
        <v>2572</v>
      </c>
      <c r="D434" s="58">
        <v>879990.00000000012</v>
      </c>
    </row>
    <row r="435" spans="1:4" x14ac:dyDescent="0.25">
      <c r="A435" s="5">
        <v>70008741</v>
      </c>
      <c r="B435" s="6" t="s">
        <v>63</v>
      </c>
      <c r="C435" s="6" t="s">
        <v>1373</v>
      </c>
      <c r="D435" s="58">
        <v>519990</v>
      </c>
    </row>
    <row r="436" spans="1:4" x14ac:dyDescent="0.25">
      <c r="A436" s="5">
        <v>70008738</v>
      </c>
      <c r="B436" s="6" t="s">
        <v>63</v>
      </c>
      <c r="C436" s="6" t="s">
        <v>1371</v>
      </c>
      <c r="D436" s="58">
        <v>529990</v>
      </c>
    </row>
    <row r="437" spans="1:4" x14ac:dyDescent="0.25">
      <c r="A437" s="8">
        <v>70008735</v>
      </c>
      <c r="B437" s="6" t="s">
        <v>895</v>
      </c>
      <c r="C437" s="8" t="s">
        <v>2573</v>
      </c>
      <c r="D437" s="58">
        <v>199990</v>
      </c>
    </row>
    <row r="438" spans="1:4" x14ac:dyDescent="0.25">
      <c r="A438" s="5">
        <v>70008716</v>
      </c>
      <c r="B438" s="6" t="s">
        <v>895</v>
      </c>
      <c r="C438" s="6" t="s">
        <v>2574</v>
      </c>
      <c r="D438" s="58">
        <v>199990</v>
      </c>
    </row>
    <row r="439" spans="1:4" x14ac:dyDescent="0.25">
      <c r="A439" s="8">
        <v>70008709</v>
      </c>
      <c r="B439" s="6" t="s">
        <v>63</v>
      </c>
      <c r="C439" s="8" t="s">
        <v>2575</v>
      </c>
      <c r="D439" s="58">
        <v>1189990</v>
      </c>
    </row>
    <row r="440" spans="1:4" x14ac:dyDescent="0.25">
      <c r="A440" s="8">
        <v>70008702</v>
      </c>
      <c r="B440" s="6" t="s">
        <v>63</v>
      </c>
      <c r="C440" s="8" t="s">
        <v>2576</v>
      </c>
      <c r="D440" s="58">
        <v>1049990</v>
      </c>
    </row>
    <row r="441" spans="1:4" x14ac:dyDescent="0.25">
      <c r="A441" s="8">
        <v>70008699</v>
      </c>
      <c r="B441" s="6" t="s">
        <v>63</v>
      </c>
      <c r="C441" s="8" t="s">
        <v>2577</v>
      </c>
      <c r="D441" s="58">
        <v>1049990</v>
      </c>
    </row>
    <row r="442" spans="1:4" x14ac:dyDescent="0.25">
      <c r="A442" s="8">
        <v>70008696</v>
      </c>
      <c r="B442" s="6" t="s">
        <v>63</v>
      </c>
      <c r="C442" s="8" t="s">
        <v>2578</v>
      </c>
      <c r="D442" s="58">
        <v>1059990</v>
      </c>
    </row>
    <row r="443" spans="1:4" x14ac:dyDescent="0.25">
      <c r="A443" s="8">
        <v>70008693</v>
      </c>
      <c r="B443" s="6" t="s">
        <v>63</v>
      </c>
      <c r="C443" s="8" t="s">
        <v>2579</v>
      </c>
      <c r="D443" s="58">
        <v>1109990</v>
      </c>
    </row>
    <row r="444" spans="1:4" x14ac:dyDescent="0.25">
      <c r="A444" s="8">
        <v>70008690</v>
      </c>
      <c r="B444" s="6" t="s">
        <v>63</v>
      </c>
      <c r="C444" s="8" t="s">
        <v>2580</v>
      </c>
      <c r="D444" s="58">
        <v>899990</v>
      </c>
    </row>
    <row r="445" spans="1:4" x14ac:dyDescent="0.25">
      <c r="A445" s="8">
        <v>70008687</v>
      </c>
      <c r="B445" s="6" t="s">
        <v>63</v>
      </c>
      <c r="C445" s="8" t="s">
        <v>2581</v>
      </c>
      <c r="D445" s="58">
        <v>869990</v>
      </c>
    </row>
    <row r="446" spans="1:4" x14ac:dyDescent="0.25">
      <c r="A446" s="8">
        <v>70008684</v>
      </c>
      <c r="B446" s="6" t="s">
        <v>63</v>
      </c>
      <c r="C446" s="8" t="s">
        <v>2582</v>
      </c>
      <c r="D446" s="58">
        <v>869990</v>
      </c>
    </row>
    <row r="447" spans="1:4" x14ac:dyDescent="0.25">
      <c r="A447" s="8">
        <v>70008681</v>
      </c>
      <c r="B447" s="6" t="s">
        <v>63</v>
      </c>
      <c r="C447" s="8" t="s">
        <v>2583</v>
      </c>
      <c r="D447" s="58">
        <v>679990</v>
      </c>
    </row>
    <row r="448" spans="1:4" x14ac:dyDescent="0.25">
      <c r="A448" s="8">
        <v>70008678</v>
      </c>
      <c r="B448" s="6" t="s">
        <v>63</v>
      </c>
      <c r="C448" s="8" t="s">
        <v>2584</v>
      </c>
      <c r="D448" s="58">
        <v>409990</v>
      </c>
    </row>
    <row r="449" spans="1:10" x14ac:dyDescent="0.25">
      <c r="A449" s="8">
        <v>70008676</v>
      </c>
      <c r="B449" s="6" t="s">
        <v>63</v>
      </c>
      <c r="C449" s="8" t="s">
        <v>2585</v>
      </c>
      <c r="D449" s="58">
        <v>1049990</v>
      </c>
    </row>
    <row r="450" spans="1:10" x14ac:dyDescent="0.25">
      <c r="A450" s="8">
        <v>70008673</v>
      </c>
      <c r="B450" s="6" t="s">
        <v>63</v>
      </c>
      <c r="C450" s="8" t="s">
        <v>2586</v>
      </c>
      <c r="D450" s="58">
        <v>679990</v>
      </c>
    </row>
    <row r="451" spans="1:10" x14ac:dyDescent="0.25">
      <c r="A451" s="8">
        <v>70008669</v>
      </c>
      <c r="B451" s="6" t="s">
        <v>63</v>
      </c>
      <c r="C451" s="8" t="s">
        <v>2587</v>
      </c>
      <c r="D451" s="58">
        <v>409990</v>
      </c>
    </row>
    <row r="452" spans="1:10" x14ac:dyDescent="0.25">
      <c r="A452" s="5">
        <v>70008666</v>
      </c>
      <c r="B452" s="6" t="s">
        <v>46</v>
      </c>
      <c r="C452" s="6" t="s">
        <v>2588</v>
      </c>
      <c r="D452" s="58">
        <v>359990</v>
      </c>
    </row>
    <row r="453" spans="1:10" x14ac:dyDescent="0.25">
      <c r="A453" s="8">
        <v>70008629</v>
      </c>
      <c r="B453" s="6" t="s">
        <v>87</v>
      </c>
      <c r="C453" s="8" t="s">
        <v>2589</v>
      </c>
      <c r="D453" s="58">
        <v>109990</v>
      </c>
    </row>
    <row r="454" spans="1:10" x14ac:dyDescent="0.25">
      <c r="A454" s="8">
        <v>70008623</v>
      </c>
      <c r="B454" s="6" t="s">
        <v>87</v>
      </c>
      <c r="C454" s="8" t="s">
        <v>2590</v>
      </c>
      <c r="D454" s="58">
        <v>104990</v>
      </c>
    </row>
    <row r="455" spans="1:10" x14ac:dyDescent="0.25">
      <c r="A455" s="10">
        <v>70008619</v>
      </c>
      <c r="B455" s="8" t="s">
        <v>904</v>
      </c>
      <c r="C455" s="9" t="s">
        <v>2591</v>
      </c>
      <c r="D455" s="58">
        <v>769990</v>
      </c>
    </row>
    <row r="456" spans="1:10" x14ac:dyDescent="0.25">
      <c r="A456" s="5">
        <v>70008616</v>
      </c>
      <c r="B456" s="6" t="s">
        <v>904</v>
      </c>
      <c r="C456" s="6" t="s">
        <v>2592</v>
      </c>
      <c r="D456" s="58">
        <v>164990</v>
      </c>
    </row>
    <row r="457" spans="1:10" x14ac:dyDescent="0.25">
      <c r="A457" s="5">
        <v>70008613</v>
      </c>
      <c r="B457" s="6" t="s">
        <v>904</v>
      </c>
      <c r="C457" s="6" t="s">
        <v>2593</v>
      </c>
      <c r="D457" s="58">
        <v>164990</v>
      </c>
    </row>
    <row r="458" spans="1:10" x14ac:dyDescent="0.25">
      <c r="A458" s="5">
        <v>70008607</v>
      </c>
      <c r="B458" s="6" t="s">
        <v>46</v>
      </c>
      <c r="C458" s="6" t="s">
        <v>2594</v>
      </c>
      <c r="D458" s="58">
        <v>1509990</v>
      </c>
    </row>
    <row r="459" spans="1:10" x14ac:dyDescent="0.25">
      <c r="A459" s="5">
        <v>70008604</v>
      </c>
      <c r="B459" s="6" t="s">
        <v>904</v>
      </c>
      <c r="C459" s="6" t="s">
        <v>2595</v>
      </c>
      <c r="D459" s="58">
        <v>179990</v>
      </c>
    </row>
    <row r="460" spans="1:10" x14ac:dyDescent="0.25">
      <c r="A460" s="8">
        <v>70008596</v>
      </c>
      <c r="B460" s="6" t="s">
        <v>131</v>
      </c>
      <c r="C460" s="8" t="s">
        <v>2596</v>
      </c>
      <c r="D460" s="58">
        <v>179990</v>
      </c>
      <c r="I460">
        <v>109990</v>
      </c>
      <c r="J460" t="b">
        <f>+I460=H460</f>
        <v>0</v>
      </c>
    </row>
    <row r="461" spans="1:10" x14ac:dyDescent="0.25">
      <c r="A461" s="6">
        <v>70008588</v>
      </c>
      <c r="B461" s="8" t="s">
        <v>904</v>
      </c>
      <c r="C461" s="6" t="s">
        <v>2597</v>
      </c>
      <c r="D461" s="58">
        <v>179990</v>
      </c>
    </row>
    <row r="462" spans="1:10" x14ac:dyDescent="0.25">
      <c r="A462" s="5">
        <v>70008578</v>
      </c>
      <c r="B462" s="6" t="s">
        <v>1036</v>
      </c>
      <c r="C462" s="6" t="s">
        <v>2598</v>
      </c>
      <c r="D462" s="58">
        <v>49990</v>
      </c>
    </row>
    <row r="463" spans="1:10" x14ac:dyDescent="0.25">
      <c r="A463" s="5">
        <v>70008566</v>
      </c>
      <c r="B463" s="6" t="s">
        <v>87</v>
      </c>
      <c r="C463" s="6" t="s">
        <v>2599</v>
      </c>
      <c r="D463" s="58">
        <v>159990</v>
      </c>
    </row>
    <row r="464" spans="1:10" x14ac:dyDescent="0.25">
      <c r="A464" s="5">
        <v>70008515</v>
      </c>
      <c r="B464" s="6" t="s">
        <v>87</v>
      </c>
      <c r="C464" s="6" t="s">
        <v>2600</v>
      </c>
      <c r="D464" s="58">
        <v>109990</v>
      </c>
    </row>
    <row r="465" spans="1:4" x14ac:dyDescent="0.25">
      <c r="A465" s="5">
        <v>70008512</v>
      </c>
      <c r="B465" s="6" t="s">
        <v>87</v>
      </c>
      <c r="C465" s="6" t="s">
        <v>2601</v>
      </c>
      <c r="D465" s="58">
        <v>109990</v>
      </c>
    </row>
    <row r="466" spans="1:4" x14ac:dyDescent="0.25">
      <c r="A466" s="8">
        <v>70008507</v>
      </c>
      <c r="B466" s="6" t="s">
        <v>87</v>
      </c>
      <c r="C466" s="8" t="s">
        <v>2602</v>
      </c>
      <c r="D466" s="58">
        <v>139990</v>
      </c>
    </row>
    <row r="467" spans="1:4" x14ac:dyDescent="0.25">
      <c r="A467" s="5">
        <v>70008505</v>
      </c>
      <c r="B467" s="6" t="s">
        <v>87</v>
      </c>
      <c r="C467" s="6" t="s">
        <v>2603</v>
      </c>
      <c r="D467" s="58">
        <v>139990</v>
      </c>
    </row>
    <row r="468" spans="1:4" x14ac:dyDescent="0.25">
      <c r="A468" s="5">
        <v>70008492</v>
      </c>
      <c r="B468" s="6" t="s">
        <v>46</v>
      </c>
      <c r="C468" s="6" t="s">
        <v>2604</v>
      </c>
      <c r="D468" s="58">
        <v>779990</v>
      </c>
    </row>
    <row r="469" spans="1:4" x14ac:dyDescent="0.25">
      <c r="A469" s="5">
        <v>70008468</v>
      </c>
      <c r="B469" s="6" t="s">
        <v>46</v>
      </c>
      <c r="C469" s="6" t="s">
        <v>2605</v>
      </c>
      <c r="D469" s="58">
        <v>649990</v>
      </c>
    </row>
    <row r="470" spans="1:4" x14ac:dyDescent="0.25">
      <c r="A470" s="5">
        <v>70008448</v>
      </c>
      <c r="B470" s="6" t="s">
        <v>46</v>
      </c>
      <c r="C470" s="6" t="s">
        <v>2606</v>
      </c>
      <c r="D470" s="58">
        <v>89990</v>
      </c>
    </row>
    <row r="471" spans="1:4" x14ac:dyDescent="0.25">
      <c r="A471" s="5">
        <v>70008445</v>
      </c>
      <c r="B471" s="6" t="s">
        <v>2385</v>
      </c>
      <c r="C471" s="6" t="s">
        <v>2607</v>
      </c>
      <c r="D471" s="58">
        <v>239990</v>
      </c>
    </row>
    <row r="472" spans="1:4" x14ac:dyDescent="0.25">
      <c r="A472" s="5">
        <v>70008442</v>
      </c>
      <c r="B472" s="6" t="s">
        <v>2385</v>
      </c>
      <c r="C472" s="6" t="s">
        <v>2608</v>
      </c>
      <c r="D472" s="58">
        <v>139990</v>
      </c>
    </row>
    <row r="473" spans="1:4" x14ac:dyDescent="0.25">
      <c r="A473" s="8">
        <v>70008439</v>
      </c>
      <c r="B473" s="6" t="s">
        <v>980</v>
      </c>
      <c r="C473" s="8" t="s">
        <v>2609</v>
      </c>
      <c r="D473" s="58">
        <v>59990</v>
      </c>
    </row>
    <row r="474" spans="1:4" x14ac:dyDescent="0.25">
      <c r="A474" s="5">
        <v>70008430</v>
      </c>
      <c r="B474" s="6" t="s">
        <v>87</v>
      </c>
      <c r="C474" s="6" t="s">
        <v>2610</v>
      </c>
      <c r="D474" s="58">
        <v>104990</v>
      </c>
    </row>
    <row r="475" spans="1:4" x14ac:dyDescent="0.25">
      <c r="A475" s="5">
        <v>70008423</v>
      </c>
      <c r="B475" s="6" t="s">
        <v>87</v>
      </c>
      <c r="C475" s="6" t="s">
        <v>2611</v>
      </c>
      <c r="D475" s="58">
        <v>139990</v>
      </c>
    </row>
    <row r="476" spans="1:4" x14ac:dyDescent="0.25">
      <c r="A476" s="5">
        <v>70008420</v>
      </c>
      <c r="B476" s="6" t="s">
        <v>87</v>
      </c>
      <c r="C476" s="6" t="s">
        <v>2612</v>
      </c>
      <c r="D476" s="58">
        <v>159990</v>
      </c>
    </row>
    <row r="477" spans="1:4" x14ac:dyDescent="0.25">
      <c r="A477" s="5">
        <v>70008409</v>
      </c>
      <c r="B477" s="6" t="s">
        <v>87</v>
      </c>
      <c r="C477" s="6" t="s">
        <v>2613</v>
      </c>
      <c r="D477" s="58">
        <v>104990</v>
      </c>
    </row>
    <row r="478" spans="1:4" x14ac:dyDescent="0.25">
      <c r="A478" s="5">
        <v>70008407</v>
      </c>
      <c r="B478" s="6" t="s">
        <v>904</v>
      </c>
      <c r="C478" s="6" t="s">
        <v>2614</v>
      </c>
      <c r="D478" s="58">
        <v>139990</v>
      </c>
    </row>
    <row r="479" spans="1:4" x14ac:dyDescent="0.25">
      <c r="A479" s="5">
        <v>70008404</v>
      </c>
      <c r="B479" s="6" t="s">
        <v>904</v>
      </c>
      <c r="C479" s="6" t="s">
        <v>2615</v>
      </c>
      <c r="D479" s="58">
        <v>139990</v>
      </c>
    </row>
    <row r="480" spans="1:4" x14ac:dyDescent="0.25">
      <c r="A480" s="5">
        <v>70008401</v>
      </c>
      <c r="B480" s="6" t="s">
        <v>904</v>
      </c>
      <c r="C480" s="6" t="s">
        <v>2616</v>
      </c>
      <c r="D480" s="58">
        <v>119990</v>
      </c>
    </row>
    <row r="481" spans="1:4" x14ac:dyDescent="0.25">
      <c r="A481" s="5">
        <v>70008398</v>
      </c>
      <c r="B481" s="6" t="s">
        <v>904</v>
      </c>
      <c r="C481" s="6" t="s">
        <v>2617</v>
      </c>
      <c r="D481" s="58">
        <v>119990</v>
      </c>
    </row>
    <row r="482" spans="1:4" x14ac:dyDescent="0.25">
      <c r="A482" s="5">
        <v>70008386</v>
      </c>
      <c r="B482" s="6" t="s">
        <v>2618</v>
      </c>
      <c r="C482" s="6" t="s">
        <v>2619</v>
      </c>
      <c r="D482" s="58">
        <v>19990</v>
      </c>
    </row>
    <row r="483" spans="1:4" x14ac:dyDescent="0.25">
      <c r="A483" s="5">
        <v>70008330</v>
      </c>
      <c r="B483" s="5" t="s">
        <v>63</v>
      </c>
      <c r="C483" s="5" t="s">
        <v>2620</v>
      </c>
      <c r="D483" s="58">
        <v>479990</v>
      </c>
    </row>
    <row r="484" spans="1:4" x14ac:dyDescent="0.25">
      <c r="A484" s="5">
        <v>70008327</v>
      </c>
      <c r="B484" s="5" t="s">
        <v>63</v>
      </c>
      <c r="C484" s="5" t="s">
        <v>2621</v>
      </c>
      <c r="D484" s="58">
        <v>479990</v>
      </c>
    </row>
    <row r="485" spans="1:4" x14ac:dyDescent="0.25">
      <c r="A485" s="5">
        <v>70008324</v>
      </c>
      <c r="B485" s="5" t="s">
        <v>63</v>
      </c>
      <c r="C485" s="5" t="s">
        <v>2622</v>
      </c>
      <c r="D485" s="58">
        <v>479990</v>
      </c>
    </row>
    <row r="486" spans="1:4" x14ac:dyDescent="0.25">
      <c r="A486" s="5">
        <v>70008321</v>
      </c>
      <c r="B486" s="6" t="s">
        <v>63</v>
      </c>
      <c r="C486" s="6" t="s">
        <v>2623</v>
      </c>
      <c r="D486" s="58">
        <v>409990</v>
      </c>
    </row>
    <row r="487" spans="1:4" x14ac:dyDescent="0.25">
      <c r="A487" s="5">
        <v>70008318</v>
      </c>
      <c r="B487" s="6" t="s">
        <v>63</v>
      </c>
      <c r="C487" s="6" t="s">
        <v>2571</v>
      </c>
      <c r="D487" s="58">
        <v>409990</v>
      </c>
    </row>
    <row r="488" spans="1:4" x14ac:dyDescent="0.25">
      <c r="A488" s="5">
        <v>70008315</v>
      </c>
      <c r="B488" s="6" t="s">
        <v>63</v>
      </c>
      <c r="C488" s="6" t="s">
        <v>2571</v>
      </c>
      <c r="D488" s="58">
        <v>409990</v>
      </c>
    </row>
    <row r="489" spans="1:4" x14ac:dyDescent="0.25">
      <c r="A489" s="5">
        <v>70008280</v>
      </c>
      <c r="B489" s="5" t="s">
        <v>904</v>
      </c>
      <c r="C489" s="5" t="s">
        <v>2624</v>
      </c>
      <c r="D489" s="56">
        <v>579990</v>
      </c>
    </row>
    <row r="490" spans="1:4" x14ac:dyDescent="0.25">
      <c r="A490" s="5">
        <v>70008278</v>
      </c>
      <c r="B490" s="5" t="s">
        <v>904</v>
      </c>
      <c r="C490" s="5" t="s">
        <v>2625</v>
      </c>
      <c r="D490" s="56">
        <v>579990</v>
      </c>
    </row>
    <row r="491" spans="1:4" x14ac:dyDescent="0.25">
      <c r="A491" s="5">
        <v>70008276</v>
      </c>
      <c r="B491" s="5" t="s">
        <v>904</v>
      </c>
      <c r="C491" s="5" t="s">
        <v>2626</v>
      </c>
      <c r="D491" s="56">
        <v>839990</v>
      </c>
    </row>
    <row r="492" spans="1:4" x14ac:dyDescent="0.25">
      <c r="A492" s="5">
        <v>70008274</v>
      </c>
      <c r="B492" s="5" t="s">
        <v>904</v>
      </c>
      <c r="C492" s="5" t="s">
        <v>2627</v>
      </c>
      <c r="D492" s="56">
        <v>839990</v>
      </c>
    </row>
    <row r="493" spans="1:4" x14ac:dyDescent="0.25">
      <c r="A493" s="5">
        <v>70008272</v>
      </c>
      <c r="B493" s="5" t="s">
        <v>904</v>
      </c>
      <c r="C493" s="5" t="s">
        <v>2628</v>
      </c>
      <c r="D493" s="56">
        <v>229990</v>
      </c>
    </row>
    <row r="494" spans="1:4" x14ac:dyDescent="0.25">
      <c r="A494" s="5">
        <v>70008270</v>
      </c>
      <c r="B494" s="5" t="s">
        <v>904</v>
      </c>
      <c r="C494" s="5" t="s">
        <v>2629</v>
      </c>
      <c r="D494" s="56">
        <v>229990</v>
      </c>
    </row>
    <row r="495" spans="1:4" x14ac:dyDescent="0.25">
      <c r="A495" s="5">
        <v>70008265</v>
      </c>
      <c r="B495" s="5" t="s">
        <v>904</v>
      </c>
      <c r="C495" s="5" t="s">
        <v>2630</v>
      </c>
      <c r="D495" s="56">
        <v>579990</v>
      </c>
    </row>
    <row r="496" spans="1:4" x14ac:dyDescent="0.25">
      <c r="A496" s="5">
        <v>70008262</v>
      </c>
      <c r="B496" s="5" t="s">
        <v>904</v>
      </c>
      <c r="C496" s="5" t="s">
        <v>2631</v>
      </c>
      <c r="D496" s="56">
        <v>839990</v>
      </c>
    </row>
    <row r="497" spans="1:4" x14ac:dyDescent="0.25">
      <c r="A497" s="5">
        <v>70008260</v>
      </c>
      <c r="B497" s="5" t="s">
        <v>904</v>
      </c>
      <c r="C497" s="5" t="s">
        <v>2632</v>
      </c>
      <c r="D497" s="56">
        <v>839990</v>
      </c>
    </row>
    <row r="498" spans="1:4" x14ac:dyDescent="0.25">
      <c r="A498" s="5">
        <v>70008258</v>
      </c>
      <c r="B498" s="6" t="s">
        <v>904</v>
      </c>
      <c r="C498" s="6" t="s">
        <v>2633</v>
      </c>
      <c r="D498" s="58">
        <v>229990</v>
      </c>
    </row>
    <row r="499" spans="1:4" x14ac:dyDescent="0.25">
      <c r="A499" s="5">
        <v>70008252</v>
      </c>
      <c r="B499" s="6" t="s">
        <v>904</v>
      </c>
      <c r="C499" s="6" t="s">
        <v>2634</v>
      </c>
      <c r="D499" s="58">
        <v>229990</v>
      </c>
    </row>
    <row r="500" spans="1:4" x14ac:dyDescent="0.25">
      <c r="A500" s="5">
        <v>70008249</v>
      </c>
      <c r="B500" s="5" t="s">
        <v>904</v>
      </c>
      <c r="C500" s="5" t="s">
        <v>2635</v>
      </c>
      <c r="D500" s="56">
        <v>579990</v>
      </c>
    </row>
    <row r="501" spans="1:4" x14ac:dyDescent="0.25">
      <c r="A501" s="5">
        <v>70008237</v>
      </c>
      <c r="B501" s="6" t="s">
        <v>131</v>
      </c>
      <c r="C501" s="6" t="s">
        <v>2636</v>
      </c>
      <c r="D501" s="58">
        <v>174990</v>
      </c>
    </row>
    <row r="502" spans="1:4" x14ac:dyDescent="0.25">
      <c r="A502" s="5">
        <v>70008234</v>
      </c>
      <c r="B502" s="6" t="s">
        <v>131</v>
      </c>
      <c r="C502" s="6" t="s">
        <v>2637</v>
      </c>
      <c r="D502" s="58">
        <v>99990</v>
      </c>
    </row>
    <row r="503" spans="1:4" x14ac:dyDescent="0.25">
      <c r="A503" s="5">
        <v>70008231</v>
      </c>
      <c r="B503" s="6" t="s">
        <v>131</v>
      </c>
      <c r="C503" s="6" t="s">
        <v>2638</v>
      </c>
      <c r="D503" s="58">
        <v>99990</v>
      </c>
    </row>
    <row r="504" spans="1:4" x14ac:dyDescent="0.25">
      <c r="A504" s="5">
        <v>70008222</v>
      </c>
      <c r="B504" s="6" t="s">
        <v>87</v>
      </c>
      <c r="C504" s="6" t="s">
        <v>2639</v>
      </c>
      <c r="D504" s="58">
        <v>179990</v>
      </c>
    </row>
    <row r="505" spans="1:4" x14ac:dyDescent="0.25">
      <c r="A505" s="5">
        <v>70008219</v>
      </c>
      <c r="B505" s="6" t="s">
        <v>87</v>
      </c>
      <c r="C505" s="6" t="s">
        <v>2640</v>
      </c>
      <c r="D505" s="58">
        <v>119990</v>
      </c>
    </row>
    <row r="506" spans="1:4" x14ac:dyDescent="0.25">
      <c r="A506" s="5">
        <v>70008211</v>
      </c>
      <c r="B506" s="6" t="s">
        <v>980</v>
      </c>
      <c r="C506" s="6" t="s">
        <v>2641</v>
      </c>
      <c r="D506" s="58">
        <v>159990</v>
      </c>
    </row>
    <row r="507" spans="1:4" x14ac:dyDescent="0.25">
      <c r="A507" s="5">
        <v>70008200</v>
      </c>
      <c r="B507" s="6" t="s">
        <v>46</v>
      </c>
      <c r="C507" s="6" t="s">
        <v>2642</v>
      </c>
      <c r="D507" s="58">
        <v>209990</v>
      </c>
    </row>
    <row r="508" spans="1:4" x14ac:dyDescent="0.25">
      <c r="A508" s="5">
        <v>70008161</v>
      </c>
      <c r="B508" s="6" t="s">
        <v>904</v>
      </c>
      <c r="C508" s="6" t="s">
        <v>2643</v>
      </c>
      <c r="D508" s="58">
        <v>199990</v>
      </c>
    </row>
    <row r="509" spans="1:4" x14ac:dyDescent="0.25">
      <c r="A509" s="5">
        <v>70008137</v>
      </c>
      <c r="B509" s="6" t="s">
        <v>46</v>
      </c>
      <c r="C509" s="6" t="s">
        <v>2644</v>
      </c>
      <c r="D509" s="58">
        <v>1199990</v>
      </c>
    </row>
    <row r="510" spans="1:4" x14ac:dyDescent="0.25">
      <c r="A510" s="5">
        <v>70008134</v>
      </c>
      <c r="B510" s="6" t="s">
        <v>46</v>
      </c>
      <c r="C510" s="6" t="s">
        <v>2645</v>
      </c>
      <c r="D510" s="58">
        <v>949990</v>
      </c>
    </row>
    <row r="511" spans="1:4" x14ac:dyDescent="0.25">
      <c r="A511" s="5">
        <v>70008131</v>
      </c>
      <c r="B511" s="6" t="s">
        <v>46</v>
      </c>
      <c r="C511" s="6" t="s">
        <v>2646</v>
      </c>
      <c r="D511" s="58">
        <v>799990</v>
      </c>
    </row>
    <row r="512" spans="1:4" x14ac:dyDescent="0.25">
      <c r="A512" s="5">
        <v>70008117</v>
      </c>
      <c r="B512" s="6" t="s">
        <v>46</v>
      </c>
      <c r="C512" s="6" t="s">
        <v>2647</v>
      </c>
      <c r="D512" s="58">
        <v>164990</v>
      </c>
    </row>
    <row r="513" spans="1:4" x14ac:dyDescent="0.25">
      <c r="A513" s="5">
        <v>70008114</v>
      </c>
      <c r="B513" s="6" t="s">
        <v>46</v>
      </c>
      <c r="C513" s="6" t="s">
        <v>2648</v>
      </c>
      <c r="D513" s="58">
        <v>129990</v>
      </c>
    </row>
    <row r="514" spans="1:4" x14ac:dyDescent="0.25">
      <c r="A514" s="5">
        <v>70008105</v>
      </c>
      <c r="B514" s="5" t="s">
        <v>46</v>
      </c>
      <c r="C514" s="5" t="s">
        <v>2649</v>
      </c>
      <c r="D514" s="56">
        <v>1509990</v>
      </c>
    </row>
    <row r="515" spans="1:4" x14ac:dyDescent="0.25">
      <c r="A515" s="8">
        <v>70008100</v>
      </c>
      <c r="B515" s="6" t="s">
        <v>63</v>
      </c>
      <c r="C515" s="8" t="s">
        <v>2650</v>
      </c>
      <c r="D515" s="58">
        <v>59990</v>
      </c>
    </row>
    <row r="516" spans="1:4" x14ac:dyDescent="0.25">
      <c r="A516" s="5">
        <v>70008097</v>
      </c>
      <c r="B516" s="6" t="s">
        <v>980</v>
      </c>
      <c r="C516" s="6" t="s">
        <v>2651</v>
      </c>
      <c r="D516" s="58">
        <v>159990</v>
      </c>
    </row>
    <row r="517" spans="1:4" x14ac:dyDescent="0.25">
      <c r="A517" s="6">
        <v>70008094</v>
      </c>
      <c r="B517" s="6" t="s">
        <v>980</v>
      </c>
      <c r="C517" s="6" t="s">
        <v>2652</v>
      </c>
      <c r="D517" s="58">
        <v>139990</v>
      </c>
    </row>
    <row r="518" spans="1:4" x14ac:dyDescent="0.25">
      <c r="A518" s="5">
        <v>70008055</v>
      </c>
      <c r="B518" s="6" t="s">
        <v>131</v>
      </c>
      <c r="C518" s="6" t="s">
        <v>2653</v>
      </c>
      <c r="D518" s="58">
        <v>229990</v>
      </c>
    </row>
    <row r="519" spans="1:4" x14ac:dyDescent="0.25">
      <c r="A519" s="5">
        <v>70008052</v>
      </c>
      <c r="B519" s="6" t="s">
        <v>46</v>
      </c>
      <c r="C519" s="6" t="s">
        <v>2654</v>
      </c>
      <c r="D519" s="58">
        <v>389990</v>
      </c>
    </row>
    <row r="520" spans="1:4" x14ac:dyDescent="0.25">
      <c r="A520" s="6">
        <v>70008045</v>
      </c>
      <c r="B520" s="6" t="s">
        <v>46</v>
      </c>
      <c r="C520" s="6" t="s">
        <v>2655</v>
      </c>
      <c r="D520" s="58">
        <v>429990</v>
      </c>
    </row>
    <row r="521" spans="1:4" x14ac:dyDescent="0.25">
      <c r="A521" s="5">
        <v>70008040</v>
      </c>
      <c r="B521" s="6" t="s">
        <v>1496</v>
      </c>
      <c r="C521" s="6" t="s">
        <v>2656</v>
      </c>
      <c r="D521" s="58">
        <v>109990</v>
      </c>
    </row>
    <row r="522" spans="1:4" x14ac:dyDescent="0.25">
      <c r="A522" s="5">
        <v>70008036</v>
      </c>
      <c r="B522" s="6" t="s">
        <v>895</v>
      </c>
      <c r="C522" s="6" t="s">
        <v>2657</v>
      </c>
      <c r="D522" s="58">
        <v>99990</v>
      </c>
    </row>
    <row r="523" spans="1:4" x14ac:dyDescent="0.25">
      <c r="A523" s="5">
        <v>70008033</v>
      </c>
      <c r="B523" s="6" t="s">
        <v>904</v>
      </c>
      <c r="C523" s="6" t="s">
        <v>2658</v>
      </c>
      <c r="D523" s="58">
        <v>279990</v>
      </c>
    </row>
    <row r="524" spans="1:4" x14ac:dyDescent="0.25">
      <c r="A524" s="5">
        <v>70008028</v>
      </c>
      <c r="B524" s="6" t="s">
        <v>46</v>
      </c>
      <c r="C524" s="6" t="s">
        <v>2659</v>
      </c>
      <c r="D524" s="58">
        <v>299990</v>
      </c>
    </row>
    <row r="525" spans="1:4" x14ac:dyDescent="0.25">
      <c r="A525" s="5">
        <v>70008007</v>
      </c>
      <c r="B525" s="6" t="s">
        <v>904</v>
      </c>
      <c r="C525" s="6" t="s">
        <v>2660</v>
      </c>
      <c r="D525" s="58">
        <v>279990</v>
      </c>
    </row>
    <row r="526" spans="1:4" x14ac:dyDescent="0.25">
      <c r="A526" s="5">
        <v>70007890</v>
      </c>
      <c r="B526" s="6" t="s">
        <v>895</v>
      </c>
      <c r="C526" s="6" t="s">
        <v>2661</v>
      </c>
      <c r="D526" s="58">
        <v>199990</v>
      </c>
    </row>
    <row r="527" spans="1:4" x14ac:dyDescent="0.25">
      <c r="A527" s="5">
        <v>70007844</v>
      </c>
      <c r="B527" s="6" t="s">
        <v>63</v>
      </c>
      <c r="C527" s="6" t="s">
        <v>2662</v>
      </c>
      <c r="D527" s="58">
        <v>1479990</v>
      </c>
    </row>
    <row r="528" spans="1:4" x14ac:dyDescent="0.25">
      <c r="A528" s="5">
        <v>70007841</v>
      </c>
      <c r="B528" s="6" t="s">
        <v>63</v>
      </c>
      <c r="C528" s="6" t="s">
        <v>2663</v>
      </c>
      <c r="D528" s="58">
        <v>1279990</v>
      </c>
    </row>
    <row r="529" spans="1:4" x14ac:dyDescent="0.25">
      <c r="A529" s="5">
        <v>70007840</v>
      </c>
      <c r="B529" s="6" t="s">
        <v>63</v>
      </c>
      <c r="C529" s="6" t="s">
        <v>2664</v>
      </c>
      <c r="D529" s="58">
        <v>1099990</v>
      </c>
    </row>
    <row r="530" spans="1:4" x14ac:dyDescent="0.25">
      <c r="A530" s="5">
        <v>70007837</v>
      </c>
      <c r="B530" s="6" t="s">
        <v>63</v>
      </c>
      <c r="C530" s="6" t="s">
        <v>2664</v>
      </c>
      <c r="D530" s="58">
        <v>1099990</v>
      </c>
    </row>
    <row r="531" spans="1:4" x14ac:dyDescent="0.25">
      <c r="A531" s="5">
        <v>70007834</v>
      </c>
      <c r="B531" s="6" t="s">
        <v>63</v>
      </c>
      <c r="C531" s="6" t="s">
        <v>2664</v>
      </c>
      <c r="D531" s="58">
        <v>1099990</v>
      </c>
    </row>
    <row r="532" spans="1:4" x14ac:dyDescent="0.25">
      <c r="A532" s="5">
        <v>70007829</v>
      </c>
      <c r="B532" s="6" t="s">
        <v>63</v>
      </c>
      <c r="C532" s="6" t="s">
        <v>2665</v>
      </c>
      <c r="D532" s="58">
        <v>1399990</v>
      </c>
    </row>
    <row r="533" spans="1:4" x14ac:dyDescent="0.25">
      <c r="A533" s="5">
        <v>70007826</v>
      </c>
      <c r="B533" s="6" t="s">
        <v>63</v>
      </c>
      <c r="C533" s="6" t="s">
        <v>2666</v>
      </c>
      <c r="D533" s="58">
        <v>1199990</v>
      </c>
    </row>
    <row r="534" spans="1:4" x14ac:dyDescent="0.25">
      <c r="A534" s="5">
        <v>70007823</v>
      </c>
      <c r="B534" s="6" t="s">
        <v>63</v>
      </c>
      <c r="C534" s="6" t="s">
        <v>2666</v>
      </c>
      <c r="D534" s="58">
        <v>1199990</v>
      </c>
    </row>
    <row r="535" spans="1:4" x14ac:dyDescent="0.25">
      <c r="A535" s="5">
        <v>70007820</v>
      </c>
      <c r="B535" s="6" t="s">
        <v>63</v>
      </c>
      <c r="C535" s="6" t="s">
        <v>2667</v>
      </c>
      <c r="D535" s="58">
        <v>999990</v>
      </c>
    </row>
    <row r="536" spans="1:4" x14ac:dyDescent="0.25">
      <c r="A536" s="5">
        <v>70007817</v>
      </c>
      <c r="B536" s="6" t="s">
        <v>63</v>
      </c>
      <c r="C536" s="6" t="s">
        <v>2667</v>
      </c>
      <c r="D536" s="58">
        <v>999990</v>
      </c>
    </row>
    <row r="537" spans="1:4" x14ac:dyDescent="0.25">
      <c r="A537" s="5">
        <v>70007814</v>
      </c>
      <c r="B537" s="6" t="s">
        <v>63</v>
      </c>
      <c r="C537" s="6" t="s">
        <v>2667</v>
      </c>
      <c r="D537" s="58">
        <v>999990</v>
      </c>
    </row>
    <row r="538" spans="1:4" x14ac:dyDescent="0.25">
      <c r="A538" s="5">
        <v>70007811</v>
      </c>
      <c r="B538" s="6" t="s">
        <v>63</v>
      </c>
      <c r="C538" s="6" t="s">
        <v>2572</v>
      </c>
      <c r="D538" s="58">
        <v>879990.00000000012</v>
      </c>
    </row>
    <row r="539" spans="1:4" x14ac:dyDescent="0.25">
      <c r="A539" s="5">
        <v>70007808</v>
      </c>
      <c r="B539" s="6" t="s">
        <v>63</v>
      </c>
      <c r="C539" s="6" t="s">
        <v>1373</v>
      </c>
      <c r="D539" s="58">
        <v>769990</v>
      </c>
    </row>
    <row r="540" spans="1:4" x14ac:dyDescent="0.25">
      <c r="A540" s="5">
        <v>70007805</v>
      </c>
      <c r="B540" s="6" t="s">
        <v>63</v>
      </c>
      <c r="C540" s="6" t="s">
        <v>1373</v>
      </c>
      <c r="D540" s="58">
        <v>519990</v>
      </c>
    </row>
    <row r="541" spans="1:4" x14ac:dyDescent="0.25">
      <c r="A541" s="5">
        <v>70007793</v>
      </c>
      <c r="B541" s="6" t="s">
        <v>63</v>
      </c>
      <c r="C541" s="6" t="s">
        <v>1371</v>
      </c>
      <c r="D541" s="58">
        <v>529990</v>
      </c>
    </row>
    <row r="542" spans="1:4" x14ac:dyDescent="0.25">
      <c r="A542" s="5">
        <v>70007790</v>
      </c>
      <c r="B542" s="6" t="s">
        <v>63</v>
      </c>
      <c r="C542" s="6" t="s">
        <v>1371</v>
      </c>
      <c r="D542" s="58">
        <v>529990</v>
      </c>
    </row>
    <row r="543" spans="1:4" x14ac:dyDescent="0.25">
      <c r="A543" s="5">
        <v>70007786</v>
      </c>
      <c r="B543" s="6" t="s">
        <v>112</v>
      </c>
      <c r="C543" s="6" t="s">
        <v>2668</v>
      </c>
      <c r="D543" s="58">
        <v>99990</v>
      </c>
    </row>
    <row r="544" spans="1:4" x14ac:dyDescent="0.25">
      <c r="A544" s="5">
        <v>70007721</v>
      </c>
      <c r="B544" s="6" t="s">
        <v>1036</v>
      </c>
      <c r="C544" s="6" t="s">
        <v>2669</v>
      </c>
      <c r="D544" s="58">
        <v>49990</v>
      </c>
    </row>
    <row r="545" spans="1:4" x14ac:dyDescent="0.25">
      <c r="A545" s="5">
        <v>70007718</v>
      </c>
      <c r="B545" s="6" t="s">
        <v>1496</v>
      </c>
      <c r="C545" s="6" t="s">
        <v>2670</v>
      </c>
      <c r="D545" s="58">
        <v>269990</v>
      </c>
    </row>
    <row r="546" spans="1:4" x14ac:dyDescent="0.25">
      <c r="A546" s="5">
        <v>70007715</v>
      </c>
      <c r="B546" s="6" t="s">
        <v>1496</v>
      </c>
      <c r="C546" s="6" t="s">
        <v>2671</v>
      </c>
      <c r="D546" s="58">
        <v>209990</v>
      </c>
    </row>
    <row r="547" spans="1:4" x14ac:dyDescent="0.25">
      <c r="A547" s="5">
        <v>70007712</v>
      </c>
      <c r="B547" s="6" t="s">
        <v>1496</v>
      </c>
      <c r="C547" s="6" t="s">
        <v>2672</v>
      </c>
      <c r="D547" s="58">
        <v>104990</v>
      </c>
    </row>
    <row r="548" spans="1:4" x14ac:dyDescent="0.25">
      <c r="A548" s="5">
        <v>70007709</v>
      </c>
      <c r="B548" s="6" t="s">
        <v>1496</v>
      </c>
      <c r="C548" s="6" t="s">
        <v>2673</v>
      </c>
      <c r="D548" s="58">
        <v>159990</v>
      </c>
    </row>
    <row r="549" spans="1:4" x14ac:dyDescent="0.25">
      <c r="A549" s="5">
        <v>70007706</v>
      </c>
      <c r="B549" s="6" t="s">
        <v>904</v>
      </c>
      <c r="C549" s="6" t="s">
        <v>2674</v>
      </c>
      <c r="D549" s="58">
        <v>389990</v>
      </c>
    </row>
    <row r="550" spans="1:4" x14ac:dyDescent="0.25">
      <c r="A550" s="5">
        <v>70007700</v>
      </c>
      <c r="B550" s="6" t="s">
        <v>904</v>
      </c>
      <c r="C550" s="6" t="s">
        <v>2675</v>
      </c>
      <c r="D550" s="58">
        <v>219990</v>
      </c>
    </row>
    <row r="551" spans="1:4" x14ac:dyDescent="0.25">
      <c r="A551" s="5">
        <v>70005081</v>
      </c>
      <c r="B551" s="6" t="s">
        <v>2385</v>
      </c>
      <c r="C551" s="6" t="s">
        <v>2676</v>
      </c>
      <c r="D551" s="58">
        <v>149990</v>
      </c>
    </row>
    <row r="552" spans="1:4" x14ac:dyDescent="0.25">
      <c r="A552" s="5">
        <v>70005075</v>
      </c>
      <c r="B552" s="6" t="s">
        <v>2385</v>
      </c>
      <c r="C552" s="6" t="s">
        <v>2677</v>
      </c>
      <c r="D552" s="58">
        <v>99990</v>
      </c>
    </row>
    <row r="553" spans="1:4" x14ac:dyDescent="0.25">
      <c r="A553" s="5">
        <v>70005037</v>
      </c>
      <c r="B553" s="6" t="s">
        <v>1036</v>
      </c>
      <c r="C553" s="6" t="s">
        <v>2678</v>
      </c>
      <c r="D553" s="58">
        <v>39990</v>
      </c>
    </row>
    <row r="554" spans="1:4" x14ac:dyDescent="0.25">
      <c r="A554" s="5">
        <v>70005020</v>
      </c>
      <c r="B554" s="6" t="s">
        <v>112</v>
      </c>
      <c r="C554" s="6" t="s">
        <v>2679</v>
      </c>
      <c r="D554" s="58">
        <v>99990</v>
      </c>
    </row>
    <row r="555" spans="1:4" x14ac:dyDescent="0.25">
      <c r="A555" s="5">
        <v>70005009</v>
      </c>
      <c r="B555" s="6" t="s">
        <v>112</v>
      </c>
      <c r="C555" s="6" t="s">
        <v>2680</v>
      </c>
      <c r="D555" s="58">
        <v>59990</v>
      </c>
    </row>
    <row r="556" spans="1:4" x14ac:dyDescent="0.25">
      <c r="A556" s="5">
        <v>70005005</v>
      </c>
      <c r="B556" s="6" t="s">
        <v>2618</v>
      </c>
      <c r="C556" s="6" t="s">
        <v>2681</v>
      </c>
      <c r="D556" s="58">
        <v>49990</v>
      </c>
    </row>
    <row r="557" spans="1:4" x14ac:dyDescent="0.25">
      <c r="A557" s="5">
        <v>70005002</v>
      </c>
      <c r="B557" s="6" t="s">
        <v>2618</v>
      </c>
      <c r="C557" s="6" t="s">
        <v>2682</v>
      </c>
      <c r="D557" s="58">
        <v>29990</v>
      </c>
    </row>
    <row r="558" spans="1:4" x14ac:dyDescent="0.25">
      <c r="A558" s="5">
        <v>70005000</v>
      </c>
      <c r="B558" s="6" t="s">
        <v>2618</v>
      </c>
      <c r="C558" s="6" t="s">
        <v>2683</v>
      </c>
      <c r="D558" s="58">
        <v>49990</v>
      </c>
    </row>
    <row r="559" spans="1:4" x14ac:dyDescent="0.25">
      <c r="A559" s="5">
        <v>70004982</v>
      </c>
      <c r="B559" s="6" t="s">
        <v>895</v>
      </c>
      <c r="C559" s="6" t="s">
        <v>2684</v>
      </c>
      <c r="D559" s="58">
        <v>89990</v>
      </c>
    </row>
    <row r="560" spans="1:4" x14ac:dyDescent="0.25">
      <c r="A560" s="5">
        <v>70004980</v>
      </c>
      <c r="B560" s="6" t="s">
        <v>895</v>
      </c>
      <c r="C560" s="6" t="s">
        <v>2685</v>
      </c>
      <c r="D560" s="58">
        <v>99990</v>
      </c>
    </row>
    <row r="561" spans="1:4" x14ac:dyDescent="0.25">
      <c r="A561" s="5">
        <v>70004954</v>
      </c>
      <c r="B561" s="6" t="s">
        <v>112</v>
      </c>
      <c r="C561" s="6" t="s">
        <v>2686</v>
      </c>
      <c r="D561" s="58">
        <v>79990</v>
      </c>
    </row>
    <row r="562" spans="1:4" x14ac:dyDescent="0.25">
      <c r="A562" s="5">
        <v>70004952</v>
      </c>
      <c r="B562" s="6" t="s">
        <v>87</v>
      </c>
      <c r="C562" s="6" t="s">
        <v>2687</v>
      </c>
      <c r="D562" s="58">
        <v>199990</v>
      </c>
    </row>
    <row r="563" spans="1:4" x14ac:dyDescent="0.25">
      <c r="A563" s="5">
        <v>70004951</v>
      </c>
      <c r="B563" s="6" t="s">
        <v>87</v>
      </c>
      <c r="C563" s="6" t="s">
        <v>2688</v>
      </c>
      <c r="D563" s="58">
        <v>199990</v>
      </c>
    </row>
    <row r="564" spans="1:4" x14ac:dyDescent="0.25">
      <c r="A564" s="5">
        <v>70004947</v>
      </c>
      <c r="B564" s="6" t="s">
        <v>2618</v>
      </c>
      <c r="C564" s="6" t="s">
        <v>2689</v>
      </c>
      <c r="D564" s="58">
        <v>49990</v>
      </c>
    </row>
    <row r="565" spans="1:4" x14ac:dyDescent="0.25">
      <c r="A565" s="5">
        <v>70004916</v>
      </c>
      <c r="B565" s="6" t="s">
        <v>1036</v>
      </c>
      <c r="C565" s="6" t="s">
        <v>2690</v>
      </c>
      <c r="D565" s="58">
        <v>39990</v>
      </c>
    </row>
    <row r="566" spans="1:4" x14ac:dyDescent="0.25">
      <c r="A566" s="5">
        <v>70004877</v>
      </c>
      <c r="B566" s="6" t="s">
        <v>895</v>
      </c>
      <c r="C566" s="6" t="s">
        <v>2691</v>
      </c>
      <c r="D566" s="58">
        <v>149990</v>
      </c>
    </row>
    <row r="567" spans="1:4" x14ac:dyDescent="0.25">
      <c r="A567" s="5">
        <v>70004869</v>
      </c>
      <c r="B567" s="6" t="s">
        <v>895</v>
      </c>
      <c r="C567" s="6" t="s">
        <v>2692</v>
      </c>
      <c r="D567" s="58">
        <v>149990</v>
      </c>
    </row>
    <row r="568" spans="1:4" x14ac:dyDescent="0.25">
      <c r="A568" s="5">
        <v>70004856</v>
      </c>
      <c r="B568" s="6" t="s">
        <v>46</v>
      </c>
      <c r="C568" s="6" t="s">
        <v>2693</v>
      </c>
      <c r="D568" s="58">
        <v>199990.21</v>
      </c>
    </row>
    <row r="569" spans="1:4" x14ac:dyDescent="0.25">
      <c r="A569" s="5">
        <v>70004838</v>
      </c>
      <c r="B569" s="6" t="s">
        <v>46</v>
      </c>
      <c r="C569" s="6" t="s">
        <v>2694</v>
      </c>
      <c r="D569" s="58">
        <v>159990</v>
      </c>
    </row>
    <row r="570" spans="1:4" x14ac:dyDescent="0.25">
      <c r="A570" s="5">
        <v>70004836</v>
      </c>
      <c r="B570" s="6" t="s">
        <v>46</v>
      </c>
      <c r="C570" s="6" t="s">
        <v>2695</v>
      </c>
      <c r="D570" s="58">
        <v>179989.88</v>
      </c>
    </row>
    <row r="571" spans="1:4" x14ac:dyDescent="0.25">
      <c r="A571" s="5">
        <v>70004834</v>
      </c>
      <c r="B571" s="6" t="s">
        <v>46</v>
      </c>
      <c r="C571" s="6" t="s">
        <v>2696</v>
      </c>
      <c r="D571" s="58">
        <v>269989.58</v>
      </c>
    </row>
    <row r="572" spans="1:4" x14ac:dyDescent="0.25">
      <c r="A572" s="5">
        <v>70004832</v>
      </c>
      <c r="B572" s="6" t="s">
        <v>46</v>
      </c>
      <c r="C572" s="6" t="s">
        <v>2697</v>
      </c>
      <c r="D572" s="58">
        <v>269990</v>
      </c>
    </row>
    <row r="573" spans="1:4" x14ac:dyDescent="0.25">
      <c r="A573" s="5">
        <v>70004732</v>
      </c>
      <c r="B573" s="6" t="s">
        <v>2618</v>
      </c>
      <c r="C573" s="6" t="s">
        <v>2698</v>
      </c>
      <c r="D573" s="58">
        <v>24990</v>
      </c>
    </row>
    <row r="574" spans="1:4" x14ac:dyDescent="0.25">
      <c r="A574" s="5">
        <v>70004731</v>
      </c>
      <c r="B574" s="6" t="s">
        <v>2618</v>
      </c>
      <c r="C574" s="6" t="s">
        <v>2699</v>
      </c>
      <c r="D574" s="58">
        <v>16990</v>
      </c>
    </row>
    <row r="575" spans="1:4" x14ac:dyDescent="0.25">
      <c r="A575" s="5">
        <v>70004717</v>
      </c>
      <c r="B575" s="6" t="s">
        <v>904</v>
      </c>
      <c r="C575" s="6" t="s">
        <v>2700</v>
      </c>
      <c r="D575" s="58">
        <v>899990</v>
      </c>
    </row>
    <row r="576" spans="1:4" x14ac:dyDescent="0.25">
      <c r="A576" s="5">
        <v>70004715</v>
      </c>
      <c r="B576" s="6" t="s">
        <v>904</v>
      </c>
      <c r="C576" s="6" t="s">
        <v>2701</v>
      </c>
      <c r="D576" s="58">
        <v>899990</v>
      </c>
    </row>
    <row r="577" spans="1:4" x14ac:dyDescent="0.25">
      <c r="A577" s="5">
        <v>70004707</v>
      </c>
      <c r="B577" s="6" t="s">
        <v>904</v>
      </c>
      <c r="C577" s="6" t="s">
        <v>2702</v>
      </c>
      <c r="D577" s="58">
        <v>599989.66999999993</v>
      </c>
    </row>
    <row r="578" spans="1:4" x14ac:dyDescent="0.25">
      <c r="A578" s="5">
        <v>70004698</v>
      </c>
      <c r="B578" s="6" t="s">
        <v>904</v>
      </c>
      <c r="C578" s="6" t="s">
        <v>2703</v>
      </c>
      <c r="D578" s="58">
        <v>259990</v>
      </c>
    </row>
    <row r="579" spans="1:4" x14ac:dyDescent="0.25">
      <c r="A579" s="5">
        <v>70004695</v>
      </c>
      <c r="B579" s="6" t="s">
        <v>904</v>
      </c>
      <c r="C579" s="6" t="s">
        <v>2704</v>
      </c>
      <c r="D579" s="58">
        <v>259990</v>
      </c>
    </row>
    <row r="580" spans="1:4" x14ac:dyDescent="0.25">
      <c r="A580" s="5">
        <v>70004678</v>
      </c>
      <c r="B580" s="6" t="s">
        <v>46</v>
      </c>
      <c r="C580" s="6" t="s">
        <v>2705</v>
      </c>
      <c r="D580" s="58">
        <v>899990</v>
      </c>
    </row>
    <row r="581" spans="1:4" x14ac:dyDescent="0.25">
      <c r="A581" s="5">
        <v>70004676</v>
      </c>
      <c r="B581" s="6" t="s">
        <v>46</v>
      </c>
      <c r="C581" s="6" t="s">
        <v>2706</v>
      </c>
      <c r="D581" s="58">
        <v>799990</v>
      </c>
    </row>
    <row r="582" spans="1:4" x14ac:dyDescent="0.25">
      <c r="A582" s="5">
        <v>70004673</v>
      </c>
      <c r="B582" s="6" t="s">
        <v>46</v>
      </c>
      <c r="C582" s="6" t="s">
        <v>2707</v>
      </c>
      <c r="D582" s="58">
        <v>679990</v>
      </c>
    </row>
    <row r="583" spans="1:4" x14ac:dyDescent="0.25">
      <c r="A583" s="5">
        <v>70004659</v>
      </c>
      <c r="B583" s="6" t="s">
        <v>131</v>
      </c>
      <c r="C583" s="6" t="s">
        <v>2708</v>
      </c>
      <c r="D583" s="58">
        <v>349990</v>
      </c>
    </row>
    <row r="584" spans="1:4" x14ac:dyDescent="0.25">
      <c r="A584" s="5">
        <v>70004604</v>
      </c>
      <c r="B584" s="6" t="s">
        <v>46</v>
      </c>
      <c r="C584" s="6" t="s">
        <v>2709</v>
      </c>
      <c r="D584" s="58">
        <v>299989.48</v>
      </c>
    </row>
    <row r="585" spans="1:4" x14ac:dyDescent="0.25">
      <c r="A585" s="5">
        <v>70004567</v>
      </c>
      <c r="B585" s="6" t="s">
        <v>46</v>
      </c>
      <c r="C585" s="6" t="s">
        <v>2710</v>
      </c>
      <c r="D585" s="58">
        <v>159989.54999999999</v>
      </c>
    </row>
    <row r="586" spans="1:4" x14ac:dyDescent="0.25">
      <c r="A586" s="5">
        <v>70004566</v>
      </c>
      <c r="B586" s="6" t="s">
        <v>904</v>
      </c>
      <c r="C586" s="6" t="s">
        <v>2711</v>
      </c>
      <c r="D586" s="58">
        <v>129990</v>
      </c>
    </row>
    <row r="587" spans="1:4" x14ac:dyDescent="0.25">
      <c r="A587" s="5">
        <v>70004565</v>
      </c>
      <c r="B587" s="6" t="s">
        <v>904</v>
      </c>
      <c r="C587" s="6" t="s">
        <v>2712</v>
      </c>
      <c r="D587" s="58">
        <v>129990</v>
      </c>
    </row>
    <row r="588" spans="1:4" x14ac:dyDescent="0.25">
      <c r="A588" s="5">
        <v>70004564</v>
      </c>
      <c r="B588" s="6" t="s">
        <v>904</v>
      </c>
      <c r="C588" s="6" t="s">
        <v>2713</v>
      </c>
      <c r="D588" s="58">
        <v>98990</v>
      </c>
    </row>
    <row r="589" spans="1:4" x14ac:dyDescent="0.25">
      <c r="A589" s="5">
        <v>70004563</v>
      </c>
      <c r="B589" s="6" t="s">
        <v>904</v>
      </c>
      <c r="C589" s="6" t="s">
        <v>2714</v>
      </c>
      <c r="D589" s="58">
        <v>98990</v>
      </c>
    </row>
    <row r="590" spans="1:4" x14ac:dyDescent="0.25">
      <c r="A590" s="5">
        <v>70004562</v>
      </c>
      <c r="B590" s="6" t="s">
        <v>904</v>
      </c>
      <c r="C590" s="6" t="s">
        <v>2715</v>
      </c>
      <c r="D590" s="58">
        <v>199990</v>
      </c>
    </row>
    <row r="591" spans="1:4" x14ac:dyDescent="0.25">
      <c r="A591" s="5">
        <v>70004561</v>
      </c>
      <c r="B591" s="6" t="s">
        <v>904</v>
      </c>
      <c r="C591" s="6" t="s">
        <v>2716</v>
      </c>
      <c r="D591" s="58">
        <v>199990</v>
      </c>
    </row>
    <row r="592" spans="1:4" x14ac:dyDescent="0.25">
      <c r="A592" s="5">
        <v>70004547</v>
      </c>
      <c r="B592" s="6" t="s">
        <v>895</v>
      </c>
      <c r="C592" s="6" t="s">
        <v>2717</v>
      </c>
      <c r="D592" s="58">
        <v>189990</v>
      </c>
    </row>
    <row r="593" spans="1:4" x14ac:dyDescent="0.25">
      <c r="A593" s="5">
        <v>70004544</v>
      </c>
      <c r="B593" s="6" t="s">
        <v>63</v>
      </c>
      <c r="C593" s="6" t="s">
        <v>2718</v>
      </c>
      <c r="D593" s="58">
        <v>1149990</v>
      </c>
    </row>
    <row r="594" spans="1:4" x14ac:dyDescent="0.25">
      <c r="A594" s="5">
        <v>70004542</v>
      </c>
      <c r="B594" s="6" t="s">
        <v>63</v>
      </c>
      <c r="C594" s="6" t="s">
        <v>2719</v>
      </c>
      <c r="D594" s="58">
        <v>999990</v>
      </c>
    </row>
    <row r="595" spans="1:4" x14ac:dyDescent="0.25">
      <c r="A595" s="5">
        <v>70004540</v>
      </c>
      <c r="B595" s="6" t="s">
        <v>46</v>
      </c>
      <c r="C595" s="6" t="s">
        <v>2720</v>
      </c>
      <c r="D595" s="58">
        <v>129989.65</v>
      </c>
    </row>
    <row r="596" spans="1:4" x14ac:dyDescent="0.25">
      <c r="A596" s="5">
        <v>70004535</v>
      </c>
      <c r="B596" s="6" t="s">
        <v>63</v>
      </c>
      <c r="C596" s="6" t="s">
        <v>2721</v>
      </c>
      <c r="D596" s="58">
        <v>749990</v>
      </c>
    </row>
    <row r="597" spans="1:4" x14ac:dyDescent="0.25">
      <c r="A597" s="5">
        <v>70004511</v>
      </c>
      <c r="B597" s="6" t="s">
        <v>63</v>
      </c>
      <c r="C597" s="6" t="s">
        <v>2722</v>
      </c>
      <c r="D597" s="58">
        <v>1099990</v>
      </c>
    </row>
    <row r="598" spans="1:4" x14ac:dyDescent="0.25">
      <c r="A598" s="5">
        <v>70004508</v>
      </c>
      <c r="B598" s="6" t="s">
        <v>63</v>
      </c>
      <c r="C598" s="6" t="s">
        <v>2723</v>
      </c>
      <c r="D598" s="58">
        <v>1349990</v>
      </c>
    </row>
    <row r="599" spans="1:4" x14ac:dyDescent="0.25">
      <c r="A599" s="5">
        <v>70004505</v>
      </c>
      <c r="B599" s="6" t="s">
        <v>63</v>
      </c>
      <c r="C599" s="6" t="s">
        <v>2724</v>
      </c>
      <c r="D599" s="58">
        <v>999990</v>
      </c>
    </row>
    <row r="600" spans="1:4" x14ac:dyDescent="0.25">
      <c r="A600" s="5">
        <v>70004503</v>
      </c>
      <c r="B600" s="6" t="s">
        <v>980</v>
      </c>
      <c r="C600" s="6" t="s">
        <v>2725</v>
      </c>
      <c r="D600" s="58">
        <v>599990</v>
      </c>
    </row>
    <row r="601" spans="1:4" x14ac:dyDescent="0.25">
      <c r="A601" s="5">
        <v>70004502</v>
      </c>
      <c r="B601" s="6" t="s">
        <v>980</v>
      </c>
      <c r="C601" s="6" t="s">
        <v>2726</v>
      </c>
      <c r="D601" s="58">
        <v>289990</v>
      </c>
    </row>
    <row r="602" spans="1:4" x14ac:dyDescent="0.25">
      <c r="A602" s="5">
        <v>70004500</v>
      </c>
      <c r="B602" s="6" t="s">
        <v>980</v>
      </c>
      <c r="C602" s="6" t="s">
        <v>2727</v>
      </c>
      <c r="D602" s="58">
        <v>159990</v>
      </c>
    </row>
    <row r="603" spans="1:4" x14ac:dyDescent="0.25">
      <c r="A603" s="5">
        <v>70004499</v>
      </c>
      <c r="B603" s="6" t="s">
        <v>2618</v>
      </c>
      <c r="C603" s="6" t="s">
        <v>2728</v>
      </c>
      <c r="D603" s="58">
        <v>24990</v>
      </c>
    </row>
    <row r="604" spans="1:4" x14ac:dyDescent="0.25">
      <c r="A604" s="5">
        <v>70004497</v>
      </c>
      <c r="B604" s="6" t="s">
        <v>2618</v>
      </c>
      <c r="C604" s="6" t="s">
        <v>2729</v>
      </c>
      <c r="D604" s="58">
        <v>69990</v>
      </c>
    </row>
    <row r="605" spans="1:4" x14ac:dyDescent="0.25">
      <c r="A605" s="5">
        <v>70004493</v>
      </c>
      <c r="B605" s="6" t="s">
        <v>112</v>
      </c>
      <c r="C605" s="6" t="s">
        <v>2730</v>
      </c>
      <c r="D605" s="58">
        <v>59990</v>
      </c>
    </row>
    <row r="606" spans="1:4" x14ac:dyDescent="0.25">
      <c r="A606" s="5">
        <v>70004492</v>
      </c>
      <c r="B606" s="6" t="s">
        <v>112</v>
      </c>
      <c r="C606" s="6" t="s">
        <v>2731</v>
      </c>
      <c r="D606" s="58">
        <v>34990</v>
      </c>
    </row>
    <row r="607" spans="1:4" x14ac:dyDescent="0.25">
      <c r="A607" s="5">
        <v>70003978</v>
      </c>
      <c r="B607" s="6" t="s">
        <v>904</v>
      </c>
      <c r="C607" s="6" t="s">
        <v>2732</v>
      </c>
      <c r="D607" s="58">
        <v>299989.59999999998</v>
      </c>
    </row>
    <row r="608" spans="1:4" x14ac:dyDescent="0.25">
      <c r="A608" s="5">
        <v>70003977</v>
      </c>
      <c r="B608" s="6" t="s">
        <v>904</v>
      </c>
      <c r="C608" s="6" t="s">
        <v>2733</v>
      </c>
      <c r="D608" s="58">
        <v>299989.59999999998</v>
      </c>
    </row>
    <row r="609" spans="1:4" x14ac:dyDescent="0.25">
      <c r="A609" s="5">
        <v>70003975</v>
      </c>
      <c r="B609" s="6" t="s">
        <v>46</v>
      </c>
      <c r="C609" s="6" t="s">
        <v>2734</v>
      </c>
      <c r="D609" s="58">
        <v>259990.01</v>
      </c>
    </row>
    <row r="610" spans="1:4" x14ac:dyDescent="0.25">
      <c r="A610" s="5">
        <v>70003640</v>
      </c>
      <c r="B610" s="6" t="s">
        <v>63</v>
      </c>
      <c r="C610" s="6" t="s">
        <v>2735</v>
      </c>
      <c r="D610" s="58">
        <v>329990</v>
      </c>
    </row>
    <row r="611" spans="1:4" x14ac:dyDescent="0.25">
      <c r="A611" s="5">
        <v>70003297</v>
      </c>
      <c r="B611" s="6" t="s">
        <v>904</v>
      </c>
      <c r="C611" s="6" t="s">
        <v>2736</v>
      </c>
      <c r="D611" s="58">
        <v>849990</v>
      </c>
    </row>
    <row r="612" spans="1:4" x14ac:dyDescent="0.25">
      <c r="A612" s="5">
        <v>70003296</v>
      </c>
      <c r="B612" s="6" t="s">
        <v>46</v>
      </c>
      <c r="C612" s="6" t="s">
        <v>2737</v>
      </c>
      <c r="D612" s="58">
        <v>199990.21</v>
      </c>
    </row>
    <row r="613" spans="1:4" x14ac:dyDescent="0.25">
      <c r="A613" s="5">
        <v>70003295</v>
      </c>
      <c r="B613" s="6" t="s">
        <v>895</v>
      </c>
      <c r="C613" s="6" t="s">
        <v>2738</v>
      </c>
      <c r="D613" s="58">
        <v>49989.52</v>
      </c>
    </row>
    <row r="614" spans="1:4" x14ac:dyDescent="0.25">
      <c r="A614" s="5">
        <v>70003294</v>
      </c>
      <c r="B614" s="6" t="s">
        <v>895</v>
      </c>
      <c r="C614" s="6" t="s">
        <v>2739</v>
      </c>
      <c r="D614" s="58">
        <v>79990</v>
      </c>
    </row>
    <row r="615" spans="1:4" x14ac:dyDescent="0.25">
      <c r="A615" s="5">
        <v>70003293</v>
      </c>
      <c r="B615" s="6" t="s">
        <v>46</v>
      </c>
      <c r="C615" s="6" t="s">
        <v>2740</v>
      </c>
      <c r="D615" s="58">
        <v>79990</v>
      </c>
    </row>
    <row r="616" spans="1:4" x14ac:dyDescent="0.25">
      <c r="A616" s="5">
        <v>70003291</v>
      </c>
      <c r="B616" s="6" t="s">
        <v>131</v>
      </c>
      <c r="C616" s="6" t="s">
        <v>2741</v>
      </c>
      <c r="D616" s="58">
        <v>99990</v>
      </c>
    </row>
    <row r="617" spans="1:4" x14ac:dyDescent="0.25">
      <c r="A617" s="5">
        <v>70003289</v>
      </c>
      <c r="B617" s="6" t="s">
        <v>904</v>
      </c>
      <c r="C617" s="6" t="s">
        <v>2742</v>
      </c>
      <c r="D617" s="58">
        <v>99989.75</v>
      </c>
    </row>
    <row r="618" spans="1:4" x14ac:dyDescent="0.25">
      <c r="A618" s="5">
        <v>70003288</v>
      </c>
      <c r="B618" s="6" t="s">
        <v>46</v>
      </c>
      <c r="C618" s="6" t="s">
        <v>2743</v>
      </c>
      <c r="D618" s="58">
        <v>849989.63</v>
      </c>
    </row>
    <row r="619" spans="1:4" x14ac:dyDescent="0.25">
      <c r="A619" s="5">
        <v>70003285</v>
      </c>
      <c r="B619" s="6" t="s">
        <v>46</v>
      </c>
      <c r="C619" s="6" t="s">
        <v>2744</v>
      </c>
      <c r="D619" s="58">
        <v>259990.01</v>
      </c>
    </row>
    <row r="620" spans="1:4" x14ac:dyDescent="0.25">
      <c r="A620" s="5">
        <v>70003284</v>
      </c>
      <c r="B620" s="6" t="s">
        <v>2618</v>
      </c>
      <c r="C620" s="6" t="s">
        <v>2745</v>
      </c>
      <c r="D620" s="58">
        <v>14990.43</v>
      </c>
    </row>
    <row r="621" spans="1:4" x14ac:dyDescent="0.25">
      <c r="A621" s="5">
        <v>70003283</v>
      </c>
      <c r="B621" s="6" t="s">
        <v>46</v>
      </c>
      <c r="C621" s="6" t="s">
        <v>2746</v>
      </c>
      <c r="D621" s="58">
        <v>209990</v>
      </c>
    </row>
    <row r="622" spans="1:4" x14ac:dyDescent="0.25">
      <c r="A622" s="5">
        <v>70003282</v>
      </c>
      <c r="B622" s="6" t="s">
        <v>46</v>
      </c>
      <c r="C622" s="6" t="s">
        <v>2747</v>
      </c>
      <c r="D622" s="58">
        <v>209990</v>
      </c>
    </row>
    <row r="623" spans="1:4" x14ac:dyDescent="0.25">
      <c r="A623" s="5">
        <v>70003281</v>
      </c>
      <c r="B623" s="6" t="s">
        <v>46</v>
      </c>
      <c r="C623" s="6" t="s">
        <v>2748</v>
      </c>
      <c r="D623" s="58">
        <v>179989.88</v>
      </c>
    </row>
    <row r="624" spans="1:4" x14ac:dyDescent="0.25">
      <c r="A624" s="5">
        <v>70003280</v>
      </c>
      <c r="B624" s="6" t="s">
        <v>46</v>
      </c>
      <c r="C624" s="6" t="s">
        <v>2749</v>
      </c>
      <c r="D624" s="58">
        <v>179989.88</v>
      </c>
    </row>
    <row r="625" spans="1:4" x14ac:dyDescent="0.25">
      <c r="A625" s="5">
        <v>70003279</v>
      </c>
      <c r="B625" s="6" t="s">
        <v>46</v>
      </c>
      <c r="C625" s="6" t="s">
        <v>2750</v>
      </c>
      <c r="D625" s="58">
        <v>149989.98000000001</v>
      </c>
    </row>
    <row r="626" spans="1:4" x14ac:dyDescent="0.25">
      <c r="A626" s="5">
        <v>70003277</v>
      </c>
      <c r="B626" s="6" t="s">
        <v>904</v>
      </c>
      <c r="C626" s="6" t="s">
        <v>2751</v>
      </c>
      <c r="D626" s="58">
        <v>799990</v>
      </c>
    </row>
    <row r="627" spans="1:4" x14ac:dyDescent="0.25">
      <c r="A627" s="5">
        <v>70003274</v>
      </c>
      <c r="B627" s="6" t="s">
        <v>112</v>
      </c>
      <c r="C627" s="6" t="s">
        <v>2752</v>
      </c>
      <c r="D627" s="58">
        <v>129990</v>
      </c>
    </row>
    <row r="628" spans="1:4" x14ac:dyDescent="0.25">
      <c r="A628" s="5">
        <v>70003273</v>
      </c>
      <c r="B628" s="6" t="s">
        <v>112</v>
      </c>
      <c r="C628" s="6" t="s">
        <v>2753</v>
      </c>
      <c r="D628" s="58">
        <v>89990</v>
      </c>
    </row>
    <row r="629" spans="1:4" x14ac:dyDescent="0.25">
      <c r="A629" s="5">
        <v>70003272</v>
      </c>
      <c r="B629" s="6" t="s">
        <v>131</v>
      </c>
      <c r="C629" s="6" t="s">
        <v>2754</v>
      </c>
      <c r="D629" s="58">
        <v>129990</v>
      </c>
    </row>
    <row r="630" spans="1:4" x14ac:dyDescent="0.25">
      <c r="A630" s="5">
        <v>70003271</v>
      </c>
      <c r="B630" s="6" t="s">
        <v>131</v>
      </c>
      <c r="C630" s="6" t="s">
        <v>2755</v>
      </c>
      <c r="D630" s="58">
        <v>299990</v>
      </c>
    </row>
    <row r="631" spans="1:4" x14ac:dyDescent="0.25">
      <c r="A631" s="5">
        <v>70003270</v>
      </c>
      <c r="B631" s="6" t="s">
        <v>131</v>
      </c>
      <c r="C631" s="6" t="s">
        <v>2756</v>
      </c>
      <c r="D631" s="58">
        <v>169990</v>
      </c>
    </row>
    <row r="632" spans="1:4" x14ac:dyDescent="0.25">
      <c r="A632" s="5">
        <v>70003269</v>
      </c>
      <c r="B632" s="6" t="s">
        <v>904</v>
      </c>
      <c r="C632" s="6" t="s">
        <v>2757</v>
      </c>
      <c r="D632" s="58">
        <v>79990</v>
      </c>
    </row>
    <row r="633" spans="1:4" x14ac:dyDescent="0.25">
      <c r="A633" s="5">
        <v>70003267</v>
      </c>
      <c r="B633" s="6" t="s">
        <v>46</v>
      </c>
      <c r="C633" s="6" t="s">
        <v>2758</v>
      </c>
      <c r="D633" s="58">
        <v>399989.94</v>
      </c>
    </row>
    <row r="634" spans="1:4" x14ac:dyDescent="0.25">
      <c r="A634" s="5">
        <v>70003265</v>
      </c>
      <c r="B634" s="6" t="s">
        <v>2618</v>
      </c>
      <c r="C634" s="6" t="s">
        <v>2759</v>
      </c>
      <c r="D634" s="58">
        <v>10989.65</v>
      </c>
    </row>
    <row r="635" spans="1:4" x14ac:dyDescent="0.25">
      <c r="A635" s="5">
        <v>70003264</v>
      </c>
      <c r="B635" s="6" t="s">
        <v>904</v>
      </c>
      <c r="C635" s="6" t="s">
        <v>2760</v>
      </c>
      <c r="D635" s="58">
        <v>799990</v>
      </c>
    </row>
    <row r="636" spans="1:4" x14ac:dyDescent="0.25">
      <c r="A636" s="5">
        <v>70003262</v>
      </c>
      <c r="B636" s="6" t="s">
        <v>904</v>
      </c>
      <c r="C636" s="6" t="s">
        <v>2761</v>
      </c>
      <c r="D636" s="58">
        <v>229990</v>
      </c>
    </row>
    <row r="637" spans="1:4" x14ac:dyDescent="0.25">
      <c r="A637" s="5">
        <v>70003260</v>
      </c>
      <c r="B637" s="6" t="s">
        <v>904</v>
      </c>
      <c r="C637" s="6" t="s">
        <v>2762</v>
      </c>
      <c r="D637" s="58">
        <v>219990</v>
      </c>
    </row>
    <row r="638" spans="1:4" x14ac:dyDescent="0.25">
      <c r="A638" s="5">
        <v>70003259</v>
      </c>
      <c r="B638" s="6" t="s">
        <v>904</v>
      </c>
      <c r="C638" s="6" t="s">
        <v>2762</v>
      </c>
      <c r="D638" s="58">
        <v>219990</v>
      </c>
    </row>
    <row r="639" spans="1:4" x14ac:dyDescent="0.25">
      <c r="A639" s="5">
        <v>70003258</v>
      </c>
      <c r="B639" s="6" t="s">
        <v>904</v>
      </c>
      <c r="C639" s="6" t="s">
        <v>2763</v>
      </c>
      <c r="D639" s="58">
        <v>169990.31</v>
      </c>
    </row>
    <row r="640" spans="1:4" x14ac:dyDescent="0.25">
      <c r="A640" s="5">
        <v>70003257</v>
      </c>
      <c r="B640" s="6" t="s">
        <v>904</v>
      </c>
      <c r="C640" s="6" t="s">
        <v>2764</v>
      </c>
      <c r="D640" s="58">
        <v>169990.31</v>
      </c>
    </row>
    <row r="641" spans="1:4" x14ac:dyDescent="0.25">
      <c r="A641" s="5">
        <v>70003256</v>
      </c>
      <c r="B641" s="6" t="s">
        <v>904</v>
      </c>
      <c r="C641" s="6" t="s">
        <v>2765</v>
      </c>
      <c r="D641" s="58">
        <v>129989.65</v>
      </c>
    </row>
    <row r="642" spans="1:4" x14ac:dyDescent="0.25">
      <c r="A642" s="5">
        <v>70003255</v>
      </c>
      <c r="B642" s="6" t="s">
        <v>904</v>
      </c>
      <c r="C642" s="6" t="s">
        <v>2766</v>
      </c>
      <c r="D642" s="58">
        <v>129989.65</v>
      </c>
    </row>
    <row r="643" spans="1:4" x14ac:dyDescent="0.25">
      <c r="A643" s="5">
        <v>70003242</v>
      </c>
      <c r="B643" s="6" t="s">
        <v>904</v>
      </c>
      <c r="C643" s="6" t="s">
        <v>2767</v>
      </c>
      <c r="D643" s="58">
        <v>249990</v>
      </c>
    </row>
    <row r="644" spans="1:4" x14ac:dyDescent="0.25">
      <c r="A644" s="5">
        <v>70003241</v>
      </c>
      <c r="B644" s="6" t="s">
        <v>904</v>
      </c>
      <c r="C644" s="6" t="s">
        <v>2768</v>
      </c>
      <c r="D644" s="58">
        <v>249990</v>
      </c>
    </row>
    <row r="645" spans="1:4" x14ac:dyDescent="0.25">
      <c r="A645" s="5">
        <v>70003231</v>
      </c>
      <c r="B645" s="6" t="s">
        <v>2618</v>
      </c>
      <c r="C645" s="6" t="s">
        <v>2769</v>
      </c>
      <c r="D645" s="58">
        <v>49989.52</v>
      </c>
    </row>
    <row r="646" spans="1:4" x14ac:dyDescent="0.25">
      <c r="A646" s="5">
        <v>70003225</v>
      </c>
      <c r="B646" s="6" t="s">
        <v>46</v>
      </c>
      <c r="C646" s="6" t="s">
        <v>2770</v>
      </c>
      <c r="D646" s="58">
        <v>189990</v>
      </c>
    </row>
    <row r="647" spans="1:4" x14ac:dyDescent="0.25">
      <c r="A647" s="5">
        <v>70003221</v>
      </c>
      <c r="B647" s="6" t="s">
        <v>46</v>
      </c>
      <c r="C647" s="6" t="s">
        <v>2771</v>
      </c>
      <c r="D647" s="58">
        <v>249990.44</v>
      </c>
    </row>
    <row r="648" spans="1:4" x14ac:dyDescent="0.25">
      <c r="A648" s="5">
        <v>70003219</v>
      </c>
      <c r="B648" s="6" t="s">
        <v>112</v>
      </c>
      <c r="C648" s="6" t="s">
        <v>2772</v>
      </c>
      <c r="D648" s="58">
        <v>11990.44</v>
      </c>
    </row>
    <row r="649" spans="1:4" x14ac:dyDescent="0.25">
      <c r="A649" s="5">
        <v>70003218</v>
      </c>
      <c r="B649" s="6" t="s">
        <v>112</v>
      </c>
      <c r="C649" s="6" t="s">
        <v>2773</v>
      </c>
      <c r="D649" s="58">
        <v>11990.44</v>
      </c>
    </row>
    <row r="650" spans="1:4" x14ac:dyDescent="0.25">
      <c r="A650" s="5">
        <v>70003217</v>
      </c>
      <c r="B650" s="6" t="s">
        <v>112</v>
      </c>
      <c r="C650" s="6" t="s">
        <v>2774</v>
      </c>
      <c r="D650" s="58">
        <v>14990.43</v>
      </c>
    </row>
    <row r="651" spans="1:4" x14ac:dyDescent="0.25">
      <c r="A651" s="5">
        <v>70003216</v>
      </c>
      <c r="B651" s="6" t="s">
        <v>112</v>
      </c>
      <c r="C651" s="6" t="s">
        <v>2775</v>
      </c>
      <c r="D651" s="58">
        <v>14990.43</v>
      </c>
    </row>
    <row r="652" spans="1:4" x14ac:dyDescent="0.25">
      <c r="A652" s="5">
        <v>70003182</v>
      </c>
      <c r="B652" s="6" t="s">
        <v>1036</v>
      </c>
      <c r="C652" s="6" t="s">
        <v>2776</v>
      </c>
      <c r="D652" s="58">
        <v>24990</v>
      </c>
    </row>
    <row r="653" spans="1:4" x14ac:dyDescent="0.25">
      <c r="A653" s="5">
        <v>70003164</v>
      </c>
      <c r="B653" s="6" t="s">
        <v>46</v>
      </c>
      <c r="C653" s="6" t="s">
        <v>2777</v>
      </c>
      <c r="D653" s="58">
        <v>99990</v>
      </c>
    </row>
    <row r="654" spans="1:4" x14ac:dyDescent="0.25">
      <c r="A654" s="5">
        <v>70003134</v>
      </c>
      <c r="B654" s="6" t="s">
        <v>46</v>
      </c>
      <c r="C654" s="6" t="s">
        <v>2778</v>
      </c>
      <c r="D654" s="58">
        <v>99990</v>
      </c>
    </row>
  </sheetData>
  <autoFilter ref="A1:F654" xr:uid="{00000000-0009-0000-0000-000004000000}">
    <sortState xmlns:xlrd2="http://schemas.microsoft.com/office/spreadsheetml/2017/richdata2" ref="A4:F654">
      <sortCondition descending="1" ref="A1:A654"/>
    </sortState>
  </autoFilter>
  <mergeCells count="4">
    <mergeCell ref="A1:A2"/>
    <mergeCell ref="C1:C2"/>
    <mergeCell ref="B1:B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Planilla de Precios</vt:lpstr>
      <vt:lpstr>Accesorios + IOT+ BAM</vt:lpstr>
      <vt:lpstr>Hoja1</vt:lpstr>
      <vt:lpstr>Prima Mensual Protección Móvil</vt:lpstr>
      <vt:lpstr>Histórico</vt:lpstr>
      <vt:lpstr>Prepago 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</dc:creator>
  <cp:lastModifiedBy>Pedro Ignacio Bravo Collado</cp:lastModifiedBy>
  <dcterms:created xsi:type="dcterms:W3CDTF">2022-01-11T12:42:36Z</dcterms:created>
  <dcterms:modified xsi:type="dcterms:W3CDTF">2026-01-26T20:17:15Z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0x010100F5C5BA29400E814B9FDEAD0E50A6FD06</vt:lpwstr>
  </property>
  <property fmtid="{D5CDD505-2E9C-101B-9397-08002B2CF9AE}" pid="3" name="MediaServiceImageTags">
    <vt:lpwstr/>
  </property>
</Properties>
</file>